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CF7FB6C7-86A0-460D-A22D-1FD93246261C}" xr6:coauthVersionLast="47" xr6:coauthVersionMax="47" xr10:uidLastSave="{00000000-0000-0000-0000-000000000000}"/>
  <bookViews>
    <workbookView xWindow="-120" yWindow="-120" windowWidth="29040" windowHeight="15840" tabRatio="760" firstSheet="60" activeTab="60" xr2:uid="{00000000-000D-0000-FFFF-FFFF00000000}"/>
  </bookViews>
  <sheets>
    <sheet name="01.04" sheetId="81" state="hidden" r:id="rId1"/>
    <sheet name="01.04." sheetId="35" state="hidden" r:id="rId2"/>
    <sheet name="02.04" sheetId="48" state="hidden" r:id="rId3"/>
    <sheet name="03.04" sheetId="49" state="hidden" r:id="rId4"/>
    <sheet name="04.04" sheetId="50" state="hidden" r:id="rId5"/>
    <sheet name="05.04" sheetId="51" state="hidden" r:id="rId6"/>
    <sheet name="06.04" sheetId="52" state="hidden" r:id="rId7"/>
    <sheet name="07.04" sheetId="53" state="hidden" r:id="rId8"/>
    <sheet name="08.04" sheetId="54" state="hidden" r:id="rId9"/>
    <sheet name="09.04" sheetId="55" state="hidden" r:id="rId10"/>
    <sheet name="10.04" sheetId="56" state="hidden" r:id="rId11"/>
    <sheet name="11.04" sheetId="57" state="hidden" r:id="rId12"/>
    <sheet name="12.04" sheetId="58" state="hidden" r:id="rId13"/>
    <sheet name="13.04" sheetId="61" state="hidden" r:id="rId14"/>
    <sheet name="14.04" sheetId="62" state="hidden" r:id="rId15"/>
    <sheet name="15.04" sheetId="63" state="hidden" r:id="rId16"/>
    <sheet name="16.04" sheetId="64" state="hidden" r:id="rId17"/>
    <sheet name="17.04" sheetId="65" state="hidden" r:id="rId18"/>
    <sheet name="18.04" sheetId="66" state="hidden" r:id="rId19"/>
    <sheet name="19.04" sheetId="67" state="hidden" r:id="rId20"/>
    <sheet name="20.04" sheetId="68" state="hidden" r:id="rId21"/>
    <sheet name="21.04" sheetId="69" state="hidden" r:id="rId22"/>
    <sheet name="22.04 " sheetId="70" state="hidden" r:id="rId23"/>
    <sheet name="23.04 " sheetId="71" state="hidden" r:id="rId24"/>
    <sheet name="24.04 " sheetId="73" state="hidden" r:id="rId25"/>
    <sheet name="25.04 " sheetId="74" state="hidden" r:id="rId26"/>
    <sheet name="26.04 " sheetId="76" state="hidden" r:id="rId27"/>
    <sheet name="27.04" sheetId="77" state="hidden" r:id="rId28"/>
    <sheet name="28.04" sheetId="78" state="hidden" r:id="rId29"/>
    <sheet name="29.04 " sheetId="79" state="hidden" r:id="rId30"/>
    <sheet name="01.05" sheetId="85" state="hidden" r:id="rId31"/>
    <sheet name="02.05" sheetId="87" state="hidden" r:id="rId32"/>
    <sheet name="03.05" sheetId="86" state="hidden" r:id="rId33"/>
    <sheet name="04.05" sheetId="88" state="hidden" r:id="rId34"/>
    <sheet name="05.05" sheetId="89" state="hidden" r:id="rId35"/>
    <sheet name="06.05" sheetId="90" state="hidden" r:id="rId36"/>
    <sheet name="07.05" sheetId="91" state="hidden" r:id="rId37"/>
    <sheet name="08.05" sheetId="92" state="hidden" r:id="rId38"/>
    <sheet name="09.05" sheetId="93" state="hidden" r:id="rId39"/>
    <sheet name="10.05" sheetId="94" state="hidden" r:id="rId40"/>
    <sheet name="11.05" sheetId="95" state="hidden" r:id="rId41"/>
    <sheet name="12.05" sheetId="96" state="hidden" r:id="rId42"/>
    <sheet name="13.05" sheetId="97" state="hidden" r:id="rId43"/>
    <sheet name="14.05" sheetId="98" state="hidden" r:id="rId44"/>
    <sheet name="15.05" sheetId="99" state="hidden" r:id="rId45"/>
    <sheet name="16.05" sheetId="100" state="hidden" r:id="rId46"/>
    <sheet name="17.05" sheetId="101" state="hidden" r:id="rId47"/>
    <sheet name="18.05" sheetId="102" state="hidden" r:id="rId48"/>
    <sheet name="19.05" sheetId="103" state="hidden" r:id="rId49"/>
    <sheet name="20.05" sheetId="109" state="hidden" r:id="rId50"/>
    <sheet name="21.05" sheetId="110" state="hidden" r:id="rId51"/>
    <sheet name="22.05" sheetId="111" state="hidden" r:id="rId52"/>
    <sheet name="23.05" sheetId="112" state="hidden" r:id="rId53"/>
    <sheet name="24.05" sheetId="114" state="hidden" r:id="rId54"/>
    <sheet name="25.05" sheetId="115" state="hidden" r:id="rId55"/>
    <sheet name="26.05" sheetId="116" state="hidden" r:id="rId56"/>
    <sheet name="27.05" sheetId="117" state="hidden" r:id="rId57"/>
    <sheet name="28.05" sheetId="118" state="hidden" r:id="rId58"/>
    <sheet name="29.05" sheetId="119" state="hidden" r:id="rId59"/>
    <sheet name="30.05" sheetId="120" state="hidden" r:id="rId60"/>
    <sheet name="07.07" sheetId="167" r:id="rId61"/>
    <sheet name="22.03" sheetId="37" state="hidden" r:id="rId62"/>
    <sheet name="23.03" sheetId="38" state="hidden" r:id="rId63"/>
    <sheet name="24.03" sheetId="39" state="hidden" r:id="rId64"/>
    <sheet name="25.03" sheetId="41" state="hidden" r:id="rId65"/>
    <sheet name="26.03" sheetId="42" state="hidden" r:id="rId66"/>
  </sheets>
  <definedNames>
    <definedName name="_xlnm.Print_Area" localSheetId="0">'01.04'!$A$1:$BN$23</definedName>
    <definedName name="_xlnm.Print_Area" localSheetId="1">'01.04.'!$A$1:$BN$23</definedName>
    <definedName name="_xlnm.Print_Area" localSheetId="30">'01.05'!$A$1:$BN$23</definedName>
    <definedName name="_xlnm.Print_Area" localSheetId="2">'02.04'!$A$1:$BN$23</definedName>
    <definedName name="_xlnm.Print_Area" localSheetId="31">'02.05'!$A$1:$BN$23</definedName>
    <definedName name="_xlnm.Print_Area" localSheetId="3">'03.04'!$A$1:$BN$23</definedName>
    <definedName name="_xlnm.Print_Area" localSheetId="32">'03.05'!$A$1:$BN$23</definedName>
    <definedName name="_xlnm.Print_Area" localSheetId="4">'04.04'!$A$1:$BN$23</definedName>
    <definedName name="_xlnm.Print_Area" localSheetId="33">'04.05'!$A$1:$BN$23</definedName>
    <definedName name="_xlnm.Print_Area" localSheetId="5">'05.04'!$A$1:$BN$23</definedName>
    <definedName name="_xlnm.Print_Area" localSheetId="34">'05.05'!$A$1:$BN$23</definedName>
    <definedName name="_xlnm.Print_Area" localSheetId="6">'06.04'!$A$1:$BN$23</definedName>
    <definedName name="_xlnm.Print_Area" localSheetId="35">'06.05'!$A$1:$BN$23</definedName>
    <definedName name="_xlnm.Print_Area" localSheetId="7">'07.04'!$A$1:$BN$23</definedName>
    <definedName name="_xlnm.Print_Area" localSheetId="36">'07.05'!$A$1:$BN$23</definedName>
    <definedName name="_xlnm.Print_Area" localSheetId="60">'07.07'!$B$1:$AX$22</definedName>
    <definedName name="_xlnm.Print_Area" localSheetId="8">'08.04'!$A$1:$BN$23</definedName>
    <definedName name="_xlnm.Print_Area" localSheetId="37">'08.05'!$A$1:$BN$23</definedName>
    <definedName name="_xlnm.Print_Area" localSheetId="9">'09.04'!$A$1:$BN$23</definedName>
    <definedName name="_xlnm.Print_Area" localSheetId="38">'09.05'!$A$1:$BN$23</definedName>
    <definedName name="_xlnm.Print_Area" localSheetId="10">'10.04'!$A$1:$BN$23</definedName>
    <definedName name="_xlnm.Print_Area" localSheetId="39">'10.05'!$A$1:$BN$23</definedName>
    <definedName name="_xlnm.Print_Area" localSheetId="11">'11.04'!$A$1:$BN$23</definedName>
    <definedName name="_xlnm.Print_Area" localSheetId="40">'11.05'!$A$1:$BN$23</definedName>
    <definedName name="_xlnm.Print_Area" localSheetId="12">'12.04'!$A$1:$BN$23</definedName>
    <definedName name="_xlnm.Print_Area" localSheetId="41">'12.05'!$A$1:$BN$23</definedName>
    <definedName name="_xlnm.Print_Area" localSheetId="13">'13.04'!$A$1:$BN$23</definedName>
    <definedName name="_xlnm.Print_Area" localSheetId="42">'13.05'!$A$1:$BN$23</definedName>
    <definedName name="_xlnm.Print_Area" localSheetId="14">'14.04'!$A$1:$BN$23</definedName>
    <definedName name="_xlnm.Print_Area" localSheetId="43">'14.05'!$A$1:$BN$23</definedName>
    <definedName name="_xlnm.Print_Area" localSheetId="15">'15.04'!$A$1:$BN$23</definedName>
    <definedName name="_xlnm.Print_Area" localSheetId="44">'15.05'!$A$1:$BN$23</definedName>
    <definedName name="_xlnm.Print_Area" localSheetId="16">'16.04'!$A$1:$BN$23</definedName>
    <definedName name="_xlnm.Print_Area" localSheetId="45">'16.05'!$A$1:$BN$23</definedName>
    <definedName name="_xlnm.Print_Area" localSheetId="17">'17.04'!$A$1:$BN$23</definedName>
    <definedName name="_xlnm.Print_Area" localSheetId="46">'17.05'!$A$1:$BN$23</definedName>
    <definedName name="_xlnm.Print_Area" localSheetId="18">'18.04'!$A$1:$BN$23</definedName>
    <definedName name="_xlnm.Print_Area" localSheetId="47">'18.05'!$A$1:$BN$23</definedName>
    <definedName name="_xlnm.Print_Area" localSheetId="19">'19.04'!$A$1:$BN$23</definedName>
    <definedName name="_xlnm.Print_Area" localSheetId="48">'19.05'!$A$1:$BN$23</definedName>
    <definedName name="_xlnm.Print_Area" localSheetId="20">'20.04'!$A$1:$BN$23</definedName>
    <definedName name="_xlnm.Print_Area" localSheetId="49">'20.05'!$A$1:$BN$23</definedName>
    <definedName name="_xlnm.Print_Area" localSheetId="21">'21.04'!$A$1:$BN$23</definedName>
    <definedName name="_xlnm.Print_Area" localSheetId="50">'21.05'!$A$1:$BN$23</definedName>
    <definedName name="_xlnm.Print_Area" localSheetId="61">'22.03'!$A$1:$BN$23</definedName>
    <definedName name="_xlnm.Print_Area" localSheetId="22">'22.04 '!$A$1:$BN$23</definedName>
    <definedName name="_xlnm.Print_Area" localSheetId="51">'22.05'!$A$1:$BN$23</definedName>
    <definedName name="_xlnm.Print_Area" localSheetId="62">'23.03'!$A$1:$BN$23</definedName>
    <definedName name="_xlnm.Print_Area" localSheetId="23">'23.04 '!$A$1:$BN$23</definedName>
    <definedName name="_xlnm.Print_Area" localSheetId="52">'23.05'!$A$1:$BN$23</definedName>
    <definedName name="_xlnm.Print_Area" localSheetId="63">'24.03'!$A$1:$BN$23</definedName>
    <definedName name="_xlnm.Print_Area" localSheetId="24">'24.04 '!$A$1:$BN$23</definedName>
    <definedName name="_xlnm.Print_Area" localSheetId="53">'24.05'!$A$1:$BN$23</definedName>
    <definedName name="_xlnm.Print_Area" localSheetId="64">'25.03'!$A$1:$BN$23</definedName>
    <definedName name="_xlnm.Print_Area" localSheetId="25">'25.04 '!$A$1:$BN$23</definedName>
    <definedName name="_xlnm.Print_Area" localSheetId="54">'25.05'!$A$1:$BN$23</definedName>
    <definedName name="_xlnm.Print_Area" localSheetId="65">'26.03'!$A$1:$BN$23</definedName>
    <definedName name="_xlnm.Print_Area" localSheetId="26">'26.04 '!$A$1:$BN$23</definedName>
    <definedName name="_xlnm.Print_Area" localSheetId="55">'26.05'!$A$1:$BN$23</definedName>
    <definedName name="_xlnm.Print_Area" localSheetId="27">'27.04'!$A$1:$BN$23</definedName>
    <definedName name="_xlnm.Print_Area" localSheetId="56">'27.05'!$A$1:$BN$23</definedName>
    <definedName name="_xlnm.Print_Area" localSheetId="28">'28.04'!$A$1:$BN$23</definedName>
    <definedName name="_xlnm.Print_Area" localSheetId="57">'28.05'!$A$1:$BN$23</definedName>
    <definedName name="_xlnm.Print_Area" localSheetId="29">'29.04 '!$A$1:$BN$23</definedName>
    <definedName name="_xlnm.Print_Area" localSheetId="58">'29.05'!$A$1:$BN$23</definedName>
    <definedName name="_xlnm.Print_Area" localSheetId="59">'30.05'!$A$1:$BN$23</definedName>
  </definedNames>
  <calcPr calcId="191029"/>
</workbook>
</file>

<file path=xl/calcChain.xml><?xml version="1.0" encoding="utf-8"?>
<calcChain xmlns="http://schemas.openxmlformats.org/spreadsheetml/2006/main">
  <c r="BC22" i="167" l="1"/>
  <c r="BB22" i="167"/>
  <c r="BA22" i="167"/>
  <c r="AZ22" i="167"/>
  <c r="AY22" i="167"/>
  <c r="AX22" i="167"/>
  <c r="AW22" i="167"/>
  <c r="AV22" i="167"/>
  <c r="AU22" i="167"/>
  <c r="AT22" i="167"/>
  <c r="AQ22" i="167"/>
  <c r="AP22" i="167"/>
  <c r="AO22" i="167"/>
  <c r="AM22" i="167"/>
  <c r="AL22" i="167"/>
  <c r="AK22" i="167"/>
  <c r="AH22" i="167"/>
  <c r="AG22" i="167"/>
  <c r="AF22" i="167"/>
  <c r="AE22" i="167"/>
  <c r="AD22" i="167"/>
  <c r="AA22" i="167"/>
  <c r="Y22" i="167"/>
  <c r="X22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Z22" i="167"/>
  <c r="AY3" i="167"/>
  <c r="AC22" i="167" l="1"/>
  <c r="AN22" i="167"/>
  <c r="AS22" i="167"/>
  <c r="AJ22" i="167"/>
  <c r="AI22" i="167" l="1"/>
  <c r="C22" i="167" l="1"/>
  <c r="AB22" i="167" l="1"/>
  <c r="AR22" i="167" l="1"/>
  <c r="BC8" i="103"/>
  <c r="AQ8" i="103"/>
  <c r="AF8" i="103"/>
  <c r="BN8" i="102"/>
  <c r="BN8" i="103" s="1"/>
  <c r="BC8" i="102"/>
  <c r="AQ8" i="102"/>
  <c r="AF8" i="102"/>
  <c r="C8" i="102"/>
  <c r="B8" i="102"/>
  <c r="AF15" i="120"/>
  <c r="AX22" i="120"/>
  <c r="BP23" i="120"/>
  <c r="BO23" i="120"/>
  <c r="BM23" i="120"/>
  <c r="BK23" i="120"/>
  <c r="BI23" i="120"/>
  <c r="BG23" i="120"/>
  <c r="BE23" i="120"/>
  <c r="BA23" i="120"/>
  <c r="AY23" i="120"/>
  <c r="AW23" i="120"/>
  <c r="AU23" i="120"/>
  <c r="AS23" i="120"/>
  <c r="AN23" i="120"/>
  <c r="AL23" i="120"/>
  <c r="AJ23" i="120"/>
  <c r="AH23" i="120"/>
  <c r="AD23" i="120"/>
  <c r="AC23" i="120"/>
  <c r="AA23" i="120"/>
  <c r="Z23" i="120"/>
  <c r="X23" i="120"/>
  <c r="W23" i="120"/>
  <c r="U23" i="120"/>
  <c r="T23" i="120"/>
  <c r="R23" i="120"/>
  <c r="Q23" i="120"/>
  <c r="O23" i="120"/>
  <c r="N23" i="120"/>
  <c r="L23" i="120"/>
  <c r="K23" i="120"/>
  <c r="I23" i="120"/>
  <c r="H23" i="120"/>
  <c r="F23" i="120"/>
  <c r="E23" i="120"/>
  <c r="BC22" i="120"/>
  <c r="AQ22" i="120"/>
  <c r="AF22" i="120"/>
  <c r="C22" i="120"/>
  <c r="B22" i="120"/>
  <c r="BC21" i="120"/>
  <c r="AQ21" i="120"/>
  <c r="AF21" i="120"/>
  <c r="C21" i="120"/>
  <c r="B21" i="120"/>
  <c r="BC20" i="120"/>
  <c r="AQ20" i="120"/>
  <c r="AF20" i="120"/>
  <c r="C20" i="120"/>
  <c r="B20" i="120"/>
  <c r="BC19" i="120"/>
  <c r="AQ19" i="120"/>
  <c r="AF19" i="120"/>
  <c r="C19" i="120"/>
  <c r="B19" i="120"/>
  <c r="BC18" i="120"/>
  <c r="AQ18" i="120"/>
  <c r="AF18" i="120"/>
  <c r="C18" i="120"/>
  <c r="B18" i="120"/>
  <c r="BC17" i="120"/>
  <c r="AQ17" i="120"/>
  <c r="AF17" i="120"/>
  <c r="C17" i="120"/>
  <c r="B17" i="120"/>
  <c r="BC16" i="120"/>
  <c r="AQ16" i="120"/>
  <c r="AF16" i="120"/>
  <c r="C16" i="120"/>
  <c r="B16" i="120"/>
  <c r="BC15" i="120"/>
  <c r="AQ15" i="120"/>
  <c r="C15" i="120"/>
  <c r="B15" i="120"/>
  <c r="BC14" i="120"/>
  <c r="AQ14" i="120"/>
  <c r="AF14" i="120"/>
  <c r="C14" i="120"/>
  <c r="B14" i="120"/>
  <c r="BC13" i="120"/>
  <c r="AQ13" i="120"/>
  <c r="AF13" i="120"/>
  <c r="C13" i="120"/>
  <c r="B13" i="120"/>
  <c r="BC12" i="120"/>
  <c r="AQ12" i="120"/>
  <c r="AF12" i="120"/>
  <c r="C12" i="120"/>
  <c r="B12" i="120"/>
  <c r="BC11" i="120"/>
  <c r="AQ11" i="120"/>
  <c r="AF11" i="120"/>
  <c r="C11" i="120"/>
  <c r="B11" i="120"/>
  <c r="BC10" i="120"/>
  <c r="AQ10" i="120"/>
  <c r="AF10" i="120"/>
  <c r="C10" i="120"/>
  <c r="B10" i="120"/>
  <c r="BC9" i="120"/>
  <c r="AQ9" i="120"/>
  <c r="AF9" i="120"/>
  <c r="C9" i="120"/>
  <c r="B9" i="120"/>
  <c r="BQ8" i="120"/>
  <c r="BL8" i="120"/>
  <c r="BJ8" i="120"/>
  <c r="BH8" i="120"/>
  <c r="BF8" i="120"/>
  <c r="BC8" i="120"/>
  <c r="BB8" i="120"/>
  <c r="AZ8" i="120"/>
  <c r="AX8" i="120"/>
  <c r="AV8" i="120"/>
  <c r="AT8" i="120"/>
  <c r="AQ8" i="120"/>
  <c r="AO8" i="120"/>
  <c r="AM8" i="120"/>
  <c r="AK8" i="120"/>
  <c r="AI8" i="120"/>
  <c r="AF8" i="120"/>
  <c r="AE8" i="120"/>
  <c r="AB8" i="120"/>
  <c r="Y8" i="120"/>
  <c r="V8" i="120"/>
  <c r="S8" i="120"/>
  <c r="P8" i="120"/>
  <c r="M8" i="120"/>
  <c r="J8" i="120"/>
  <c r="G8" i="120"/>
  <c r="C8" i="120"/>
  <c r="B8" i="120"/>
  <c r="BP23" i="119"/>
  <c r="BO23" i="119"/>
  <c r="BM23" i="119"/>
  <c r="BK23" i="119"/>
  <c r="BI23" i="119"/>
  <c r="BG23" i="119"/>
  <c r="BE23" i="119"/>
  <c r="BA23" i="119"/>
  <c r="AY23" i="119"/>
  <c r="AW23" i="119"/>
  <c r="AU23" i="119"/>
  <c r="AS23" i="119"/>
  <c r="AN23" i="119"/>
  <c r="AL23" i="119"/>
  <c r="AJ23" i="119"/>
  <c r="AH23" i="119"/>
  <c r="AD23" i="119"/>
  <c r="AC23" i="119"/>
  <c r="AA23" i="119"/>
  <c r="Z23" i="119"/>
  <c r="X23" i="119"/>
  <c r="W23" i="119"/>
  <c r="U23" i="119"/>
  <c r="T23" i="119"/>
  <c r="R23" i="119"/>
  <c r="Q23" i="119"/>
  <c r="O23" i="119"/>
  <c r="N23" i="119"/>
  <c r="L23" i="119"/>
  <c r="K23" i="119"/>
  <c r="I23" i="119"/>
  <c r="H23" i="119"/>
  <c r="F23" i="119"/>
  <c r="E23" i="119"/>
  <c r="BC22" i="119"/>
  <c r="AQ22" i="119"/>
  <c r="AF22" i="119"/>
  <c r="C22" i="119"/>
  <c r="B22" i="119"/>
  <c r="BC21" i="119"/>
  <c r="AQ21" i="119"/>
  <c r="AF21" i="119"/>
  <c r="C21" i="119"/>
  <c r="B21" i="119"/>
  <c r="BC20" i="119"/>
  <c r="AQ20" i="119"/>
  <c r="AF20" i="119"/>
  <c r="C20" i="119"/>
  <c r="B20" i="119"/>
  <c r="BC19" i="119"/>
  <c r="AQ19" i="119"/>
  <c r="AF19" i="119"/>
  <c r="C19" i="119"/>
  <c r="B19" i="119"/>
  <c r="BC18" i="119"/>
  <c r="AQ18" i="119"/>
  <c r="AF18" i="119"/>
  <c r="C18" i="119"/>
  <c r="B18" i="119"/>
  <c r="BC17" i="119"/>
  <c r="AQ17" i="119"/>
  <c r="AF17" i="119"/>
  <c r="C17" i="119"/>
  <c r="B17" i="119"/>
  <c r="BC16" i="119"/>
  <c r="AQ16" i="119"/>
  <c r="AF16" i="119"/>
  <c r="C16" i="119"/>
  <c r="B16" i="119"/>
  <c r="BC15" i="119"/>
  <c r="AQ15" i="119"/>
  <c r="AF15" i="119"/>
  <c r="C15" i="119"/>
  <c r="B15" i="119"/>
  <c r="BC14" i="119"/>
  <c r="AQ14" i="119"/>
  <c r="AF14" i="119"/>
  <c r="C14" i="119"/>
  <c r="B14" i="119"/>
  <c r="BC13" i="119"/>
  <c r="AQ13" i="119"/>
  <c r="AF13" i="119"/>
  <c r="C13" i="119"/>
  <c r="B13" i="119"/>
  <c r="BC12" i="119"/>
  <c r="AQ12" i="119"/>
  <c r="AF12" i="119"/>
  <c r="C12" i="119"/>
  <c r="B12" i="119"/>
  <c r="BC11" i="119"/>
  <c r="AQ11" i="119"/>
  <c r="AF11" i="119"/>
  <c r="C11" i="119"/>
  <c r="B11" i="119"/>
  <c r="BC10" i="119"/>
  <c r="AQ10" i="119"/>
  <c r="AF10" i="119"/>
  <c r="C10" i="119"/>
  <c r="B10" i="119"/>
  <c r="BC9" i="119"/>
  <c r="AQ9" i="119"/>
  <c r="AF9" i="119"/>
  <c r="C9" i="119"/>
  <c r="B9" i="119"/>
  <c r="BQ8" i="119"/>
  <c r="BL8" i="119"/>
  <c r="BJ8" i="119"/>
  <c r="BH8" i="119"/>
  <c r="BF8" i="119"/>
  <c r="BC8" i="119"/>
  <c r="BB8" i="119"/>
  <c r="AZ8" i="119"/>
  <c r="AX8" i="119"/>
  <c r="AV8" i="119"/>
  <c r="AT8" i="119"/>
  <c r="AQ8" i="119"/>
  <c r="AO8" i="119"/>
  <c r="AM8" i="119"/>
  <c r="AK8" i="119"/>
  <c r="AI8" i="119"/>
  <c r="AF8" i="119"/>
  <c r="AE8" i="119"/>
  <c r="AB8" i="119"/>
  <c r="Y8" i="119"/>
  <c r="V8" i="119"/>
  <c r="S8" i="119"/>
  <c r="P8" i="119"/>
  <c r="M8" i="119"/>
  <c r="J8" i="119"/>
  <c r="G8" i="119"/>
  <c r="C8" i="119"/>
  <c r="B8" i="119"/>
  <c r="BD8" i="120" l="1"/>
  <c r="AR8" i="119"/>
  <c r="BD8" i="119"/>
  <c r="B23" i="119"/>
  <c r="BC23" i="120"/>
  <c r="D8" i="120"/>
  <c r="AQ23" i="120"/>
  <c r="AF23" i="120"/>
  <c r="B23" i="120"/>
  <c r="AG8" i="119"/>
  <c r="C23" i="120"/>
  <c r="AR8" i="120"/>
  <c r="AG8" i="120"/>
  <c r="AQ23" i="119"/>
  <c r="BC23" i="119"/>
  <c r="AF23" i="119"/>
  <c r="C23" i="119"/>
  <c r="D8" i="119"/>
  <c r="AD23" i="115"/>
  <c r="B14" i="115"/>
  <c r="BP23" i="118"/>
  <c r="BO23" i="118"/>
  <c r="BM23" i="118"/>
  <c r="BK23" i="118"/>
  <c r="BI23" i="118"/>
  <c r="BG23" i="118"/>
  <c r="BE23" i="118"/>
  <c r="BA23" i="118"/>
  <c r="AY23" i="118"/>
  <c r="AW23" i="118"/>
  <c r="AU23" i="118"/>
  <c r="AS23" i="118"/>
  <c r="AN23" i="118"/>
  <c r="AL23" i="118"/>
  <c r="AJ23" i="118"/>
  <c r="AH23" i="118"/>
  <c r="AD23" i="118"/>
  <c r="AC23" i="118"/>
  <c r="AA23" i="118"/>
  <c r="Z23" i="118"/>
  <c r="X23" i="118"/>
  <c r="W23" i="118"/>
  <c r="U23" i="118"/>
  <c r="T23" i="118"/>
  <c r="R23" i="118"/>
  <c r="Q23" i="118"/>
  <c r="O23" i="118"/>
  <c r="N23" i="118"/>
  <c r="L23" i="118"/>
  <c r="K23" i="118"/>
  <c r="I23" i="118"/>
  <c r="H23" i="118"/>
  <c r="F23" i="118"/>
  <c r="E23" i="118"/>
  <c r="BC22" i="118"/>
  <c r="AQ22" i="118"/>
  <c r="AF22" i="118"/>
  <c r="C22" i="118"/>
  <c r="B22" i="118"/>
  <c r="BC21" i="118"/>
  <c r="AQ21" i="118"/>
  <c r="AF21" i="118"/>
  <c r="C21" i="118"/>
  <c r="B21" i="118"/>
  <c r="BC20" i="118"/>
  <c r="AQ20" i="118"/>
  <c r="AF20" i="118"/>
  <c r="C20" i="118"/>
  <c r="B20" i="118"/>
  <c r="BC19" i="118"/>
  <c r="AQ19" i="118"/>
  <c r="AF19" i="118"/>
  <c r="C19" i="118"/>
  <c r="B19" i="118"/>
  <c r="BC18" i="118"/>
  <c r="AQ18" i="118"/>
  <c r="AF18" i="118"/>
  <c r="C18" i="118"/>
  <c r="B18" i="118"/>
  <c r="BC17" i="118"/>
  <c r="AQ17" i="118"/>
  <c r="AF17" i="118"/>
  <c r="C17" i="118"/>
  <c r="B17" i="118"/>
  <c r="BC16" i="118"/>
  <c r="AQ16" i="118"/>
  <c r="AF16" i="118"/>
  <c r="C16" i="118"/>
  <c r="B16" i="118"/>
  <c r="BC15" i="118"/>
  <c r="AQ15" i="118"/>
  <c r="AF15" i="118"/>
  <c r="C15" i="118"/>
  <c r="B15" i="118"/>
  <c r="BC14" i="118"/>
  <c r="AQ14" i="118"/>
  <c r="AF14" i="118"/>
  <c r="C14" i="118"/>
  <c r="B14" i="118"/>
  <c r="BC13" i="118"/>
  <c r="AQ13" i="118"/>
  <c r="AF13" i="118"/>
  <c r="C13" i="118"/>
  <c r="B13" i="118"/>
  <c r="BC12" i="118"/>
  <c r="AQ12" i="118"/>
  <c r="AF12" i="118"/>
  <c r="C12" i="118"/>
  <c r="B12" i="118"/>
  <c r="BC11" i="118"/>
  <c r="AQ11" i="118"/>
  <c r="AF11" i="118"/>
  <c r="C11" i="118"/>
  <c r="B11" i="118"/>
  <c r="BC10" i="118"/>
  <c r="AQ10" i="118"/>
  <c r="AF10" i="118"/>
  <c r="C10" i="118"/>
  <c r="B10" i="118"/>
  <c r="BC9" i="118"/>
  <c r="AQ9" i="118"/>
  <c r="AF9" i="118"/>
  <c r="C9" i="118"/>
  <c r="B9" i="118"/>
  <c r="BQ8" i="118"/>
  <c r="BL8" i="118"/>
  <c r="BJ8" i="118"/>
  <c r="BH8" i="118"/>
  <c r="BF8" i="118"/>
  <c r="BC8" i="118"/>
  <c r="BB8" i="118"/>
  <c r="AZ8" i="118"/>
  <c r="AX8" i="118"/>
  <c r="AV8" i="118"/>
  <c r="AT8" i="118"/>
  <c r="AQ8" i="118"/>
  <c r="AO8" i="118"/>
  <c r="AM8" i="118"/>
  <c r="AK8" i="118"/>
  <c r="AI8" i="118"/>
  <c r="AF8" i="118"/>
  <c r="AE8" i="118"/>
  <c r="AB8" i="118"/>
  <c r="Y8" i="118"/>
  <c r="V8" i="118"/>
  <c r="S8" i="118"/>
  <c r="P8" i="118"/>
  <c r="M8" i="118"/>
  <c r="J8" i="118"/>
  <c r="G8" i="118"/>
  <c r="C8" i="118"/>
  <c r="B8" i="118"/>
  <c r="BP23" i="117"/>
  <c r="BO23" i="117"/>
  <c r="BM23" i="117"/>
  <c r="BK23" i="117"/>
  <c r="BI23" i="117"/>
  <c r="BG23" i="117"/>
  <c r="BE23" i="117"/>
  <c r="BA23" i="117"/>
  <c r="AY23" i="117"/>
  <c r="AW23" i="117"/>
  <c r="AU23" i="117"/>
  <c r="AS23" i="117"/>
  <c r="AN23" i="117"/>
  <c r="AL23" i="117"/>
  <c r="AJ23" i="117"/>
  <c r="AH23" i="117"/>
  <c r="AD23" i="117"/>
  <c r="AC23" i="117"/>
  <c r="AA23" i="117"/>
  <c r="Z23" i="117"/>
  <c r="X23" i="117"/>
  <c r="W23" i="117"/>
  <c r="U23" i="117"/>
  <c r="T23" i="117"/>
  <c r="R23" i="117"/>
  <c r="Q23" i="117"/>
  <c r="O23" i="117"/>
  <c r="N23" i="117"/>
  <c r="L23" i="117"/>
  <c r="K23" i="117"/>
  <c r="I23" i="117"/>
  <c r="H23" i="117"/>
  <c r="F23" i="117"/>
  <c r="E23" i="117"/>
  <c r="BC22" i="117"/>
  <c r="AQ22" i="117"/>
  <c r="AF22" i="117"/>
  <c r="C22" i="117"/>
  <c r="B22" i="117"/>
  <c r="BC21" i="117"/>
  <c r="AQ21" i="117"/>
  <c r="AF21" i="117"/>
  <c r="C21" i="117"/>
  <c r="B21" i="117"/>
  <c r="BC20" i="117"/>
  <c r="AQ20" i="117"/>
  <c r="AF20" i="117"/>
  <c r="C20" i="117"/>
  <c r="B20" i="117"/>
  <c r="BC19" i="117"/>
  <c r="AQ19" i="117"/>
  <c r="AF19" i="117"/>
  <c r="C19" i="117"/>
  <c r="B19" i="117"/>
  <c r="BC18" i="117"/>
  <c r="AQ18" i="117"/>
  <c r="AF18" i="117"/>
  <c r="C18" i="117"/>
  <c r="B18" i="117"/>
  <c r="BC17" i="117"/>
  <c r="AQ17" i="117"/>
  <c r="AF17" i="117"/>
  <c r="C17" i="117"/>
  <c r="B17" i="117"/>
  <c r="BC16" i="117"/>
  <c r="AQ16" i="117"/>
  <c r="AF16" i="117"/>
  <c r="C16" i="117"/>
  <c r="B16" i="117"/>
  <c r="BC15" i="117"/>
  <c r="AQ15" i="117"/>
  <c r="AF15" i="117"/>
  <c r="C15" i="117"/>
  <c r="B15" i="117"/>
  <c r="BC14" i="117"/>
  <c r="AQ14" i="117"/>
  <c r="AF14" i="117"/>
  <c r="C14" i="117"/>
  <c r="B14" i="117"/>
  <c r="BC13" i="117"/>
  <c r="AQ13" i="117"/>
  <c r="AF13" i="117"/>
  <c r="C13" i="117"/>
  <c r="B13" i="117"/>
  <c r="BC12" i="117"/>
  <c r="AQ12" i="117"/>
  <c r="AF12" i="117"/>
  <c r="C12" i="117"/>
  <c r="B12" i="117"/>
  <c r="BC11" i="117"/>
  <c r="AQ11" i="117"/>
  <c r="AF11" i="117"/>
  <c r="C11" i="117"/>
  <c r="B11" i="117"/>
  <c r="BC10" i="117"/>
  <c r="AQ10" i="117"/>
  <c r="AF10" i="117"/>
  <c r="C10" i="117"/>
  <c r="B10" i="117"/>
  <c r="BC9" i="117"/>
  <c r="AQ9" i="117"/>
  <c r="AF9" i="117"/>
  <c r="C9" i="117"/>
  <c r="B9" i="117"/>
  <c r="BQ8" i="117"/>
  <c r="BL8" i="117"/>
  <c r="BJ8" i="117"/>
  <c r="BH8" i="117"/>
  <c r="BF8" i="117"/>
  <c r="BC8" i="117"/>
  <c r="BB8" i="117"/>
  <c r="AZ8" i="117"/>
  <c r="AX8" i="117"/>
  <c r="AV8" i="117"/>
  <c r="AT8" i="117"/>
  <c r="AQ8" i="117"/>
  <c r="AO8" i="117"/>
  <c r="AM8" i="117"/>
  <c r="AK8" i="117"/>
  <c r="AI8" i="117"/>
  <c r="AF8" i="117"/>
  <c r="AE8" i="117"/>
  <c r="AB8" i="117"/>
  <c r="Y8" i="117"/>
  <c r="V8" i="117"/>
  <c r="S8" i="117"/>
  <c r="P8" i="117"/>
  <c r="M8" i="117"/>
  <c r="J8" i="117"/>
  <c r="G8" i="117"/>
  <c r="C8" i="117"/>
  <c r="B8" i="117"/>
  <c r="BP23" i="116"/>
  <c r="BO23" i="116"/>
  <c r="BM23" i="116"/>
  <c r="BK23" i="116"/>
  <c r="BI23" i="116"/>
  <c r="BG23" i="116"/>
  <c r="BE23" i="116"/>
  <c r="BA23" i="116"/>
  <c r="AY23" i="116"/>
  <c r="AW23" i="116"/>
  <c r="AU23" i="116"/>
  <c r="AS23" i="116"/>
  <c r="AN23" i="116"/>
  <c r="AL23" i="116"/>
  <c r="AJ23" i="116"/>
  <c r="AH23" i="116"/>
  <c r="AD23" i="116"/>
  <c r="AC23" i="116"/>
  <c r="AA23" i="116"/>
  <c r="Z23" i="116"/>
  <c r="X23" i="116"/>
  <c r="W23" i="116"/>
  <c r="U23" i="116"/>
  <c r="T23" i="116"/>
  <c r="R23" i="116"/>
  <c r="Q23" i="116"/>
  <c r="O23" i="116"/>
  <c r="N23" i="116"/>
  <c r="L23" i="116"/>
  <c r="K23" i="116"/>
  <c r="I23" i="116"/>
  <c r="H23" i="116"/>
  <c r="F23" i="116"/>
  <c r="E23" i="116"/>
  <c r="BC22" i="116"/>
  <c r="AQ22" i="116"/>
  <c r="AF22" i="116"/>
  <c r="C22" i="116"/>
  <c r="B22" i="116"/>
  <c r="BC21" i="116"/>
  <c r="AQ21" i="116"/>
  <c r="AF21" i="116"/>
  <c r="C21" i="116"/>
  <c r="B21" i="116"/>
  <c r="BC20" i="116"/>
  <c r="AQ20" i="116"/>
  <c r="AF20" i="116"/>
  <c r="C20" i="116"/>
  <c r="B20" i="116"/>
  <c r="BC19" i="116"/>
  <c r="AQ19" i="116"/>
  <c r="AF19" i="116"/>
  <c r="C19" i="116"/>
  <c r="B19" i="116"/>
  <c r="BC18" i="116"/>
  <c r="AQ18" i="116"/>
  <c r="AF18" i="116"/>
  <c r="C18" i="116"/>
  <c r="B18" i="116"/>
  <c r="BC17" i="116"/>
  <c r="AQ17" i="116"/>
  <c r="AF17" i="116"/>
  <c r="C17" i="116"/>
  <c r="B17" i="116"/>
  <c r="BC16" i="116"/>
  <c r="AQ16" i="116"/>
  <c r="AF16" i="116"/>
  <c r="C16" i="116"/>
  <c r="B16" i="116"/>
  <c r="BC15" i="116"/>
  <c r="AQ15" i="116"/>
  <c r="AF15" i="116"/>
  <c r="C15" i="116"/>
  <c r="B15" i="116"/>
  <c r="BC14" i="116"/>
  <c r="AQ14" i="116"/>
  <c r="AF14" i="116"/>
  <c r="C14" i="116"/>
  <c r="B14" i="116"/>
  <c r="BC13" i="116"/>
  <c r="AQ13" i="116"/>
  <c r="AF13" i="116"/>
  <c r="C13" i="116"/>
  <c r="B13" i="116"/>
  <c r="BC12" i="116"/>
  <c r="AQ12" i="116"/>
  <c r="AF12" i="116"/>
  <c r="C12" i="116"/>
  <c r="B12" i="116"/>
  <c r="BC11" i="116"/>
  <c r="AQ11" i="116"/>
  <c r="AF11" i="116"/>
  <c r="C11" i="116"/>
  <c r="B11" i="116"/>
  <c r="BC10" i="116"/>
  <c r="AQ10" i="116"/>
  <c r="AF10" i="116"/>
  <c r="C10" i="116"/>
  <c r="B10" i="116"/>
  <c r="BC9" i="116"/>
  <c r="AQ9" i="116"/>
  <c r="AF9" i="116"/>
  <c r="C9" i="116"/>
  <c r="B9" i="116"/>
  <c r="BQ8" i="116"/>
  <c r="BL8" i="116"/>
  <c r="BJ8" i="116"/>
  <c r="BH8" i="116"/>
  <c r="BF8" i="116"/>
  <c r="BC8" i="116"/>
  <c r="BB8" i="116"/>
  <c r="AZ8" i="116"/>
  <c r="AX8" i="116"/>
  <c r="AV8" i="116"/>
  <c r="AT8" i="116"/>
  <c r="AQ8" i="116"/>
  <c r="AO8" i="116"/>
  <c r="AM8" i="116"/>
  <c r="AK8" i="116"/>
  <c r="AI8" i="116"/>
  <c r="AF8" i="116"/>
  <c r="AE8" i="116"/>
  <c r="AB8" i="116"/>
  <c r="Y8" i="116"/>
  <c r="V8" i="116"/>
  <c r="S8" i="116"/>
  <c r="P8" i="116"/>
  <c r="M8" i="116"/>
  <c r="J8" i="116"/>
  <c r="G8" i="116"/>
  <c r="C8" i="116"/>
  <c r="B8" i="116"/>
  <c r="BP23" i="115"/>
  <c r="BO23" i="115"/>
  <c r="BM23" i="115"/>
  <c r="BK23" i="115"/>
  <c r="BI23" i="115"/>
  <c r="BG23" i="115"/>
  <c r="BE23" i="115"/>
  <c r="BA23" i="115"/>
  <c r="AY23" i="115"/>
  <c r="AW23" i="115"/>
  <c r="AU23" i="115"/>
  <c r="AS23" i="115"/>
  <c r="AN23" i="115"/>
  <c r="AL23" i="115"/>
  <c r="AJ23" i="115"/>
  <c r="AH23" i="115"/>
  <c r="AC23" i="115"/>
  <c r="AA23" i="115"/>
  <c r="Z23" i="115"/>
  <c r="X23" i="115"/>
  <c r="W23" i="115"/>
  <c r="U23" i="115"/>
  <c r="T23" i="115"/>
  <c r="R23" i="115"/>
  <c r="Q23" i="115"/>
  <c r="O23" i="115"/>
  <c r="N23" i="115"/>
  <c r="L23" i="115"/>
  <c r="K23" i="115"/>
  <c r="I23" i="115"/>
  <c r="H23" i="115"/>
  <c r="F23" i="115"/>
  <c r="E23" i="115"/>
  <c r="BC22" i="115"/>
  <c r="AQ22" i="115"/>
  <c r="AF22" i="115"/>
  <c r="C22" i="115"/>
  <c r="B22" i="115"/>
  <c r="BC21" i="115"/>
  <c r="AQ21" i="115"/>
  <c r="AF21" i="115"/>
  <c r="C21" i="115"/>
  <c r="B21" i="115"/>
  <c r="BC20" i="115"/>
  <c r="AQ20" i="115"/>
  <c r="AF20" i="115"/>
  <c r="C20" i="115"/>
  <c r="B20" i="115"/>
  <c r="BC19" i="115"/>
  <c r="AQ19" i="115"/>
  <c r="AF19" i="115"/>
  <c r="C19" i="115"/>
  <c r="B19" i="115"/>
  <c r="BC18" i="115"/>
  <c r="AQ18" i="115"/>
  <c r="AF18" i="115"/>
  <c r="C18" i="115"/>
  <c r="B18" i="115"/>
  <c r="BC17" i="115"/>
  <c r="AQ17" i="115"/>
  <c r="AF17" i="115"/>
  <c r="C17" i="115"/>
  <c r="B17" i="115"/>
  <c r="BC16" i="115"/>
  <c r="AQ16" i="115"/>
  <c r="AF16" i="115"/>
  <c r="C16" i="115"/>
  <c r="B16" i="115"/>
  <c r="BC15" i="115"/>
  <c r="AQ15" i="115"/>
  <c r="AF15" i="115"/>
  <c r="C15" i="115"/>
  <c r="B15" i="115"/>
  <c r="BC14" i="115"/>
  <c r="AQ14" i="115"/>
  <c r="AF14" i="115"/>
  <c r="C14" i="115"/>
  <c r="BC13" i="115"/>
  <c r="AQ13" i="115"/>
  <c r="AF13" i="115"/>
  <c r="C13" i="115"/>
  <c r="B13" i="115"/>
  <c r="BC12" i="115"/>
  <c r="AQ12" i="115"/>
  <c r="AF12" i="115"/>
  <c r="C12" i="115"/>
  <c r="B12" i="115"/>
  <c r="BC11" i="115"/>
  <c r="AQ11" i="115"/>
  <c r="AF11" i="115"/>
  <c r="C11" i="115"/>
  <c r="B11" i="115"/>
  <c r="BC10" i="115"/>
  <c r="AQ10" i="115"/>
  <c r="AF10" i="115"/>
  <c r="C10" i="115"/>
  <c r="B10" i="115"/>
  <c r="BC9" i="115"/>
  <c r="AQ9" i="115"/>
  <c r="AF9" i="115"/>
  <c r="C9" i="115"/>
  <c r="B9" i="115"/>
  <c r="BQ8" i="115"/>
  <c r="BL8" i="115"/>
  <c r="BJ8" i="115"/>
  <c r="BH8" i="115"/>
  <c r="BF8" i="115"/>
  <c r="BC8" i="115"/>
  <c r="BB8" i="115"/>
  <c r="AZ8" i="115"/>
  <c r="AX8" i="115"/>
  <c r="AV8" i="115"/>
  <c r="AT8" i="115"/>
  <c r="AQ8" i="115"/>
  <c r="AO8" i="115"/>
  <c r="AM8" i="115"/>
  <c r="AK8" i="115"/>
  <c r="AI8" i="115"/>
  <c r="AF8" i="115"/>
  <c r="AE8" i="115"/>
  <c r="AB8" i="115"/>
  <c r="Y8" i="115"/>
  <c r="V8" i="115"/>
  <c r="S8" i="115"/>
  <c r="P8" i="115"/>
  <c r="M8" i="115"/>
  <c r="J8" i="115"/>
  <c r="G8" i="115"/>
  <c r="C8" i="115"/>
  <c r="B8" i="115"/>
  <c r="BP23" i="42"/>
  <c r="BO23" i="42"/>
  <c r="BM23" i="42"/>
  <c r="BK23" i="42"/>
  <c r="BI23" i="42"/>
  <c r="BG23" i="42"/>
  <c r="BE23" i="42"/>
  <c r="BA23" i="42"/>
  <c r="AY23" i="42"/>
  <c r="AW23" i="42"/>
  <c r="AU23" i="42"/>
  <c r="AS23" i="42"/>
  <c r="AN23" i="42"/>
  <c r="AL23" i="42"/>
  <c r="AJ23" i="42"/>
  <c r="AH23" i="42"/>
  <c r="AD23" i="42"/>
  <c r="AC23" i="42"/>
  <c r="AA23" i="42"/>
  <c r="Z23" i="42"/>
  <c r="X23" i="42"/>
  <c r="W23" i="42"/>
  <c r="U23" i="42"/>
  <c r="T23" i="42"/>
  <c r="R23" i="42"/>
  <c r="Q23" i="42"/>
  <c r="O23" i="42"/>
  <c r="N23" i="42"/>
  <c r="L23" i="42"/>
  <c r="K23" i="42"/>
  <c r="I23" i="42"/>
  <c r="H23" i="42"/>
  <c r="F23" i="42"/>
  <c r="E23" i="42"/>
  <c r="BC22" i="42"/>
  <c r="AQ22" i="42"/>
  <c r="AF22" i="42"/>
  <c r="C22" i="42"/>
  <c r="B22" i="42"/>
  <c r="BC21" i="42"/>
  <c r="AQ21" i="42"/>
  <c r="AF21" i="42"/>
  <c r="C21" i="42"/>
  <c r="B21" i="42"/>
  <c r="BC20" i="42"/>
  <c r="AQ20" i="42"/>
  <c r="AF20" i="42"/>
  <c r="C20" i="42"/>
  <c r="B20" i="42"/>
  <c r="BC19" i="42"/>
  <c r="AQ19" i="42"/>
  <c r="AF19" i="42"/>
  <c r="C19" i="42"/>
  <c r="B19" i="42"/>
  <c r="BC18" i="42"/>
  <c r="AQ18" i="42"/>
  <c r="AF18" i="42"/>
  <c r="C18" i="42"/>
  <c r="B18" i="42"/>
  <c r="BC17" i="42"/>
  <c r="AQ17" i="42"/>
  <c r="AF17" i="42"/>
  <c r="C17" i="42"/>
  <c r="B17" i="42"/>
  <c r="BC16" i="42"/>
  <c r="AQ16" i="42"/>
  <c r="AF16" i="42"/>
  <c r="C16" i="42"/>
  <c r="B16" i="42"/>
  <c r="BC15" i="42"/>
  <c r="AQ15" i="42"/>
  <c r="AF15" i="42"/>
  <c r="C15" i="42"/>
  <c r="B15" i="42"/>
  <c r="BC14" i="42"/>
  <c r="AQ14" i="42"/>
  <c r="AF14" i="42"/>
  <c r="C14" i="42"/>
  <c r="B14" i="42"/>
  <c r="BC13" i="42"/>
  <c r="AQ13" i="42"/>
  <c r="AF13" i="42"/>
  <c r="C13" i="42"/>
  <c r="B13" i="42"/>
  <c r="BC12" i="42"/>
  <c r="AQ12" i="42"/>
  <c r="AF12" i="42"/>
  <c r="C12" i="42"/>
  <c r="B12" i="42"/>
  <c r="BC11" i="42"/>
  <c r="AQ11" i="42"/>
  <c r="AF11" i="42"/>
  <c r="C11" i="42"/>
  <c r="B11" i="42"/>
  <c r="BC10" i="42"/>
  <c r="AQ10" i="42"/>
  <c r="AF10" i="42"/>
  <c r="C10" i="42"/>
  <c r="B10" i="42"/>
  <c r="BC9" i="42"/>
  <c r="AQ9" i="42"/>
  <c r="AF9" i="42"/>
  <c r="C9" i="42"/>
  <c r="B9" i="42"/>
  <c r="BQ8" i="42"/>
  <c r="BL8" i="42"/>
  <c r="BJ8" i="42"/>
  <c r="BH8" i="42"/>
  <c r="BF8" i="42"/>
  <c r="BC8" i="42"/>
  <c r="BB8" i="42"/>
  <c r="AZ8" i="42"/>
  <c r="AX8" i="42"/>
  <c r="AV8" i="42"/>
  <c r="AT8" i="42"/>
  <c r="AQ8" i="42"/>
  <c r="AO8" i="42"/>
  <c r="AM8" i="42"/>
  <c r="AK8" i="42"/>
  <c r="AI8" i="42"/>
  <c r="AF8" i="42"/>
  <c r="AE8" i="42"/>
  <c r="AB8" i="42"/>
  <c r="Y8" i="42"/>
  <c r="V8" i="42"/>
  <c r="S8" i="42"/>
  <c r="P8" i="42"/>
  <c r="M8" i="42"/>
  <c r="J8" i="42"/>
  <c r="G8" i="42"/>
  <c r="C8" i="42"/>
  <c r="B8" i="42"/>
  <c r="BP23" i="41"/>
  <c r="BO23" i="41"/>
  <c r="BM23" i="41"/>
  <c r="BK23" i="41"/>
  <c r="BI23" i="41"/>
  <c r="BG23" i="41"/>
  <c r="BE23" i="41"/>
  <c r="BA23" i="41"/>
  <c r="AY23" i="41"/>
  <c r="AW23" i="41"/>
  <c r="AU23" i="41"/>
  <c r="AS23" i="41"/>
  <c r="AN23" i="41"/>
  <c r="AL23" i="41"/>
  <c r="AJ23" i="41"/>
  <c r="AH23" i="41"/>
  <c r="AD23" i="41"/>
  <c r="AC23" i="41"/>
  <c r="AA23" i="41"/>
  <c r="Z23" i="41"/>
  <c r="X23" i="41"/>
  <c r="W23" i="41"/>
  <c r="U23" i="41"/>
  <c r="T23" i="41"/>
  <c r="R23" i="41"/>
  <c r="Q23" i="41"/>
  <c r="O23" i="41"/>
  <c r="N23" i="41"/>
  <c r="L23" i="41"/>
  <c r="K23" i="41"/>
  <c r="I23" i="41"/>
  <c r="H23" i="41"/>
  <c r="F23" i="41"/>
  <c r="E23" i="41"/>
  <c r="BC22" i="41"/>
  <c r="AQ22" i="41"/>
  <c r="AF22" i="41"/>
  <c r="C22" i="41"/>
  <c r="B22" i="41"/>
  <c r="BC21" i="41"/>
  <c r="AQ21" i="41"/>
  <c r="AF21" i="41"/>
  <c r="C21" i="41"/>
  <c r="B21" i="41"/>
  <c r="BC20" i="41"/>
  <c r="AQ20" i="41"/>
  <c r="AF20" i="41"/>
  <c r="C20" i="41"/>
  <c r="B20" i="41"/>
  <c r="BC19" i="41"/>
  <c r="AQ19" i="41"/>
  <c r="AF19" i="41"/>
  <c r="C19" i="41"/>
  <c r="B19" i="41"/>
  <c r="BC18" i="41"/>
  <c r="AQ18" i="41"/>
  <c r="AF18" i="41"/>
  <c r="C18" i="41"/>
  <c r="B18" i="41"/>
  <c r="BC17" i="41"/>
  <c r="AQ17" i="41"/>
  <c r="AF17" i="41"/>
  <c r="C17" i="41"/>
  <c r="B17" i="41"/>
  <c r="BC16" i="41"/>
  <c r="AQ16" i="41"/>
  <c r="AF16" i="41"/>
  <c r="C16" i="41"/>
  <c r="B16" i="41"/>
  <c r="BC15" i="41"/>
  <c r="AQ15" i="41"/>
  <c r="AF15" i="41"/>
  <c r="C15" i="41"/>
  <c r="B15" i="41"/>
  <c r="BC14" i="41"/>
  <c r="AQ14" i="41"/>
  <c r="AF14" i="41"/>
  <c r="C14" i="41"/>
  <c r="B14" i="41"/>
  <c r="BC13" i="41"/>
  <c r="AQ13" i="41"/>
  <c r="AF13" i="41"/>
  <c r="C13" i="41"/>
  <c r="B13" i="41"/>
  <c r="BC12" i="41"/>
  <c r="AQ12" i="41"/>
  <c r="AF12" i="41"/>
  <c r="C12" i="41"/>
  <c r="B12" i="41"/>
  <c r="BC11" i="41"/>
  <c r="AQ11" i="41"/>
  <c r="AF11" i="41"/>
  <c r="C11" i="41"/>
  <c r="B11" i="41"/>
  <c r="BC10" i="41"/>
  <c r="AQ10" i="41"/>
  <c r="AF10" i="41"/>
  <c r="C10" i="41"/>
  <c r="B10" i="41"/>
  <c r="BC9" i="41"/>
  <c r="AQ9" i="41"/>
  <c r="AF9" i="41"/>
  <c r="C9" i="41"/>
  <c r="B9" i="41"/>
  <c r="BQ8" i="41"/>
  <c r="BL8" i="41"/>
  <c r="BJ8" i="41"/>
  <c r="BH8" i="41"/>
  <c r="BF8" i="41"/>
  <c r="BC8" i="41"/>
  <c r="BB8" i="41"/>
  <c r="AZ8" i="41"/>
  <c r="AX8" i="41"/>
  <c r="AV8" i="41"/>
  <c r="AT8" i="41"/>
  <c r="AQ8" i="41"/>
  <c r="AO8" i="41"/>
  <c r="AM8" i="41"/>
  <c r="AK8" i="41"/>
  <c r="AI8" i="41"/>
  <c r="AF8" i="41"/>
  <c r="AE8" i="41"/>
  <c r="AB8" i="41"/>
  <c r="Y8" i="41"/>
  <c r="V8" i="41"/>
  <c r="S8" i="41"/>
  <c r="P8" i="41"/>
  <c r="M8" i="41"/>
  <c r="J8" i="41"/>
  <c r="G8" i="41"/>
  <c r="C8" i="41"/>
  <c r="B8" i="41"/>
  <c r="BP23" i="39"/>
  <c r="BO23" i="39"/>
  <c r="BM23" i="39"/>
  <c r="BK23" i="39"/>
  <c r="BI23" i="39"/>
  <c r="BG23" i="39"/>
  <c r="BE23" i="39"/>
  <c r="BA23" i="39"/>
  <c r="AY23" i="39"/>
  <c r="AW23" i="39"/>
  <c r="AU23" i="39"/>
  <c r="AS23" i="39"/>
  <c r="AN23" i="39"/>
  <c r="AL23" i="39"/>
  <c r="AJ23" i="39"/>
  <c r="AH23" i="39"/>
  <c r="AD23" i="39"/>
  <c r="AC23" i="39"/>
  <c r="AA23" i="39"/>
  <c r="Z23" i="39"/>
  <c r="X23" i="39"/>
  <c r="W23" i="39"/>
  <c r="U23" i="39"/>
  <c r="T23" i="39"/>
  <c r="R23" i="39"/>
  <c r="Q23" i="39"/>
  <c r="O23" i="39"/>
  <c r="N23" i="39"/>
  <c r="L23" i="39"/>
  <c r="K23" i="39"/>
  <c r="I23" i="39"/>
  <c r="H23" i="39"/>
  <c r="F23" i="39"/>
  <c r="E23" i="39"/>
  <c r="BC22" i="39"/>
  <c r="AQ22" i="39"/>
  <c r="AF22" i="39"/>
  <c r="C22" i="39"/>
  <c r="B22" i="39"/>
  <c r="BC21" i="39"/>
  <c r="AQ21" i="39"/>
  <c r="AF21" i="39"/>
  <c r="C21" i="39"/>
  <c r="B21" i="39"/>
  <c r="BC20" i="39"/>
  <c r="AQ20" i="39"/>
  <c r="AF20" i="39"/>
  <c r="C20" i="39"/>
  <c r="B20" i="39"/>
  <c r="BC19" i="39"/>
  <c r="AQ19" i="39"/>
  <c r="AF19" i="39"/>
  <c r="C19" i="39"/>
  <c r="B19" i="39"/>
  <c r="BC18" i="39"/>
  <c r="AQ18" i="39"/>
  <c r="AF18" i="39"/>
  <c r="C18" i="39"/>
  <c r="B18" i="39"/>
  <c r="BC17" i="39"/>
  <c r="AQ17" i="39"/>
  <c r="AF17" i="39"/>
  <c r="C17" i="39"/>
  <c r="B17" i="39"/>
  <c r="BC16" i="39"/>
  <c r="AQ16" i="39"/>
  <c r="AF16" i="39"/>
  <c r="C16" i="39"/>
  <c r="B16" i="39"/>
  <c r="BC15" i="39"/>
  <c r="AQ15" i="39"/>
  <c r="AF15" i="39"/>
  <c r="C15" i="39"/>
  <c r="B15" i="39"/>
  <c r="BC14" i="39"/>
  <c r="AQ14" i="39"/>
  <c r="AF14" i="39"/>
  <c r="C14" i="39"/>
  <c r="B14" i="39"/>
  <c r="BC13" i="39"/>
  <c r="AQ13" i="39"/>
  <c r="AF13" i="39"/>
  <c r="C13" i="39"/>
  <c r="B13" i="39"/>
  <c r="BC12" i="39"/>
  <c r="AQ12" i="39"/>
  <c r="AF12" i="39"/>
  <c r="C12" i="39"/>
  <c r="B12" i="39"/>
  <c r="BC11" i="39"/>
  <c r="AQ11" i="39"/>
  <c r="AF11" i="39"/>
  <c r="C11" i="39"/>
  <c r="B11" i="39"/>
  <c r="BC10" i="39"/>
  <c r="AQ10" i="39"/>
  <c r="AF10" i="39"/>
  <c r="C10" i="39"/>
  <c r="B10" i="39"/>
  <c r="BC9" i="39"/>
  <c r="AQ9" i="39"/>
  <c r="AF9" i="39"/>
  <c r="C9" i="39"/>
  <c r="B9" i="39"/>
  <c r="BQ8" i="39"/>
  <c r="BL8" i="39"/>
  <c r="BJ8" i="39"/>
  <c r="BH8" i="39"/>
  <c r="BF8" i="39"/>
  <c r="BC8" i="39"/>
  <c r="BB8" i="39"/>
  <c r="AZ8" i="39"/>
  <c r="AX8" i="39"/>
  <c r="AV8" i="39"/>
  <c r="AT8" i="39"/>
  <c r="AQ8" i="39"/>
  <c r="AO8" i="39"/>
  <c r="AM8" i="39"/>
  <c r="AK8" i="39"/>
  <c r="AI8" i="39"/>
  <c r="AF8" i="39"/>
  <c r="AE8" i="39"/>
  <c r="AB8" i="39"/>
  <c r="Y8" i="39"/>
  <c r="V8" i="39"/>
  <c r="S8" i="39"/>
  <c r="P8" i="39"/>
  <c r="M8" i="39"/>
  <c r="J8" i="39"/>
  <c r="G8" i="39"/>
  <c r="C8" i="39"/>
  <c r="B8" i="39"/>
  <c r="BP23" i="38"/>
  <c r="BO23" i="38"/>
  <c r="BM23" i="38"/>
  <c r="BK23" i="38"/>
  <c r="BI23" i="38"/>
  <c r="BG23" i="38"/>
  <c r="BE23" i="38"/>
  <c r="BA23" i="38"/>
  <c r="AY23" i="38"/>
  <c r="AW23" i="38"/>
  <c r="AU23" i="38"/>
  <c r="AS23" i="38"/>
  <c r="AN23" i="38"/>
  <c r="AL23" i="38"/>
  <c r="AJ23" i="38"/>
  <c r="AH23" i="38"/>
  <c r="AD23" i="38"/>
  <c r="AC23" i="38"/>
  <c r="AA23" i="38"/>
  <c r="Z23" i="38"/>
  <c r="X23" i="38"/>
  <c r="W23" i="38"/>
  <c r="U23" i="38"/>
  <c r="T23" i="38"/>
  <c r="R23" i="38"/>
  <c r="Q23" i="38"/>
  <c r="O23" i="38"/>
  <c r="N23" i="38"/>
  <c r="L23" i="38"/>
  <c r="K23" i="38"/>
  <c r="I23" i="38"/>
  <c r="H23" i="38"/>
  <c r="F23" i="38"/>
  <c r="E23" i="38"/>
  <c r="BC22" i="38"/>
  <c r="AQ22" i="38"/>
  <c r="AF22" i="38"/>
  <c r="C22" i="38"/>
  <c r="B22" i="38"/>
  <c r="BC21" i="38"/>
  <c r="AQ21" i="38"/>
  <c r="AF21" i="38"/>
  <c r="C21" i="38"/>
  <c r="B21" i="38"/>
  <c r="BC20" i="38"/>
  <c r="AQ20" i="38"/>
  <c r="AF20" i="38"/>
  <c r="C20" i="38"/>
  <c r="B20" i="38"/>
  <c r="BC19" i="38"/>
  <c r="AQ19" i="38"/>
  <c r="AF19" i="38"/>
  <c r="C19" i="38"/>
  <c r="B19" i="38"/>
  <c r="BC18" i="38"/>
  <c r="AQ18" i="38"/>
  <c r="AF18" i="38"/>
  <c r="C18" i="38"/>
  <c r="B18" i="38"/>
  <c r="BC17" i="38"/>
  <c r="AQ17" i="38"/>
  <c r="AF17" i="38"/>
  <c r="C17" i="38"/>
  <c r="B17" i="38"/>
  <c r="BC16" i="38"/>
  <c r="AQ16" i="38"/>
  <c r="AF16" i="38"/>
  <c r="C16" i="38"/>
  <c r="B16" i="38"/>
  <c r="BC15" i="38"/>
  <c r="AQ15" i="38"/>
  <c r="AF15" i="38"/>
  <c r="C15" i="38"/>
  <c r="B15" i="38"/>
  <c r="BC14" i="38"/>
  <c r="AQ14" i="38"/>
  <c r="AF14" i="38"/>
  <c r="C14" i="38"/>
  <c r="B14" i="38"/>
  <c r="BC13" i="38"/>
  <c r="AQ13" i="38"/>
  <c r="AF13" i="38"/>
  <c r="C13" i="38"/>
  <c r="B13" i="38"/>
  <c r="BC12" i="38"/>
  <c r="AQ12" i="38"/>
  <c r="AF12" i="38"/>
  <c r="C12" i="38"/>
  <c r="B12" i="38"/>
  <c r="BC11" i="38"/>
  <c r="AQ11" i="38"/>
  <c r="AF11" i="38"/>
  <c r="C11" i="38"/>
  <c r="B11" i="38"/>
  <c r="BC10" i="38"/>
  <c r="AQ10" i="38"/>
  <c r="AF10" i="38"/>
  <c r="C10" i="38"/>
  <c r="B10" i="38"/>
  <c r="BC9" i="38"/>
  <c r="AQ9" i="38"/>
  <c r="AF9" i="38"/>
  <c r="C9" i="38"/>
  <c r="B9" i="38"/>
  <c r="BQ8" i="38"/>
  <c r="BL8" i="38"/>
  <c r="BJ8" i="38"/>
  <c r="BH8" i="38"/>
  <c r="BF8" i="38"/>
  <c r="BC8" i="38"/>
  <c r="BB8" i="38"/>
  <c r="AZ8" i="38"/>
  <c r="AX8" i="38"/>
  <c r="AV8" i="38"/>
  <c r="AT8" i="38"/>
  <c r="AQ8" i="38"/>
  <c r="AO8" i="38"/>
  <c r="AM8" i="38"/>
  <c r="AK8" i="38"/>
  <c r="AI8" i="38"/>
  <c r="AF8" i="38"/>
  <c r="AE8" i="38"/>
  <c r="AB8" i="38"/>
  <c r="Y8" i="38"/>
  <c r="V8" i="38"/>
  <c r="S8" i="38"/>
  <c r="P8" i="38"/>
  <c r="M8" i="38"/>
  <c r="J8" i="38"/>
  <c r="G8" i="38"/>
  <c r="C8" i="38"/>
  <c r="B8" i="38"/>
  <c r="BP23" i="37"/>
  <c r="BO23" i="37"/>
  <c r="BM23" i="37"/>
  <c r="BK23" i="37"/>
  <c r="BI23" i="37"/>
  <c r="BG23" i="37"/>
  <c r="BE23" i="37"/>
  <c r="BA23" i="37"/>
  <c r="AY23" i="37"/>
  <c r="AW23" i="37"/>
  <c r="AU23" i="37"/>
  <c r="AS23" i="37"/>
  <c r="AN23" i="37"/>
  <c r="AL23" i="37"/>
  <c r="AJ23" i="37"/>
  <c r="AH23" i="37"/>
  <c r="AD23" i="37"/>
  <c r="AC23" i="37"/>
  <c r="AA23" i="37"/>
  <c r="Z23" i="37"/>
  <c r="X23" i="37"/>
  <c r="W23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BC22" i="37"/>
  <c r="AQ22" i="37"/>
  <c r="AF22" i="37"/>
  <c r="C22" i="37"/>
  <c r="B22" i="37"/>
  <c r="BC21" i="37"/>
  <c r="AQ21" i="37"/>
  <c r="AF21" i="37"/>
  <c r="C21" i="37"/>
  <c r="B21" i="37"/>
  <c r="BC20" i="37"/>
  <c r="AQ20" i="37"/>
  <c r="AF20" i="37"/>
  <c r="C20" i="37"/>
  <c r="B20" i="37"/>
  <c r="BC19" i="37"/>
  <c r="AQ19" i="37"/>
  <c r="AF19" i="37"/>
  <c r="C19" i="37"/>
  <c r="B19" i="37"/>
  <c r="BC18" i="37"/>
  <c r="AV18" i="37"/>
  <c r="AV18" i="38" s="1"/>
  <c r="AV18" i="39" s="1"/>
  <c r="AV18" i="41" s="1"/>
  <c r="AV18" i="42" s="1"/>
  <c r="AQ18" i="37"/>
  <c r="AF18" i="37"/>
  <c r="C18" i="37"/>
  <c r="B18" i="37"/>
  <c r="BC17" i="37"/>
  <c r="AQ17" i="37"/>
  <c r="AF17" i="37"/>
  <c r="C17" i="37"/>
  <c r="B17" i="37"/>
  <c r="BC16" i="37"/>
  <c r="AQ16" i="37"/>
  <c r="AF16" i="37"/>
  <c r="C16" i="37"/>
  <c r="B16" i="37"/>
  <c r="BC15" i="37"/>
  <c r="AQ15" i="37"/>
  <c r="AK15" i="37"/>
  <c r="AK15" i="38" s="1"/>
  <c r="AK15" i="39" s="1"/>
  <c r="AK15" i="41" s="1"/>
  <c r="AK15" i="42" s="1"/>
  <c r="AF15" i="37"/>
  <c r="C15" i="37"/>
  <c r="B15" i="37"/>
  <c r="BC14" i="37"/>
  <c r="AV14" i="37"/>
  <c r="AV14" i="38" s="1"/>
  <c r="AV14" i="39" s="1"/>
  <c r="AV14" i="41" s="1"/>
  <c r="AV14" i="42" s="1"/>
  <c r="AQ14" i="37"/>
  <c r="AF14" i="37"/>
  <c r="C14" i="37"/>
  <c r="B14" i="37"/>
  <c r="BC13" i="37"/>
  <c r="AQ13" i="37"/>
  <c r="AF13" i="37"/>
  <c r="C13" i="37"/>
  <c r="B13" i="37"/>
  <c r="BC12" i="37"/>
  <c r="AQ12" i="37"/>
  <c r="AF12" i="37"/>
  <c r="C12" i="37"/>
  <c r="B12" i="37"/>
  <c r="BC11" i="37"/>
  <c r="AX11" i="37"/>
  <c r="AX11" i="38" s="1"/>
  <c r="AX11" i="39" s="1"/>
  <c r="AX11" i="41" s="1"/>
  <c r="AX11" i="42" s="1"/>
  <c r="AQ11" i="37"/>
  <c r="AF11" i="37"/>
  <c r="C11" i="37"/>
  <c r="B11" i="37"/>
  <c r="BC10" i="37"/>
  <c r="AQ10" i="37"/>
  <c r="AF10" i="37"/>
  <c r="C10" i="37"/>
  <c r="B10" i="37"/>
  <c r="BC9" i="37"/>
  <c r="AQ9" i="37"/>
  <c r="AF9" i="37"/>
  <c r="C9" i="37"/>
  <c r="B9" i="37"/>
  <c r="BQ8" i="37"/>
  <c r="BL8" i="37"/>
  <c r="BJ8" i="37"/>
  <c r="BH8" i="37"/>
  <c r="BF8" i="37"/>
  <c r="BC8" i="37"/>
  <c r="BB8" i="37"/>
  <c r="AZ8" i="37"/>
  <c r="AX8" i="37"/>
  <c r="AV8" i="37"/>
  <c r="AT8" i="37"/>
  <c r="AQ8" i="37"/>
  <c r="AO8" i="37"/>
  <c r="AM8" i="37"/>
  <c r="AK8" i="37"/>
  <c r="AI8" i="37"/>
  <c r="AF8" i="37"/>
  <c r="AE8" i="37"/>
  <c r="AB8" i="37"/>
  <c r="Y8" i="37"/>
  <c r="V8" i="37"/>
  <c r="S8" i="37"/>
  <c r="P8" i="37"/>
  <c r="M8" i="37"/>
  <c r="J8" i="37"/>
  <c r="G8" i="37"/>
  <c r="C8" i="37"/>
  <c r="B8" i="37"/>
  <c r="BP23" i="114"/>
  <c r="BO23" i="114"/>
  <c r="BM23" i="114"/>
  <c r="BK23" i="114"/>
  <c r="BI23" i="114"/>
  <c r="BG23" i="114"/>
  <c r="BE23" i="114"/>
  <c r="BA23" i="114"/>
  <c r="AY23" i="114"/>
  <c r="AW23" i="114"/>
  <c r="AU23" i="114"/>
  <c r="AS23" i="114"/>
  <c r="AN23" i="114"/>
  <c r="AL23" i="114"/>
  <c r="AJ23" i="114"/>
  <c r="AH23" i="114"/>
  <c r="AD23" i="114"/>
  <c r="AC23" i="114"/>
  <c r="AA23" i="114"/>
  <c r="Z23" i="114"/>
  <c r="X23" i="114"/>
  <c r="W23" i="114"/>
  <c r="U23" i="114"/>
  <c r="T23" i="114"/>
  <c r="R23" i="114"/>
  <c r="Q23" i="114"/>
  <c r="O23" i="114"/>
  <c r="N23" i="114"/>
  <c r="L23" i="114"/>
  <c r="K23" i="114"/>
  <c r="I23" i="114"/>
  <c r="H23" i="114"/>
  <c r="F23" i="114"/>
  <c r="E23" i="114"/>
  <c r="BC22" i="114"/>
  <c r="AQ22" i="114"/>
  <c r="AF22" i="114"/>
  <c r="C22" i="114"/>
  <c r="B22" i="114"/>
  <c r="BC21" i="114"/>
  <c r="AQ21" i="114"/>
  <c r="AF21" i="114"/>
  <c r="C21" i="114"/>
  <c r="B21" i="114"/>
  <c r="BC20" i="114"/>
  <c r="AQ20" i="114"/>
  <c r="AF20" i="114"/>
  <c r="C20" i="114"/>
  <c r="B20" i="114"/>
  <c r="BC19" i="114"/>
  <c r="AQ19" i="114"/>
  <c r="AF19" i="114"/>
  <c r="C19" i="114"/>
  <c r="B19" i="114"/>
  <c r="BC18" i="114"/>
  <c r="AQ18" i="114"/>
  <c r="AF18" i="114"/>
  <c r="C18" i="114"/>
  <c r="B18" i="114"/>
  <c r="BC17" i="114"/>
  <c r="AQ17" i="114"/>
  <c r="AF17" i="114"/>
  <c r="C17" i="114"/>
  <c r="B17" i="114"/>
  <c r="BC16" i="114"/>
  <c r="AQ16" i="114"/>
  <c r="AF16" i="114"/>
  <c r="C16" i="114"/>
  <c r="B16" i="114"/>
  <c r="BC15" i="114"/>
  <c r="AQ15" i="114"/>
  <c r="AF15" i="114"/>
  <c r="C15" i="114"/>
  <c r="B15" i="114"/>
  <c r="BC14" i="114"/>
  <c r="AQ14" i="114"/>
  <c r="AF14" i="114"/>
  <c r="C14" i="114"/>
  <c r="B14" i="114"/>
  <c r="BC13" i="114"/>
  <c r="AQ13" i="114"/>
  <c r="AF13" i="114"/>
  <c r="C13" i="114"/>
  <c r="B13" i="114"/>
  <c r="BC12" i="114"/>
  <c r="AQ12" i="114"/>
  <c r="AF12" i="114"/>
  <c r="C12" i="114"/>
  <c r="B12" i="114"/>
  <c r="BC11" i="114"/>
  <c r="AQ11" i="114"/>
  <c r="AF11" i="114"/>
  <c r="C11" i="114"/>
  <c r="B11" i="114"/>
  <c r="BC10" i="114"/>
  <c r="AQ10" i="114"/>
  <c r="AF10" i="114"/>
  <c r="C10" i="114"/>
  <c r="B10" i="114"/>
  <c r="BC9" i="114"/>
  <c r="AQ9" i="114"/>
  <c r="AF9" i="114"/>
  <c r="C9" i="114"/>
  <c r="B9" i="114"/>
  <c r="BQ8" i="114"/>
  <c r="BL8" i="114"/>
  <c r="BJ8" i="114"/>
  <c r="BH8" i="114"/>
  <c r="BF8" i="114"/>
  <c r="BC8" i="114"/>
  <c r="BB8" i="114"/>
  <c r="AZ8" i="114"/>
  <c r="AX8" i="114"/>
  <c r="AV8" i="114"/>
  <c r="AT8" i="114"/>
  <c r="AQ8" i="114"/>
  <c r="AO8" i="114"/>
  <c r="AM8" i="114"/>
  <c r="AK8" i="114"/>
  <c r="AI8" i="114"/>
  <c r="AF8" i="114"/>
  <c r="AE8" i="114"/>
  <c r="AB8" i="114"/>
  <c r="Y8" i="114"/>
  <c r="V8" i="114"/>
  <c r="S8" i="114"/>
  <c r="P8" i="114"/>
  <c r="M8" i="114"/>
  <c r="J8" i="114"/>
  <c r="G8" i="114"/>
  <c r="C8" i="114"/>
  <c r="B8" i="114"/>
  <c r="BP23" i="112"/>
  <c r="BO23" i="112"/>
  <c r="BM23" i="112"/>
  <c r="BK23" i="112"/>
  <c r="BI23" i="112"/>
  <c r="BG23" i="112"/>
  <c r="BE23" i="112"/>
  <c r="BA23" i="112"/>
  <c r="AY23" i="112"/>
  <c r="AW23" i="112"/>
  <c r="AU23" i="112"/>
  <c r="AS23" i="112"/>
  <c r="AN23" i="112"/>
  <c r="AL23" i="112"/>
  <c r="AJ23" i="112"/>
  <c r="AH23" i="112"/>
  <c r="AD23" i="112"/>
  <c r="AC23" i="112"/>
  <c r="AA23" i="112"/>
  <c r="Z23" i="112"/>
  <c r="X23" i="112"/>
  <c r="W23" i="112"/>
  <c r="U23" i="112"/>
  <c r="T23" i="112"/>
  <c r="R23" i="112"/>
  <c r="Q23" i="112"/>
  <c r="O23" i="112"/>
  <c r="N23" i="112"/>
  <c r="L23" i="112"/>
  <c r="K23" i="112"/>
  <c r="I23" i="112"/>
  <c r="H23" i="112"/>
  <c r="F23" i="112"/>
  <c r="E23" i="112"/>
  <c r="BC22" i="112"/>
  <c r="AQ22" i="112"/>
  <c r="AF22" i="112"/>
  <c r="C22" i="112"/>
  <c r="B22" i="112"/>
  <c r="BC21" i="112"/>
  <c r="AQ21" i="112"/>
  <c r="AF21" i="112"/>
  <c r="C21" i="112"/>
  <c r="B21" i="112"/>
  <c r="BC20" i="112"/>
  <c r="AQ20" i="112"/>
  <c r="AF20" i="112"/>
  <c r="C20" i="112"/>
  <c r="B20" i="112"/>
  <c r="BC19" i="112"/>
  <c r="AQ19" i="112"/>
  <c r="AF19" i="112"/>
  <c r="C19" i="112"/>
  <c r="B19" i="112"/>
  <c r="BC18" i="112"/>
  <c r="AQ18" i="112"/>
  <c r="AF18" i="112"/>
  <c r="C18" i="112"/>
  <c r="B18" i="112"/>
  <c r="BC17" i="112"/>
  <c r="AQ17" i="112"/>
  <c r="AF17" i="112"/>
  <c r="C17" i="112"/>
  <c r="B17" i="112"/>
  <c r="BC16" i="112"/>
  <c r="AQ16" i="112"/>
  <c r="AF16" i="112"/>
  <c r="C16" i="112"/>
  <c r="B16" i="112"/>
  <c r="BC15" i="112"/>
  <c r="AQ15" i="112"/>
  <c r="AF15" i="112"/>
  <c r="C15" i="112"/>
  <c r="B15" i="112"/>
  <c r="BC14" i="112"/>
  <c r="AQ14" i="112"/>
  <c r="AF14" i="112"/>
  <c r="C14" i="112"/>
  <c r="B14" i="112"/>
  <c r="BC13" i="112"/>
  <c r="AQ13" i="112"/>
  <c r="AF13" i="112"/>
  <c r="C13" i="112"/>
  <c r="B13" i="112"/>
  <c r="BC12" i="112"/>
  <c r="AQ12" i="112"/>
  <c r="AF12" i="112"/>
  <c r="C12" i="112"/>
  <c r="B12" i="112"/>
  <c r="BC11" i="112"/>
  <c r="AQ11" i="112"/>
  <c r="AF11" i="112"/>
  <c r="C11" i="112"/>
  <c r="B11" i="112"/>
  <c r="BC10" i="112"/>
  <c r="AQ10" i="112"/>
  <c r="AF10" i="112"/>
  <c r="C10" i="112"/>
  <c r="B10" i="112"/>
  <c r="BC9" i="112"/>
  <c r="AQ9" i="112"/>
  <c r="AF9" i="112"/>
  <c r="C9" i="112"/>
  <c r="B9" i="112"/>
  <c r="BQ8" i="112"/>
  <c r="BL8" i="112"/>
  <c r="BJ8" i="112"/>
  <c r="BH8" i="112"/>
  <c r="BF8" i="112"/>
  <c r="BC8" i="112"/>
  <c r="BB8" i="112"/>
  <c r="AZ8" i="112"/>
  <c r="AX8" i="112"/>
  <c r="AV8" i="112"/>
  <c r="AT8" i="112"/>
  <c r="AQ8" i="112"/>
  <c r="AO8" i="112"/>
  <c r="AM8" i="112"/>
  <c r="AK8" i="112"/>
  <c r="AI8" i="112"/>
  <c r="AF8" i="112"/>
  <c r="AE8" i="112"/>
  <c r="AB8" i="112"/>
  <c r="Y8" i="112"/>
  <c r="V8" i="112"/>
  <c r="S8" i="112"/>
  <c r="P8" i="112"/>
  <c r="M8" i="112"/>
  <c r="J8" i="112"/>
  <c r="G8" i="112"/>
  <c r="C8" i="112"/>
  <c r="B8" i="112"/>
  <c r="BP23" i="111"/>
  <c r="BO23" i="111"/>
  <c r="BM23" i="111"/>
  <c r="BK23" i="111"/>
  <c r="BI23" i="111"/>
  <c r="BG23" i="111"/>
  <c r="BE23" i="111"/>
  <c r="BA23" i="111"/>
  <c r="AY23" i="111"/>
  <c r="AW23" i="111"/>
  <c r="AU23" i="111"/>
  <c r="AS23" i="111"/>
  <c r="AN23" i="111"/>
  <c r="AL23" i="111"/>
  <c r="AJ23" i="111"/>
  <c r="AH23" i="111"/>
  <c r="AD23" i="111"/>
  <c r="AC23" i="111"/>
  <c r="AA23" i="111"/>
  <c r="Z23" i="111"/>
  <c r="X23" i="111"/>
  <c r="W23" i="111"/>
  <c r="U23" i="111"/>
  <c r="T23" i="111"/>
  <c r="R23" i="111"/>
  <c r="Q23" i="111"/>
  <c r="O23" i="111"/>
  <c r="N23" i="111"/>
  <c r="L23" i="111"/>
  <c r="K23" i="111"/>
  <c r="I23" i="111"/>
  <c r="H23" i="111"/>
  <c r="F23" i="111"/>
  <c r="E23" i="111"/>
  <c r="BC22" i="111"/>
  <c r="AQ22" i="111"/>
  <c r="AF22" i="111"/>
  <c r="C22" i="111"/>
  <c r="B22" i="111"/>
  <c r="BC21" i="111"/>
  <c r="AQ21" i="111"/>
  <c r="AF21" i="111"/>
  <c r="C21" i="111"/>
  <c r="B21" i="111"/>
  <c r="BC20" i="111"/>
  <c r="AQ20" i="111"/>
  <c r="AF20" i="111"/>
  <c r="C20" i="111"/>
  <c r="B20" i="111"/>
  <c r="BC19" i="111"/>
  <c r="AQ19" i="111"/>
  <c r="AF19" i="111"/>
  <c r="C19" i="111"/>
  <c r="B19" i="111"/>
  <c r="BC18" i="111"/>
  <c r="AQ18" i="111"/>
  <c r="AF18" i="111"/>
  <c r="C18" i="111"/>
  <c r="B18" i="111"/>
  <c r="BC17" i="111"/>
  <c r="AQ17" i="111"/>
  <c r="AF17" i="111"/>
  <c r="C17" i="111"/>
  <c r="B17" i="111"/>
  <c r="BC16" i="111"/>
  <c r="AQ16" i="111"/>
  <c r="AF16" i="111"/>
  <c r="C16" i="111"/>
  <c r="B16" i="111"/>
  <c r="BC15" i="111"/>
  <c r="AQ15" i="111"/>
  <c r="AF15" i="111"/>
  <c r="C15" i="111"/>
  <c r="B15" i="111"/>
  <c r="BC14" i="111"/>
  <c r="AQ14" i="111"/>
  <c r="AF14" i="111"/>
  <c r="C14" i="111"/>
  <c r="B14" i="111"/>
  <c r="BC13" i="111"/>
  <c r="AQ13" i="111"/>
  <c r="AF13" i="111"/>
  <c r="C13" i="111"/>
  <c r="B13" i="111"/>
  <c r="BC12" i="111"/>
  <c r="AQ12" i="111"/>
  <c r="AF12" i="111"/>
  <c r="C12" i="111"/>
  <c r="B12" i="111"/>
  <c r="BC11" i="111"/>
  <c r="AQ11" i="111"/>
  <c r="AF11" i="111"/>
  <c r="C11" i="111"/>
  <c r="B11" i="111"/>
  <c r="BC10" i="111"/>
  <c r="AQ10" i="111"/>
  <c r="AF10" i="111"/>
  <c r="C10" i="111"/>
  <c r="B10" i="111"/>
  <c r="BC9" i="111"/>
  <c r="AQ9" i="111"/>
  <c r="AF9" i="111"/>
  <c r="C9" i="111"/>
  <c r="B9" i="111"/>
  <c r="BQ8" i="111"/>
  <c r="BL8" i="111"/>
  <c r="BJ8" i="111"/>
  <c r="BH8" i="111"/>
  <c r="BF8" i="111"/>
  <c r="BC8" i="111"/>
  <c r="BB8" i="111"/>
  <c r="AZ8" i="111"/>
  <c r="AX8" i="111"/>
  <c r="AV8" i="111"/>
  <c r="AT8" i="111"/>
  <c r="AQ8" i="111"/>
  <c r="AO8" i="111"/>
  <c r="AM8" i="111"/>
  <c r="AK8" i="111"/>
  <c r="AI8" i="111"/>
  <c r="AF8" i="111"/>
  <c r="AE8" i="111"/>
  <c r="AB8" i="111"/>
  <c r="Y8" i="111"/>
  <c r="V8" i="111"/>
  <c r="S8" i="111"/>
  <c r="P8" i="111"/>
  <c r="M8" i="111"/>
  <c r="J8" i="111"/>
  <c r="G8" i="111"/>
  <c r="C8" i="111"/>
  <c r="B8" i="111"/>
  <c r="BP23" i="109"/>
  <c r="BO23" i="109"/>
  <c r="BM23" i="109"/>
  <c r="BK23" i="109"/>
  <c r="BI23" i="109"/>
  <c r="BG23" i="109"/>
  <c r="BE23" i="109"/>
  <c r="BA23" i="109"/>
  <c r="AY23" i="109"/>
  <c r="AW23" i="109"/>
  <c r="AU23" i="109"/>
  <c r="AS23" i="109"/>
  <c r="AN23" i="109"/>
  <c r="AL23" i="109"/>
  <c r="AJ23" i="109"/>
  <c r="AH23" i="109"/>
  <c r="AD23" i="109"/>
  <c r="AC23" i="109"/>
  <c r="AA23" i="109"/>
  <c r="Z23" i="109"/>
  <c r="X23" i="109"/>
  <c r="W23" i="109"/>
  <c r="U23" i="109"/>
  <c r="T23" i="109"/>
  <c r="R23" i="109"/>
  <c r="Q23" i="109"/>
  <c r="O23" i="109"/>
  <c r="N23" i="109"/>
  <c r="L23" i="109"/>
  <c r="K23" i="109"/>
  <c r="I23" i="109"/>
  <c r="H23" i="109"/>
  <c r="F23" i="109"/>
  <c r="E23" i="109"/>
  <c r="BC22" i="109"/>
  <c r="AQ22" i="109"/>
  <c r="AF22" i="109"/>
  <c r="C22" i="109"/>
  <c r="B22" i="109"/>
  <c r="BC21" i="109"/>
  <c r="AQ21" i="109"/>
  <c r="AF21" i="109"/>
  <c r="C21" i="109"/>
  <c r="B21" i="109"/>
  <c r="BC20" i="109"/>
  <c r="AQ20" i="109"/>
  <c r="AF20" i="109"/>
  <c r="C20" i="109"/>
  <c r="B20" i="109"/>
  <c r="BC19" i="109"/>
  <c r="AQ19" i="109"/>
  <c r="AF19" i="109"/>
  <c r="C19" i="109"/>
  <c r="B19" i="109"/>
  <c r="BC18" i="109"/>
  <c r="AQ18" i="109"/>
  <c r="AF18" i="109"/>
  <c r="C18" i="109"/>
  <c r="B18" i="109"/>
  <c r="BC17" i="109"/>
  <c r="AQ17" i="109"/>
  <c r="AF17" i="109"/>
  <c r="C17" i="109"/>
  <c r="B17" i="109"/>
  <c r="BC16" i="109"/>
  <c r="AQ16" i="109"/>
  <c r="AF16" i="109"/>
  <c r="C16" i="109"/>
  <c r="B16" i="109"/>
  <c r="BC15" i="109"/>
  <c r="AQ15" i="109"/>
  <c r="AF15" i="109"/>
  <c r="C15" i="109"/>
  <c r="B15" i="109"/>
  <c r="BC14" i="109"/>
  <c r="AQ14" i="109"/>
  <c r="AF14" i="109"/>
  <c r="C14" i="109"/>
  <c r="B14" i="109"/>
  <c r="BC13" i="109"/>
  <c r="AQ13" i="109"/>
  <c r="AF13" i="109"/>
  <c r="C13" i="109"/>
  <c r="B13" i="109"/>
  <c r="BC12" i="109"/>
  <c r="AQ12" i="109"/>
  <c r="AF12" i="109"/>
  <c r="C12" i="109"/>
  <c r="B12" i="109"/>
  <c r="BC11" i="109"/>
  <c r="AQ11" i="109"/>
  <c r="AF11" i="109"/>
  <c r="C11" i="109"/>
  <c r="B11" i="109"/>
  <c r="BC10" i="109"/>
  <c r="AQ10" i="109"/>
  <c r="AF10" i="109"/>
  <c r="C10" i="109"/>
  <c r="B10" i="109"/>
  <c r="BC9" i="109"/>
  <c r="AQ9" i="109"/>
  <c r="AF9" i="109"/>
  <c r="C9" i="109"/>
  <c r="B9" i="109"/>
  <c r="BQ8" i="109"/>
  <c r="BL8" i="109"/>
  <c r="BJ8" i="109"/>
  <c r="BH8" i="109"/>
  <c r="BF8" i="109"/>
  <c r="BC8" i="109"/>
  <c r="BB8" i="109"/>
  <c r="AZ8" i="109"/>
  <c r="AX8" i="109"/>
  <c r="AV8" i="109"/>
  <c r="AT8" i="109"/>
  <c r="AQ8" i="109"/>
  <c r="AO8" i="109"/>
  <c r="AM8" i="109"/>
  <c r="AK8" i="109"/>
  <c r="AI8" i="109"/>
  <c r="AF8" i="109"/>
  <c r="AE8" i="109"/>
  <c r="AB8" i="109"/>
  <c r="Y8" i="109"/>
  <c r="V8" i="109"/>
  <c r="S8" i="109"/>
  <c r="P8" i="109"/>
  <c r="M8" i="109"/>
  <c r="J8" i="109"/>
  <c r="G8" i="109"/>
  <c r="C8" i="109"/>
  <c r="B8" i="109"/>
  <c r="BP23" i="103"/>
  <c r="BO23" i="103"/>
  <c r="BM23" i="103"/>
  <c r="BK23" i="103"/>
  <c r="BI23" i="103"/>
  <c r="BG23" i="103"/>
  <c r="BE23" i="103"/>
  <c r="BA23" i="103"/>
  <c r="AY23" i="103"/>
  <c r="AW23" i="103"/>
  <c r="AU23" i="103"/>
  <c r="AS23" i="103"/>
  <c r="AN23" i="103"/>
  <c r="AL23" i="103"/>
  <c r="AJ23" i="103"/>
  <c r="AH23" i="103"/>
  <c r="AD23" i="103"/>
  <c r="AC23" i="103"/>
  <c r="AA23" i="103"/>
  <c r="Z23" i="103"/>
  <c r="X23" i="103"/>
  <c r="W23" i="103"/>
  <c r="U23" i="103"/>
  <c r="T23" i="103"/>
  <c r="R23" i="103"/>
  <c r="Q23" i="103"/>
  <c r="O23" i="103"/>
  <c r="N23" i="103"/>
  <c r="L23" i="103"/>
  <c r="K23" i="103"/>
  <c r="I23" i="103"/>
  <c r="H23" i="103"/>
  <c r="F23" i="103"/>
  <c r="E23" i="103"/>
  <c r="BC22" i="103"/>
  <c r="AQ22" i="103"/>
  <c r="AF22" i="103"/>
  <c r="C22" i="103"/>
  <c r="B22" i="103"/>
  <c r="BC21" i="103"/>
  <c r="AQ21" i="103"/>
  <c r="AF21" i="103"/>
  <c r="C21" i="103"/>
  <c r="B21" i="103"/>
  <c r="BC20" i="103"/>
  <c r="AQ20" i="103"/>
  <c r="AF20" i="103"/>
  <c r="C20" i="103"/>
  <c r="B20" i="103"/>
  <c r="BC19" i="103"/>
  <c r="AQ19" i="103"/>
  <c r="AF19" i="103"/>
  <c r="C19" i="103"/>
  <c r="B19" i="103"/>
  <c r="BC18" i="103"/>
  <c r="AQ18" i="103"/>
  <c r="AF18" i="103"/>
  <c r="C18" i="103"/>
  <c r="B18" i="103"/>
  <c r="BC17" i="103"/>
  <c r="AQ17" i="103"/>
  <c r="AF17" i="103"/>
  <c r="C17" i="103"/>
  <c r="B17" i="103"/>
  <c r="BC16" i="103"/>
  <c r="AQ16" i="103"/>
  <c r="AF16" i="103"/>
  <c r="C16" i="103"/>
  <c r="B16" i="103"/>
  <c r="BC15" i="103"/>
  <c r="AQ15" i="103"/>
  <c r="AF15" i="103"/>
  <c r="C15" i="103"/>
  <c r="B15" i="103"/>
  <c r="BC14" i="103"/>
  <c r="AQ14" i="103"/>
  <c r="AF14" i="103"/>
  <c r="C14" i="103"/>
  <c r="B14" i="103"/>
  <c r="BC13" i="103"/>
  <c r="AQ13" i="103"/>
  <c r="AF13" i="103"/>
  <c r="C13" i="103"/>
  <c r="B13" i="103"/>
  <c r="BC12" i="103"/>
  <c r="AQ12" i="103"/>
  <c r="AF12" i="103"/>
  <c r="C12" i="103"/>
  <c r="B12" i="103"/>
  <c r="BC11" i="103"/>
  <c r="AQ11" i="103"/>
  <c r="AF11" i="103"/>
  <c r="C11" i="103"/>
  <c r="B11" i="103"/>
  <c r="BC10" i="103"/>
  <c r="AQ10" i="103"/>
  <c r="AF10" i="103"/>
  <c r="C10" i="103"/>
  <c r="B10" i="103"/>
  <c r="BC9" i="103"/>
  <c r="AQ9" i="103"/>
  <c r="AF9" i="103"/>
  <c r="C9" i="103"/>
  <c r="B9" i="103"/>
  <c r="C8" i="103"/>
  <c r="B8" i="103"/>
  <c r="BP23" i="102"/>
  <c r="BO23" i="102"/>
  <c r="BM23" i="102"/>
  <c r="BK23" i="102"/>
  <c r="BI23" i="102"/>
  <c r="BG23" i="102"/>
  <c r="BE23" i="102"/>
  <c r="BA23" i="102"/>
  <c r="AY23" i="102"/>
  <c r="AW23" i="102"/>
  <c r="AU23" i="102"/>
  <c r="AS23" i="102"/>
  <c r="AN23" i="102"/>
  <c r="AL23" i="102"/>
  <c r="AJ23" i="102"/>
  <c r="AH23" i="102"/>
  <c r="AD23" i="102"/>
  <c r="AC23" i="102"/>
  <c r="AA23" i="102"/>
  <c r="Z23" i="102"/>
  <c r="X23" i="102"/>
  <c r="W23" i="102"/>
  <c r="U23" i="102"/>
  <c r="T23" i="102"/>
  <c r="R23" i="102"/>
  <c r="Q23" i="102"/>
  <c r="O23" i="102"/>
  <c r="N23" i="102"/>
  <c r="L23" i="102"/>
  <c r="K23" i="102"/>
  <c r="I23" i="102"/>
  <c r="H23" i="102"/>
  <c r="F23" i="102"/>
  <c r="E23" i="102"/>
  <c r="BC22" i="102"/>
  <c r="AQ22" i="102"/>
  <c r="AF22" i="102"/>
  <c r="C22" i="102"/>
  <c r="B22" i="102"/>
  <c r="BC21" i="102"/>
  <c r="AQ21" i="102"/>
  <c r="AF21" i="102"/>
  <c r="C21" i="102"/>
  <c r="B21" i="102"/>
  <c r="BC20" i="102"/>
  <c r="AQ20" i="102"/>
  <c r="AF20" i="102"/>
  <c r="C20" i="102"/>
  <c r="B20" i="102"/>
  <c r="BC19" i="102"/>
  <c r="AQ19" i="102"/>
  <c r="AF19" i="102"/>
  <c r="C19" i="102"/>
  <c r="B19" i="102"/>
  <c r="BC18" i="102"/>
  <c r="AQ18" i="102"/>
  <c r="AF18" i="102"/>
  <c r="C18" i="102"/>
  <c r="B18" i="102"/>
  <c r="BC17" i="102"/>
  <c r="AQ17" i="102"/>
  <c r="AF17" i="102"/>
  <c r="C17" i="102"/>
  <c r="B17" i="102"/>
  <c r="BC16" i="102"/>
  <c r="AQ16" i="102"/>
  <c r="AF16" i="102"/>
  <c r="C16" i="102"/>
  <c r="B16" i="102"/>
  <c r="BC15" i="102"/>
  <c r="AQ15" i="102"/>
  <c r="AF15" i="102"/>
  <c r="C15" i="102"/>
  <c r="B15" i="102"/>
  <c r="BC14" i="102"/>
  <c r="AQ14" i="102"/>
  <c r="AF14" i="102"/>
  <c r="C14" i="102"/>
  <c r="B14" i="102"/>
  <c r="BC13" i="102"/>
  <c r="AQ13" i="102"/>
  <c r="AF13" i="102"/>
  <c r="C13" i="102"/>
  <c r="B13" i="102"/>
  <c r="BC12" i="102"/>
  <c r="AQ12" i="102"/>
  <c r="AF12" i="102"/>
  <c r="C12" i="102"/>
  <c r="B12" i="102"/>
  <c r="BC11" i="102"/>
  <c r="AQ11" i="102"/>
  <c r="AF11" i="102"/>
  <c r="C11" i="102"/>
  <c r="B11" i="102"/>
  <c r="BC10" i="102"/>
  <c r="AQ10" i="102"/>
  <c r="AF10" i="102"/>
  <c r="C10" i="102"/>
  <c r="B10" i="102"/>
  <c r="BC9" i="102"/>
  <c r="AQ9" i="102"/>
  <c r="AF9" i="102"/>
  <c r="C9" i="102"/>
  <c r="B9" i="102"/>
  <c r="BP23" i="101"/>
  <c r="BO23" i="101"/>
  <c r="BM23" i="101"/>
  <c r="BK23" i="101"/>
  <c r="BI23" i="101"/>
  <c r="BG23" i="101"/>
  <c r="BE23" i="101"/>
  <c r="BA23" i="101"/>
  <c r="AY23" i="101"/>
  <c r="AW23" i="101"/>
  <c r="AU23" i="101"/>
  <c r="AS23" i="101"/>
  <c r="AN23" i="101"/>
  <c r="AL23" i="101"/>
  <c r="AJ23" i="101"/>
  <c r="AH23" i="101"/>
  <c r="AD23" i="101"/>
  <c r="AC23" i="101"/>
  <c r="AA23" i="101"/>
  <c r="Z23" i="101"/>
  <c r="X23" i="101"/>
  <c r="W23" i="101"/>
  <c r="U23" i="101"/>
  <c r="T23" i="101"/>
  <c r="R23" i="101"/>
  <c r="Q23" i="101"/>
  <c r="O23" i="101"/>
  <c r="N23" i="101"/>
  <c r="L23" i="101"/>
  <c r="K23" i="101"/>
  <c r="I23" i="101"/>
  <c r="H23" i="101"/>
  <c r="F23" i="101"/>
  <c r="E23" i="101"/>
  <c r="BC22" i="101"/>
  <c r="AQ22" i="101"/>
  <c r="AF22" i="101"/>
  <c r="C22" i="101"/>
  <c r="B22" i="101"/>
  <c r="BC21" i="101"/>
  <c r="AQ21" i="101"/>
  <c r="AF21" i="101"/>
  <c r="C21" i="101"/>
  <c r="B21" i="101"/>
  <c r="BC20" i="101"/>
  <c r="AQ20" i="101"/>
  <c r="AF20" i="101"/>
  <c r="C20" i="101"/>
  <c r="B20" i="101"/>
  <c r="BC19" i="101"/>
  <c r="AQ19" i="101"/>
  <c r="AF19" i="101"/>
  <c r="C19" i="101"/>
  <c r="B19" i="101"/>
  <c r="BC18" i="101"/>
  <c r="AQ18" i="101"/>
  <c r="AF18" i="101"/>
  <c r="C18" i="101"/>
  <c r="B18" i="101"/>
  <c r="BC17" i="101"/>
  <c r="AQ17" i="101"/>
  <c r="AF17" i="101"/>
  <c r="C17" i="101"/>
  <c r="B17" i="101"/>
  <c r="BC16" i="101"/>
  <c r="AQ16" i="101"/>
  <c r="AF16" i="101"/>
  <c r="C16" i="101"/>
  <c r="B16" i="101"/>
  <c r="BC15" i="101"/>
  <c r="AQ15" i="101"/>
  <c r="AF15" i="101"/>
  <c r="C15" i="101"/>
  <c r="B15" i="101"/>
  <c r="BC14" i="101"/>
  <c r="AQ14" i="101"/>
  <c r="AF14" i="101"/>
  <c r="C14" i="101"/>
  <c r="B14" i="101"/>
  <c r="BC13" i="101"/>
  <c r="AQ13" i="101"/>
  <c r="AF13" i="101"/>
  <c r="C13" i="101"/>
  <c r="B13" i="101"/>
  <c r="BC12" i="101"/>
  <c r="AQ12" i="101"/>
  <c r="AF12" i="101"/>
  <c r="C12" i="101"/>
  <c r="B12" i="101"/>
  <c r="BC11" i="101"/>
  <c r="AQ11" i="101"/>
  <c r="AF11" i="101"/>
  <c r="C11" i="101"/>
  <c r="B11" i="101"/>
  <c r="BC10" i="101"/>
  <c r="AQ10" i="101"/>
  <c r="AF10" i="101"/>
  <c r="C10" i="101"/>
  <c r="B10" i="101"/>
  <c r="BC9" i="101"/>
  <c r="AQ9" i="101"/>
  <c r="AF9" i="101"/>
  <c r="C9" i="101"/>
  <c r="B9" i="101"/>
  <c r="BQ8" i="101"/>
  <c r="BQ8" i="102" s="1"/>
  <c r="BQ8" i="103" s="1"/>
  <c r="BL8" i="101"/>
  <c r="BL8" i="102" s="1"/>
  <c r="BL8" i="103" s="1"/>
  <c r="BJ8" i="101"/>
  <c r="BJ8" i="102" s="1"/>
  <c r="BJ8" i="103" s="1"/>
  <c r="BH8" i="101"/>
  <c r="BH8" i="102" s="1"/>
  <c r="BH8" i="103" s="1"/>
  <c r="BF8" i="101"/>
  <c r="BF8" i="102" s="1"/>
  <c r="BC8" i="101"/>
  <c r="BB8" i="101"/>
  <c r="BB8" i="102" s="1"/>
  <c r="AZ8" i="101"/>
  <c r="AZ8" i="102" s="1"/>
  <c r="AZ8" i="103" s="1"/>
  <c r="AX8" i="101"/>
  <c r="AX8" i="102" s="1"/>
  <c r="AX8" i="103" s="1"/>
  <c r="AV8" i="101"/>
  <c r="AV8" i="102" s="1"/>
  <c r="AV8" i="103" s="1"/>
  <c r="AT8" i="101"/>
  <c r="AT8" i="102" s="1"/>
  <c r="AT8" i="103" s="1"/>
  <c r="AQ8" i="101"/>
  <c r="AO8" i="101"/>
  <c r="AO8" i="102" s="1"/>
  <c r="AO8" i="103" s="1"/>
  <c r="AM8" i="101"/>
  <c r="AM8" i="102" s="1"/>
  <c r="AM8" i="103" s="1"/>
  <c r="AK8" i="101"/>
  <c r="AK8" i="102" s="1"/>
  <c r="AI8" i="101"/>
  <c r="AI8" i="102" s="1"/>
  <c r="AI8" i="103" s="1"/>
  <c r="AF8" i="101"/>
  <c r="AE8" i="101"/>
  <c r="AE8" i="102" s="1"/>
  <c r="AE8" i="103" s="1"/>
  <c r="AB8" i="101"/>
  <c r="AB8" i="102" s="1"/>
  <c r="AB8" i="103" s="1"/>
  <c r="Y8" i="101"/>
  <c r="Y8" i="102" s="1"/>
  <c r="Y8" i="103" s="1"/>
  <c r="V8" i="101"/>
  <c r="V8" i="102" s="1"/>
  <c r="V8" i="103" s="1"/>
  <c r="S8" i="101"/>
  <c r="S8" i="102" s="1"/>
  <c r="S8" i="103" s="1"/>
  <c r="P8" i="101"/>
  <c r="P8" i="102" s="1"/>
  <c r="P8" i="103" s="1"/>
  <c r="M8" i="101"/>
  <c r="M8" i="102" s="1"/>
  <c r="M8" i="103" s="1"/>
  <c r="J8" i="101"/>
  <c r="J8" i="102" s="1"/>
  <c r="G8" i="101"/>
  <c r="G8" i="102" s="1"/>
  <c r="G8" i="103" s="1"/>
  <c r="C8" i="101"/>
  <c r="B8" i="101"/>
  <c r="BP23" i="100"/>
  <c r="BO23" i="100"/>
  <c r="BM23" i="100"/>
  <c r="BK23" i="100"/>
  <c r="BI23" i="100"/>
  <c r="BG23" i="100"/>
  <c r="BE23" i="100"/>
  <c r="BA23" i="100"/>
  <c r="AY23" i="100"/>
  <c r="AW23" i="100"/>
  <c r="AU23" i="100"/>
  <c r="AS23" i="100"/>
  <c r="AN23" i="100"/>
  <c r="AL23" i="100"/>
  <c r="AJ23" i="100"/>
  <c r="AH23" i="100"/>
  <c r="AD23" i="100"/>
  <c r="AC23" i="100"/>
  <c r="AA23" i="100"/>
  <c r="Z23" i="100"/>
  <c r="X23" i="100"/>
  <c r="W23" i="100"/>
  <c r="U23" i="100"/>
  <c r="T23" i="100"/>
  <c r="R23" i="100"/>
  <c r="Q23" i="100"/>
  <c r="O23" i="100"/>
  <c r="N23" i="100"/>
  <c r="L23" i="100"/>
  <c r="K23" i="100"/>
  <c r="I23" i="100"/>
  <c r="H23" i="100"/>
  <c r="F23" i="100"/>
  <c r="E23" i="100"/>
  <c r="BC22" i="100"/>
  <c r="AQ22" i="100"/>
  <c r="AF22" i="100"/>
  <c r="C22" i="100"/>
  <c r="B22" i="100"/>
  <c r="BC21" i="100"/>
  <c r="AQ21" i="100"/>
  <c r="AF21" i="100"/>
  <c r="C21" i="100"/>
  <c r="B21" i="100"/>
  <c r="BC20" i="100"/>
  <c r="AQ20" i="100"/>
  <c r="AF20" i="100"/>
  <c r="C20" i="100"/>
  <c r="B20" i="100"/>
  <c r="BC19" i="100"/>
  <c r="AQ19" i="100"/>
  <c r="AF19" i="100"/>
  <c r="C19" i="100"/>
  <c r="B19" i="100"/>
  <c r="BC18" i="100"/>
  <c r="AQ18" i="100"/>
  <c r="AF18" i="100"/>
  <c r="C18" i="100"/>
  <c r="B18" i="100"/>
  <c r="BC17" i="100"/>
  <c r="AQ17" i="100"/>
  <c r="AF17" i="100"/>
  <c r="C17" i="100"/>
  <c r="B17" i="100"/>
  <c r="BC16" i="100"/>
  <c r="AQ16" i="100"/>
  <c r="AF16" i="100"/>
  <c r="C16" i="100"/>
  <c r="B16" i="100"/>
  <c r="BC15" i="100"/>
  <c r="AQ15" i="100"/>
  <c r="AF15" i="100"/>
  <c r="C15" i="100"/>
  <c r="B15" i="100"/>
  <c r="BC14" i="100"/>
  <c r="AQ14" i="100"/>
  <c r="AF14" i="100"/>
  <c r="C14" i="100"/>
  <c r="B14" i="100"/>
  <c r="BC13" i="100"/>
  <c r="AQ13" i="100"/>
  <c r="AF13" i="100"/>
  <c r="C13" i="100"/>
  <c r="B13" i="100"/>
  <c r="BC12" i="100"/>
  <c r="AQ12" i="100"/>
  <c r="AF12" i="100"/>
  <c r="C12" i="100"/>
  <c r="B12" i="100"/>
  <c r="BC11" i="100"/>
  <c r="AQ11" i="100"/>
  <c r="AF11" i="100"/>
  <c r="C11" i="100"/>
  <c r="B11" i="100"/>
  <c r="BC10" i="100"/>
  <c r="AQ10" i="100"/>
  <c r="AF10" i="100"/>
  <c r="C10" i="100"/>
  <c r="B10" i="100"/>
  <c r="BC9" i="100"/>
  <c r="AQ9" i="100"/>
  <c r="AF9" i="100"/>
  <c r="C9" i="100"/>
  <c r="B9" i="100"/>
  <c r="BQ8" i="100"/>
  <c r="BL8" i="100"/>
  <c r="BJ8" i="100"/>
  <c r="BH8" i="100"/>
  <c r="BF8" i="100"/>
  <c r="BC8" i="100"/>
  <c r="BB8" i="100"/>
  <c r="AZ8" i="100"/>
  <c r="AX8" i="100"/>
  <c r="AV8" i="100"/>
  <c r="AT8" i="100"/>
  <c r="AQ8" i="100"/>
  <c r="AO8" i="100"/>
  <c r="AM8" i="100"/>
  <c r="AK8" i="100"/>
  <c r="AI8" i="100"/>
  <c r="AF8" i="100"/>
  <c r="AE8" i="100"/>
  <c r="AB8" i="100"/>
  <c r="Y8" i="100"/>
  <c r="V8" i="100"/>
  <c r="S8" i="100"/>
  <c r="P8" i="100"/>
  <c r="M8" i="100"/>
  <c r="J8" i="100"/>
  <c r="G8" i="100"/>
  <c r="C8" i="100"/>
  <c r="B8" i="100"/>
  <c r="BP23" i="99"/>
  <c r="BO23" i="99"/>
  <c r="BM23" i="99"/>
  <c r="BK23" i="99"/>
  <c r="BI23" i="99"/>
  <c r="BG23" i="99"/>
  <c r="BE23" i="99"/>
  <c r="BA23" i="99"/>
  <c r="AY23" i="99"/>
  <c r="AW23" i="99"/>
  <c r="AU23" i="99"/>
  <c r="AS23" i="99"/>
  <c r="AN23" i="99"/>
  <c r="AL23" i="99"/>
  <c r="AJ23" i="99"/>
  <c r="AH23" i="99"/>
  <c r="AD23" i="99"/>
  <c r="AC23" i="99"/>
  <c r="AA23" i="99"/>
  <c r="Z23" i="99"/>
  <c r="X23" i="99"/>
  <c r="W23" i="99"/>
  <c r="U23" i="99"/>
  <c r="T23" i="99"/>
  <c r="R23" i="99"/>
  <c r="Q23" i="99"/>
  <c r="O23" i="99"/>
  <c r="N23" i="99"/>
  <c r="L23" i="99"/>
  <c r="K23" i="99"/>
  <c r="I23" i="99"/>
  <c r="H23" i="99"/>
  <c r="F23" i="99"/>
  <c r="E23" i="99"/>
  <c r="BC22" i="99"/>
  <c r="AQ22" i="99"/>
  <c r="AF22" i="99"/>
  <c r="C22" i="99"/>
  <c r="B22" i="99"/>
  <c r="BC21" i="99"/>
  <c r="AQ21" i="99"/>
  <c r="AF21" i="99"/>
  <c r="C21" i="99"/>
  <c r="B21" i="99"/>
  <c r="BC20" i="99"/>
  <c r="AQ20" i="99"/>
  <c r="AF20" i="99"/>
  <c r="C20" i="99"/>
  <c r="B20" i="99"/>
  <c r="BC19" i="99"/>
  <c r="AQ19" i="99"/>
  <c r="AF19" i="99"/>
  <c r="C19" i="99"/>
  <c r="B19" i="99"/>
  <c r="BC18" i="99"/>
  <c r="AQ18" i="99"/>
  <c r="AF18" i="99"/>
  <c r="C18" i="99"/>
  <c r="B18" i="99"/>
  <c r="BC17" i="99"/>
  <c r="AQ17" i="99"/>
  <c r="AF17" i="99"/>
  <c r="C17" i="99"/>
  <c r="B17" i="99"/>
  <c r="BC16" i="99"/>
  <c r="AQ16" i="99"/>
  <c r="AF16" i="99"/>
  <c r="C16" i="99"/>
  <c r="B16" i="99"/>
  <c r="BC15" i="99"/>
  <c r="AQ15" i="99"/>
  <c r="AF15" i="99"/>
  <c r="C15" i="99"/>
  <c r="B15" i="99"/>
  <c r="BC14" i="99"/>
  <c r="AQ14" i="99"/>
  <c r="AF14" i="99"/>
  <c r="C14" i="99"/>
  <c r="B14" i="99"/>
  <c r="BC13" i="99"/>
  <c r="AQ13" i="99"/>
  <c r="AF13" i="99"/>
  <c r="C13" i="99"/>
  <c r="B13" i="99"/>
  <c r="BC12" i="99"/>
  <c r="AQ12" i="99"/>
  <c r="AF12" i="99"/>
  <c r="C12" i="99"/>
  <c r="B12" i="99"/>
  <c r="BC11" i="99"/>
  <c r="AQ11" i="99"/>
  <c r="AF11" i="99"/>
  <c r="C11" i="99"/>
  <c r="B11" i="99"/>
  <c r="BC10" i="99"/>
  <c r="AQ10" i="99"/>
  <c r="AF10" i="99"/>
  <c r="C10" i="99"/>
  <c r="B10" i="99"/>
  <c r="BC9" i="99"/>
  <c r="AQ9" i="99"/>
  <c r="AF9" i="99"/>
  <c r="C9" i="99"/>
  <c r="B9" i="99"/>
  <c r="BQ8" i="99"/>
  <c r="BL8" i="99"/>
  <c r="BJ8" i="99"/>
  <c r="BH8" i="99"/>
  <c r="BF8" i="99"/>
  <c r="BC8" i="99"/>
  <c r="BB8" i="99"/>
  <c r="AZ8" i="99"/>
  <c r="AX8" i="99"/>
  <c r="AV8" i="99"/>
  <c r="AT8" i="99"/>
  <c r="AQ8" i="99"/>
  <c r="AO8" i="99"/>
  <c r="AM8" i="99"/>
  <c r="AK8" i="99"/>
  <c r="AI8" i="99"/>
  <c r="AF8" i="99"/>
  <c r="AE8" i="99"/>
  <c r="AB8" i="99"/>
  <c r="Y8" i="99"/>
  <c r="V8" i="99"/>
  <c r="S8" i="99"/>
  <c r="P8" i="99"/>
  <c r="M8" i="99"/>
  <c r="J8" i="99"/>
  <c r="G8" i="99"/>
  <c r="C8" i="99"/>
  <c r="B8" i="99"/>
  <c r="BP23" i="98"/>
  <c r="BO23" i="98"/>
  <c r="BM23" i="98"/>
  <c r="BK23" i="98"/>
  <c r="BI23" i="98"/>
  <c r="BG23" i="98"/>
  <c r="BE23" i="98"/>
  <c r="BA23" i="98"/>
  <c r="AY23" i="98"/>
  <c r="AW23" i="98"/>
  <c r="AU23" i="98"/>
  <c r="AS23" i="98"/>
  <c r="AN23" i="98"/>
  <c r="AL23" i="98"/>
  <c r="AJ23" i="98"/>
  <c r="AH23" i="98"/>
  <c r="AD23" i="98"/>
  <c r="AC23" i="98"/>
  <c r="AA23" i="98"/>
  <c r="Z23" i="98"/>
  <c r="X23" i="98"/>
  <c r="W23" i="98"/>
  <c r="U23" i="98"/>
  <c r="T23" i="98"/>
  <c r="R23" i="98"/>
  <c r="Q23" i="98"/>
  <c r="O23" i="98"/>
  <c r="N23" i="98"/>
  <c r="L23" i="98"/>
  <c r="K23" i="98"/>
  <c r="I23" i="98"/>
  <c r="H23" i="98"/>
  <c r="F23" i="98"/>
  <c r="E23" i="98"/>
  <c r="BC22" i="98"/>
  <c r="AQ22" i="98"/>
  <c r="AF22" i="98"/>
  <c r="C22" i="98"/>
  <c r="B22" i="98"/>
  <c r="BC21" i="98"/>
  <c r="AQ21" i="98"/>
  <c r="AF21" i="98"/>
  <c r="C21" i="98"/>
  <c r="B21" i="98"/>
  <c r="BC20" i="98"/>
  <c r="AQ20" i="98"/>
  <c r="AF20" i="98"/>
  <c r="C20" i="98"/>
  <c r="B20" i="98"/>
  <c r="BC19" i="98"/>
  <c r="AQ19" i="98"/>
  <c r="AF19" i="98"/>
  <c r="C19" i="98"/>
  <c r="B19" i="98"/>
  <c r="BC18" i="98"/>
  <c r="AQ18" i="98"/>
  <c r="AF18" i="98"/>
  <c r="C18" i="98"/>
  <c r="B18" i="98"/>
  <c r="BC17" i="98"/>
  <c r="AQ17" i="98"/>
  <c r="AF17" i="98"/>
  <c r="C17" i="98"/>
  <c r="B17" i="98"/>
  <c r="BC16" i="98"/>
  <c r="AQ16" i="98"/>
  <c r="AF16" i="98"/>
  <c r="C16" i="98"/>
  <c r="B16" i="98"/>
  <c r="BC15" i="98"/>
  <c r="AQ15" i="98"/>
  <c r="AF15" i="98"/>
  <c r="C15" i="98"/>
  <c r="B15" i="98"/>
  <c r="BC14" i="98"/>
  <c r="AQ14" i="98"/>
  <c r="AF14" i="98"/>
  <c r="C14" i="98"/>
  <c r="B14" i="98"/>
  <c r="BC13" i="98"/>
  <c r="AQ13" i="98"/>
  <c r="AF13" i="98"/>
  <c r="C13" i="98"/>
  <c r="B13" i="98"/>
  <c r="BC12" i="98"/>
  <c r="AQ12" i="98"/>
  <c r="AF12" i="98"/>
  <c r="C12" i="98"/>
  <c r="B12" i="98"/>
  <c r="BC11" i="98"/>
  <c r="AQ11" i="98"/>
  <c r="AF11" i="98"/>
  <c r="C11" i="98"/>
  <c r="B11" i="98"/>
  <c r="BC10" i="98"/>
  <c r="AQ10" i="98"/>
  <c r="AF10" i="98"/>
  <c r="C10" i="98"/>
  <c r="B10" i="98"/>
  <c r="BC9" i="98"/>
  <c r="AQ9" i="98"/>
  <c r="AF9" i="98"/>
  <c r="C9" i="98"/>
  <c r="B9" i="98"/>
  <c r="BQ8" i="98"/>
  <c r="BL8" i="98"/>
  <c r="BJ8" i="98"/>
  <c r="BH8" i="98"/>
  <c r="BF8" i="98"/>
  <c r="BC8" i="98"/>
  <c r="BB8" i="98"/>
  <c r="AZ8" i="98"/>
  <c r="AX8" i="98"/>
  <c r="AV8" i="98"/>
  <c r="AT8" i="98"/>
  <c r="AQ8" i="98"/>
  <c r="AO8" i="98"/>
  <c r="AM8" i="98"/>
  <c r="AK8" i="98"/>
  <c r="AI8" i="98"/>
  <c r="AF8" i="98"/>
  <c r="AE8" i="98"/>
  <c r="AB8" i="98"/>
  <c r="Y8" i="98"/>
  <c r="V8" i="98"/>
  <c r="S8" i="98"/>
  <c r="P8" i="98"/>
  <c r="M8" i="98"/>
  <c r="J8" i="98"/>
  <c r="G8" i="98"/>
  <c r="C8" i="98"/>
  <c r="B8" i="98"/>
  <c r="BP23" i="97"/>
  <c r="BO23" i="97"/>
  <c r="BM23" i="97"/>
  <c r="BK23" i="97"/>
  <c r="BI23" i="97"/>
  <c r="BG23" i="97"/>
  <c r="BE23" i="97"/>
  <c r="BA23" i="97"/>
  <c r="AY23" i="97"/>
  <c r="AW23" i="97"/>
  <c r="AU23" i="97"/>
  <c r="AS23" i="97"/>
  <c r="AN23" i="97"/>
  <c r="AL23" i="97"/>
  <c r="AJ23" i="97"/>
  <c r="AH23" i="97"/>
  <c r="AD23" i="97"/>
  <c r="AC23" i="97"/>
  <c r="AA23" i="97"/>
  <c r="Z23" i="97"/>
  <c r="X23" i="97"/>
  <c r="W23" i="97"/>
  <c r="U23" i="97"/>
  <c r="T23" i="97"/>
  <c r="R23" i="97"/>
  <c r="Q23" i="97"/>
  <c r="O23" i="97"/>
  <c r="N23" i="97"/>
  <c r="L23" i="97"/>
  <c r="K23" i="97"/>
  <c r="I23" i="97"/>
  <c r="H23" i="97"/>
  <c r="F23" i="97"/>
  <c r="E23" i="97"/>
  <c r="BC22" i="97"/>
  <c r="AQ22" i="97"/>
  <c r="AF22" i="97"/>
  <c r="C22" i="97"/>
  <c r="B22" i="97"/>
  <c r="BC21" i="97"/>
  <c r="AQ21" i="97"/>
  <c r="AF21" i="97"/>
  <c r="C21" i="97"/>
  <c r="B21" i="97"/>
  <c r="BC20" i="97"/>
  <c r="AQ20" i="97"/>
  <c r="AF20" i="97"/>
  <c r="C20" i="97"/>
  <c r="B20" i="97"/>
  <c r="BC19" i="97"/>
  <c r="AQ19" i="97"/>
  <c r="AF19" i="97"/>
  <c r="C19" i="97"/>
  <c r="B19" i="97"/>
  <c r="BC18" i="97"/>
  <c r="AQ18" i="97"/>
  <c r="AF18" i="97"/>
  <c r="C18" i="97"/>
  <c r="B18" i="97"/>
  <c r="BC17" i="97"/>
  <c r="AQ17" i="97"/>
  <c r="AF17" i="97"/>
  <c r="C17" i="97"/>
  <c r="B17" i="97"/>
  <c r="BC16" i="97"/>
  <c r="AQ16" i="97"/>
  <c r="AF16" i="97"/>
  <c r="C16" i="97"/>
  <c r="B16" i="97"/>
  <c r="BC15" i="97"/>
  <c r="AQ15" i="97"/>
  <c r="AF15" i="97"/>
  <c r="C15" i="97"/>
  <c r="B15" i="97"/>
  <c r="BC14" i="97"/>
  <c r="AQ14" i="97"/>
  <c r="AF14" i="97"/>
  <c r="C14" i="97"/>
  <c r="B14" i="97"/>
  <c r="BC13" i="97"/>
  <c r="AQ13" i="97"/>
  <c r="AF13" i="97"/>
  <c r="C13" i="97"/>
  <c r="B13" i="97"/>
  <c r="BC12" i="97"/>
  <c r="AQ12" i="97"/>
  <c r="AF12" i="97"/>
  <c r="C12" i="97"/>
  <c r="B12" i="97"/>
  <c r="BC11" i="97"/>
  <c r="AQ11" i="97"/>
  <c r="AF11" i="97"/>
  <c r="C11" i="97"/>
  <c r="B11" i="97"/>
  <c r="BC10" i="97"/>
  <c r="AQ10" i="97"/>
  <c r="AF10" i="97"/>
  <c r="C10" i="97"/>
  <c r="B10" i="97"/>
  <c r="BC9" i="97"/>
  <c r="AQ9" i="97"/>
  <c r="AF9" i="97"/>
  <c r="C9" i="97"/>
  <c r="B9" i="97"/>
  <c r="BQ8" i="97"/>
  <c r="BL8" i="97"/>
  <c r="BJ8" i="97"/>
  <c r="BH8" i="97"/>
  <c r="BF8" i="97"/>
  <c r="BC8" i="97"/>
  <c r="BB8" i="97"/>
  <c r="AZ8" i="97"/>
  <c r="AX8" i="97"/>
  <c r="AV8" i="97"/>
  <c r="AT8" i="97"/>
  <c r="AQ8" i="97"/>
  <c r="AO8" i="97"/>
  <c r="AM8" i="97"/>
  <c r="AK8" i="97"/>
  <c r="AI8" i="97"/>
  <c r="AF8" i="97"/>
  <c r="AE8" i="97"/>
  <c r="AB8" i="97"/>
  <c r="Y8" i="97"/>
  <c r="V8" i="97"/>
  <c r="S8" i="97"/>
  <c r="P8" i="97"/>
  <c r="M8" i="97"/>
  <c r="J8" i="97"/>
  <c r="G8" i="97"/>
  <c r="C8" i="97"/>
  <c r="B8" i="97"/>
  <c r="BP23" i="96"/>
  <c r="BO23" i="96"/>
  <c r="BM23" i="96"/>
  <c r="BK23" i="96"/>
  <c r="BI23" i="96"/>
  <c r="BG23" i="96"/>
  <c r="BE23" i="96"/>
  <c r="BA23" i="96"/>
  <c r="AY23" i="96"/>
  <c r="AW23" i="96"/>
  <c r="AU23" i="96"/>
  <c r="AS23" i="96"/>
  <c r="AN23" i="96"/>
  <c r="AL23" i="96"/>
  <c r="AJ23" i="96"/>
  <c r="AH23" i="96"/>
  <c r="AD23" i="96"/>
  <c r="AC23" i="96"/>
  <c r="AA23" i="96"/>
  <c r="Z23" i="96"/>
  <c r="X23" i="96"/>
  <c r="W23" i="96"/>
  <c r="U23" i="96"/>
  <c r="T23" i="96"/>
  <c r="R23" i="96"/>
  <c r="Q23" i="96"/>
  <c r="O23" i="96"/>
  <c r="N23" i="96"/>
  <c r="L23" i="96"/>
  <c r="K23" i="96"/>
  <c r="I23" i="96"/>
  <c r="H23" i="96"/>
  <c r="F23" i="96"/>
  <c r="E23" i="96"/>
  <c r="BC22" i="96"/>
  <c r="AQ22" i="96"/>
  <c r="AF22" i="96"/>
  <c r="C22" i="96"/>
  <c r="B22" i="96"/>
  <c r="BC21" i="96"/>
  <c r="AQ21" i="96"/>
  <c r="AF21" i="96"/>
  <c r="C21" i="96"/>
  <c r="B21" i="96"/>
  <c r="BC20" i="96"/>
  <c r="AQ20" i="96"/>
  <c r="AF20" i="96"/>
  <c r="C20" i="96"/>
  <c r="B20" i="96"/>
  <c r="BC19" i="96"/>
  <c r="AQ19" i="96"/>
  <c r="AF19" i="96"/>
  <c r="C19" i="96"/>
  <c r="B19" i="96"/>
  <c r="BC18" i="96"/>
  <c r="AQ18" i="96"/>
  <c r="AF18" i="96"/>
  <c r="C18" i="96"/>
  <c r="B18" i="96"/>
  <c r="BC17" i="96"/>
  <c r="AQ17" i="96"/>
  <c r="AF17" i="96"/>
  <c r="C17" i="96"/>
  <c r="B17" i="96"/>
  <c r="BC16" i="96"/>
  <c r="AQ16" i="96"/>
  <c r="AF16" i="96"/>
  <c r="C16" i="96"/>
  <c r="B16" i="96"/>
  <c r="BC15" i="96"/>
  <c r="AQ15" i="96"/>
  <c r="AF15" i="96"/>
  <c r="C15" i="96"/>
  <c r="B15" i="96"/>
  <c r="BC14" i="96"/>
  <c r="AQ14" i="96"/>
  <c r="AF14" i="96"/>
  <c r="C14" i="96"/>
  <c r="B14" i="96"/>
  <c r="BC13" i="96"/>
  <c r="AQ13" i="96"/>
  <c r="AF13" i="96"/>
  <c r="C13" i="96"/>
  <c r="B13" i="96"/>
  <c r="BC12" i="96"/>
  <c r="AQ12" i="96"/>
  <c r="AF12" i="96"/>
  <c r="C12" i="96"/>
  <c r="B12" i="96"/>
  <c r="BC11" i="96"/>
  <c r="AQ11" i="96"/>
  <c r="AF11" i="96"/>
  <c r="C11" i="96"/>
  <c r="B11" i="96"/>
  <c r="BC10" i="96"/>
  <c r="AQ10" i="96"/>
  <c r="AF10" i="96"/>
  <c r="C10" i="96"/>
  <c r="B10" i="96"/>
  <c r="BC9" i="96"/>
  <c r="AQ9" i="96"/>
  <c r="AF9" i="96"/>
  <c r="C9" i="96"/>
  <c r="B9" i="96"/>
  <c r="BQ8" i="96"/>
  <c r="BL8" i="96"/>
  <c r="BJ8" i="96"/>
  <c r="BH8" i="96"/>
  <c r="BF8" i="96"/>
  <c r="BC8" i="96"/>
  <c r="BB8" i="96"/>
  <c r="AZ8" i="96"/>
  <c r="AX8" i="96"/>
  <c r="AV8" i="96"/>
  <c r="AT8" i="96"/>
  <c r="AQ8" i="96"/>
  <c r="AO8" i="96"/>
  <c r="AM8" i="96"/>
  <c r="AK8" i="96"/>
  <c r="AI8" i="96"/>
  <c r="AF8" i="96"/>
  <c r="AE8" i="96"/>
  <c r="AB8" i="96"/>
  <c r="Y8" i="96"/>
  <c r="V8" i="96"/>
  <c r="S8" i="96"/>
  <c r="P8" i="96"/>
  <c r="M8" i="96"/>
  <c r="J8" i="96"/>
  <c r="G8" i="96"/>
  <c r="C8" i="96"/>
  <c r="B8" i="96"/>
  <c r="BP23" i="95"/>
  <c r="BO23" i="95"/>
  <c r="BM23" i="95"/>
  <c r="BK23" i="95"/>
  <c r="BI23" i="95"/>
  <c r="BG23" i="95"/>
  <c r="BE23" i="95"/>
  <c r="BA23" i="95"/>
  <c r="AY23" i="95"/>
  <c r="AW23" i="95"/>
  <c r="AU23" i="95"/>
  <c r="AS23" i="95"/>
  <c r="AN23" i="95"/>
  <c r="AL23" i="95"/>
  <c r="AJ23" i="95"/>
  <c r="AH23" i="95"/>
  <c r="AD23" i="95"/>
  <c r="AC23" i="95"/>
  <c r="AA23" i="95"/>
  <c r="Z23" i="95"/>
  <c r="X23" i="95"/>
  <c r="W23" i="95"/>
  <c r="U23" i="95"/>
  <c r="T23" i="95"/>
  <c r="R23" i="95"/>
  <c r="Q23" i="95"/>
  <c r="O23" i="95"/>
  <c r="N23" i="95"/>
  <c r="L23" i="95"/>
  <c r="K23" i="95"/>
  <c r="I23" i="95"/>
  <c r="H23" i="95"/>
  <c r="F23" i="95"/>
  <c r="E23" i="95"/>
  <c r="BC22" i="95"/>
  <c r="AQ22" i="95"/>
  <c r="AF22" i="95"/>
  <c r="C22" i="95"/>
  <c r="B22" i="95"/>
  <c r="BC21" i="95"/>
  <c r="AQ21" i="95"/>
  <c r="AF21" i="95"/>
  <c r="C21" i="95"/>
  <c r="B21" i="95"/>
  <c r="BC20" i="95"/>
  <c r="AQ20" i="95"/>
  <c r="AF20" i="95"/>
  <c r="C20" i="95"/>
  <c r="B20" i="95"/>
  <c r="BC19" i="95"/>
  <c r="AQ19" i="95"/>
  <c r="AF19" i="95"/>
  <c r="C19" i="95"/>
  <c r="B19" i="95"/>
  <c r="BC18" i="95"/>
  <c r="AQ18" i="95"/>
  <c r="AF18" i="95"/>
  <c r="C18" i="95"/>
  <c r="B18" i="95"/>
  <c r="BC17" i="95"/>
  <c r="AQ17" i="95"/>
  <c r="AF17" i="95"/>
  <c r="C17" i="95"/>
  <c r="B17" i="95"/>
  <c r="BC16" i="95"/>
  <c r="AQ16" i="95"/>
  <c r="AF16" i="95"/>
  <c r="C16" i="95"/>
  <c r="B16" i="95"/>
  <c r="BC15" i="95"/>
  <c r="AQ15" i="95"/>
  <c r="AF15" i="95"/>
  <c r="C15" i="95"/>
  <c r="B15" i="95"/>
  <c r="BC14" i="95"/>
  <c r="AQ14" i="95"/>
  <c r="AF14" i="95"/>
  <c r="C14" i="95"/>
  <c r="B14" i="95"/>
  <c r="BC13" i="95"/>
  <c r="AQ13" i="95"/>
  <c r="AF13" i="95"/>
  <c r="C13" i="95"/>
  <c r="B13" i="95"/>
  <c r="BC12" i="95"/>
  <c r="AQ12" i="95"/>
  <c r="AF12" i="95"/>
  <c r="C12" i="95"/>
  <c r="B12" i="95"/>
  <c r="BC11" i="95"/>
  <c r="AQ11" i="95"/>
  <c r="AF11" i="95"/>
  <c r="C11" i="95"/>
  <c r="B11" i="95"/>
  <c r="BC10" i="95"/>
  <c r="AQ10" i="95"/>
  <c r="AF10" i="95"/>
  <c r="C10" i="95"/>
  <c r="B10" i="95"/>
  <c r="BC9" i="95"/>
  <c r="AQ9" i="95"/>
  <c r="AF9" i="95"/>
  <c r="C9" i="95"/>
  <c r="B9" i="95"/>
  <c r="BQ8" i="95"/>
  <c r="BL8" i="95"/>
  <c r="BJ8" i="95"/>
  <c r="BH8" i="95"/>
  <c r="BF8" i="95"/>
  <c r="BC8" i="95"/>
  <c r="BB8" i="95"/>
  <c r="AZ8" i="95"/>
  <c r="AX8" i="95"/>
  <c r="AV8" i="95"/>
  <c r="AT8" i="95"/>
  <c r="AQ8" i="95"/>
  <c r="AO8" i="95"/>
  <c r="AM8" i="95"/>
  <c r="AK8" i="95"/>
  <c r="AI8" i="95"/>
  <c r="AF8" i="95"/>
  <c r="AE8" i="95"/>
  <c r="AB8" i="95"/>
  <c r="Y8" i="95"/>
  <c r="V8" i="95"/>
  <c r="S8" i="95"/>
  <c r="P8" i="95"/>
  <c r="M8" i="95"/>
  <c r="J8" i="95"/>
  <c r="G8" i="95"/>
  <c r="C8" i="95"/>
  <c r="B8" i="95"/>
  <c r="BP23" i="94"/>
  <c r="BO23" i="94"/>
  <c r="BM23" i="94"/>
  <c r="BK23" i="94"/>
  <c r="BI23" i="94"/>
  <c r="BG23" i="94"/>
  <c r="BE23" i="94"/>
  <c r="BA23" i="94"/>
  <c r="AY23" i="94"/>
  <c r="AW23" i="94"/>
  <c r="AU23" i="94"/>
  <c r="AS23" i="94"/>
  <c r="AN23" i="94"/>
  <c r="AL23" i="94"/>
  <c r="AJ23" i="94"/>
  <c r="AH23" i="94"/>
  <c r="AD23" i="94"/>
  <c r="AC23" i="94"/>
  <c r="AA23" i="94"/>
  <c r="Z23" i="94"/>
  <c r="X23" i="94"/>
  <c r="W23" i="94"/>
  <c r="U23" i="94"/>
  <c r="T23" i="94"/>
  <c r="R23" i="94"/>
  <c r="Q23" i="94"/>
  <c r="O23" i="94"/>
  <c r="N23" i="94"/>
  <c r="L23" i="94"/>
  <c r="K23" i="94"/>
  <c r="I23" i="94"/>
  <c r="H23" i="94"/>
  <c r="F23" i="94"/>
  <c r="E23" i="94"/>
  <c r="BC22" i="94"/>
  <c r="AQ22" i="94"/>
  <c r="AF22" i="94"/>
  <c r="C22" i="94"/>
  <c r="B22" i="94"/>
  <c r="BC21" i="94"/>
  <c r="AQ21" i="94"/>
  <c r="AF21" i="94"/>
  <c r="C21" i="94"/>
  <c r="B21" i="94"/>
  <c r="BC20" i="94"/>
  <c r="AQ20" i="94"/>
  <c r="AF20" i="94"/>
  <c r="C20" i="94"/>
  <c r="B20" i="94"/>
  <c r="BC19" i="94"/>
  <c r="AQ19" i="94"/>
  <c r="AF19" i="94"/>
  <c r="C19" i="94"/>
  <c r="B19" i="94"/>
  <c r="BC18" i="94"/>
  <c r="AQ18" i="94"/>
  <c r="AF18" i="94"/>
  <c r="C18" i="94"/>
  <c r="B18" i="94"/>
  <c r="BC17" i="94"/>
  <c r="AQ17" i="94"/>
  <c r="AF17" i="94"/>
  <c r="C17" i="94"/>
  <c r="B17" i="94"/>
  <c r="BC16" i="94"/>
  <c r="AQ16" i="94"/>
  <c r="AF16" i="94"/>
  <c r="C16" i="94"/>
  <c r="B16" i="94"/>
  <c r="BC15" i="94"/>
  <c r="AQ15" i="94"/>
  <c r="AF15" i="94"/>
  <c r="C15" i="94"/>
  <c r="B15" i="94"/>
  <c r="BC14" i="94"/>
  <c r="AQ14" i="94"/>
  <c r="AF14" i="94"/>
  <c r="C14" i="94"/>
  <c r="B14" i="94"/>
  <c r="BC13" i="94"/>
  <c r="AQ13" i="94"/>
  <c r="AF13" i="94"/>
  <c r="C13" i="94"/>
  <c r="B13" i="94"/>
  <c r="BC12" i="94"/>
  <c r="AQ12" i="94"/>
  <c r="AF12" i="94"/>
  <c r="C12" i="94"/>
  <c r="B12" i="94"/>
  <c r="BC11" i="94"/>
  <c r="AQ11" i="94"/>
  <c r="AF11" i="94"/>
  <c r="C11" i="94"/>
  <c r="B11" i="94"/>
  <c r="BC10" i="94"/>
  <c r="AQ10" i="94"/>
  <c r="AF10" i="94"/>
  <c r="C10" i="94"/>
  <c r="B10" i="94"/>
  <c r="BC9" i="94"/>
  <c r="AQ9" i="94"/>
  <c r="AF9" i="94"/>
  <c r="C9" i="94"/>
  <c r="B9" i="94"/>
  <c r="BQ8" i="94"/>
  <c r="BL8" i="94"/>
  <c r="BJ8" i="94"/>
  <c r="BH8" i="94"/>
  <c r="BF8" i="94"/>
  <c r="BC8" i="94"/>
  <c r="BB8" i="94"/>
  <c r="AZ8" i="94"/>
  <c r="AX8" i="94"/>
  <c r="AV8" i="94"/>
  <c r="AT8" i="94"/>
  <c r="AQ8" i="94"/>
  <c r="AO8" i="94"/>
  <c r="AM8" i="94"/>
  <c r="AK8" i="94"/>
  <c r="AI8" i="94"/>
  <c r="AF8" i="94"/>
  <c r="AE8" i="94"/>
  <c r="AB8" i="94"/>
  <c r="Y8" i="94"/>
  <c r="V8" i="94"/>
  <c r="S8" i="94"/>
  <c r="P8" i="94"/>
  <c r="M8" i="94"/>
  <c r="J8" i="94"/>
  <c r="G8" i="94"/>
  <c r="C8" i="94"/>
  <c r="B8" i="94"/>
  <c r="BP23" i="93"/>
  <c r="BO23" i="93"/>
  <c r="BM23" i="93"/>
  <c r="BK23" i="93"/>
  <c r="BI23" i="93"/>
  <c r="BG23" i="93"/>
  <c r="BE23" i="93"/>
  <c r="BA23" i="93"/>
  <c r="AY23" i="93"/>
  <c r="AW23" i="93"/>
  <c r="AU23" i="93"/>
  <c r="AS23" i="93"/>
  <c r="AN23" i="93"/>
  <c r="AL23" i="93"/>
  <c r="AJ23" i="93"/>
  <c r="AH23" i="93"/>
  <c r="AD23" i="93"/>
  <c r="AC23" i="93"/>
  <c r="AA23" i="93"/>
  <c r="Z23" i="93"/>
  <c r="X23" i="93"/>
  <c r="W23" i="93"/>
  <c r="U23" i="93"/>
  <c r="T23" i="93"/>
  <c r="R23" i="93"/>
  <c r="Q23" i="93"/>
  <c r="O23" i="93"/>
  <c r="N23" i="93"/>
  <c r="L23" i="93"/>
  <c r="K23" i="93"/>
  <c r="I23" i="93"/>
  <c r="H23" i="93"/>
  <c r="F23" i="93"/>
  <c r="E23" i="93"/>
  <c r="BC22" i="93"/>
  <c r="AQ22" i="93"/>
  <c r="AF22" i="93"/>
  <c r="C22" i="93"/>
  <c r="B22" i="93"/>
  <c r="BC21" i="93"/>
  <c r="AQ21" i="93"/>
  <c r="AF21" i="93"/>
  <c r="C21" i="93"/>
  <c r="B21" i="93"/>
  <c r="BC20" i="93"/>
  <c r="AQ20" i="93"/>
  <c r="AF20" i="93"/>
  <c r="C20" i="93"/>
  <c r="B20" i="93"/>
  <c r="BC19" i="93"/>
  <c r="AQ19" i="93"/>
  <c r="AF19" i="93"/>
  <c r="C19" i="93"/>
  <c r="B19" i="93"/>
  <c r="BC18" i="93"/>
  <c r="AQ18" i="93"/>
  <c r="AF18" i="93"/>
  <c r="C18" i="93"/>
  <c r="B18" i="93"/>
  <c r="BC17" i="93"/>
  <c r="AQ17" i="93"/>
  <c r="AF17" i="93"/>
  <c r="C17" i="93"/>
  <c r="B17" i="93"/>
  <c r="BC16" i="93"/>
  <c r="AQ16" i="93"/>
  <c r="AF16" i="93"/>
  <c r="C16" i="93"/>
  <c r="B16" i="93"/>
  <c r="BC15" i="93"/>
  <c r="AQ15" i="93"/>
  <c r="AF15" i="93"/>
  <c r="C15" i="93"/>
  <c r="B15" i="93"/>
  <c r="BC14" i="93"/>
  <c r="AQ14" i="93"/>
  <c r="AF14" i="93"/>
  <c r="C14" i="93"/>
  <c r="B14" i="93"/>
  <c r="BC13" i="93"/>
  <c r="AQ13" i="93"/>
  <c r="AF13" i="93"/>
  <c r="C13" i="93"/>
  <c r="B13" i="93"/>
  <c r="BC12" i="93"/>
  <c r="AQ12" i="93"/>
  <c r="AF12" i="93"/>
  <c r="C12" i="93"/>
  <c r="B12" i="93"/>
  <c r="BC11" i="93"/>
  <c r="AQ11" i="93"/>
  <c r="AF11" i="93"/>
  <c r="C11" i="93"/>
  <c r="B11" i="93"/>
  <c r="BC10" i="93"/>
  <c r="AQ10" i="93"/>
  <c r="AF10" i="93"/>
  <c r="C10" i="93"/>
  <c r="B10" i="93"/>
  <c r="BC9" i="93"/>
  <c r="AQ9" i="93"/>
  <c r="AF9" i="93"/>
  <c r="C9" i="93"/>
  <c r="B9" i="93"/>
  <c r="BQ8" i="93"/>
  <c r="BL8" i="93"/>
  <c r="BJ8" i="93"/>
  <c r="BH8" i="93"/>
  <c r="BF8" i="93"/>
  <c r="BC8" i="93"/>
  <c r="BB8" i="93"/>
  <c r="AZ8" i="93"/>
  <c r="AX8" i="93"/>
  <c r="AV8" i="93"/>
  <c r="AT8" i="93"/>
  <c r="AQ8" i="93"/>
  <c r="AO8" i="93"/>
  <c r="AM8" i="93"/>
  <c r="AK8" i="93"/>
  <c r="AI8" i="93"/>
  <c r="AF8" i="93"/>
  <c r="AE8" i="93"/>
  <c r="AB8" i="93"/>
  <c r="Y8" i="93"/>
  <c r="V8" i="93"/>
  <c r="S8" i="93"/>
  <c r="P8" i="93"/>
  <c r="M8" i="93"/>
  <c r="J8" i="93"/>
  <c r="G8" i="93"/>
  <c r="C8" i="93"/>
  <c r="B8" i="93"/>
  <c r="BP23" i="92"/>
  <c r="BO23" i="92"/>
  <c r="BM23" i="92"/>
  <c r="BK23" i="92"/>
  <c r="BI23" i="92"/>
  <c r="BG23" i="92"/>
  <c r="BE23" i="92"/>
  <c r="BA23" i="92"/>
  <c r="AY23" i="92"/>
  <c r="AW23" i="92"/>
  <c r="AU23" i="92"/>
  <c r="AS23" i="92"/>
  <c r="AN23" i="92"/>
  <c r="AL23" i="92"/>
  <c r="AJ23" i="92"/>
  <c r="AH23" i="92"/>
  <c r="AD23" i="92"/>
  <c r="AC23" i="92"/>
  <c r="AA23" i="92"/>
  <c r="Z23" i="92"/>
  <c r="X23" i="92"/>
  <c r="W23" i="92"/>
  <c r="U23" i="92"/>
  <c r="T23" i="92"/>
  <c r="R23" i="92"/>
  <c r="Q23" i="92"/>
  <c r="O23" i="92"/>
  <c r="N23" i="92"/>
  <c r="L23" i="92"/>
  <c r="K23" i="92"/>
  <c r="I23" i="92"/>
  <c r="H23" i="92"/>
  <c r="F23" i="92"/>
  <c r="E23" i="92"/>
  <c r="BC22" i="92"/>
  <c r="AQ22" i="92"/>
  <c r="AF22" i="92"/>
  <c r="C22" i="92"/>
  <c r="B22" i="92"/>
  <c r="BC21" i="92"/>
  <c r="AQ21" i="92"/>
  <c r="AF21" i="92"/>
  <c r="C21" i="92"/>
  <c r="B21" i="92"/>
  <c r="BC20" i="92"/>
  <c r="AQ20" i="92"/>
  <c r="AF20" i="92"/>
  <c r="C20" i="92"/>
  <c r="B20" i="92"/>
  <c r="BC19" i="92"/>
  <c r="AQ19" i="92"/>
  <c r="AF19" i="92"/>
  <c r="C19" i="92"/>
  <c r="B19" i="92"/>
  <c r="BC18" i="92"/>
  <c r="AQ18" i="92"/>
  <c r="AF18" i="92"/>
  <c r="C18" i="92"/>
  <c r="B18" i="92"/>
  <c r="BC17" i="92"/>
  <c r="AQ17" i="92"/>
  <c r="AF17" i="92"/>
  <c r="C17" i="92"/>
  <c r="B17" i="92"/>
  <c r="BC16" i="92"/>
  <c r="AQ16" i="92"/>
  <c r="AF16" i="92"/>
  <c r="C16" i="92"/>
  <c r="B16" i="92"/>
  <c r="BC15" i="92"/>
  <c r="AQ15" i="92"/>
  <c r="AF15" i="92"/>
  <c r="C15" i="92"/>
  <c r="B15" i="92"/>
  <c r="BC14" i="92"/>
  <c r="AQ14" i="92"/>
  <c r="AF14" i="92"/>
  <c r="C14" i="92"/>
  <c r="B14" i="92"/>
  <c r="BC13" i="92"/>
  <c r="AQ13" i="92"/>
  <c r="AF13" i="92"/>
  <c r="C13" i="92"/>
  <c r="B13" i="92"/>
  <c r="BC12" i="92"/>
  <c r="AQ12" i="92"/>
  <c r="AF12" i="92"/>
  <c r="C12" i="92"/>
  <c r="B12" i="92"/>
  <c r="BC11" i="92"/>
  <c r="AQ11" i="92"/>
  <c r="AF11" i="92"/>
  <c r="C11" i="92"/>
  <c r="B11" i="92"/>
  <c r="BC10" i="92"/>
  <c r="AQ10" i="92"/>
  <c r="AF10" i="92"/>
  <c r="C10" i="92"/>
  <c r="B10" i="92"/>
  <c r="BC9" i="92"/>
  <c r="AQ9" i="92"/>
  <c r="AF9" i="92"/>
  <c r="C9" i="92"/>
  <c r="B9" i="92"/>
  <c r="BQ8" i="92"/>
  <c r="BL8" i="92"/>
  <c r="BJ8" i="92"/>
  <c r="BH8" i="92"/>
  <c r="BF8" i="92"/>
  <c r="BC8" i="92"/>
  <c r="BB8" i="92"/>
  <c r="AZ8" i="92"/>
  <c r="AX8" i="92"/>
  <c r="AV8" i="92"/>
  <c r="AT8" i="92"/>
  <c r="AQ8" i="92"/>
  <c r="AO8" i="92"/>
  <c r="AM8" i="92"/>
  <c r="AK8" i="92"/>
  <c r="AI8" i="92"/>
  <c r="AF8" i="92"/>
  <c r="AE8" i="92"/>
  <c r="AB8" i="92"/>
  <c r="Y8" i="92"/>
  <c r="V8" i="92"/>
  <c r="S8" i="92"/>
  <c r="P8" i="92"/>
  <c r="M8" i="92"/>
  <c r="J8" i="92"/>
  <c r="G8" i="92"/>
  <c r="C8" i="92"/>
  <c r="B8" i="92"/>
  <c r="BP23" i="91"/>
  <c r="BO23" i="91"/>
  <c r="BM23" i="91"/>
  <c r="BK23" i="91"/>
  <c r="BI23" i="91"/>
  <c r="BG23" i="91"/>
  <c r="BE23" i="91"/>
  <c r="BA23" i="91"/>
  <c r="AY23" i="91"/>
  <c r="AW23" i="91"/>
  <c r="AU23" i="91"/>
  <c r="AS23" i="91"/>
  <c r="AN23" i="91"/>
  <c r="AL23" i="91"/>
  <c r="AJ23" i="91"/>
  <c r="AH23" i="91"/>
  <c r="AD23" i="91"/>
  <c r="AC23" i="91"/>
  <c r="AA23" i="91"/>
  <c r="Z23" i="91"/>
  <c r="X23" i="91"/>
  <c r="W23" i="91"/>
  <c r="U23" i="91"/>
  <c r="T23" i="91"/>
  <c r="R23" i="91"/>
  <c r="Q23" i="91"/>
  <c r="O23" i="91"/>
  <c r="N23" i="91"/>
  <c r="L23" i="91"/>
  <c r="K23" i="91"/>
  <c r="I23" i="91"/>
  <c r="H23" i="91"/>
  <c r="F23" i="91"/>
  <c r="E23" i="91"/>
  <c r="BC22" i="91"/>
  <c r="AQ22" i="91"/>
  <c r="AF22" i="91"/>
  <c r="C22" i="91"/>
  <c r="B22" i="91"/>
  <c r="BC21" i="91"/>
  <c r="AQ21" i="91"/>
  <c r="AF21" i="91"/>
  <c r="C21" i="91"/>
  <c r="B21" i="91"/>
  <c r="BC20" i="91"/>
  <c r="AQ20" i="91"/>
  <c r="AF20" i="91"/>
  <c r="C20" i="91"/>
  <c r="B20" i="91"/>
  <c r="BC19" i="91"/>
  <c r="AQ19" i="91"/>
  <c r="AF19" i="91"/>
  <c r="C19" i="91"/>
  <c r="B19" i="91"/>
  <c r="BC18" i="91"/>
  <c r="AQ18" i="91"/>
  <c r="AF18" i="91"/>
  <c r="C18" i="91"/>
  <c r="B18" i="91"/>
  <c r="BC17" i="91"/>
  <c r="AQ17" i="91"/>
  <c r="AF17" i="91"/>
  <c r="C17" i="91"/>
  <c r="B17" i="91"/>
  <c r="BC16" i="91"/>
  <c r="AQ16" i="91"/>
  <c r="AF16" i="91"/>
  <c r="C16" i="91"/>
  <c r="B16" i="91"/>
  <c r="BC15" i="91"/>
  <c r="AQ15" i="91"/>
  <c r="AF15" i="91"/>
  <c r="C15" i="91"/>
  <c r="B15" i="91"/>
  <c r="BC14" i="91"/>
  <c r="AQ14" i="91"/>
  <c r="AF14" i="91"/>
  <c r="C14" i="91"/>
  <c r="B14" i="91"/>
  <c r="BC13" i="91"/>
  <c r="AQ13" i="91"/>
  <c r="AF13" i="91"/>
  <c r="C13" i="91"/>
  <c r="B13" i="91"/>
  <c r="BC12" i="91"/>
  <c r="AQ12" i="91"/>
  <c r="AF12" i="91"/>
  <c r="C12" i="91"/>
  <c r="B12" i="91"/>
  <c r="BC11" i="91"/>
  <c r="AQ11" i="91"/>
  <c r="AF11" i="91"/>
  <c r="C11" i="91"/>
  <c r="B11" i="91"/>
  <c r="BC10" i="91"/>
  <c r="AQ10" i="91"/>
  <c r="AF10" i="91"/>
  <c r="C10" i="91"/>
  <c r="B10" i="91"/>
  <c r="BC9" i="91"/>
  <c r="AQ9" i="91"/>
  <c r="AF9" i="91"/>
  <c r="C9" i="91"/>
  <c r="B9" i="91"/>
  <c r="BQ8" i="91"/>
  <c r="BL8" i="91"/>
  <c r="BJ8" i="91"/>
  <c r="BH8" i="91"/>
  <c r="BF8" i="91"/>
  <c r="BC8" i="91"/>
  <c r="BB8" i="91"/>
  <c r="AZ8" i="91"/>
  <c r="AX8" i="91"/>
  <c r="AV8" i="91"/>
  <c r="AT8" i="91"/>
  <c r="AQ8" i="91"/>
  <c r="AO8" i="91"/>
  <c r="AM8" i="91"/>
  <c r="AK8" i="91"/>
  <c r="AI8" i="91"/>
  <c r="AF8" i="91"/>
  <c r="AE8" i="91"/>
  <c r="AB8" i="91"/>
  <c r="Y8" i="91"/>
  <c r="V8" i="91"/>
  <c r="S8" i="91"/>
  <c r="P8" i="91"/>
  <c r="M8" i="91"/>
  <c r="J8" i="91"/>
  <c r="G8" i="91"/>
  <c r="C8" i="91"/>
  <c r="B8" i="91"/>
  <c r="BP23" i="90"/>
  <c r="BO23" i="90"/>
  <c r="BM23" i="90"/>
  <c r="BK23" i="90"/>
  <c r="BI23" i="90"/>
  <c r="BG23" i="90"/>
  <c r="BE23" i="90"/>
  <c r="BA23" i="90"/>
  <c r="AY23" i="90"/>
  <c r="AW23" i="90"/>
  <c r="AU23" i="90"/>
  <c r="AS23" i="90"/>
  <c r="AN23" i="90"/>
  <c r="AL23" i="90"/>
  <c r="AJ23" i="90"/>
  <c r="AH23" i="90"/>
  <c r="AD23" i="90"/>
  <c r="AC23" i="90"/>
  <c r="AA23" i="90"/>
  <c r="Z23" i="90"/>
  <c r="X23" i="90"/>
  <c r="W23" i="90"/>
  <c r="U23" i="90"/>
  <c r="T23" i="90"/>
  <c r="R23" i="90"/>
  <c r="Q23" i="90"/>
  <c r="O23" i="90"/>
  <c r="N23" i="90"/>
  <c r="L23" i="90"/>
  <c r="K23" i="90"/>
  <c r="I23" i="90"/>
  <c r="H23" i="90"/>
  <c r="F23" i="90"/>
  <c r="E23" i="90"/>
  <c r="BC22" i="90"/>
  <c r="AQ22" i="90"/>
  <c r="AF22" i="90"/>
  <c r="C22" i="90"/>
  <c r="B22" i="90"/>
  <c r="BC21" i="90"/>
  <c r="AQ21" i="90"/>
  <c r="AF21" i="90"/>
  <c r="C21" i="90"/>
  <c r="B21" i="90"/>
  <c r="BC20" i="90"/>
  <c r="AQ20" i="90"/>
  <c r="AF20" i="90"/>
  <c r="C20" i="90"/>
  <c r="B20" i="90"/>
  <c r="BC19" i="90"/>
  <c r="AQ19" i="90"/>
  <c r="AF19" i="90"/>
  <c r="C19" i="90"/>
  <c r="B19" i="90"/>
  <c r="BC18" i="90"/>
  <c r="AQ18" i="90"/>
  <c r="AF18" i="90"/>
  <c r="C18" i="90"/>
  <c r="B18" i="90"/>
  <c r="BC17" i="90"/>
  <c r="AQ17" i="90"/>
  <c r="AF17" i="90"/>
  <c r="C17" i="90"/>
  <c r="B17" i="90"/>
  <c r="BC16" i="90"/>
  <c r="AQ16" i="90"/>
  <c r="AF16" i="90"/>
  <c r="C16" i="90"/>
  <c r="B16" i="90"/>
  <c r="BC15" i="90"/>
  <c r="AQ15" i="90"/>
  <c r="AF15" i="90"/>
  <c r="C15" i="90"/>
  <c r="B15" i="90"/>
  <c r="BC14" i="90"/>
  <c r="AQ14" i="90"/>
  <c r="AF14" i="90"/>
  <c r="C14" i="90"/>
  <c r="B14" i="90"/>
  <c r="BC13" i="90"/>
  <c r="AQ13" i="90"/>
  <c r="AF13" i="90"/>
  <c r="C13" i="90"/>
  <c r="B13" i="90"/>
  <c r="BC12" i="90"/>
  <c r="AQ12" i="90"/>
  <c r="AF12" i="90"/>
  <c r="C12" i="90"/>
  <c r="B12" i="90"/>
  <c r="BC11" i="90"/>
  <c r="AQ11" i="90"/>
  <c r="AF11" i="90"/>
  <c r="C11" i="90"/>
  <c r="B11" i="90"/>
  <c r="BC10" i="90"/>
  <c r="AQ10" i="90"/>
  <c r="AF10" i="90"/>
  <c r="C10" i="90"/>
  <c r="B10" i="90"/>
  <c r="BC9" i="90"/>
  <c r="AQ9" i="90"/>
  <c r="AF9" i="90"/>
  <c r="C9" i="90"/>
  <c r="B9" i="90"/>
  <c r="BQ8" i="90"/>
  <c r="BL8" i="90"/>
  <c r="BJ8" i="90"/>
  <c r="BH8" i="90"/>
  <c r="BF8" i="90"/>
  <c r="BC8" i="90"/>
  <c r="BB8" i="90"/>
  <c r="AZ8" i="90"/>
  <c r="AX8" i="90"/>
  <c r="AV8" i="90"/>
  <c r="AT8" i="90"/>
  <c r="AQ8" i="90"/>
  <c r="AO8" i="90"/>
  <c r="AM8" i="90"/>
  <c r="AK8" i="90"/>
  <c r="AI8" i="90"/>
  <c r="AF8" i="90"/>
  <c r="AE8" i="90"/>
  <c r="AB8" i="90"/>
  <c r="Y8" i="90"/>
  <c r="V8" i="90"/>
  <c r="S8" i="90"/>
  <c r="P8" i="90"/>
  <c r="M8" i="90"/>
  <c r="J8" i="90"/>
  <c r="G8" i="90"/>
  <c r="C8" i="90"/>
  <c r="B8" i="90"/>
  <c r="BP23" i="89"/>
  <c r="BO23" i="89"/>
  <c r="BM23" i="89"/>
  <c r="BK23" i="89"/>
  <c r="BI23" i="89"/>
  <c r="BG23" i="89"/>
  <c r="BE23" i="89"/>
  <c r="BA23" i="89"/>
  <c r="AY23" i="89"/>
  <c r="AW23" i="89"/>
  <c r="AU23" i="89"/>
  <c r="AS23" i="89"/>
  <c r="AN23" i="89"/>
  <c r="AL23" i="89"/>
  <c r="AJ23" i="89"/>
  <c r="AH23" i="89"/>
  <c r="AD23" i="89"/>
  <c r="AC23" i="89"/>
  <c r="AA23" i="89"/>
  <c r="Z23" i="89"/>
  <c r="X23" i="89"/>
  <c r="W23" i="89"/>
  <c r="U23" i="89"/>
  <c r="T23" i="89"/>
  <c r="R23" i="89"/>
  <c r="Q23" i="89"/>
  <c r="O23" i="89"/>
  <c r="N23" i="89"/>
  <c r="L23" i="89"/>
  <c r="K23" i="89"/>
  <c r="I23" i="89"/>
  <c r="H23" i="89"/>
  <c r="F23" i="89"/>
  <c r="E23" i="89"/>
  <c r="BC22" i="89"/>
  <c r="AQ22" i="89"/>
  <c r="AF22" i="89"/>
  <c r="C22" i="89"/>
  <c r="B22" i="89"/>
  <c r="BC21" i="89"/>
  <c r="AQ21" i="89"/>
  <c r="AF21" i="89"/>
  <c r="C21" i="89"/>
  <c r="B21" i="89"/>
  <c r="BC20" i="89"/>
  <c r="AQ20" i="89"/>
  <c r="AF20" i="89"/>
  <c r="C20" i="89"/>
  <c r="B20" i="89"/>
  <c r="BC19" i="89"/>
  <c r="AQ19" i="89"/>
  <c r="AF19" i="89"/>
  <c r="V19" i="89"/>
  <c r="V19" i="90" s="1"/>
  <c r="V19" i="91" s="1"/>
  <c r="V19" i="92" s="1"/>
  <c r="V19" i="93" s="1"/>
  <c r="V19" i="94" s="1"/>
  <c r="V19" i="95" s="1"/>
  <c r="V19" i="96" s="1"/>
  <c r="V19" i="97" s="1"/>
  <c r="V19" i="98" s="1"/>
  <c r="V19" i="99" s="1"/>
  <c r="V19" i="100" s="1"/>
  <c r="V19" i="101" s="1"/>
  <c r="V19" i="102" s="1"/>
  <c r="C19" i="89"/>
  <c r="B19" i="89"/>
  <c r="BC18" i="89"/>
  <c r="AQ18" i="89"/>
  <c r="AF18" i="89"/>
  <c r="C18" i="89"/>
  <c r="B18" i="89"/>
  <c r="BC17" i="89"/>
  <c r="AQ17" i="89"/>
  <c r="AF17" i="89"/>
  <c r="C17" i="89"/>
  <c r="B17" i="89"/>
  <c r="BH16" i="89"/>
  <c r="BH16" i="90" s="1"/>
  <c r="BH16" i="91" s="1"/>
  <c r="BH16" i="92" s="1"/>
  <c r="BH16" i="93" s="1"/>
  <c r="BH16" i="94" s="1"/>
  <c r="BH16" i="95" s="1"/>
  <c r="BH16" i="96" s="1"/>
  <c r="BH16" i="97" s="1"/>
  <c r="BH16" i="98" s="1"/>
  <c r="BH16" i="99" s="1"/>
  <c r="BH16" i="100" s="1"/>
  <c r="BH16" i="101" s="1"/>
  <c r="BH16" i="102" s="1"/>
  <c r="BC16" i="89"/>
  <c r="AQ16" i="89"/>
  <c r="AF16" i="89"/>
  <c r="C16" i="89"/>
  <c r="B16" i="89"/>
  <c r="BC15" i="89"/>
  <c r="AQ15" i="89"/>
  <c r="AF15" i="89"/>
  <c r="C15" i="89"/>
  <c r="B15" i="89"/>
  <c r="BC14" i="89"/>
  <c r="AQ14" i="89"/>
  <c r="AF14" i="89"/>
  <c r="C14" i="89"/>
  <c r="B14" i="89"/>
  <c r="BC13" i="89"/>
  <c r="AQ13" i="89"/>
  <c r="AF13" i="89"/>
  <c r="C13" i="89"/>
  <c r="B13" i="89"/>
  <c r="BC12" i="89"/>
  <c r="AQ12" i="89"/>
  <c r="AF12" i="89"/>
  <c r="C12" i="89"/>
  <c r="B12" i="89"/>
  <c r="BC11" i="89"/>
  <c r="AQ11" i="89"/>
  <c r="AF11" i="89"/>
  <c r="C11" i="89"/>
  <c r="B11" i="89"/>
  <c r="BC10" i="89"/>
  <c r="AQ10" i="89"/>
  <c r="AF10" i="89"/>
  <c r="C10" i="89"/>
  <c r="B10" i="89"/>
  <c r="BC9" i="89"/>
  <c r="AQ9" i="89"/>
  <c r="AF9" i="89"/>
  <c r="C9" i="89"/>
  <c r="B9" i="89"/>
  <c r="BQ8" i="89"/>
  <c r="BL8" i="89"/>
  <c r="BJ8" i="89"/>
  <c r="BH8" i="89"/>
  <c r="BF8" i="89"/>
  <c r="BC8" i="89"/>
  <c r="BB8" i="89"/>
  <c r="AZ8" i="89"/>
  <c r="AX8" i="89"/>
  <c r="AV8" i="89"/>
  <c r="AT8" i="89"/>
  <c r="AQ8" i="89"/>
  <c r="AO8" i="89"/>
  <c r="AM8" i="89"/>
  <c r="AK8" i="89"/>
  <c r="AI8" i="89"/>
  <c r="AF8" i="89"/>
  <c r="AE8" i="89"/>
  <c r="AB8" i="89"/>
  <c r="Y8" i="89"/>
  <c r="V8" i="89"/>
  <c r="S8" i="89"/>
  <c r="P8" i="89"/>
  <c r="M8" i="89"/>
  <c r="J8" i="89"/>
  <c r="G8" i="89"/>
  <c r="C8" i="89"/>
  <c r="B8" i="89"/>
  <c r="BP23" i="88"/>
  <c r="BO23" i="88"/>
  <c r="BM23" i="88"/>
  <c r="BK23" i="88"/>
  <c r="BI23" i="88"/>
  <c r="BG23" i="88"/>
  <c r="BE23" i="88"/>
  <c r="BA23" i="88"/>
  <c r="AY23" i="88"/>
  <c r="AW23" i="88"/>
  <c r="AU23" i="88"/>
  <c r="AS23" i="88"/>
  <c r="AN23" i="88"/>
  <c r="AL23" i="88"/>
  <c r="AJ23" i="88"/>
  <c r="AH23" i="88"/>
  <c r="AD23" i="88"/>
  <c r="AC23" i="88"/>
  <c r="AA23" i="88"/>
  <c r="Z23" i="88"/>
  <c r="X23" i="88"/>
  <c r="W23" i="88"/>
  <c r="U23" i="88"/>
  <c r="T23" i="88"/>
  <c r="R23" i="88"/>
  <c r="Q23" i="88"/>
  <c r="O23" i="88"/>
  <c r="N23" i="88"/>
  <c r="L23" i="88"/>
  <c r="K23" i="88"/>
  <c r="I23" i="88"/>
  <c r="H23" i="88"/>
  <c r="F23" i="88"/>
  <c r="E23" i="88"/>
  <c r="BC22" i="88"/>
  <c r="AQ22" i="88"/>
  <c r="AF22" i="88"/>
  <c r="C22" i="88"/>
  <c r="B22" i="88"/>
  <c r="BC21" i="88"/>
  <c r="AQ21" i="88"/>
  <c r="AF21" i="88"/>
  <c r="C21" i="88"/>
  <c r="B21" i="88"/>
  <c r="BC20" i="88"/>
  <c r="AQ20" i="88"/>
  <c r="AF20" i="88"/>
  <c r="C20" i="88"/>
  <c r="B20" i="88"/>
  <c r="BC19" i="88"/>
  <c r="AQ19" i="88"/>
  <c r="AF19" i="88"/>
  <c r="C19" i="88"/>
  <c r="B19" i="88"/>
  <c r="BC18" i="88"/>
  <c r="AQ18" i="88"/>
  <c r="AF18" i="88"/>
  <c r="C18" i="88"/>
  <c r="B18" i="88"/>
  <c r="BC17" i="88"/>
  <c r="AQ17" i="88"/>
  <c r="AF17" i="88"/>
  <c r="C17" i="88"/>
  <c r="B17" i="88"/>
  <c r="BC16" i="88"/>
  <c r="AQ16" i="88"/>
  <c r="AF16" i="88"/>
  <c r="C16" i="88"/>
  <c r="B16" i="88"/>
  <c r="BC15" i="88"/>
  <c r="AQ15" i="88"/>
  <c r="AF15" i="88"/>
  <c r="C15" i="88"/>
  <c r="B15" i="88"/>
  <c r="BC14" i="88"/>
  <c r="AQ14" i="88"/>
  <c r="AF14" i="88"/>
  <c r="C14" i="88"/>
  <c r="B14" i="88"/>
  <c r="BC13" i="88"/>
  <c r="AQ13" i="88"/>
  <c r="AF13" i="88"/>
  <c r="C13" i="88"/>
  <c r="B13" i="88"/>
  <c r="BC12" i="88"/>
  <c r="AQ12" i="88"/>
  <c r="AF12" i="88"/>
  <c r="C12" i="88"/>
  <c r="B12" i="88"/>
  <c r="BC11" i="88"/>
  <c r="AQ11" i="88"/>
  <c r="AF11" i="88"/>
  <c r="C11" i="88"/>
  <c r="B11" i="88"/>
  <c r="BC10" i="88"/>
  <c r="AQ10" i="88"/>
  <c r="AF10" i="88"/>
  <c r="C10" i="88"/>
  <c r="B10" i="88"/>
  <c r="BC9" i="88"/>
  <c r="AQ9" i="88"/>
  <c r="AF9" i="88"/>
  <c r="C9" i="88"/>
  <c r="B9" i="88"/>
  <c r="BQ8" i="88"/>
  <c r="BL8" i="88"/>
  <c r="BJ8" i="88"/>
  <c r="BH8" i="88"/>
  <c r="BF8" i="88"/>
  <c r="BC8" i="88"/>
  <c r="BB8" i="88"/>
  <c r="AZ8" i="88"/>
  <c r="AX8" i="88"/>
  <c r="AV8" i="88"/>
  <c r="AT8" i="88"/>
  <c r="AQ8" i="88"/>
  <c r="AO8" i="88"/>
  <c r="AM8" i="88"/>
  <c r="AK8" i="88"/>
  <c r="AI8" i="88"/>
  <c r="AF8" i="88"/>
  <c r="AE8" i="88"/>
  <c r="AB8" i="88"/>
  <c r="Y8" i="88"/>
  <c r="V8" i="88"/>
  <c r="S8" i="88"/>
  <c r="P8" i="88"/>
  <c r="M8" i="88"/>
  <c r="J8" i="88"/>
  <c r="G8" i="88"/>
  <c r="C8" i="88"/>
  <c r="B8" i="88"/>
  <c r="BP23" i="86"/>
  <c r="BO23" i="86"/>
  <c r="BM23" i="86"/>
  <c r="BK23" i="86"/>
  <c r="BI23" i="86"/>
  <c r="BG23" i="86"/>
  <c r="BE23" i="86"/>
  <c r="BA23" i="86"/>
  <c r="AY23" i="86"/>
  <c r="AW23" i="86"/>
  <c r="AU23" i="86"/>
  <c r="AS23" i="86"/>
  <c r="AN23" i="86"/>
  <c r="AL23" i="86"/>
  <c r="AJ23" i="86"/>
  <c r="AH23" i="86"/>
  <c r="AD23" i="86"/>
  <c r="AC23" i="86"/>
  <c r="AA23" i="86"/>
  <c r="Z23" i="86"/>
  <c r="X23" i="86"/>
  <c r="W23" i="86"/>
  <c r="U23" i="86"/>
  <c r="T23" i="86"/>
  <c r="R23" i="86"/>
  <c r="Q23" i="86"/>
  <c r="O23" i="86"/>
  <c r="N23" i="86"/>
  <c r="L23" i="86"/>
  <c r="K23" i="86"/>
  <c r="I23" i="86"/>
  <c r="H23" i="86"/>
  <c r="F23" i="86"/>
  <c r="E23" i="86"/>
  <c r="BC22" i="86"/>
  <c r="AQ22" i="86"/>
  <c r="AF22" i="86"/>
  <c r="C22" i="86"/>
  <c r="B22" i="86"/>
  <c r="BC21" i="86"/>
  <c r="AQ21" i="86"/>
  <c r="AF21" i="86"/>
  <c r="C21" i="86"/>
  <c r="B21" i="86"/>
  <c r="BC20" i="86"/>
  <c r="AQ20" i="86"/>
  <c r="AF20" i="86"/>
  <c r="C20" i="86"/>
  <c r="B20" i="86"/>
  <c r="BC19" i="86"/>
  <c r="AQ19" i="86"/>
  <c r="AF19" i="86"/>
  <c r="C19" i="86"/>
  <c r="B19" i="86"/>
  <c r="BC18" i="86"/>
  <c r="AQ18" i="86"/>
  <c r="AF18" i="86"/>
  <c r="C18" i="86"/>
  <c r="B18" i="86"/>
  <c r="BC17" i="86"/>
  <c r="AQ17" i="86"/>
  <c r="AF17" i="86"/>
  <c r="C17" i="86"/>
  <c r="B17" i="86"/>
  <c r="BC16" i="86"/>
  <c r="AQ16" i="86"/>
  <c r="AF16" i="86"/>
  <c r="C16" i="86"/>
  <c r="B16" i="86"/>
  <c r="BC15" i="86"/>
  <c r="AQ15" i="86"/>
  <c r="AF15" i="86"/>
  <c r="C15" i="86"/>
  <c r="B15" i="86"/>
  <c r="BC14" i="86"/>
  <c r="AQ14" i="86"/>
  <c r="AF14" i="86"/>
  <c r="C14" i="86"/>
  <c r="B14" i="86"/>
  <c r="BC13" i="86"/>
  <c r="AQ13" i="86"/>
  <c r="AF13" i="86"/>
  <c r="C13" i="86"/>
  <c r="B13" i="86"/>
  <c r="BC12" i="86"/>
  <c r="AQ12" i="86"/>
  <c r="AF12" i="86"/>
  <c r="C12" i="86"/>
  <c r="B12" i="86"/>
  <c r="BC11" i="86"/>
  <c r="AQ11" i="86"/>
  <c r="AF11" i="86"/>
  <c r="C11" i="86"/>
  <c r="B11" i="86"/>
  <c r="BC10" i="86"/>
  <c r="AQ10" i="86"/>
  <c r="AF10" i="86"/>
  <c r="C10" i="86"/>
  <c r="B10" i="86"/>
  <c r="BC9" i="86"/>
  <c r="AQ9" i="86"/>
  <c r="AF9" i="86"/>
  <c r="C9" i="86"/>
  <c r="B9" i="86"/>
  <c r="BQ8" i="86"/>
  <c r="BL8" i="86"/>
  <c r="BJ8" i="86"/>
  <c r="BH8" i="86"/>
  <c r="BF8" i="86"/>
  <c r="BC8" i="86"/>
  <c r="BB8" i="86"/>
  <c r="AZ8" i="86"/>
  <c r="AX8" i="86"/>
  <c r="AV8" i="86"/>
  <c r="AT8" i="86"/>
  <c r="AQ8" i="86"/>
  <c r="AO8" i="86"/>
  <c r="AM8" i="86"/>
  <c r="AK8" i="86"/>
  <c r="AI8" i="86"/>
  <c r="AF8" i="86"/>
  <c r="AE8" i="86"/>
  <c r="AB8" i="86"/>
  <c r="Y8" i="86"/>
  <c r="V8" i="86"/>
  <c r="S8" i="86"/>
  <c r="P8" i="86"/>
  <c r="M8" i="86"/>
  <c r="J8" i="86"/>
  <c r="G8" i="86"/>
  <c r="C8" i="86"/>
  <c r="B8" i="86"/>
  <c r="BP23" i="87"/>
  <c r="BO23" i="87"/>
  <c r="BM23" i="87"/>
  <c r="BK23" i="87"/>
  <c r="BI23" i="87"/>
  <c r="BG23" i="87"/>
  <c r="BE23" i="87"/>
  <c r="BA23" i="87"/>
  <c r="AY23" i="87"/>
  <c r="AW23" i="87"/>
  <c r="AU23" i="87"/>
  <c r="AS23" i="87"/>
  <c r="AN23" i="87"/>
  <c r="AL23" i="87"/>
  <c r="AJ23" i="87"/>
  <c r="AH23" i="87"/>
  <c r="AD23" i="87"/>
  <c r="AC23" i="87"/>
  <c r="AA23" i="87"/>
  <c r="Z23" i="87"/>
  <c r="X23" i="87"/>
  <c r="W23" i="87"/>
  <c r="U23" i="87"/>
  <c r="T23" i="87"/>
  <c r="R23" i="87"/>
  <c r="Q23" i="87"/>
  <c r="O23" i="87"/>
  <c r="N23" i="87"/>
  <c r="L23" i="87"/>
  <c r="K23" i="87"/>
  <c r="I23" i="87"/>
  <c r="H23" i="87"/>
  <c r="F23" i="87"/>
  <c r="E23" i="87"/>
  <c r="BC22" i="87"/>
  <c r="AQ22" i="87"/>
  <c r="AF22" i="87"/>
  <c r="C22" i="87"/>
  <c r="B22" i="87"/>
  <c r="BC21" i="87"/>
  <c r="AQ21" i="87"/>
  <c r="AF21" i="87"/>
  <c r="C21" i="87"/>
  <c r="B21" i="87"/>
  <c r="BC20" i="87"/>
  <c r="AQ20" i="87"/>
  <c r="AF20" i="87"/>
  <c r="C20" i="87"/>
  <c r="B20" i="87"/>
  <c r="BC19" i="87"/>
  <c r="AQ19" i="87"/>
  <c r="AF19" i="87"/>
  <c r="C19" i="87"/>
  <c r="B19" i="87"/>
  <c r="BC18" i="87"/>
  <c r="AQ18" i="87"/>
  <c r="AF18" i="87"/>
  <c r="C18" i="87"/>
  <c r="B18" i="87"/>
  <c r="BC17" i="87"/>
  <c r="AQ17" i="87"/>
  <c r="AF17" i="87"/>
  <c r="C17" i="87"/>
  <c r="B17" i="87"/>
  <c r="BC16" i="87"/>
  <c r="AQ16" i="87"/>
  <c r="AF16" i="87"/>
  <c r="C16" i="87"/>
  <c r="B16" i="87"/>
  <c r="BC15" i="87"/>
  <c r="AQ15" i="87"/>
  <c r="AF15" i="87"/>
  <c r="C15" i="87"/>
  <c r="B15" i="87"/>
  <c r="BC14" i="87"/>
  <c r="AQ14" i="87"/>
  <c r="AF14" i="87"/>
  <c r="C14" i="87"/>
  <c r="B14" i="87"/>
  <c r="BC13" i="87"/>
  <c r="AQ13" i="87"/>
  <c r="AF13" i="87"/>
  <c r="C13" i="87"/>
  <c r="B13" i="87"/>
  <c r="BC12" i="87"/>
  <c r="AQ12" i="87"/>
  <c r="AF12" i="87"/>
  <c r="C12" i="87"/>
  <c r="B12" i="87"/>
  <c r="BC11" i="87"/>
  <c r="AQ11" i="87"/>
  <c r="AF11" i="87"/>
  <c r="C11" i="87"/>
  <c r="B11" i="87"/>
  <c r="BC10" i="87"/>
  <c r="AQ10" i="87"/>
  <c r="AF10" i="87"/>
  <c r="C10" i="87"/>
  <c r="B10" i="87"/>
  <c r="BC9" i="87"/>
  <c r="AQ9" i="87"/>
  <c r="AF9" i="87"/>
  <c r="C9" i="87"/>
  <c r="B9" i="87"/>
  <c r="BQ8" i="87"/>
  <c r="BL8" i="87"/>
  <c r="BJ8" i="87"/>
  <c r="BH8" i="87"/>
  <c r="BF8" i="87"/>
  <c r="BC8" i="87"/>
  <c r="BB8" i="87"/>
  <c r="AZ8" i="87"/>
  <c r="AX8" i="87"/>
  <c r="AV8" i="87"/>
  <c r="AT8" i="87"/>
  <c r="AQ8" i="87"/>
  <c r="AO8" i="87"/>
  <c r="AM8" i="87"/>
  <c r="AK8" i="87"/>
  <c r="AI8" i="87"/>
  <c r="AF8" i="87"/>
  <c r="AE8" i="87"/>
  <c r="AB8" i="87"/>
  <c r="Y8" i="87"/>
  <c r="V8" i="87"/>
  <c r="S8" i="87"/>
  <c r="P8" i="87"/>
  <c r="M8" i="87"/>
  <c r="J8" i="87"/>
  <c r="G8" i="87"/>
  <c r="C8" i="87"/>
  <c r="B8" i="87"/>
  <c r="BP23" i="85"/>
  <c r="BO23" i="85"/>
  <c r="BM23" i="85"/>
  <c r="BK23" i="85"/>
  <c r="BI23" i="85"/>
  <c r="BG23" i="85"/>
  <c r="BE23" i="85"/>
  <c r="BA23" i="85"/>
  <c r="AY23" i="85"/>
  <c r="AW23" i="85"/>
  <c r="AU23" i="85"/>
  <c r="AS23" i="85"/>
  <c r="AN23" i="85"/>
  <c r="AL23" i="85"/>
  <c r="AJ23" i="85"/>
  <c r="AH23" i="85"/>
  <c r="AD23" i="85"/>
  <c r="AC23" i="85"/>
  <c r="AA23" i="85"/>
  <c r="Z23" i="85"/>
  <c r="X23" i="85"/>
  <c r="W23" i="85"/>
  <c r="U23" i="85"/>
  <c r="T23" i="85"/>
  <c r="R23" i="85"/>
  <c r="Q23" i="85"/>
  <c r="O23" i="85"/>
  <c r="N23" i="85"/>
  <c r="L23" i="85"/>
  <c r="K23" i="85"/>
  <c r="I23" i="85"/>
  <c r="H23" i="85"/>
  <c r="F23" i="85"/>
  <c r="E23" i="85"/>
  <c r="BQ22" i="85"/>
  <c r="BQ22" i="87" s="1"/>
  <c r="BQ22" i="86" s="1"/>
  <c r="BQ22" i="88" s="1"/>
  <c r="BQ22" i="89" s="1"/>
  <c r="BQ22" i="90" s="1"/>
  <c r="BQ22" i="91" s="1"/>
  <c r="BQ22" i="92" s="1"/>
  <c r="BQ22" i="93" s="1"/>
  <c r="BQ22" i="94" s="1"/>
  <c r="BQ22" i="95" s="1"/>
  <c r="BQ22" i="96" s="1"/>
  <c r="BQ22" i="97" s="1"/>
  <c r="BQ22" i="98" s="1"/>
  <c r="BQ22" i="99" s="1"/>
  <c r="BQ22" i="100" s="1"/>
  <c r="BQ22" i="101" s="1"/>
  <c r="BQ22" i="102" s="1"/>
  <c r="BN22" i="85"/>
  <c r="BN22" i="87" s="1"/>
  <c r="BN22" i="86" s="1"/>
  <c r="BN22" i="88" s="1"/>
  <c r="BN22" i="89" s="1"/>
  <c r="BN22" i="90" s="1"/>
  <c r="BN22" i="91" s="1"/>
  <c r="BN22" i="92" s="1"/>
  <c r="BN22" i="93" s="1"/>
  <c r="BN22" i="94" s="1"/>
  <c r="BN22" i="95" s="1"/>
  <c r="BN22" i="96" s="1"/>
  <c r="BN22" i="97" s="1"/>
  <c r="BN22" i="98" s="1"/>
  <c r="BN22" i="99" s="1"/>
  <c r="BN22" i="100" s="1"/>
  <c r="BN22" i="101" s="1"/>
  <c r="BN22" i="102" s="1"/>
  <c r="BL22" i="85"/>
  <c r="BL22" i="87" s="1"/>
  <c r="BL22" i="86" s="1"/>
  <c r="BL22" i="88" s="1"/>
  <c r="BL22" i="89" s="1"/>
  <c r="BL22" i="90" s="1"/>
  <c r="BL22" i="91" s="1"/>
  <c r="BL22" i="92" s="1"/>
  <c r="BL22" i="93" s="1"/>
  <c r="BL22" i="94" s="1"/>
  <c r="BL22" i="95" s="1"/>
  <c r="BL22" i="96" s="1"/>
  <c r="BL22" i="97" s="1"/>
  <c r="BL22" i="98" s="1"/>
  <c r="BL22" i="99" s="1"/>
  <c r="BL22" i="100" s="1"/>
  <c r="BL22" i="101" s="1"/>
  <c r="BL22" i="102" s="1"/>
  <c r="BJ22" i="85"/>
  <c r="BJ22" i="87" s="1"/>
  <c r="BJ22" i="86" s="1"/>
  <c r="BJ22" i="88" s="1"/>
  <c r="BJ22" i="89" s="1"/>
  <c r="BJ22" i="90" s="1"/>
  <c r="BJ22" i="91" s="1"/>
  <c r="BJ22" i="92" s="1"/>
  <c r="BJ22" i="93" s="1"/>
  <c r="BJ22" i="94" s="1"/>
  <c r="BJ22" i="95" s="1"/>
  <c r="BJ22" i="96" s="1"/>
  <c r="BJ22" i="97" s="1"/>
  <c r="BJ22" i="98" s="1"/>
  <c r="BJ22" i="99" s="1"/>
  <c r="BJ22" i="100" s="1"/>
  <c r="BJ22" i="101" s="1"/>
  <c r="BJ22" i="102" s="1"/>
  <c r="BH22" i="85"/>
  <c r="BH22" i="87" s="1"/>
  <c r="BH22" i="86" s="1"/>
  <c r="BH22" i="88" s="1"/>
  <c r="BH22" i="89" s="1"/>
  <c r="BH22" i="90" s="1"/>
  <c r="BH22" i="91" s="1"/>
  <c r="BH22" i="92" s="1"/>
  <c r="BH22" i="93" s="1"/>
  <c r="BH22" i="94" s="1"/>
  <c r="BH22" i="95" s="1"/>
  <c r="BH22" i="96" s="1"/>
  <c r="BH22" i="97" s="1"/>
  <c r="BH22" i="98" s="1"/>
  <c r="BH22" i="99" s="1"/>
  <c r="BH22" i="100" s="1"/>
  <c r="BH22" i="101" s="1"/>
  <c r="BH22" i="102" s="1"/>
  <c r="BF22" i="85"/>
  <c r="BC22" i="85"/>
  <c r="BB22" i="85"/>
  <c r="BB22" i="87" s="1"/>
  <c r="BB22" i="86" s="1"/>
  <c r="BB22" i="88" s="1"/>
  <c r="BB22" i="89" s="1"/>
  <c r="BB22" i="90" s="1"/>
  <c r="BB22" i="91" s="1"/>
  <c r="BB22" i="92" s="1"/>
  <c r="BB22" i="93" s="1"/>
  <c r="BB22" i="94" s="1"/>
  <c r="BB22" i="95" s="1"/>
  <c r="BB22" i="96" s="1"/>
  <c r="BB22" i="97" s="1"/>
  <c r="BB22" i="98" s="1"/>
  <c r="BB22" i="99" s="1"/>
  <c r="BB22" i="100" s="1"/>
  <c r="BB22" i="101" s="1"/>
  <c r="BB22" i="102" s="1"/>
  <c r="AZ22" i="85"/>
  <c r="AZ22" i="87" s="1"/>
  <c r="AZ22" i="86" s="1"/>
  <c r="AZ22" i="88" s="1"/>
  <c r="AZ22" i="89" s="1"/>
  <c r="AZ22" i="90" s="1"/>
  <c r="AZ22" i="91" s="1"/>
  <c r="AZ22" i="92" s="1"/>
  <c r="AZ22" i="93" s="1"/>
  <c r="AZ22" i="94" s="1"/>
  <c r="AZ22" i="95" s="1"/>
  <c r="AZ22" i="96" s="1"/>
  <c r="AZ22" i="97" s="1"/>
  <c r="AZ22" i="98" s="1"/>
  <c r="AZ22" i="99" s="1"/>
  <c r="AZ22" i="100" s="1"/>
  <c r="AZ22" i="101" s="1"/>
  <c r="AZ22" i="102" s="1"/>
  <c r="AX22" i="85"/>
  <c r="AV22" i="85"/>
  <c r="AV22" i="87" s="1"/>
  <c r="AV22" i="86" s="1"/>
  <c r="AV22" i="88" s="1"/>
  <c r="AV22" i="89" s="1"/>
  <c r="AV22" i="90" s="1"/>
  <c r="AV22" i="91" s="1"/>
  <c r="AV22" i="92" s="1"/>
  <c r="AV22" i="93" s="1"/>
  <c r="AV22" i="94" s="1"/>
  <c r="AV22" i="95" s="1"/>
  <c r="AV22" i="96" s="1"/>
  <c r="AV22" i="97" s="1"/>
  <c r="AV22" i="98" s="1"/>
  <c r="AV22" i="99" s="1"/>
  <c r="AV22" i="100" s="1"/>
  <c r="AV22" i="101" s="1"/>
  <c r="AV22" i="102" s="1"/>
  <c r="AV22" i="103" s="1"/>
  <c r="AT22" i="85"/>
  <c r="AT22" i="87" s="1"/>
  <c r="AQ22" i="85"/>
  <c r="AO22" i="85"/>
  <c r="AO22" i="87" s="1"/>
  <c r="AO22" i="86" s="1"/>
  <c r="AO22" i="88" s="1"/>
  <c r="AO22" i="89" s="1"/>
  <c r="AO22" i="90" s="1"/>
  <c r="AO22" i="91" s="1"/>
  <c r="AO22" i="92" s="1"/>
  <c r="AO22" i="93" s="1"/>
  <c r="AO22" i="94" s="1"/>
  <c r="AO22" i="95" s="1"/>
  <c r="AO22" i="96" s="1"/>
  <c r="AO22" i="97" s="1"/>
  <c r="AO22" i="98" s="1"/>
  <c r="AO22" i="99" s="1"/>
  <c r="AO22" i="100" s="1"/>
  <c r="AO22" i="101" s="1"/>
  <c r="AO22" i="102" s="1"/>
  <c r="AM22" i="85"/>
  <c r="AM22" i="87" s="1"/>
  <c r="AM22" i="86" s="1"/>
  <c r="AM22" i="88" s="1"/>
  <c r="AM22" i="89" s="1"/>
  <c r="AM22" i="90" s="1"/>
  <c r="AM22" i="91" s="1"/>
  <c r="AM22" i="92" s="1"/>
  <c r="AM22" i="93" s="1"/>
  <c r="AM22" i="94" s="1"/>
  <c r="AM22" i="95" s="1"/>
  <c r="AM22" i="96" s="1"/>
  <c r="AM22" i="97" s="1"/>
  <c r="AM22" i="98" s="1"/>
  <c r="AM22" i="99" s="1"/>
  <c r="AM22" i="100" s="1"/>
  <c r="AM22" i="101" s="1"/>
  <c r="AM22" i="102" s="1"/>
  <c r="AK22" i="85"/>
  <c r="AK22" i="87" s="1"/>
  <c r="AK22" i="86" s="1"/>
  <c r="AK22" i="88" s="1"/>
  <c r="AK22" i="89" s="1"/>
  <c r="AK22" i="90" s="1"/>
  <c r="AK22" i="91" s="1"/>
  <c r="AK22" i="92" s="1"/>
  <c r="AK22" i="93" s="1"/>
  <c r="AK22" i="94" s="1"/>
  <c r="AK22" i="95" s="1"/>
  <c r="AK22" i="96" s="1"/>
  <c r="AK22" i="97" s="1"/>
  <c r="AK22" i="98" s="1"/>
  <c r="AK22" i="99" s="1"/>
  <c r="AK22" i="100" s="1"/>
  <c r="AK22" i="101" s="1"/>
  <c r="AK22" i="102" s="1"/>
  <c r="AI22" i="85"/>
  <c r="AI22" i="87" s="1"/>
  <c r="AF22" i="85"/>
  <c r="AE22" i="85"/>
  <c r="AE22" i="87" s="1"/>
  <c r="AE22" i="86" s="1"/>
  <c r="AE22" i="88" s="1"/>
  <c r="AE22" i="89" s="1"/>
  <c r="AE22" i="90" s="1"/>
  <c r="AE22" i="91" s="1"/>
  <c r="AE22" i="92" s="1"/>
  <c r="AE22" i="93" s="1"/>
  <c r="AE22" i="94" s="1"/>
  <c r="AE22" i="95" s="1"/>
  <c r="AE22" i="96" s="1"/>
  <c r="AE22" i="97" s="1"/>
  <c r="AE22" i="98" s="1"/>
  <c r="AE22" i="99" s="1"/>
  <c r="AE22" i="100" s="1"/>
  <c r="AE22" i="101" s="1"/>
  <c r="AE22" i="102" s="1"/>
  <c r="AB22" i="85"/>
  <c r="AB22" i="87" s="1"/>
  <c r="AB22" i="86" s="1"/>
  <c r="AB22" i="88" s="1"/>
  <c r="AB22" i="89" s="1"/>
  <c r="AB22" i="90" s="1"/>
  <c r="AB22" i="91" s="1"/>
  <c r="AB22" i="92" s="1"/>
  <c r="AB22" i="93" s="1"/>
  <c r="AB22" i="94" s="1"/>
  <c r="AB22" i="95" s="1"/>
  <c r="AB22" i="96" s="1"/>
  <c r="AB22" i="97" s="1"/>
  <c r="AB22" i="98" s="1"/>
  <c r="AB22" i="99" s="1"/>
  <c r="AB22" i="100" s="1"/>
  <c r="AB22" i="101" s="1"/>
  <c r="AB22" i="102" s="1"/>
  <c r="Y22" i="85"/>
  <c r="Y22" i="87" s="1"/>
  <c r="Y22" i="86" s="1"/>
  <c r="Y22" i="88" s="1"/>
  <c r="Y22" i="89" s="1"/>
  <c r="Y22" i="90" s="1"/>
  <c r="Y22" i="91" s="1"/>
  <c r="Y22" i="92" s="1"/>
  <c r="Y22" i="93" s="1"/>
  <c r="Y22" i="94" s="1"/>
  <c r="Y22" i="95" s="1"/>
  <c r="Y22" i="96" s="1"/>
  <c r="Y22" i="97" s="1"/>
  <c r="Y22" i="98" s="1"/>
  <c r="Y22" i="99" s="1"/>
  <c r="Y22" i="100" s="1"/>
  <c r="Y22" i="101" s="1"/>
  <c r="Y22" i="102" s="1"/>
  <c r="V22" i="85"/>
  <c r="V22" i="87" s="1"/>
  <c r="V22" i="86" s="1"/>
  <c r="V22" i="88" s="1"/>
  <c r="V22" i="89" s="1"/>
  <c r="V22" i="90" s="1"/>
  <c r="V22" i="91" s="1"/>
  <c r="V22" i="92" s="1"/>
  <c r="V22" i="93" s="1"/>
  <c r="V22" i="94" s="1"/>
  <c r="V22" i="95" s="1"/>
  <c r="V22" i="96" s="1"/>
  <c r="V22" i="97" s="1"/>
  <c r="V22" i="98" s="1"/>
  <c r="V22" i="99" s="1"/>
  <c r="V22" i="100" s="1"/>
  <c r="V22" i="101" s="1"/>
  <c r="V22" i="102" s="1"/>
  <c r="S22" i="85"/>
  <c r="S22" i="87" s="1"/>
  <c r="S22" i="86" s="1"/>
  <c r="S22" i="88" s="1"/>
  <c r="S22" i="89" s="1"/>
  <c r="S22" i="90" s="1"/>
  <c r="S22" i="91" s="1"/>
  <c r="S22" i="92" s="1"/>
  <c r="S22" i="93" s="1"/>
  <c r="S22" i="94" s="1"/>
  <c r="S22" i="95" s="1"/>
  <c r="S22" i="96" s="1"/>
  <c r="S22" i="97" s="1"/>
  <c r="S22" i="98" s="1"/>
  <c r="S22" i="99" s="1"/>
  <c r="S22" i="100" s="1"/>
  <c r="S22" i="101" s="1"/>
  <c r="S22" i="102" s="1"/>
  <c r="P22" i="85"/>
  <c r="P22" i="87" s="1"/>
  <c r="P22" i="86" s="1"/>
  <c r="P22" i="88" s="1"/>
  <c r="P22" i="89" s="1"/>
  <c r="P22" i="90" s="1"/>
  <c r="P22" i="91" s="1"/>
  <c r="P22" i="92" s="1"/>
  <c r="P22" i="93" s="1"/>
  <c r="P22" i="94" s="1"/>
  <c r="P22" i="95" s="1"/>
  <c r="P22" i="96" s="1"/>
  <c r="P22" i="97" s="1"/>
  <c r="P22" i="98" s="1"/>
  <c r="P22" i="99" s="1"/>
  <c r="P22" i="100" s="1"/>
  <c r="P22" i="101" s="1"/>
  <c r="P22" i="102" s="1"/>
  <c r="M22" i="85"/>
  <c r="M22" i="87" s="1"/>
  <c r="M22" i="86" s="1"/>
  <c r="M22" i="88" s="1"/>
  <c r="M22" i="89" s="1"/>
  <c r="M22" i="90" s="1"/>
  <c r="M22" i="91" s="1"/>
  <c r="M22" i="92" s="1"/>
  <c r="M22" i="93" s="1"/>
  <c r="M22" i="94" s="1"/>
  <c r="M22" i="95" s="1"/>
  <c r="M22" i="96" s="1"/>
  <c r="M22" i="97" s="1"/>
  <c r="M22" i="98" s="1"/>
  <c r="M22" i="99" s="1"/>
  <c r="M22" i="100" s="1"/>
  <c r="M22" i="101" s="1"/>
  <c r="M22" i="102" s="1"/>
  <c r="J22" i="85"/>
  <c r="J22" i="87" s="1"/>
  <c r="J22" i="86" s="1"/>
  <c r="J22" i="88" s="1"/>
  <c r="J22" i="89" s="1"/>
  <c r="J22" i="90" s="1"/>
  <c r="J22" i="91" s="1"/>
  <c r="J22" i="92" s="1"/>
  <c r="J22" i="93" s="1"/>
  <c r="J22" i="94" s="1"/>
  <c r="J22" i="95" s="1"/>
  <c r="J22" i="96" s="1"/>
  <c r="J22" i="97" s="1"/>
  <c r="J22" i="98" s="1"/>
  <c r="J22" i="99" s="1"/>
  <c r="J22" i="100" s="1"/>
  <c r="J22" i="101" s="1"/>
  <c r="J22" i="102" s="1"/>
  <c r="G22" i="85"/>
  <c r="G22" i="87" s="1"/>
  <c r="C22" i="85"/>
  <c r="B22" i="85"/>
  <c r="BQ21" i="85"/>
  <c r="BQ21" i="87" s="1"/>
  <c r="BQ21" i="86" s="1"/>
  <c r="BQ21" i="88" s="1"/>
  <c r="BQ21" i="89" s="1"/>
  <c r="BQ21" i="90" s="1"/>
  <c r="BQ21" i="91" s="1"/>
  <c r="BQ21" i="92" s="1"/>
  <c r="BQ21" i="93" s="1"/>
  <c r="BQ21" i="94" s="1"/>
  <c r="BQ21" i="95" s="1"/>
  <c r="BQ21" i="96" s="1"/>
  <c r="BQ21" i="97" s="1"/>
  <c r="BQ21" i="98" s="1"/>
  <c r="BQ21" i="99" s="1"/>
  <c r="BQ21" i="100" s="1"/>
  <c r="BQ21" i="101" s="1"/>
  <c r="BQ21" i="102" s="1"/>
  <c r="BN21" i="85"/>
  <c r="BN21" i="87" s="1"/>
  <c r="BN21" i="86" s="1"/>
  <c r="BN21" i="88" s="1"/>
  <c r="BN21" i="89" s="1"/>
  <c r="BN21" i="90" s="1"/>
  <c r="BN21" i="91" s="1"/>
  <c r="BN21" i="92" s="1"/>
  <c r="BN21" i="93" s="1"/>
  <c r="BN21" i="94" s="1"/>
  <c r="BN21" i="95" s="1"/>
  <c r="BN21" i="96" s="1"/>
  <c r="BN21" i="97" s="1"/>
  <c r="BN21" i="98" s="1"/>
  <c r="BN21" i="99" s="1"/>
  <c r="BN21" i="100" s="1"/>
  <c r="BN21" i="101" s="1"/>
  <c r="BN21" i="102" s="1"/>
  <c r="BL21" i="85"/>
  <c r="BL21" i="87" s="1"/>
  <c r="BL21" i="86" s="1"/>
  <c r="BL21" i="88" s="1"/>
  <c r="BL21" i="89" s="1"/>
  <c r="BL21" i="90" s="1"/>
  <c r="BL21" i="91" s="1"/>
  <c r="BL21" i="92" s="1"/>
  <c r="BL21" i="93" s="1"/>
  <c r="BL21" i="94" s="1"/>
  <c r="BL21" i="95" s="1"/>
  <c r="BL21" i="96" s="1"/>
  <c r="BL21" i="97" s="1"/>
  <c r="BL21" i="98" s="1"/>
  <c r="BL21" i="99" s="1"/>
  <c r="BL21" i="100" s="1"/>
  <c r="BL21" i="101" s="1"/>
  <c r="BL21" i="102" s="1"/>
  <c r="BJ21" i="85"/>
  <c r="BJ21" i="87" s="1"/>
  <c r="BJ21" i="86" s="1"/>
  <c r="BJ21" i="88" s="1"/>
  <c r="BJ21" i="89" s="1"/>
  <c r="BJ21" i="90" s="1"/>
  <c r="BJ21" i="91" s="1"/>
  <c r="BJ21" i="92" s="1"/>
  <c r="BJ21" i="93" s="1"/>
  <c r="BJ21" i="94" s="1"/>
  <c r="BH21" i="85"/>
  <c r="BH21" i="87" s="1"/>
  <c r="BH21" i="86" s="1"/>
  <c r="BH21" i="88" s="1"/>
  <c r="BH21" i="89" s="1"/>
  <c r="BH21" i="90" s="1"/>
  <c r="BH21" i="91" s="1"/>
  <c r="BH21" i="92" s="1"/>
  <c r="BH21" i="93" s="1"/>
  <c r="BH21" i="94" s="1"/>
  <c r="BH21" i="95" s="1"/>
  <c r="BH21" i="96" s="1"/>
  <c r="BH21" i="97" s="1"/>
  <c r="BH21" i="98" s="1"/>
  <c r="BH21" i="99" s="1"/>
  <c r="BH21" i="100" s="1"/>
  <c r="BH21" i="101" s="1"/>
  <c r="BH21" i="102" s="1"/>
  <c r="BF21" i="85"/>
  <c r="BF21" i="87" s="1"/>
  <c r="BC21" i="85"/>
  <c r="BB21" i="85"/>
  <c r="BB21" i="87" s="1"/>
  <c r="BB21" i="86" s="1"/>
  <c r="BB21" i="88" s="1"/>
  <c r="BB21" i="89" s="1"/>
  <c r="BB21" i="90" s="1"/>
  <c r="BB21" i="91" s="1"/>
  <c r="BB21" i="92" s="1"/>
  <c r="BB21" i="93" s="1"/>
  <c r="BB21" i="94" s="1"/>
  <c r="BB21" i="95" s="1"/>
  <c r="BB21" i="96" s="1"/>
  <c r="BB21" i="97" s="1"/>
  <c r="BB21" i="98" s="1"/>
  <c r="BB21" i="99" s="1"/>
  <c r="BB21" i="100" s="1"/>
  <c r="BB21" i="101" s="1"/>
  <c r="BB21" i="102" s="1"/>
  <c r="AZ21" i="85"/>
  <c r="AZ21" i="87" s="1"/>
  <c r="AZ21" i="86" s="1"/>
  <c r="AZ21" i="88" s="1"/>
  <c r="AZ21" i="89" s="1"/>
  <c r="AZ21" i="90" s="1"/>
  <c r="AZ21" i="91" s="1"/>
  <c r="AZ21" i="92" s="1"/>
  <c r="AZ21" i="93" s="1"/>
  <c r="AZ21" i="94" s="1"/>
  <c r="AZ21" i="95" s="1"/>
  <c r="AZ21" i="96" s="1"/>
  <c r="AZ21" i="97" s="1"/>
  <c r="AZ21" i="98" s="1"/>
  <c r="AZ21" i="99" s="1"/>
  <c r="AZ21" i="100" s="1"/>
  <c r="AZ21" i="101" s="1"/>
  <c r="AZ21" i="102" s="1"/>
  <c r="AX21" i="85"/>
  <c r="AX21" i="87" s="1"/>
  <c r="AX21" i="86" s="1"/>
  <c r="AX21" i="88" s="1"/>
  <c r="AX21" i="89" s="1"/>
  <c r="AX21" i="90" s="1"/>
  <c r="AX21" i="91" s="1"/>
  <c r="AX21" i="92" s="1"/>
  <c r="AX21" i="93" s="1"/>
  <c r="AX21" i="94" s="1"/>
  <c r="AX21" i="95" s="1"/>
  <c r="AX21" i="96" s="1"/>
  <c r="AX21" i="97" s="1"/>
  <c r="AX21" i="98" s="1"/>
  <c r="AX21" i="99" s="1"/>
  <c r="AX21" i="100" s="1"/>
  <c r="AX21" i="101" s="1"/>
  <c r="AX21" i="102" s="1"/>
  <c r="AV21" i="85"/>
  <c r="AV21" i="87" s="1"/>
  <c r="AV21" i="86" s="1"/>
  <c r="AV21" i="88" s="1"/>
  <c r="AV21" i="89" s="1"/>
  <c r="AV21" i="90" s="1"/>
  <c r="AV21" i="91" s="1"/>
  <c r="AV21" i="92" s="1"/>
  <c r="AV21" i="93" s="1"/>
  <c r="AV21" i="94" s="1"/>
  <c r="AV21" i="95" s="1"/>
  <c r="AV21" i="96" s="1"/>
  <c r="AV21" i="97" s="1"/>
  <c r="AV21" i="98" s="1"/>
  <c r="AV21" i="99" s="1"/>
  <c r="AV21" i="100" s="1"/>
  <c r="AV21" i="101" s="1"/>
  <c r="AV21" i="102" s="1"/>
  <c r="AT21" i="85"/>
  <c r="AQ21" i="85"/>
  <c r="AO21" i="85"/>
  <c r="AO21" i="87" s="1"/>
  <c r="AO21" i="86" s="1"/>
  <c r="AO21" i="88" s="1"/>
  <c r="AO21" i="89" s="1"/>
  <c r="AO21" i="90" s="1"/>
  <c r="AO21" i="91" s="1"/>
  <c r="AO21" i="92" s="1"/>
  <c r="AO21" i="93" s="1"/>
  <c r="AO21" i="94" s="1"/>
  <c r="AO21" i="95" s="1"/>
  <c r="AO21" i="96" s="1"/>
  <c r="AO21" i="97" s="1"/>
  <c r="AO21" i="98" s="1"/>
  <c r="AO21" i="99" s="1"/>
  <c r="AM21" i="85"/>
  <c r="AM21" i="87" s="1"/>
  <c r="AM21" i="86" s="1"/>
  <c r="AM21" i="88" s="1"/>
  <c r="AM21" i="89" s="1"/>
  <c r="AM21" i="90" s="1"/>
  <c r="AM21" i="91" s="1"/>
  <c r="AM21" i="92" s="1"/>
  <c r="AM21" i="93" s="1"/>
  <c r="AM21" i="94" s="1"/>
  <c r="AM21" i="95" s="1"/>
  <c r="AM21" i="96" s="1"/>
  <c r="AM21" i="97" s="1"/>
  <c r="AM21" i="98" s="1"/>
  <c r="AM21" i="99" s="1"/>
  <c r="AM21" i="100" s="1"/>
  <c r="AM21" i="101" s="1"/>
  <c r="AM21" i="102" s="1"/>
  <c r="AK21" i="85"/>
  <c r="AK21" i="87" s="1"/>
  <c r="AK21" i="86" s="1"/>
  <c r="AK21" i="88" s="1"/>
  <c r="AK21" i="89" s="1"/>
  <c r="AK21" i="90" s="1"/>
  <c r="AK21" i="91" s="1"/>
  <c r="AK21" i="92" s="1"/>
  <c r="AK21" i="93" s="1"/>
  <c r="AK21" i="94" s="1"/>
  <c r="AK21" i="95" s="1"/>
  <c r="AK21" i="96" s="1"/>
  <c r="AK21" i="97" s="1"/>
  <c r="AK21" i="98" s="1"/>
  <c r="AK21" i="99" s="1"/>
  <c r="AK21" i="100" s="1"/>
  <c r="AK21" i="101" s="1"/>
  <c r="AK21" i="102" s="1"/>
  <c r="AI21" i="85"/>
  <c r="AI21" i="87" s="1"/>
  <c r="AI21" i="86" s="1"/>
  <c r="AF21" i="85"/>
  <c r="AE21" i="85"/>
  <c r="AE21" i="87" s="1"/>
  <c r="AE21" i="86" s="1"/>
  <c r="AE21" i="88" s="1"/>
  <c r="AE21" i="89" s="1"/>
  <c r="AE21" i="90" s="1"/>
  <c r="AE21" i="91" s="1"/>
  <c r="AE21" i="92" s="1"/>
  <c r="AE21" i="93" s="1"/>
  <c r="AE21" i="94" s="1"/>
  <c r="AE21" i="95" s="1"/>
  <c r="AE21" i="96" s="1"/>
  <c r="AE21" i="97" s="1"/>
  <c r="AE21" i="98" s="1"/>
  <c r="AE21" i="99" s="1"/>
  <c r="AE21" i="100" s="1"/>
  <c r="AE21" i="101" s="1"/>
  <c r="AE21" i="102" s="1"/>
  <c r="AB21" i="85"/>
  <c r="AB21" i="87" s="1"/>
  <c r="AB21" i="86" s="1"/>
  <c r="AB21" i="88" s="1"/>
  <c r="AB21" i="89" s="1"/>
  <c r="AB21" i="90" s="1"/>
  <c r="AB21" i="91" s="1"/>
  <c r="AB21" i="92" s="1"/>
  <c r="AB21" i="93" s="1"/>
  <c r="AB21" i="94" s="1"/>
  <c r="AB21" i="95" s="1"/>
  <c r="AB21" i="96" s="1"/>
  <c r="AB21" i="97" s="1"/>
  <c r="AB21" i="98" s="1"/>
  <c r="AB21" i="99" s="1"/>
  <c r="AB21" i="100" s="1"/>
  <c r="AB21" i="101" s="1"/>
  <c r="AB21" i="102" s="1"/>
  <c r="Y21" i="85"/>
  <c r="Y21" i="87" s="1"/>
  <c r="Y21" i="86" s="1"/>
  <c r="Y21" i="88" s="1"/>
  <c r="Y21" i="89" s="1"/>
  <c r="Y21" i="90" s="1"/>
  <c r="Y21" i="91" s="1"/>
  <c r="Y21" i="92" s="1"/>
  <c r="Y21" i="93" s="1"/>
  <c r="Y21" i="94" s="1"/>
  <c r="Y21" i="95" s="1"/>
  <c r="Y21" i="96" s="1"/>
  <c r="Y21" i="97" s="1"/>
  <c r="Y21" i="98" s="1"/>
  <c r="Y21" i="99" s="1"/>
  <c r="Y21" i="100" s="1"/>
  <c r="Y21" i="101" s="1"/>
  <c r="Y21" i="102" s="1"/>
  <c r="V21" i="85"/>
  <c r="V21" i="87" s="1"/>
  <c r="V21" i="86" s="1"/>
  <c r="V21" i="88" s="1"/>
  <c r="V21" i="89" s="1"/>
  <c r="V21" i="90" s="1"/>
  <c r="V21" i="91" s="1"/>
  <c r="V21" i="92" s="1"/>
  <c r="V21" i="93" s="1"/>
  <c r="V21" i="94" s="1"/>
  <c r="V21" i="95" s="1"/>
  <c r="V21" i="96" s="1"/>
  <c r="V21" i="97" s="1"/>
  <c r="V21" i="98" s="1"/>
  <c r="V21" i="99" s="1"/>
  <c r="V21" i="100" s="1"/>
  <c r="V21" i="101" s="1"/>
  <c r="V21" i="102" s="1"/>
  <c r="S21" i="85"/>
  <c r="S21" i="87" s="1"/>
  <c r="S21" i="86" s="1"/>
  <c r="S21" i="88" s="1"/>
  <c r="S21" i="89" s="1"/>
  <c r="S21" i="90" s="1"/>
  <c r="S21" i="91" s="1"/>
  <c r="S21" i="92" s="1"/>
  <c r="S21" i="93" s="1"/>
  <c r="S21" i="94" s="1"/>
  <c r="S21" i="95" s="1"/>
  <c r="S21" i="96" s="1"/>
  <c r="S21" i="97" s="1"/>
  <c r="S21" i="98" s="1"/>
  <c r="S21" i="99" s="1"/>
  <c r="S21" i="100" s="1"/>
  <c r="S21" i="101" s="1"/>
  <c r="S21" i="102" s="1"/>
  <c r="P21" i="85"/>
  <c r="P21" i="87" s="1"/>
  <c r="P21" i="86" s="1"/>
  <c r="P21" i="88" s="1"/>
  <c r="P21" i="89" s="1"/>
  <c r="P21" i="90" s="1"/>
  <c r="P21" i="91" s="1"/>
  <c r="P21" i="92" s="1"/>
  <c r="P21" i="93" s="1"/>
  <c r="P21" i="94" s="1"/>
  <c r="P21" i="95" s="1"/>
  <c r="P21" i="96" s="1"/>
  <c r="P21" i="97" s="1"/>
  <c r="P21" i="98" s="1"/>
  <c r="P21" i="99" s="1"/>
  <c r="P21" i="100" s="1"/>
  <c r="P21" i="101" s="1"/>
  <c r="P21" i="102" s="1"/>
  <c r="M21" i="85"/>
  <c r="M21" i="87" s="1"/>
  <c r="M21" i="86" s="1"/>
  <c r="M21" i="88" s="1"/>
  <c r="M21" i="89" s="1"/>
  <c r="M21" i="90" s="1"/>
  <c r="M21" i="91" s="1"/>
  <c r="M21" i="92" s="1"/>
  <c r="M21" i="93" s="1"/>
  <c r="M21" i="94" s="1"/>
  <c r="M21" i="95" s="1"/>
  <c r="M21" i="96" s="1"/>
  <c r="M21" i="97" s="1"/>
  <c r="M21" i="98" s="1"/>
  <c r="M21" i="99" s="1"/>
  <c r="M21" i="100" s="1"/>
  <c r="M21" i="101" s="1"/>
  <c r="M21" i="102" s="1"/>
  <c r="J21" i="85"/>
  <c r="J21" i="87" s="1"/>
  <c r="J21" i="86" s="1"/>
  <c r="J21" i="88" s="1"/>
  <c r="J21" i="89" s="1"/>
  <c r="J21" i="90" s="1"/>
  <c r="J21" i="91" s="1"/>
  <c r="J21" i="92" s="1"/>
  <c r="J21" i="93" s="1"/>
  <c r="J21" i="94" s="1"/>
  <c r="J21" i="95" s="1"/>
  <c r="J21" i="96" s="1"/>
  <c r="J21" i="97" s="1"/>
  <c r="J21" i="98" s="1"/>
  <c r="J21" i="99" s="1"/>
  <c r="J21" i="100" s="1"/>
  <c r="J21" i="101" s="1"/>
  <c r="J21" i="102" s="1"/>
  <c r="G21" i="85"/>
  <c r="G21" i="87" s="1"/>
  <c r="C21" i="85"/>
  <c r="B21" i="85"/>
  <c r="BQ20" i="85"/>
  <c r="BQ20" i="87" s="1"/>
  <c r="BQ20" i="86" s="1"/>
  <c r="BQ20" i="88" s="1"/>
  <c r="BQ20" i="89" s="1"/>
  <c r="BQ20" i="90" s="1"/>
  <c r="BQ20" i="91" s="1"/>
  <c r="BQ20" i="92" s="1"/>
  <c r="BQ20" i="93" s="1"/>
  <c r="BQ20" i="94" s="1"/>
  <c r="BQ20" i="95" s="1"/>
  <c r="BQ20" i="96" s="1"/>
  <c r="BQ20" i="97" s="1"/>
  <c r="BQ20" i="98" s="1"/>
  <c r="BQ20" i="99" s="1"/>
  <c r="BQ20" i="100" s="1"/>
  <c r="BQ20" i="101" s="1"/>
  <c r="BQ20" i="102" s="1"/>
  <c r="BN20" i="85"/>
  <c r="BN20" i="87" s="1"/>
  <c r="BN20" i="86" s="1"/>
  <c r="BN20" i="88" s="1"/>
  <c r="BN20" i="89" s="1"/>
  <c r="BN20" i="90" s="1"/>
  <c r="BN20" i="91" s="1"/>
  <c r="BN20" i="92" s="1"/>
  <c r="BN20" i="93" s="1"/>
  <c r="BN20" i="94" s="1"/>
  <c r="BN20" i="95" s="1"/>
  <c r="BN20" i="96" s="1"/>
  <c r="BN20" i="97" s="1"/>
  <c r="BN20" i="98" s="1"/>
  <c r="BN20" i="99" s="1"/>
  <c r="BN20" i="100" s="1"/>
  <c r="BN20" i="101" s="1"/>
  <c r="BN20" i="102" s="1"/>
  <c r="BL20" i="85"/>
  <c r="BL20" i="87" s="1"/>
  <c r="BL20" i="86" s="1"/>
  <c r="BL20" i="88" s="1"/>
  <c r="BL20" i="89" s="1"/>
  <c r="BL20" i="90" s="1"/>
  <c r="BL20" i="91" s="1"/>
  <c r="BL20" i="92" s="1"/>
  <c r="BL20" i="93" s="1"/>
  <c r="BL20" i="94" s="1"/>
  <c r="BL20" i="95" s="1"/>
  <c r="BL20" i="96" s="1"/>
  <c r="BL20" i="97" s="1"/>
  <c r="BL20" i="98" s="1"/>
  <c r="BL20" i="99" s="1"/>
  <c r="BJ20" i="85"/>
  <c r="BJ20" i="87" s="1"/>
  <c r="BJ20" i="86" s="1"/>
  <c r="BJ20" i="88" s="1"/>
  <c r="BJ20" i="89" s="1"/>
  <c r="BJ20" i="90" s="1"/>
  <c r="BJ20" i="91" s="1"/>
  <c r="BJ20" i="92" s="1"/>
  <c r="BJ20" i="93" s="1"/>
  <c r="BJ20" i="94" s="1"/>
  <c r="BJ20" i="95" s="1"/>
  <c r="BJ20" i="96" s="1"/>
  <c r="BJ20" i="97" s="1"/>
  <c r="BJ20" i="98" s="1"/>
  <c r="BJ20" i="99" s="1"/>
  <c r="BJ20" i="100" s="1"/>
  <c r="BJ20" i="101" s="1"/>
  <c r="BJ20" i="102" s="1"/>
  <c r="BH20" i="85"/>
  <c r="BH20" i="87" s="1"/>
  <c r="BH20" i="86" s="1"/>
  <c r="BH20" i="88" s="1"/>
  <c r="BH20" i="89" s="1"/>
  <c r="BH20" i="90" s="1"/>
  <c r="BH20" i="91" s="1"/>
  <c r="BH20" i="92" s="1"/>
  <c r="BH20" i="93" s="1"/>
  <c r="BH20" i="94" s="1"/>
  <c r="BH20" i="95" s="1"/>
  <c r="BH20" i="96" s="1"/>
  <c r="BH20" i="97" s="1"/>
  <c r="BH20" i="98" s="1"/>
  <c r="BH20" i="99" s="1"/>
  <c r="BH20" i="100" s="1"/>
  <c r="BH20" i="101" s="1"/>
  <c r="BH20" i="102" s="1"/>
  <c r="BF20" i="85"/>
  <c r="BF20" i="87" s="1"/>
  <c r="BF20" i="86" s="1"/>
  <c r="BC20" i="85"/>
  <c r="BB20" i="85"/>
  <c r="BB20" i="87" s="1"/>
  <c r="BB20" i="86" s="1"/>
  <c r="BB20" i="88" s="1"/>
  <c r="BB20" i="89" s="1"/>
  <c r="BB20" i="90" s="1"/>
  <c r="BB20" i="91" s="1"/>
  <c r="BB20" i="92" s="1"/>
  <c r="BB20" i="93" s="1"/>
  <c r="BB20" i="94" s="1"/>
  <c r="BB20" i="95" s="1"/>
  <c r="BB20" i="96" s="1"/>
  <c r="BB20" i="97" s="1"/>
  <c r="BB20" i="98" s="1"/>
  <c r="BB20" i="99" s="1"/>
  <c r="BB20" i="100" s="1"/>
  <c r="BB20" i="101" s="1"/>
  <c r="BB20" i="102" s="1"/>
  <c r="AZ20" i="85"/>
  <c r="AZ20" i="87" s="1"/>
  <c r="AZ20" i="86" s="1"/>
  <c r="AZ20" i="88" s="1"/>
  <c r="AZ20" i="89" s="1"/>
  <c r="AZ20" i="90" s="1"/>
  <c r="AZ20" i="91" s="1"/>
  <c r="AZ20" i="92" s="1"/>
  <c r="AZ20" i="93" s="1"/>
  <c r="AZ20" i="94" s="1"/>
  <c r="AZ20" i="95" s="1"/>
  <c r="AZ20" i="96" s="1"/>
  <c r="AZ20" i="97" s="1"/>
  <c r="AZ20" i="98" s="1"/>
  <c r="AZ20" i="99" s="1"/>
  <c r="AZ20" i="100" s="1"/>
  <c r="AZ20" i="101" s="1"/>
  <c r="AZ20" i="102" s="1"/>
  <c r="AX20" i="85"/>
  <c r="AX20" i="87" s="1"/>
  <c r="AX20" i="86" s="1"/>
  <c r="AX20" i="88" s="1"/>
  <c r="AX20" i="89" s="1"/>
  <c r="AX20" i="90" s="1"/>
  <c r="AX20" i="91" s="1"/>
  <c r="AX20" i="92" s="1"/>
  <c r="AX20" i="93" s="1"/>
  <c r="AX20" i="94" s="1"/>
  <c r="AX20" i="95" s="1"/>
  <c r="AX20" i="96" s="1"/>
  <c r="AX20" i="97" s="1"/>
  <c r="AX20" i="98" s="1"/>
  <c r="AX20" i="99" s="1"/>
  <c r="AX20" i="100" s="1"/>
  <c r="AX20" i="101" s="1"/>
  <c r="AX20" i="102" s="1"/>
  <c r="AV20" i="85"/>
  <c r="AV20" i="87" s="1"/>
  <c r="AV20" i="86" s="1"/>
  <c r="AV20" i="88" s="1"/>
  <c r="AV20" i="89" s="1"/>
  <c r="AV20" i="90" s="1"/>
  <c r="AV20" i="91" s="1"/>
  <c r="AV20" i="92" s="1"/>
  <c r="AV20" i="93" s="1"/>
  <c r="AV20" i="94" s="1"/>
  <c r="AT20" i="85"/>
  <c r="AT20" i="87" s="1"/>
  <c r="AQ20" i="85"/>
  <c r="AO20" i="85"/>
  <c r="AO20" i="87" s="1"/>
  <c r="AO20" i="86" s="1"/>
  <c r="AO20" i="88" s="1"/>
  <c r="AO20" i="89" s="1"/>
  <c r="AO20" i="90" s="1"/>
  <c r="AO20" i="91" s="1"/>
  <c r="AO20" i="92" s="1"/>
  <c r="AO20" i="93" s="1"/>
  <c r="AO20" i="94" s="1"/>
  <c r="AO20" i="95" s="1"/>
  <c r="AO20" i="96" s="1"/>
  <c r="AO20" i="97" s="1"/>
  <c r="AO20" i="98" s="1"/>
  <c r="AO20" i="99" s="1"/>
  <c r="AO20" i="100" s="1"/>
  <c r="AO20" i="101" s="1"/>
  <c r="AO20" i="102" s="1"/>
  <c r="AM20" i="85"/>
  <c r="AM20" i="87" s="1"/>
  <c r="AM20" i="86" s="1"/>
  <c r="AM20" i="88" s="1"/>
  <c r="AM20" i="89" s="1"/>
  <c r="AM20" i="90" s="1"/>
  <c r="AM20" i="91" s="1"/>
  <c r="AM20" i="92" s="1"/>
  <c r="AM20" i="93" s="1"/>
  <c r="AM20" i="94" s="1"/>
  <c r="AM20" i="95" s="1"/>
  <c r="AM20" i="96" s="1"/>
  <c r="AM20" i="97" s="1"/>
  <c r="AM20" i="98" s="1"/>
  <c r="AM20" i="99" s="1"/>
  <c r="AM20" i="100" s="1"/>
  <c r="AM20" i="101" s="1"/>
  <c r="AM20" i="102" s="1"/>
  <c r="AK20" i="85"/>
  <c r="AK20" i="87" s="1"/>
  <c r="AK20" i="86" s="1"/>
  <c r="AK20" i="88" s="1"/>
  <c r="AK20" i="89" s="1"/>
  <c r="AK20" i="90" s="1"/>
  <c r="AK20" i="91" s="1"/>
  <c r="AK20" i="92" s="1"/>
  <c r="AK20" i="93" s="1"/>
  <c r="AK20" i="94" s="1"/>
  <c r="AK20" i="95" s="1"/>
  <c r="AK20" i="96" s="1"/>
  <c r="AK20" i="97" s="1"/>
  <c r="AK20" i="98" s="1"/>
  <c r="AK20" i="99" s="1"/>
  <c r="AK20" i="100" s="1"/>
  <c r="AK20" i="101" s="1"/>
  <c r="AK20" i="102" s="1"/>
  <c r="AI20" i="85"/>
  <c r="AI20" i="87" s="1"/>
  <c r="AF20" i="85"/>
  <c r="AE20" i="85"/>
  <c r="AE20" i="87" s="1"/>
  <c r="AE20" i="86" s="1"/>
  <c r="AE20" i="88" s="1"/>
  <c r="AE20" i="89" s="1"/>
  <c r="AE20" i="90" s="1"/>
  <c r="AE20" i="91" s="1"/>
  <c r="AE20" i="92" s="1"/>
  <c r="AE20" i="93" s="1"/>
  <c r="AE20" i="94" s="1"/>
  <c r="AE20" i="95" s="1"/>
  <c r="AE20" i="96" s="1"/>
  <c r="AE20" i="97" s="1"/>
  <c r="AE20" i="98" s="1"/>
  <c r="AE20" i="99" s="1"/>
  <c r="AE20" i="100" s="1"/>
  <c r="AE20" i="101" s="1"/>
  <c r="AE20" i="102" s="1"/>
  <c r="AB20" i="85"/>
  <c r="AB20" i="87" s="1"/>
  <c r="AB20" i="86" s="1"/>
  <c r="AB20" i="88" s="1"/>
  <c r="AB20" i="89" s="1"/>
  <c r="AB20" i="90" s="1"/>
  <c r="AB20" i="91" s="1"/>
  <c r="AB20" i="92" s="1"/>
  <c r="AB20" i="93" s="1"/>
  <c r="AB20" i="94" s="1"/>
  <c r="AB20" i="95" s="1"/>
  <c r="AB20" i="96" s="1"/>
  <c r="AB20" i="97" s="1"/>
  <c r="AB20" i="98" s="1"/>
  <c r="AB20" i="99" s="1"/>
  <c r="AB20" i="100" s="1"/>
  <c r="AB20" i="101" s="1"/>
  <c r="AB20" i="102" s="1"/>
  <c r="Y20" i="85"/>
  <c r="Y20" i="87" s="1"/>
  <c r="Y20" i="86" s="1"/>
  <c r="Y20" i="88" s="1"/>
  <c r="Y20" i="89" s="1"/>
  <c r="Y20" i="90" s="1"/>
  <c r="Y20" i="91" s="1"/>
  <c r="Y20" i="92" s="1"/>
  <c r="Y20" i="93" s="1"/>
  <c r="Y20" i="94" s="1"/>
  <c r="V20" i="85"/>
  <c r="V20" i="87" s="1"/>
  <c r="V20" i="86" s="1"/>
  <c r="V20" i="88" s="1"/>
  <c r="V20" i="89" s="1"/>
  <c r="V20" i="90" s="1"/>
  <c r="V20" i="91" s="1"/>
  <c r="V20" i="92" s="1"/>
  <c r="V20" i="93" s="1"/>
  <c r="V20" i="94" s="1"/>
  <c r="V20" i="95" s="1"/>
  <c r="V20" i="96" s="1"/>
  <c r="V20" i="97" s="1"/>
  <c r="V20" i="98" s="1"/>
  <c r="V20" i="99" s="1"/>
  <c r="V20" i="100" s="1"/>
  <c r="V20" i="101" s="1"/>
  <c r="V20" i="102" s="1"/>
  <c r="S20" i="85"/>
  <c r="S20" i="87" s="1"/>
  <c r="S20" i="86" s="1"/>
  <c r="S20" i="88" s="1"/>
  <c r="S20" i="89" s="1"/>
  <c r="S20" i="90" s="1"/>
  <c r="S20" i="91" s="1"/>
  <c r="S20" i="92" s="1"/>
  <c r="S20" i="93" s="1"/>
  <c r="S20" i="94" s="1"/>
  <c r="S20" i="95" s="1"/>
  <c r="S20" i="96" s="1"/>
  <c r="S20" i="97" s="1"/>
  <c r="S20" i="98" s="1"/>
  <c r="S20" i="99" s="1"/>
  <c r="S20" i="100" s="1"/>
  <c r="S20" i="101" s="1"/>
  <c r="S20" i="102" s="1"/>
  <c r="P20" i="85"/>
  <c r="P20" i="87" s="1"/>
  <c r="P20" i="86" s="1"/>
  <c r="P20" i="88" s="1"/>
  <c r="P20" i="89" s="1"/>
  <c r="P20" i="90" s="1"/>
  <c r="P20" i="91" s="1"/>
  <c r="P20" i="92" s="1"/>
  <c r="P20" i="93" s="1"/>
  <c r="P20" i="94" s="1"/>
  <c r="P20" i="95" s="1"/>
  <c r="P20" i="96" s="1"/>
  <c r="P20" i="97" s="1"/>
  <c r="P20" i="98" s="1"/>
  <c r="P20" i="99" s="1"/>
  <c r="P20" i="100" s="1"/>
  <c r="P20" i="101" s="1"/>
  <c r="P20" i="102" s="1"/>
  <c r="M20" i="85"/>
  <c r="M20" i="87" s="1"/>
  <c r="M20" i="86" s="1"/>
  <c r="M20" i="88" s="1"/>
  <c r="M20" i="89" s="1"/>
  <c r="M20" i="90" s="1"/>
  <c r="M20" i="91" s="1"/>
  <c r="M20" i="92" s="1"/>
  <c r="M20" i="93" s="1"/>
  <c r="M20" i="94" s="1"/>
  <c r="M20" i="95" s="1"/>
  <c r="M20" i="96" s="1"/>
  <c r="M20" i="97" s="1"/>
  <c r="M20" i="98" s="1"/>
  <c r="M20" i="99" s="1"/>
  <c r="M20" i="100" s="1"/>
  <c r="M20" i="101" s="1"/>
  <c r="M20" i="102" s="1"/>
  <c r="J20" i="85"/>
  <c r="J20" i="87" s="1"/>
  <c r="J20" i="86" s="1"/>
  <c r="J20" i="88" s="1"/>
  <c r="J20" i="89" s="1"/>
  <c r="J20" i="90" s="1"/>
  <c r="J20" i="91" s="1"/>
  <c r="J20" i="92" s="1"/>
  <c r="J20" i="93" s="1"/>
  <c r="J20" i="94" s="1"/>
  <c r="J20" i="95" s="1"/>
  <c r="J20" i="96" s="1"/>
  <c r="J20" i="97" s="1"/>
  <c r="J20" i="98" s="1"/>
  <c r="J20" i="99" s="1"/>
  <c r="J20" i="100" s="1"/>
  <c r="J20" i="101" s="1"/>
  <c r="J20" i="102" s="1"/>
  <c r="G20" i="85"/>
  <c r="G20" i="87" s="1"/>
  <c r="G20" i="86" s="1"/>
  <c r="C20" i="85"/>
  <c r="B20" i="85"/>
  <c r="BQ19" i="85"/>
  <c r="BQ19" i="87" s="1"/>
  <c r="BQ19" i="86" s="1"/>
  <c r="BQ19" i="88" s="1"/>
  <c r="BQ19" i="89" s="1"/>
  <c r="BQ19" i="90" s="1"/>
  <c r="BQ19" i="91" s="1"/>
  <c r="BQ19" i="92" s="1"/>
  <c r="BQ19" i="93" s="1"/>
  <c r="BQ19" i="94" s="1"/>
  <c r="BQ19" i="95" s="1"/>
  <c r="BQ19" i="96" s="1"/>
  <c r="BQ19" i="97" s="1"/>
  <c r="BQ19" i="98" s="1"/>
  <c r="BQ19" i="99" s="1"/>
  <c r="BQ19" i="100" s="1"/>
  <c r="BQ19" i="101" s="1"/>
  <c r="BQ19" i="102" s="1"/>
  <c r="BN19" i="85"/>
  <c r="BN19" i="87" s="1"/>
  <c r="BN19" i="86" s="1"/>
  <c r="BN19" i="88" s="1"/>
  <c r="BN19" i="89" s="1"/>
  <c r="BN19" i="90" s="1"/>
  <c r="BN19" i="91" s="1"/>
  <c r="BN19" i="92" s="1"/>
  <c r="BN19" i="93" s="1"/>
  <c r="BN19" i="94" s="1"/>
  <c r="BN19" i="95" s="1"/>
  <c r="BN19" i="96" s="1"/>
  <c r="BN19" i="97" s="1"/>
  <c r="BN19" i="98" s="1"/>
  <c r="BN19" i="99" s="1"/>
  <c r="BN19" i="100" s="1"/>
  <c r="BN19" i="101" s="1"/>
  <c r="BN19" i="102" s="1"/>
  <c r="BL19" i="85"/>
  <c r="BL19" i="87" s="1"/>
  <c r="BL19" i="86" s="1"/>
  <c r="BL19" i="88" s="1"/>
  <c r="BL19" i="89" s="1"/>
  <c r="BL19" i="90" s="1"/>
  <c r="BL19" i="91" s="1"/>
  <c r="BL19" i="92" s="1"/>
  <c r="BL19" i="93" s="1"/>
  <c r="BL19" i="94" s="1"/>
  <c r="BL19" i="95" s="1"/>
  <c r="BL19" i="96" s="1"/>
  <c r="BL19" i="97" s="1"/>
  <c r="BL19" i="98" s="1"/>
  <c r="BL19" i="99" s="1"/>
  <c r="BL19" i="100" s="1"/>
  <c r="BL19" i="101" s="1"/>
  <c r="BL19" i="102" s="1"/>
  <c r="BJ19" i="85"/>
  <c r="BJ19" i="87" s="1"/>
  <c r="BJ19" i="86" s="1"/>
  <c r="BJ19" i="88" s="1"/>
  <c r="BJ19" i="89" s="1"/>
  <c r="BJ19" i="90" s="1"/>
  <c r="BJ19" i="91" s="1"/>
  <c r="BJ19" i="92" s="1"/>
  <c r="BJ19" i="93" s="1"/>
  <c r="BJ19" i="94" s="1"/>
  <c r="BJ19" i="95" s="1"/>
  <c r="BJ19" i="96" s="1"/>
  <c r="BJ19" i="97" s="1"/>
  <c r="BJ19" i="98" s="1"/>
  <c r="BJ19" i="99" s="1"/>
  <c r="BJ19" i="100" s="1"/>
  <c r="BJ19" i="101" s="1"/>
  <c r="BJ19" i="102" s="1"/>
  <c r="BH19" i="85"/>
  <c r="BH19" i="87" s="1"/>
  <c r="BH19" i="86" s="1"/>
  <c r="BH19" i="88" s="1"/>
  <c r="BH19" i="89" s="1"/>
  <c r="BH19" i="90" s="1"/>
  <c r="BH19" i="91" s="1"/>
  <c r="BH19" i="92" s="1"/>
  <c r="BH19" i="93" s="1"/>
  <c r="BH19" i="94" s="1"/>
  <c r="BH19" i="95" s="1"/>
  <c r="BH19" i="96" s="1"/>
  <c r="BH19" i="97" s="1"/>
  <c r="BH19" i="98" s="1"/>
  <c r="BH19" i="99" s="1"/>
  <c r="BH19" i="100" s="1"/>
  <c r="BH19" i="101" s="1"/>
  <c r="BH19" i="102" s="1"/>
  <c r="BF19" i="85"/>
  <c r="BF19" i="87" s="1"/>
  <c r="BC19" i="85"/>
  <c r="BB19" i="85"/>
  <c r="BB19" i="87" s="1"/>
  <c r="BB19" i="86" s="1"/>
  <c r="BB19" i="88" s="1"/>
  <c r="BB19" i="89" s="1"/>
  <c r="BB19" i="90" s="1"/>
  <c r="BB19" i="91" s="1"/>
  <c r="BB19" i="92" s="1"/>
  <c r="BB19" i="93" s="1"/>
  <c r="BB19" i="94" s="1"/>
  <c r="BB19" i="95" s="1"/>
  <c r="BB19" i="96" s="1"/>
  <c r="BB19" i="97" s="1"/>
  <c r="BB19" i="98" s="1"/>
  <c r="BB19" i="99" s="1"/>
  <c r="BB19" i="100" s="1"/>
  <c r="BB19" i="101" s="1"/>
  <c r="BB19" i="102" s="1"/>
  <c r="AZ19" i="85"/>
  <c r="AZ19" i="87" s="1"/>
  <c r="AZ19" i="86" s="1"/>
  <c r="AZ19" i="88" s="1"/>
  <c r="AZ19" i="89" s="1"/>
  <c r="AZ19" i="90" s="1"/>
  <c r="AZ19" i="91" s="1"/>
  <c r="AZ19" i="92" s="1"/>
  <c r="AZ19" i="93" s="1"/>
  <c r="AZ19" i="94" s="1"/>
  <c r="AZ19" i="95" s="1"/>
  <c r="AZ19" i="96" s="1"/>
  <c r="AZ19" i="97" s="1"/>
  <c r="AZ19" i="98" s="1"/>
  <c r="AZ19" i="99" s="1"/>
  <c r="AZ19" i="100" s="1"/>
  <c r="AZ19" i="101" s="1"/>
  <c r="AZ19" i="102" s="1"/>
  <c r="AX19" i="85"/>
  <c r="AX19" i="87" s="1"/>
  <c r="AX19" i="86" s="1"/>
  <c r="AX19" i="88" s="1"/>
  <c r="AX19" i="89" s="1"/>
  <c r="AX19" i="90" s="1"/>
  <c r="AX19" i="91" s="1"/>
  <c r="AX19" i="92" s="1"/>
  <c r="AX19" i="93" s="1"/>
  <c r="AX19" i="94" s="1"/>
  <c r="AX19" i="95" s="1"/>
  <c r="AX19" i="96" s="1"/>
  <c r="AX19" i="97" s="1"/>
  <c r="AX19" i="98" s="1"/>
  <c r="AX19" i="99" s="1"/>
  <c r="AX19" i="100" s="1"/>
  <c r="AX19" i="101" s="1"/>
  <c r="AX19" i="102" s="1"/>
  <c r="AV19" i="85"/>
  <c r="AV19" i="87" s="1"/>
  <c r="AV19" i="86" s="1"/>
  <c r="AV19" i="88" s="1"/>
  <c r="AV19" i="89" s="1"/>
  <c r="AV19" i="90" s="1"/>
  <c r="AV19" i="91" s="1"/>
  <c r="AV19" i="92" s="1"/>
  <c r="AV19" i="93" s="1"/>
  <c r="AV19" i="94" s="1"/>
  <c r="AV19" i="95" s="1"/>
  <c r="AV19" i="96" s="1"/>
  <c r="AV19" i="97" s="1"/>
  <c r="AV19" i="98" s="1"/>
  <c r="AV19" i="99" s="1"/>
  <c r="AT19" i="85"/>
  <c r="AT19" i="87" s="1"/>
  <c r="AT19" i="86" s="1"/>
  <c r="AQ19" i="85"/>
  <c r="AO19" i="85"/>
  <c r="AO19" i="87" s="1"/>
  <c r="AO19" i="86" s="1"/>
  <c r="AO19" i="88" s="1"/>
  <c r="AO19" i="89" s="1"/>
  <c r="AO19" i="90" s="1"/>
  <c r="AO19" i="91" s="1"/>
  <c r="AO19" i="92" s="1"/>
  <c r="AO19" i="93" s="1"/>
  <c r="AO19" i="94" s="1"/>
  <c r="AO19" i="95" s="1"/>
  <c r="AO19" i="96" s="1"/>
  <c r="AO19" i="97" s="1"/>
  <c r="AO19" i="98" s="1"/>
  <c r="AO19" i="99" s="1"/>
  <c r="AO19" i="100" s="1"/>
  <c r="AO19" i="101" s="1"/>
  <c r="AO19" i="102" s="1"/>
  <c r="AM19" i="85"/>
  <c r="AM19" i="87" s="1"/>
  <c r="AM19" i="86" s="1"/>
  <c r="AM19" i="88" s="1"/>
  <c r="AM19" i="89" s="1"/>
  <c r="AM19" i="90" s="1"/>
  <c r="AM19" i="91" s="1"/>
  <c r="AM19" i="92" s="1"/>
  <c r="AM19" i="93" s="1"/>
  <c r="AM19" i="94" s="1"/>
  <c r="AM19" i="95" s="1"/>
  <c r="AM19" i="96" s="1"/>
  <c r="AM19" i="97" s="1"/>
  <c r="AM19" i="98" s="1"/>
  <c r="AM19" i="99" s="1"/>
  <c r="AM19" i="100" s="1"/>
  <c r="AM19" i="101" s="1"/>
  <c r="AM19" i="102" s="1"/>
  <c r="AK19" i="85"/>
  <c r="AK19" i="87" s="1"/>
  <c r="AK19" i="86" s="1"/>
  <c r="AK19" i="88" s="1"/>
  <c r="AK19" i="89" s="1"/>
  <c r="AK19" i="90" s="1"/>
  <c r="AK19" i="91" s="1"/>
  <c r="AK19" i="92" s="1"/>
  <c r="AK19" i="93" s="1"/>
  <c r="AK19" i="94" s="1"/>
  <c r="AK19" i="95" s="1"/>
  <c r="AK19" i="96" s="1"/>
  <c r="AK19" i="97" s="1"/>
  <c r="AK19" i="98" s="1"/>
  <c r="AK19" i="99" s="1"/>
  <c r="AK19" i="100" s="1"/>
  <c r="AK19" i="101" s="1"/>
  <c r="AK19" i="102" s="1"/>
  <c r="AI19" i="85"/>
  <c r="AI19" i="87" s="1"/>
  <c r="AI19" i="86" s="1"/>
  <c r="AF19" i="85"/>
  <c r="AE19" i="85"/>
  <c r="AE19" i="87" s="1"/>
  <c r="AE19" i="86" s="1"/>
  <c r="AE19" i="88" s="1"/>
  <c r="AE19" i="89" s="1"/>
  <c r="AE19" i="90" s="1"/>
  <c r="AE19" i="91" s="1"/>
  <c r="AE19" i="92" s="1"/>
  <c r="AE19" i="93" s="1"/>
  <c r="AE19" i="94" s="1"/>
  <c r="AE19" i="95" s="1"/>
  <c r="AE19" i="96" s="1"/>
  <c r="AE19" i="97" s="1"/>
  <c r="AE19" i="98" s="1"/>
  <c r="AE19" i="99" s="1"/>
  <c r="AE19" i="100" s="1"/>
  <c r="AE19" i="101" s="1"/>
  <c r="AE19" i="102" s="1"/>
  <c r="AB19" i="85"/>
  <c r="AB19" i="87" s="1"/>
  <c r="AB19" i="86" s="1"/>
  <c r="AB19" i="88" s="1"/>
  <c r="AB19" i="89" s="1"/>
  <c r="AB19" i="90" s="1"/>
  <c r="AB19" i="91" s="1"/>
  <c r="AB19" i="92" s="1"/>
  <c r="AB19" i="93" s="1"/>
  <c r="AB19" i="94" s="1"/>
  <c r="AB19" i="95" s="1"/>
  <c r="AB19" i="96" s="1"/>
  <c r="AB19" i="97" s="1"/>
  <c r="AB19" i="98" s="1"/>
  <c r="AB19" i="99" s="1"/>
  <c r="AB19" i="100" s="1"/>
  <c r="AB19" i="101" s="1"/>
  <c r="AB19" i="102" s="1"/>
  <c r="Y19" i="85"/>
  <c r="Y19" i="87" s="1"/>
  <c r="Y19" i="86" s="1"/>
  <c r="Y19" i="88" s="1"/>
  <c r="Y19" i="89" s="1"/>
  <c r="Y19" i="90" s="1"/>
  <c r="Y19" i="91" s="1"/>
  <c r="Y19" i="92" s="1"/>
  <c r="Y19" i="93" s="1"/>
  <c r="Y19" i="94" s="1"/>
  <c r="Y19" i="95" s="1"/>
  <c r="Y19" i="96" s="1"/>
  <c r="Y19" i="97" s="1"/>
  <c r="Y19" i="98" s="1"/>
  <c r="Y19" i="99" s="1"/>
  <c r="Y19" i="100" s="1"/>
  <c r="Y19" i="101" s="1"/>
  <c r="Y19" i="102" s="1"/>
  <c r="V19" i="85"/>
  <c r="V19" i="87" s="1"/>
  <c r="V19" i="86" s="1"/>
  <c r="S19" i="85"/>
  <c r="S19" i="87" s="1"/>
  <c r="S19" i="86" s="1"/>
  <c r="S19" i="88" s="1"/>
  <c r="S19" i="89" s="1"/>
  <c r="S19" i="90" s="1"/>
  <c r="S19" i="91" s="1"/>
  <c r="S19" i="92" s="1"/>
  <c r="S19" i="93" s="1"/>
  <c r="S19" i="94" s="1"/>
  <c r="S19" i="95" s="1"/>
  <c r="S19" i="96" s="1"/>
  <c r="S19" i="97" s="1"/>
  <c r="S19" i="98" s="1"/>
  <c r="S19" i="99" s="1"/>
  <c r="S19" i="100" s="1"/>
  <c r="S19" i="101" s="1"/>
  <c r="S19" i="102" s="1"/>
  <c r="P19" i="85"/>
  <c r="P19" i="87" s="1"/>
  <c r="P19" i="86" s="1"/>
  <c r="P19" i="88" s="1"/>
  <c r="P19" i="89" s="1"/>
  <c r="P19" i="90" s="1"/>
  <c r="P19" i="91" s="1"/>
  <c r="P19" i="92" s="1"/>
  <c r="P19" i="93" s="1"/>
  <c r="P19" i="94" s="1"/>
  <c r="P19" i="95" s="1"/>
  <c r="P19" i="96" s="1"/>
  <c r="P19" i="97" s="1"/>
  <c r="P19" i="98" s="1"/>
  <c r="P19" i="99" s="1"/>
  <c r="P19" i="100" s="1"/>
  <c r="P19" i="101" s="1"/>
  <c r="P19" i="102" s="1"/>
  <c r="M19" i="85"/>
  <c r="M19" i="87" s="1"/>
  <c r="M19" i="86" s="1"/>
  <c r="M19" i="88" s="1"/>
  <c r="M19" i="89" s="1"/>
  <c r="M19" i="90" s="1"/>
  <c r="M19" i="91" s="1"/>
  <c r="M19" i="92" s="1"/>
  <c r="M19" i="93" s="1"/>
  <c r="M19" i="94" s="1"/>
  <c r="M19" i="95" s="1"/>
  <c r="M19" i="96" s="1"/>
  <c r="M19" i="97" s="1"/>
  <c r="M19" i="98" s="1"/>
  <c r="M19" i="99" s="1"/>
  <c r="M19" i="100" s="1"/>
  <c r="M19" i="101" s="1"/>
  <c r="M19" i="102" s="1"/>
  <c r="J19" i="85"/>
  <c r="J19" i="87" s="1"/>
  <c r="J19" i="86" s="1"/>
  <c r="J19" i="88" s="1"/>
  <c r="J19" i="89" s="1"/>
  <c r="J19" i="90" s="1"/>
  <c r="J19" i="91" s="1"/>
  <c r="J19" i="92" s="1"/>
  <c r="J19" i="93" s="1"/>
  <c r="J19" i="94" s="1"/>
  <c r="J19" i="95" s="1"/>
  <c r="J19" i="96" s="1"/>
  <c r="J19" i="97" s="1"/>
  <c r="J19" i="98" s="1"/>
  <c r="J19" i="99" s="1"/>
  <c r="J19" i="100" s="1"/>
  <c r="J19" i="101" s="1"/>
  <c r="J19" i="102" s="1"/>
  <c r="G19" i="85"/>
  <c r="C19" i="85"/>
  <c r="B19" i="85"/>
  <c r="BQ18" i="85"/>
  <c r="BQ18" i="87" s="1"/>
  <c r="BQ18" i="86" s="1"/>
  <c r="BQ18" i="88" s="1"/>
  <c r="BQ18" i="89" s="1"/>
  <c r="BQ18" i="90" s="1"/>
  <c r="BQ18" i="91" s="1"/>
  <c r="BQ18" i="92" s="1"/>
  <c r="BQ18" i="93" s="1"/>
  <c r="BQ18" i="94" s="1"/>
  <c r="BQ18" i="95" s="1"/>
  <c r="BQ18" i="96" s="1"/>
  <c r="BQ18" i="97" s="1"/>
  <c r="BQ18" i="98" s="1"/>
  <c r="BQ18" i="99" s="1"/>
  <c r="BQ18" i="100" s="1"/>
  <c r="BQ18" i="101" s="1"/>
  <c r="BQ18" i="102" s="1"/>
  <c r="BN18" i="85"/>
  <c r="BN18" i="87" s="1"/>
  <c r="BN18" i="86" s="1"/>
  <c r="BN18" i="88" s="1"/>
  <c r="BN18" i="89" s="1"/>
  <c r="BN18" i="90" s="1"/>
  <c r="BN18" i="91" s="1"/>
  <c r="BN18" i="92" s="1"/>
  <c r="BN18" i="93" s="1"/>
  <c r="BN18" i="94" s="1"/>
  <c r="BN18" i="95" s="1"/>
  <c r="BN18" i="96" s="1"/>
  <c r="BN18" i="97" s="1"/>
  <c r="BN18" i="98" s="1"/>
  <c r="BN18" i="99" s="1"/>
  <c r="BN18" i="100" s="1"/>
  <c r="BN18" i="101" s="1"/>
  <c r="BN18" i="102" s="1"/>
  <c r="BL18" i="85"/>
  <c r="BL18" i="87" s="1"/>
  <c r="BL18" i="86" s="1"/>
  <c r="BL18" i="88" s="1"/>
  <c r="BL18" i="89" s="1"/>
  <c r="BL18" i="90" s="1"/>
  <c r="BL18" i="91" s="1"/>
  <c r="BL18" i="92" s="1"/>
  <c r="BL18" i="93" s="1"/>
  <c r="BL18" i="94" s="1"/>
  <c r="BL18" i="95" s="1"/>
  <c r="BL18" i="96" s="1"/>
  <c r="BL18" i="97" s="1"/>
  <c r="BL18" i="98" s="1"/>
  <c r="BL18" i="99" s="1"/>
  <c r="BL18" i="100" s="1"/>
  <c r="BL18" i="101" s="1"/>
  <c r="BL18" i="102" s="1"/>
  <c r="BJ18" i="85"/>
  <c r="BJ18" i="87" s="1"/>
  <c r="BJ18" i="86" s="1"/>
  <c r="BJ18" i="88" s="1"/>
  <c r="BJ18" i="89" s="1"/>
  <c r="BJ18" i="90" s="1"/>
  <c r="BJ18" i="91" s="1"/>
  <c r="BJ18" i="92" s="1"/>
  <c r="BJ18" i="93" s="1"/>
  <c r="BJ18" i="94" s="1"/>
  <c r="BJ18" i="95" s="1"/>
  <c r="BJ18" i="96" s="1"/>
  <c r="BJ18" i="97" s="1"/>
  <c r="BJ18" i="98" s="1"/>
  <c r="BJ18" i="99" s="1"/>
  <c r="BJ18" i="100" s="1"/>
  <c r="BJ18" i="101" s="1"/>
  <c r="BJ18" i="102" s="1"/>
  <c r="BH18" i="85"/>
  <c r="BH18" i="87" s="1"/>
  <c r="BH18" i="86" s="1"/>
  <c r="BH18" i="88" s="1"/>
  <c r="BH18" i="89" s="1"/>
  <c r="BH18" i="90" s="1"/>
  <c r="BH18" i="91" s="1"/>
  <c r="BH18" i="92" s="1"/>
  <c r="BH18" i="93" s="1"/>
  <c r="BH18" i="94" s="1"/>
  <c r="BH18" i="95" s="1"/>
  <c r="BH18" i="96" s="1"/>
  <c r="BH18" i="97" s="1"/>
  <c r="BH18" i="98" s="1"/>
  <c r="BH18" i="99" s="1"/>
  <c r="BH18" i="100" s="1"/>
  <c r="BH18" i="101" s="1"/>
  <c r="BH18" i="102" s="1"/>
  <c r="BF18" i="85"/>
  <c r="BF18" i="87" s="1"/>
  <c r="BC18" i="85"/>
  <c r="BB18" i="85"/>
  <c r="BB18" i="87" s="1"/>
  <c r="BB18" i="86" s="1"/>
  <c r="BB18" i="88" s="1"/>
  <c r="BB18" i="89" s="1"/>
  <c r="BB18" i="90" s="1"/>
  <c r="BB18" i="91" s="1"/>
  <c r="BB18" i="92" s="1"/>
  <c r="BB18" i="93" s="1"/>
  <c r="BB18" i="94" s="1"/>
  <c r="BB18" i="95" s="1"/>
  <c r="BB18" i="96" s="1"/>
  <c r="BB18" i="97" s="1"/>
  <c r="BB18" i="98" s="1"/>
  <c r="BB18" i="99" s="1"/>
  <c r="BB18" i="100" s="1"/>
  <c r="BB18" i="101" s="1"/>
  <c r="BB18" i="102" s="1"/>
  <c r="AZ18" i="85"/>
  <c r="AZ18" i="87" s="1"/>
  <c r="AZ18" i="86" s="1"/>
  <c r="AZ18" i="88" s="1"/>
  <c r="AZ18" i="89" s="1"/>
  <c r="AZ18" i="90" s="1"/>
  <c r="AZ18" i="91" s="1"/>
  <c r="AZ18" i="92" s="1"/>
  <c r="AZ18" i="93" s="1"/>
  <c r="AZ18" i="94" s="1"/>
  <c r="AZ18" i="95" s="1"/>
  <c r="AZ18" i="96" s="1"/>
  <c r="AZ18" i="97" s="1"/>
  <c r="AZ18" i="98" s="1"/>
  <c r="AZ18" i="99" s="1"/>
  <c r="AZ18" i="100" s="1"/>
  <c r="AZ18" i="101" s="1"/>
  <c r="AZ18" i="102" s="1"/>
  <c r="AX18" i="85"/>
  <c r="AX18" i="87" s="1"/>
  <c r="AX18" i="86" s="1"/>
  <c r="AX18" i="88" s="1"/>
  <c r="AX18" i="89" s="1"/>
  <c r="AX18" i="90" s="1"/>
  <c r="AX18" i="91" s="1"/>
  <c r="AX18" i="92" s="1"/>
  <c r="AX18" i="93" s="1"/>
  <c r="AX18" i="94" s="1"/>
  <c r="AX18" i="95" s="1"/>
  <c r="AX18" i="96" s="1"/>
  <c r="AX18" i="97" s="1"/>
  <c r="AX18" i="98" s="1"/>
  <c r="AX18" i="99" s="1"/>
  <c r="AX18" i="100" s="1"/>
  <c r="AX18" i="101" s="1"/>
  <c r="AX18" i="102" s="1"/>
  <c r="AV18" i="85"/>
  <c r="AV18" i="87" s="1"/>
  <c r="AV18" i="86" s="1"/>
  <c r="AV18" i="88" s="1"/>
  <c r="AV18" i="89" s="1"/>
  <c r="AV18" i="90" s="1"/>
  <c r="AV18" i="91" s="1"/>
  <c r="AV18" i="92" s="1"/>
  <c r="AV18" i="93" s="1"/>
  <c r="AV18" i="94" s="1"/>
  <c r="AV18" i="95" s="1"/>
  <c r="AV18" i="96" s="1"/>
  <c r="AV18" i="97" s="1"/>
  <c r="AV18" i="98" s="1"/>
  <c r="AV18" i="99" s="1"/>
  <c r="AV18" i="100" s="1"/>
  <c r="AV18" i="101" s="1"/>
  <c r="AV18" i="102" s="1"/>
  <c r="AT18" i="85"/>
  <c r="AT18" i="87" s="1"/>
  <c r="AQ18" i="85"/>
  <c r="AO18" i="85"/>
  <c r="AO18" i="87" s="1"/>
  <c r="AO18" i="86" s="1"/>
  <c r="AO18" i="88" s="1"/>
  <c r="AO18" i="89" s="1"/>
  <c r="AO18" i="90" s="1"/>
  <c r="AO18" i="91" s="1"/>
  <c r="AO18" i="92" s="1"/>
  <c r="AO18" i="93" s="1"/>
  <c r="AO18" i="94" s="1"/>
  <c r="AO18" i="95" s="1"/>
  <c r="AO18" i="96" s="1"/>
  <c r="AO18" i="97" s="1"/>
  <c r="AO18" i="98" s="1"/>
  <c r="AO18" i="99" s="1"/>
  <c r="AO18" i="100" s="1"/>
  <c r="AO18" i="101" s="1"/>
  <c r="AO18" i="102" s="1"/>
  <c r="AM18" i="85"/>
  <c r="AM18" i="87" s="1"/>
  <c r="AM18" i="86" s="1"/>
  <c r="AM18" i="88" s="1"/>
  <c r="AM18" i="89" s="1"/>
  <c r="AM18" i="90" s="1"/>
  <c r="AM18" i="91" s="1"/>
  <c r="AM18" i="92" s="1"/>
  <c r="AM18" i="93" s="1"/>
  <c r="AM18" i="94" s="1"/>
  <c r="AM18" i="95" s="1"/>
  <c r="AM18" i="96" s="1"/>
  <c r="AM18" i="97" s="1"/>
  <c r="AM18" i="98" s="1"/>
  <c r="AM18" i="99" s="1"/>
  <c r="AM18" i="100" s="1"/>
  <c r="AM18" i="101" s="1"/>
  <c r="AM18" i="102" s="1"/>
  <c r="AK18" i="85"/>
  <c r="AK18" i="87" s="1"/>
  <c r="AK18" i="86" s="1"/>
  <c r="AK18" i="88" s="1"/>
  <c r="AK18" i="89" s="1"/>
  <c r="AK18" i="90" s="1"/>
  <c r="AK18" i="91" s="1"/>
  <c r="AK18" i="92" s="1"/>
  <c r="AK18" i="93" s="1"/>
  <c r="AK18" i="94" s="1"/>
  <c r="AK18" i="95" s="1"/>
  <c r="AK18" i="96" s="1"/>
  <c r="AK18" i="97" s="1"/>
  <c r="AK18" i="98" s="1"/>
  <c r="AK18" i="99" s="1"/>
  <c r="AK18" i="100" s="1"/>
  <c r="AK18" i="101" s="1"/>
  <c r="AK18" i="102" s="1"/>
  <c r="AI18" i="85"/>
  <c r="AF18" i="85"/>
  <c r="AE18" i="85"/>
  <c r="AE18" i="87" s="1"/>
  <c r="AE18" i="86" s="1"/>
  <c r="AE18" i="88" s="1"/>
  <c r="AE18" i="89" s="1"/>
  <c r="AE18" i="90" s="1"/>
  <c r="AE18" i="91" s="1"/>
  <c r="AE18" i="92" s="1"/>
  <c r="AE18" i="93" s="1"/>
  <c r="AE18" i="94" s="1"/>
  <c r="AE18" i="95" s="1"/>
  <c r="AE18" i="96" s="1"/>
  <c r="AE18" i="97" s="1"/>
  <c r="AE18" i="98" s="1"/>
  <c r="AE18" i="99" s="1"/>
  <c r="AE18" i="100" s="1"/>
  <c r="AE18" i="101" s="1"/>
  <c r="AE18" i="102" s="1"/>
  <c r="AB18" i="85"/>
  <c r="AB18" i="87" s="1"/>
  <c r="AB18" i="86" s="1"/>
  <c r="AB18" i="88" s="1"/>
  <c r="AB18" i="89" s="1"/>
  <c r="AB18" i="90" s="1"/>
  <c r="AB18" i="91" s="1"/>
  <c r="AB18" i="92" s="1"/>
  <c r="AB18" i="93" s="1"/>
  <c r="AB18" i="94" s="1"/>
  <c r="AB18" i="95" s="1"/>
  <c r="AB18" i="96" s="1"/>
  <c r="AB18" i="97" s="1"/>
  <c r="AB18" i="98" s="1"/>
  <c r="AB18" i="99" s="1"/>
  <c r="AB18" i="100" s="1"/>
  <c r="AB18" i="101" s="1"/>
  <c r="AB18" i="102" s="1"/>
  <c r="Y18" i="85"/>
  <c r="Y18" i="87" s="1"/>
  <c r="Y18" i="86" s="1"/>
  <c r="Y18" i="88" s="1"/>
  <c r="Y18" i="89" s="1"/>
  <c r="Y18" i="90" s="1"/>
  <c r="Y18" i="91" s="1"/>
  <c r="Y18" i="92" s="1"/>
  <c r="Y18" i="93" s="1"/>
  <c r="Y18" i="94" s="1"/>
  <c r="Y18" i="95" s="1"/>
  <c r="Y18" i="96" s="1"/>
  <c r="Y18" i="97" s="1"/>
  <c r="Y18" i="98" s="1"/>
  <c r="Y18" i="99" s="1"/>
  <c r="Y18" i="100" s="1"/>
  <c r="Y18" i="101" s="1"/>
  <c r="Y18" i="102" s="1"/>
  <c r="V18" i="85"/>
  <c r="V18" i="87" s="1"/>
  <c r="V18" i="86" s="1"/>
  <c r="V18" i="88" s="1"/>
  <c r="V18" i="89" s="1"/>
  <c r="V18" i="90" s="1"/>
  <c r="V18" i="91" s="1"/>
  <c r="V18" i="92" s="1"/>
  <c r="V18" i="93" s="1"/>
  <c r="V18" i="94" s="1"/>
  <c r="V18" i="95" s="1"/>
  <c r="V18" i="96" s="1"/>
  <c r="V18" i="97" s="1"/>
  <c r="V18" i="98" s="1"/>
  <c r="V18" i="99" s="1"/>
  <c r="V18" i="100" s="1"/>
  <c r="V18" i="101" s="1"/>
  <c r="V18" i="102" s="1"/>
  <c r="S18" i="85"/>
  <c r="S18" i="87" s="1"/>
  <c r="S18" i="86" s="1"/>
  <c r="S18" i="88" s="1"/>
  <c r="S18" i="89" s="1"/>
  <c r="S18" i="90" s="1"/>
  <c r="S18" i="91" s="1"/>
  <c r="S18" i="92" s="1"/>
  <c r="S18" i="93" s="1"/>
  <c r="S18" i="94" s="1"/>
  <c r="S18" i="95" s="1"/>
  <c r="S18" i="96" s="1"/>
  <c r="S18" i="97" s="1"/>
  <c r="S18" i="98" s="1"/>
  <c r="S18" i="99" s="1"/>
  <c r="S18" i="100" s="1"/>
  <c r="S18" i="101" s="1"/>
  <c r="S18" i="102" s="1"/>
  <c r="P18" i="85"/>
  <c r="P18" i="87" s="1"/>
  <c r="P18" i="86" s="1"/>
  <c r="P18" i="88" s="1"/>
  <c r="P18" i="89" s="1"/>
  <c r="P18" i="90" s="1"/>
  <c r="P18" i="91" s="1"/>
  <c r="P18" i="92" s="1"/>
  <c r="P18" i="93" s="1"/>
  <c r="P18" i="94" s="1"/>
  <c r="P18" i="95" s="1"/>
  <c r="P18" i="96" s="1"/>
  <c r="P18" i="97" s="1"/>
  <c r="P18" i="98" s="1"/>
  <c r="P18" i="99" s="1"/>
  <c r="P18" i="100" s="1"/>
  <c r="P18" i="101" s="1"/>
  <c r="P18" i="102" s="1"/>
  <c r="M18" i="85"/>
  <c r="M18" i="87" s="1"/>
  <c r="M18" i="86" s="1"/>
  <c r="M18" i="88" s="1"/>
  <c r="M18" i="89" s="1"/>
  <c r="M18" i="90" s="1"/>
  <c r="M18" i="91" s="1"/>
  <c r="M18" i="92" s="1"/>
  <c r="M18" i="93" s="1"/>
  <c r="M18" i="94" s="1"/>
  <c r="M18" i="95" s="1"/>
  <c r="M18" i="96" s="1"/>
  <c r="M18" i="97" s="1"/>
  <c r="M18" i="98" s="1"/>
  <c r="M18" i="99" s="1"/>
  <c r="M18" i="100" s="1"/>
  <c r="M18" i="101" s="1"/>
  <c r="M18" i="102" s="1"/>
  <c r="J18" i="85"/>
  <c r="J18" i="87" s="1"/>
  <c r="J18" i="86" s="1"/>
  <c r="J18" i="88" s="1"/>
  <c r="J18" i="89" s="1"/>
  <c r="J18" i="90" s="1"/>
  <c r="J18" i="91" s="1"/>
  <c r="J18" i="92" s="1"/>
  <c r="J18" i="93" s="1"/>
  <c r="J18" i="94" s="1"/>
  <c r="J18" i="95" s="1"/>
  <c r="J18" i="96" s="1"/>
  <c r="J18" i="97" s="1"/>
  <c r="J18" i="98" s="1"/>
  <c r="J18" i="99" s="1"/>
  <c r="J18" i="100" s="1"/>
  <c r="J18" i="101" s="1"/>
  <c r="J18" i="102" s="1"/>
  <c r="G18" i="85"/>
  <c r="G18" i="87" s="1"/>
  <c r="C18" i="85"/>
  <c r="B18" i="85"/>
  <c r="BQ17" i="85"/>
  <c r="BQ17" i="87" s="1"/>
  <c r="BQ17" i="86" s="1"/>
  <c r="BQ17" i="88" s="1"/>
  <c r="BQ17" i="89" s="1"/>
  <c r="BQ17" i="90" s="1"/>
  <c r="BQ17" i="91" s="1"/>
  <c r="BQ17" i="92" s="1"/>
  <c r="BQ17" i="93" s="1"/>
  <c r="BQ17" i="94" s="1"/>
  <c r="BQ17" i="95" s="1"/>
  <c r="BQ17" i="96" s="1"/>
  <c r="BQ17" i="97" s="1"/>
  <c r="BQ17" i="98" s="1"/>
  <c r="BQ17" i="99" s="1"/>
  <c r="BQ17" i="100" s="1"/>
  <c r="BQ17" i="101" s="1"/>
  <c r="BQ17" i="102" s="1"/>
  <c r="BN17" i="85"/>
  <c r="BN17" i="87" s="1"/>
  <c r="BN17" i="86" s="1"/>
  <c r="BN17" i="88" s="1"/>
  <c r="BN17" i="89" s="1"/>
  <c r="BN17" i="90" s="1"/>
  <c r="BN17" i="91" s="1"/>
  <c r="BN17" i="92" s="1"/>
  <c r="BN17" i="93" s="1"/>
  <c r="BN17" i="94" s="1"/>
  <c r="BN17" i="95" s="1"/>
  <c r="BN17" i="96" s="1"/>
  <c r="BN17" i="97" s="1"/>
  <c r="BN17" i="98" s="1"/>
  <c r="BN17" i="99" s="1"/>
  <c r="BN17" i="100" s="1"/>
  <c r="BN17" i="101" s="1"/>
  <c r="BN17" i="102" s="1"/>
  <c r="BL17" i="85"/>
  <c r="BL17" i="87" s="1"/>
  <c r="BL17" i="86" s="1"/>
  <c r="BL17" i="88" s="1"/>
  <c r="BL17" i="89" s="1"/>
  <c r="BL17" i="90" s="1"/>
  <c r="BL17" i="91" s="1"/>
  <c r="BL17" i="92" s="1"/>
  <c r="BL17" i="93" s="1"/>
  <c r="BL17" i="94" s="1"/>
  <c r="BL17" i="95" s="1"/>
  <c r="BL17" i="96" s="1"/>
  <c r="BL17" i="97" s="1"/>
  <c r="BL17" i="98" s="1"/>
  <c r="BL17" i="99" s="1"/>
  <c r="BL17" i="100" s="1"/>
  <c r="BL17" i="101" s="1"/>
  <c r="BL17" i="102" s="1"/>
  <c r="BJ17" i="85"/>
  <c r="BJ17" i="87" s="1"/>
  <c r="BJ17" i="86" s="1"/>
  <c r="BJ17" i="88" s="1"/>
  <c r="BJ17" i="89" s="1"/>
  <c r="BJ17" i="90" s="1"/>
  <c r="BJ17" i="91" s="1"/>
  <c r="BJ17" i="92" s="1"/>
  <c r="BJ17" i="93" s="1"/>
  <c r="BJ17" i="94" s="1"/>
  <c r="BJ17" i="95" s="1"/>
  <c r="BJ17" i="96" s="1"/>
  <c r="BJ17" i="97" s="1"/>
  <c r="BJ17" i="98" s="1"/>
  <c r="BJ17" i="99" s="1"/>
  <c r="BJ17" i="100" s="1"/>
  <c r="BJ17" i="101" s="1"/>
  <c r="BJ17" i="102" s="1"/>
  <c r="BH17" i="85"/>
  <c r="BH17" i="87" s="1"/>
  <c r="BH17" i="86" s="1"/>
  <c r="BH17" i="88" s="1"/>
  <c r="BH17" i="89" s="1"/>
  <c r="BH17" i="90" s="1"/>
  <c r="BH17" i="91" s="1"/>
  <c r="BH17" i="92" s="1"/>
  <c r="BH17" i="93" s="1"/>
  <c r="BH17" i="94" s="1"/>
  <c r="BH17" i="95" s="1"/>
  <c r="BH17" i="96" s="1"/>
  <c r="BH17" i="97" s="1"/>
  <c r="BH17" i="98" s="1"/>
  <c r="BH17" i="99" s="1"/>
  <c r="BH17" i="100" s="1"/>
  <c r="BH17" i="101" s="1"/>
  <c r="BH17" i="102" s="1"/>
  <c r="BF17" i="85"/>
  <c r="BC17" i="85"/>
  <c r="BB17" i="85"/>
  <c r="BB17" i="87" s="1"/>
  <c r="BB17" i="86" s="1"/>
  <c r="BB17" i="88" s="1"/>
  <c r="BB17" i="89" s="1"/>
  <c r="BB17" i="90" s="1"/>
  <c r="BB17" i="91" s="1"/>
  <c r="BB17" i="92" s="1"/>
  <c r="BB17" i="93" s="1"/>
  <c r="BB17" i="94" s="1"/>
  <c r="BB17" i="95" s="1"/>
  <c r="BB17" i="96" s="1"/>
  <c r="BB17" i="97" s="1"/>
  <c r="BB17" i="98" s="1"/>
  <c r="BB17" i="99" s="1"/>
  <c r="BB17" i="100" s="1"/>
  <c r="BB17" i="101" s="1"/>
  <c r="BB17" i="102" s="1"/>
  <c r="AZ17" i="85"/>
  <c r="AZ17" i="87" s="1"/>
  <c r="AZ17" i="86" s="1"/>
  <c r="AZ17" i="88" s="1"/>
  <c r="AZ17" i="89" s="1"/>
  <c r="AZ17" i="90" s="1"/>
  <c r="AZ17" i="91" s="1"/>
  <c r="AZ17" i="92" s="1"/>
  <c r="AZ17" i="93" s="1"/>
  <c r="AZ17" i="94" s="1"/>
  <c r="AZ17" i="95" s="1"/>
  <c r="AZ17" i="96" s="1"/>
  <c r="AZ17" i="97" s="1"/>
  <c r="AZ17" i="98" s="1"/>
  <c r="AZ17" i="99" s="1"/>
  <c r="AZ17" i="100" s="1"/>
  <c r="AZ17" i="101" s="1"/>
  <c r="AZ17" i="102" s="1"/>
  <c r="AX17" i="85"/>
  <c r="AX17" i="87" s="1"/>
  <c r="AX17" i="86" s="1"/>
  <c r="AX17" i="88" s="1"/>
  <c r="AX17" i="89" s="1"/>
  <c r="AX17" i="90" s="1"/>
  <c r="AX17" i="91" s="1"/>
  <c r="AX17" i="92" s="1"/>
  <c r="AX17" i="93" s="1"/>
  <c r="AX17" i="94" s="1"/>
  <c r="AX17" i="95" s="1"/>
  <c r="AX17" i="96" s="1"/>
  <c r="AX17" i="97" s="1"/>
  <c r="AX17" i="98" s="1"/>
  <c r="AX17" i="99" s="1"/>
  <c r="AX17" i="100" s="1"/>
  <c r="AX17" i="101" s="1"/>
  <c r="AX17" i="102" s="1"/>
  <c r="AV17" i="85"/>
  <c r="AV17" i="87" s="1"/>
  <c r="AV17" i="86" s="1"/>
  <c r="AV17" i="88" s="1"/>
  <c r="AV17" i="89" s="1"/>
  <c r="AV17" i="90" s="1"/>
  <c r="AV17" i="91" s="1"/>
  <c r="AV17" i="92" s="1"/>
  <c r="AV17" i="93" s="1"/>
  <c r="AV17" i="94" s="1"/>
  <c r="AV17" i="95" s="1"/>
  <c r="AV17" i="96" s="1"/>
  <c r="AV17" i="97" s="1"/>
  <c r="AV17" i="98" s="1"/>
  <c r="AV17" i="99" s="1"/>
  <c r="AV17" i="100" s="1"/>
  <c r="AV17" i="101" s="1"/>
  <c r="AV17" i="102" s="1"/>
  <c r="AT17" i="85"/>
  <c r="AT17" i="87" s="1"/>
  <c r="AT17" i="86" s="1"/>
  <c r="AQ17" i="85"/>
  <c r="AO17" i="85"/>
  <c r="AO17" i="87" s="1"/>
  <c r="AO17" i="86" s="1"/>
  <c r="AO17" i="88" s="1"/>
  <c r="AO17" i="89" s="1"/>
  <c r="AO17" i="90" s="1"/>
  <c r="AO17" i="91" s="1"/>
  <c r="AO17" i="92" s="1"/>
  <c r="AO17" i="93" s="1"/>
  <c r="AO17" i="94" s="1"/>
  <c r="AO17" i="95" s="1"/>
  <c r="AO17" i="96" s="1"/>
  <c r="AO17" i="97" s="1"/>
  <c r="AO17" i="98" s="1"/>
  <c r="AO17" i="99" s="1"/>
  <c r="AO17" i="100" s="1"/>
  <c r="AO17" i="101" s="1"/>
  <c r="AO17" i="102" s="1"/>
  <c r="AM17" i="85"/>
  <c r="AM17" i="87" s="1"/>
  <c r="AM17" i="86" s="1"/>
  <c r="AM17" i="88" s="1"/>
  <c r="AM17" i="89" s="1"/>
  <c r="AM17" i="90" s="1"/>
  <c r="AM17" i="91" s="1"/>
  <c r="AM17" i="92" s="1"/>
  <c r="AM17" i="93" s="1"/>
  <c r="AM17" i="94" s="1"/>
  <c r="AM17" i="95" s="1"/>
  <c r="AM17" i="96" s="1"/>
  <c r="AM17" i="97" s="1"/>
  <c r="AM17" i="98" s="1"/>
  <c r="AM17" i="99" s="1"/>
  <c r="AM17" i="100" s="1"/>
  <c r="AM17" i="101" s="1"/>
  <c r="AM17" i="102" s="1"/>
  <c r="AK17" i="85"/>
  <c r="AI17" i="85"/>
  <c r="AI17" i="87" s="1"/>
  <c r="AF17" i="85"/>
  <c r="AE17" i="85"/>
  <c r="AE17" i="87" s="1"/>
  <c r="AE17" i="86" s="1"/>
  <c r="AE17" i="88" s="1"/>
  <c r="AE17" i="89" s="1"/>
  <c r="AE17" i="90" s="1"/>
  <c r="AE17" i="91" s="1"/>
  <c r="AE17" i="92" s="1"/>
  <c r="AE17" i="93" s="1"/>
  <c r="AE17" i="94" s="1"/>
  <c r="AE17" i="95" s="1"/>
  <c r="AE17" i="96" s="1"/>
  <c r="AE17" i="97" s="1"/>
  <c r="AE17" i="98" s="1"/>
  <c r="AE17" i="99" s="1"/>
  <c r="AE17" i="100" s="1"/>
  <c r="AE17" i="101" s="1"/>
  <c r="AE17" i="102" s="1"/>
  <c r="AB17" i="85"/>
  <c r="AB17" i="87" s="1"/>
  <c r="AB17" i="86" s="1"/>
  <c r="AB17" i="88" s="1"/>
  <c r="AB17" i="89" s="1"/>
  <c r="AB17" i="90" s="1"/>
  <c r="AB17" i="91" s="1"/>
  <c r="AB17" i="92" s="1"/>
  <c r="AB17" i="93" s="1"/>
  <c r="AB17" i="94" s="1"/>
  <c r="AB17" i="95" s="1"/>
  <c r="AB17" i="96" s="1"/>
  <c r="AB17" i="97" s="1"/>
  <c r="AB17" i="98" s="1"/>
  <c r="AB17" i="99" s="1"/>
  <c r="AB17" i="100" s="1"/>
  <c r="AB17" i="101" s="1"/>
  <c r="AB17" i="102" s="1"/>
  <c r="Y17" i="85"/>
  <c r="Y17" i="87" s="1"/>
  <c r="Y17" i="86" s="1"/>
  <c r="Y17" i="88" s="1"/>
  <c r="Y17" i="89" s="1"/>
  <c r="Y17" i="90" s="1"/>
  <c r="Y17" i="91" s="1"/>
  <c r="Y17" i="92" s="1"/>
  <c r="Y17" i="93" s="1"/>
  <c r="Y17" i="94" s="1"/>
  <c r="Y17" i="95" s="1"/>
  <c r="Y17" i="96" s="1"/>
  <c r="Y17" i="97" s="1"/>
  <c r="Y17" i="98" s="1"/>
  <c r="Y17" i="99" s="1"/>
  <c r="Y17" i="100" s="1"/>
  <c r="Y17" i="101" s="1"/>
  <c r="Y17" i="102" s="1"/>
  <c r="V17" i="85"/>
  <c r="V17" i="87" s="1"/>
  <c r="V17" i="86" s="1"/>
  <c r="V17" i="88" s="1"/>
  <c r="V17" i="89" s="1"/>
  <c r="V17" i="90" s="1"/>
  <c r="V17" i="91" s="1"/>
  <c r="V17" i="92" s="1"/>
  <c r="V17" i="93" s="1"/>
  <c r="V17" i="94" s="1"/>
  <c r="S17" i="85"/>
  <c r="S17" i="87" s="1"/>
  <c r="S17" i="86" s="1"/>
  <c r="S17" i="88" s="1"/>
  <c r="S17" i="89" s="1"/>
  <c r="S17" i="90" s="1"/>
  <c r="S17" i="91" s="1"/>
  <c r="S17" i="92" s="1"/>
  <c r="S17" i="93" s="1"/>
  <c r="S17" i="94" s="1"/>
  <c r="S17" i="95" s="1"/>
  <c r="S17" i="96" s="1"/>
  <c r="S17" i="97" s="1"/>
  <c r="S17" i="98" s="1"/>
  <c r="S17" i="99" s="1"/>
  <c r="S17" i="100" s="1"/>
  <c r="S17" i="101" s="1"/>
  <c r="S17" i="102" s="1"/>
  <c r="P17" i="85"/>
  <c r="P17" i="87" s="1"/>
  <c r="P17" i="86" s="1"/>
  <c r="P17" i="88" s="1"/>
  <c r="P17" i="89" s="1"/>
  <c r="P17" i="90" s="1"/>
  <c r="P17" i="91" s="1"/>
  <c r="P17" i="92" s="1"/>
  <c r="P17" i="93" s="1"/>
  <c r="P17" i="94" s="1"/>
  <c r="P17" i="95" s="1"/>
  <c r="P17" i="96" s="1"/>
  <c r="P17" i="97" s="1"/>
  <c r="P17" i="98" s="1"/>
  <c r="P17" i="99" s="1"/>
  <c r="P17" i="100" s="1"/>
  <c r="P17" i="101" s="1"/>
  <c r="P17" i="102" s="1"/>
  <c r="M17" i="85"/>
  <c r="M17" i="87" s="1"/>
  <c r="M17" i="86" s="1"/>
  <c r="M17" i="88" s="1"/>
  <c r="M17" i="89" s="1"/>
  <c r="M17" i="90" s="1"/>
  <c r="M17" i="91" s="1"/>
  <c r="M17" i="92" s="1"/>
  <c r="M17" i="93" s="1"/>
  <c r="M17" i="94" s="1"/>
  <c r="M17" i="95" s="1"/>
  <c r="M17" i="96" s="1"/>
  <c r="M17" i="97" s="1"/>
  <c r="M17" i="98" s="1"/>
  <c r="M17" i="99" s="1"/>
  <c r="M17" i="100" s="1"/>
  <c r="M17" i="101" s="1"/>
  <c r="M17" i="102" s="1"/>
  <c r="J17" i="85"/>
  <c r="J17" i="87" s="1"/>
  <c r="J17" i="86" s="1"/>
  <c r="J17" i="88" s="1"/>
  <c r="J17" i="89" s="1"/>
  <c r="J17" i="90" s="1"/>
  <c r="J17" i="91" s="1"/>
  <c r="J17" i="92" s="1"/>
  <c r="J17" i="93" s="1"/>
  <c r="J17" i="94" s="1"/>
  <c r="J17" i="95" s="1"/>
  <c r="J17" i="96" s="1"/>
  <c r="J17" i="97" s="1"/>
  <c r="J17" i="98" s="1"/>
  <c r="J17" i="99" s="1"/>
  <c r="J17" i="100" s="1"/>
  <c r="J17" i="101" s="1"/>
  <c r="J17" i="102" s="1"/>
  <c r="G17" i="85"/>
  <c r="G17" i="87" s="1"/>
  <c r="C17" i="85"/>
  <c r="B17" i="85"/>
  <c r="BQ16" i="85"/>
  <c r="BQ16" i="87" s="1"/>
  <c r="BQ16" i="86" s="1"/>
  <c r="BQ16" i="88" s="1"/>
  <c r="BQ16" i="89" s="1"/>
  <c r="BQ16" i="90" s="1"/>
  <c r="BQ16" i="91" s="1"/>
  <c r="BQ16" i="92" s="1"/>
  <c r="BQ16" i="93" s="1"/>
  <c r="BQ16" i="94" s="1"/>
  <c r="BQ16" i="95" s="1"/>
  <c r="BQ16" i="96" s="1"/>
  <c r="BQ16" i="97" s="1"/>
  <c r="BQ16" i="98" s="1"/>
  <c r="BQ16" i="99" s="1"/>
  <c r="BQ16" i="100" s="1"/>
  <c r="BQ16" i="101" s="1"/>
  <c r="BQ16" i="102" s="1"/>
  <c r="BN16" i="85"/>
  <c r="BN16" i="87" s="1"/>
  <c r="BN16" i="86" s="1"/>
  <c r="BN16" i="88" s="1"/>
  <c r="BN16" i="89" s="1"/>
  <c r="BN16" i="90" s="1"/>
  <c r="BN16" i="91" s="1"/>
  <c r="BN16" i="92" s="1"/>
  <c r="BN16" i="93" s="1"/>
  <c r="BN16" i="94" s="1"/>
  <c r="BN16" i="95" s="1"/>
  <c r="BN16" i="96" s="1"/>
  <c r="BN16" i="97" s="1"/>
  <c r="BN16" i="98" s="1"/>
  <c r="BN16" i="99" s="1"/>
  <c r="BN16" i="100" s="1"/>
  <c r="BN16" i="101" s="1"/>
  <c r="BN16" i="102" s="1"/>
  <c r="BL16" i="85"/>
  <c r="BL16" i="87" s="1"/>
  <c r="BL16" i="86" s="1"/>
  <c r="BL16" i="88" s="1"/>
  <c r="BL16" i="89" s="1"/>
  <c r="BL16" i="90" s="1"/>
  <c r="BL16" i="91" s="1"/>
  <c r="BL16" i="92" s="1"/>
  <c r="BL16" i="93" s="1"/>
  <c r="BL16" i="94" s="1"/>
  <c r="BL16" i="95" s="1"/>
  <c r="BL16" i="96" s="1"/>
  <c r="BL16" i="97" s="1"/>
  <c r="BL16" i="98" s="1"/>
  <c r="BL16" i="99" s="1"/>
  <c r="BL16" i="100" s="1"/>
  <c r="BL16" i="101" s="1"/>
  <c r="BL16" i="102" s="1"/>
  <c r="BJ16" i="85"/>
  <c r="BJ16" i="87" s="1"/>
  <c r="BJ16" i="86" s="1"/>
  <c r="BJ16" i="88" s="1"/>
  <c r="BJ16" i="89" s="1"/>
  <c r="BJ16" i="90" s="1"/>
  <c r="BJ16" i="91" s="1"/>
  <c r="BJ16" i="92" s="1"/>
  <c r="BJ16" i="93" s="1"/>
  <c r="BJ16" i="94" s="1"/>
  <c r="BJ16" i="95" s="1"/>
  <c r="BJ16" i="96" s="1"/>
  <c r="BJ16" i="97" s="1"/>
  <c r="BJ16" i="98" s="1"/>
  <c r="BJ16" i="99" s="1"/>
  <c r="BJ16" i="100" s="1"/>
  <c r="BJ16" i="101" s="1"/>
  <c r="BJ16" i="102" s="1"/>
  <c r="BH16" i="85"/>
  <c r="BH16" i="87" s="1"/>
  <c r="BH16" i="86" s="1"/>
  <c r="BF16" i="85"/>
  <c r="BF16" i="87" s="1"/>
  <c r="BC16" i="85"/>
  <c r="BB16" i="85"/>
  <c r="BB16" i="87" s="1"/>
  <c r="BB16" i="86" s="1"/>
  <c r="BB16" i="88" s="1"/>
  <c r="BB16" i="89" s="1"/>
  <c r="BB16" i="90" s="1"/>
  <c r="BB16" i="91" s="1"/>
  <c r="BB16" i="92" s="1"/>
  <c r="BB16" i="93" s="1"/>
  <c r="BB16" i="94" s="1"/>
  <c r="BB16" i="95" s="1"/>
  <c r="BB16" i="96" s="1"/>
  <c r="BB16" i="97" s="1"/>
  <c r="BB16" i="98" s="1"/>
  <c r="BB16" i="99" s="1"/>
  <c r="BB16" i="100" s="1"/>
  <c r="BB16" i="101" s="1"/>
  <c r="BB16" i="102" s="1"/>
  <c r="AZ16" i="85"/>
  <c r="AZ16" i="87" s="1"/>
  <c r="AZ16" i="86" s="1"/>
  <c r="AZ16" i="88" s="1"/>
  <c r="AZ16" i="89" s="1"/>
  <c r="AZ16" i="90" s="1"/>
  <c r="AZ16" i="91" s="1"/>
  <c r="AZ16" i="92" s="1"/>
  <c r="AZ16" i="93" s="1"/>
  <c r="AZ16" i="94" s="1"/>
  <c r="AZ16" i="95" s="1"/>
  <c r="AZ16" i="96" s="1"/>
  <c r="AZ16" i="97" s="1"/>
  <c r="AZ16" i="98" s="1"/>
  <c r="AZ16" i="99" s="1"/>
  <c r="AZ16" i="100" s="1"/>
  <c r="AZ16" i="101" s="1"/>
  <c r="AZ16" i="102" s="1"/>
  <c r="AX16" i="85"/>
  <c r="AX16" i="87" s="1"/>
  <c r="AX16" i="86" s="1"/>
  <c r="AX16" i="88" s="1"/>
  <c r="AX16" i="89" s="1"/>
  <c r="AX16" i="90" s="1"/>
  <c r="AX16" i="91" s="1"/>
  <c r="AX16" i="92" s="1"/>
  <c r="AX16" i="93" s="1"/>
  <c r="AX16" i="94" s="1"/>
  <c r="AX16" i="95" s="1"/>
  <c r="AX16" i="96" s="1"/>
  <c r="AX16" i="97" s="1"/>
  <c r="AX16" i="98" s="1"/>
  <c r="AX16" i="99" s="1"/>
  <c r="AX16" i="100" s="1"/>
  <c r="AX16" i="101" s="1"/>
  <c r="AX16" i="102" s="1"/>
  <c r="AV16" i="85"/>
  <c r="AV16" i="87" s="1"/>
  <c r="AV16" i="86" s="1"/>
  <c r="AV16" i="88" s="1"/>
  <c r="AV16" i="89" s="1"/>
  <c r="AV16" i="90" s="1"/>
  <c r="AV16" i="91" s="1"/>
  <c r="AV16" i="92" s="1"/>
  <c r="AV16" i="93" s="1"/>
  <c r="AV16" i="94" s="1"/>
  <c r="AV16" i="95" s="1"/>
  <c r="AV16" i="96" s="1"/>
  <c r="AV16" i="97" s="1"/>
  <c r="AV16" i="98" s="1"/>
  <c r="AV16" i="99" s="1"/>
  <c r="AV16" i="100" s="1"/>
  <c r="AV16" i="101" s="1"/>
  <c r="AV16" i="102" s="1"/>
  <c r="AT16" i="85"/>
  <c r="AQ16" i="85"/>
  <c r="AO16" i="85"/>
  <c r="AO16" i="87" s="1"/>
  <c r="AO16" i="86" s="1"/>
  <c r="AO16" i="88" s="1"/>
  <c r="AO16" i="89" s="1"/>
  <c r="AO16" i="90" s="1"/>
  <c r="AO16" i="91" s="1"/>
  <c r="AO16" i="92" s="1"/>
  <c r="AO16" i="93" s="1"/>
  <c r="AO16" i="94" s="1"/>
  <c r="AO16" i="95" s="1"/>
  <c r="AO16" i="96" s="1"/>
  <c r="AO16" i="97" s="1"/>
  <c r="AO16" i="98" s="1"/>
  <c r="AO16" i="99" s="1"/>
  <c r="AO16" i="100" s="1"/>
  <c r="AO16" i="101" s="1"/>
  <c r="AO16" i="102" s="1"/>
  <c r="AM16" i="85"/>
  <c r="AM16" i="87" s="1"/>
  <c r="AM16" i="86" s="1"/>
  <c r="AM16" i="88" s="1"/>
  <c r="AM16" i="89" s="1"/>
  <c r="AM16" i="90" s="1"/>
  <c r="AM16" i="91" s="1"/>
  <c r="AM16" i="92" s="1"/>
  <c r="AM16" i="93" s="1"/>
  <c r="AM16" i="94" s="1"/>
  <c r="AM16" i="95" s="1"/>
  <c r="AM16" i="96" s="1"/>
  <c r="AM16" i="97" s="1"/>
  <c r="AM16" i="98" s="1"/>
  <c r="AM16" i="99" s="1"/>
  <c r="AM16" i="100" s="1"/>
  <c r="AM16" i="101" s="1"/>
  <c r="AM16" i="102" s="1"/>
  <c r="AK16" i="85"/>
  <c r="AI16" i="85"/>
  <c r="AI16" i="87" s="1"/>
  <c r="AF16" i="85"/>
  <c r="AE16" i="85"/>
  <c r="AE16" i="87" s="1"/>
  <c r="AE16" i="86" s="1"/>
  <c r="AE16" i="88" s="1"/>
  <c r="AE16" i="89" s="1"/>
  <c r="AE16" i="90" s="1"/>
  <c r="AE16" i="91" s="1"/>
  <c r="AE16" i="92" s="1"/>
  <c r="AE16" i="93" s="1"/>
  <c r="AE16" i="94" s="1"/>
  <c r="AE16" i="95" s="1"/>
  <c r="AE16" i="96" s="1"/>
  <c r="AE16" i="97" s="1"/>
  <c r="AE16" i="98" s="1"/>
  <c r="AE16" i="99" s="1"/>
  <c r="AE16" i="100" s="1"/>
  <c r="AE16" i="101" s="1"/>
  <c r="AE16" i="102" s="1"/>
  <c r="AB16" i="85"/>
  <c r="AB16" i="87" s="1"/>
  <c r="AB16" i="86" s="1"/>
  <c r="AB16" i="88" s="1"/>
  <c r="AB16" i="89" s="1"/>
  <c r="AB16" i="90" s="1"/>
  <c r="AB16" i="91" s="1"/>
  <c r="AB16" i="92" s="1"/>
  <c r="AB16" i="93" s="1"/>
  <c r="AB16" i="94" s="1"/>
  <c r="AB16" i="95" s="1"/>
  <c r="AB16" i="96" s="1"/>
  <c r="AB16" i="97" s="1"/>
  <c r="AB16" i="98" s="1"/>
  <c r="AB16" i="99" s="1"/>
  <c r="AB16" i="100" s="1"/>
  <c r="AB16" i="101" s="1"/>
  <c r="AB16" i="102" s="1"/>
  <c r="Y16" i="85"/>
  <c r="Y16" i="87" s="1"/>
  <c r="Y16" i="86" s="1"/>
  <c r="Y16" i="88" s="1"/>
  <c r="Y16" i="89" s="1"/>
  <c r="Y16" i="90" s="1"/>
  <c r="Y16" i="91" s="1"/>
  <c r="Y16" i="92" s="1"/>
  <c r="Y16" i="93" s="1"/>
  <c r="Y16" i="94" s="1"/>
  <c r="V16" i="85"/>
  <c r="V16" i="87" s="1"/>
  <c r="V16" i="86" s="1"/>
  <c r="V16" i="88" s="1"/>
  <c r="V16" i="89" s="1"/>
  <c r="V16" i="90" s="1"/>
  <c r="V16" i="91" s="1"/>
  <c r="V16" i="92" s="1"/>
  <c r="V16" i="93" s="1"/>
  <c r="V16" i="94" s="1"/>
  <c r="V16" i="95" s="1"/>
  <c r="V16" i="96" s="1"/>
  <c r="V16" i="97" s="1"/>
  <c r="V16" i="98" s="1"/>
  <c r="V16" i="99" s="1"/>
  <c r="V16" i="100" s="1"/>
  <c r="V16" i="101" s="1"/>
  <c r="V16" i="102" s="1"/>
  <c r="S16" i="85"/>
  <c r="S16" i="87" s="1"/>
  <c r="S16" i="86" s="1"/>
  <c r="S16" i="88" s="1"/>
  <c r="S16" i="89" s="1"/>
  <c r="S16" i="90" s="1"/>
  <c r="S16" i="91" s="1"/>
  <c r="S16" i="92" s="1"/>
  <c r="S16" i="93" s="1"/>
  <c r="S16" i="94" s="1"/>
  <c r="S16" i="95" s="1"/>
  <c r="S16" i="96" s="1"/>
  <c r="S16" i="97" s="1"/>
  <c r="S16" i="98" s="1"/>
  <c r="S16" i="99" s="1"/>
  <c r="S16" i="100" s="1"/>
  <c r="S16" i="101" s="1"/>
  <c r="S16" i="102" s="1"/>
  <c r="P16" i="85"/>
  <c r="P16" i="87" s="1"/>
  <c r="P16" i="86" s="1"/>
  <c r="P16" i="88" s="1"/>
  <c r="P16" i="89" s="1"/>
  <c r="P16" i="90" s="1"/>
  <c r="P16" i="91" s="1"/>
  <c r="P16" i="92" s="1"/>
  <c r="P16" i="93" s="1"/>
  <c r="P16" i="94" s="1"/>
  <c r="P16" i="95" s="1"/>
  <c r="P16" i="96" s="1"/>
  <c r="P16" i="97" s="1"/>
  <c r="P16" i="98" s="1"/>
  <c r="P16" i="99" s="1"/>
  <c r="P16" i="100" s="1"/>
  <c r="P16" i="101" s="1"/>
  <c r="P16" i="102" s="1"/>
  <c r="M16" i="85"/>
  <c r="M16" i="87" s="1"/>
  <c r="M16" i="86" s="1"/>
  <c r="M16" i="88" s="1"/>
  <c r="M16" i="89" s="1"/>
  <c r="M16" i="90" s="1"/>
  <c r="M16" i="91" s="1"/>
  <c r="M16" i="92" s="1"/>
  <c r="M16" i="93" s="1"/>
  <c r="M16" i="94" s="1"/>
  <c r="M16" i="95" s="1"/>
  <c r="M16" i="96" s="1"/>
  <c r="M16" i="97" s="1"/>
  <c r="M16" i="98" s="1"/>
  <c r="M16" i="99" s="1"/>
  <c r="M16" i="100" s="1"/>
  <c r="M16" i="101" s="1"/>
  <c r="M16" i="102" s="1"/>
  <c r="J16" i="85"/>
  <c r="J16" i="87" s="1"/>
  <c r="J16" i="86" s="1"/>
  <c r="J16" i="88" s="1"/>
  <c r="J16" i="89" s="1"/>
  <c r="J16" i="90" s="1"/>
  <c r="J16" i="91" s="1"/>
  <c r="J16" i="92" s="1"/>
  <c r="J16" i="93" s="1"/>
  <c r="J16" i="94" s="1"/>
  <c r="J16" i="95" s="1"/>
  <c r="J16" i="96" s="1"/>
  <c r="J16" i="97" s="1"/>
  <c r="J16" i="98" s="1"/>
  <c r="J16" i="99" s="1"/>
  <c r="J16" i="100" s="1"/>
  <c r="J16" i="101" s="1"/>
  <c r="J16" i="102" s="1"/>
  <c r="G16" i="85"/>
  <c r="C16" i="85"/>
  <c r="B16" i="85"/>
  <c r="BQ15" i="85"/>
  <c r="BQ15" i="87" s="1"/>
  <c r="BQ15" i="86" s="1"/>
  <c r="BQ15" i="88" s="1"/>
  <c r="BN15" i="85"/>
  <c r="BN15" i="87" s="1"/>
  <c r="BN15" i="86" s="1"/>
  <c r="BN15" i="88" s="1"/>
  <c r="BN15" i="89" s="1"/>
  <c r="BN15" i="90" s="1"/>
  <c r="BN15" i="91" s="1"/>
  <c r="BN15" i="92" s="1"/>
  <c r="BN15" i="93" s="1"/>
  <c r="BN15" i="94" s="1"/>
  <c r="BN15" i="95" s="1"/>
  <c r="BN15" i="96" s="1"/>
  <c r="BN15" i="97" s="1"/>
  <c r="BN15" i="98" s="1"/>
  <c r="BN15" i="99" s="1"/>
  <c r="BN15" i="100" s="1"/>
  <c r="BN15" i="101" s="1"/>
  <c r="BN15" i="102" s="1"/>
  <c r="BL15" i="85"/>
  <c r="BL15" i="87" s="1"/>
  <c r="BL15" i="86" s="1"/>
  <c r="BL15" i="88" s="1"/>
  <c r="BL15" i="89" s="1"/>
  <c r="BL15" i="90" s="1"/>
  <c r="BL15" i="91" s="1"/>
  <c r="BL15" i="92" s="1"/>
  <c r="BL15" i="93" s="1"/>
  <c r="BL15" i="94" s="1"/>
  <c r="BL15" i="95" s="1"/>
  <c r="BL15" i="96" s="1"/>
  <c r="BL15" i="97" s="1"/>
  <c r="BL15" i="98" s="1"/>
  <c r="BL15" i="99" s="1"/>
  <c r="BL15" i="100" s="1"/>
  <c r="BL15" i="101" s="1"/>
  <c r="BL15" i="102" s="1"/>
  <c r="BJ15" i="85"/>
  <c r="BJ15" i="87" s="1"/>
  <c r="BJ15" i="86" s="1"/>
  <c r="BJ15" i="88" s="1"/>
  <c r="BJ15" i="89" s="1"/>
  <c r="BJ15" i="90" s="1"/>
  <c r="BJ15" i="91" s="1"/>
  <c r="BJ15" i="92" s="1"/>
  <c r="BJ15" i="93" s="1"/>
  <c r="BJ15" i="94" s="1"/>
  <c r="BJ15" i="95" s="1"/>
  <c r="BJ15" i="96" s="1"/>
  <c r="BJ15" i="97" s="1"/>
  <c r="BJ15" i="98" s="1"/>
  <c r="BJ15" i="99" s="1"/>
  <c r="BJ15" i="100" s="1"/>
  <c r="BJ15" i="101" s="1"/>
  <c r="BJ15" i="102" s="1"/>
  <c r="BH15" i="85"/>
  <c r="BF15" i="85"/>
  <c r="BF15" i="87" s="1"/>
  <c r="BC15" i="85"/>
  <c r="BB15" i="85"/>
  <c r="BB15" i="87" s="1"/>
  <c r="BB15" i="86" s="1"/>
  <c r="BB15" i="88" s="1"/>
  <c r="BB15" i="89" s="1"/>
  <c r="BB15" i="90" s="1"/>
  <c r="BB15" i="91" s="1"/>
  <c r="BB15" i="92" s="1"/>
  <c r="BB15" i="93" s="1"/>
  <c r="BB15" i="94" s="1"/>
  <c r="BB15" i="95" s="1"/>
  <c r="BB15" i="96" s="1"/>
  <c r="BB15" i="97" s="1"/>
  <c r="BB15" i="98" s="1"/>
  <c r="BB15" i="99" s="1"/>
  <c r="BB15" i="100" s="1"/>
  <c r="BB15" i="101" s="1"/>
  <c r="BB15" i="102" s="1"/>
  <c r="AZ15" i="85"/>
  <c r="AX15" i="85"/>
  <c r="AX15" i="87" s="1"/>
  <c r="AX15" i="86" s="1"/>
  <c r="AX15" i="88" s="1"/>
  <c r="AX15" i="89" s="1"/>
  <c r="AX15" i="90" s="1"/>
  <c r="AX15" i="91" s="1"/>
  <c r="AX15" i="92" s="1"/>
  <c r="AX15" i="93" s="1"/>
  <c r="AX15" i="94" s="1"/>
  <c r="AX15" i="95" s="1"/>
  <c r="AX15" i="96" s="1"/>
  <c r="AX15" i="97" s="1"/>
  <c r="AX15" i="98" s="1"/>
  <c r="AX15" i="99" s="1"/>
  <c r="AX15" i="100" s="1"/>
  <c r="AX15" i="101" s="1"/>
  <c r="AX15" i="102" s="1"/>
  <c r="AV15" i="85"/>
  <c r="AV15" i="87" s="1"/>
  <c r="AV15" i="86" s="1"/>
  <c r="AV15" i="88" s="1"/>
  <c r="AV15" i="89" s="1"/>
  <c r="AV15" i="90" s="1"/>
  <c r="AV15" i="91" s="1"/>
  <c r="AV15" i="92" s="1"/>
  <c r="AV15" i="93" s="1"/>
  <c r="AV15" i="94" s="1"/>
  <c r="AV15" i="95" s="1"/>
  <c r="AV15" i="96" s="1"/>
  <c r="AV15" i="97" s="1"/>
  <c r="AV15" i="98" s="1"/>
  <c r="AV15" i="99" s="1"/>
  <c r="AV15" i="100" s="1"/>
  <c r="AV15" i="101" s="1"/>
  <c r="AV15" i="102" s="1"/>
  <c r="AT15" i="85"/>
  <c r="AT15" i="87" s="1"/>
  <c r="AQ15" i="85"/>
  <c r="AO15" i="85"/>
  <c r="AO15" i="87" s="1"/>
  <c r="AO15" i="86" s="1"/>
  <c r="AO15" i="88" s="1"/>
  <c r="AO15" i="89" s="1"/>
  <c r="AO15" i="90" s="1"/>
  <c r="AO15" i="91" s="1"/>
  <c r="AO15" i="92" s="1"/>
  <c r="AO15" i="93" s="1"/>
  <c r="AO15" i="94" s="1"/>
  <c r="AO15" i="95" s="1"/>
  <c r="AO15" i="96" s="1"/>
  <c r="AO15" i="97" s="1"/>
  <c r="AO15" i="98" s="1"/>
  <c r="AO15" i="99" s="1"/>
  <c r="AO15" i="100" s="1"/>
  <c r="AO15" i="101" s="1"/>
  <c r="AO15" i="102" s="1"/>
  <c r="AM15" i="85"/>
  <c r="AM15" i="87" s="1"/>
  <c r="AM15" i="86" s="1"/>
  <c r="AM15" i="88" s="1"/>
  <c r="AM15" i="89" s="1"/>
  <c r="AM15" i="90" s="1"/>
  <c r="AM15" i="91" s="1"/>
  <c r="AM15" i="92" s="1"/>
  <c r="AM15" i="93" s="1"/>
  <c r="AM15" i="94" s="1"/>
  <c r="AM15" i="95" s="1"/>
  <c r="AM15" i="96" s="1"/>
  <c r="AM15" i="97" s="1"/>
  <c r="AM15" i="98" s="1"/>
  <c r="AM15" i="99" s="1"/>
  <c r="AM15" i="100" s="1"/>
  <c r="AM15" i="101" s="1"/>
  <c r="AM15" i="102" s="1"/>
  <c r="AK15" i="85"/>
  <c r="AK15" i="87" s="1"/>
  <c r="AK15" i="86" s="1"/>
  <c r="AK15" i="88" s="1"/>
  <c r="AK15" i="89" s="1"/>
  <c r="AK15" i="90" s="1"/>
  <c r="AK15" i="91" s="1"/>
  <c r="AK15" i="92" s="1"/>
  <c r="AK15" i="93" s="1"/>
  <c r="AK15" i="94" s="1"/>
  <c r="AK15" i="95" s="1"/>
  <c r="AK15" i="96" s="1"/>
  <c r="AK15" i="97" s="1"/>
  <c r="AK15" i="98" s="1"/>
  <c r="AK15" i="99" s="1"/>
  <c r="AI15" i="85"/>
  <c r="AI15" i="87" s="1"/>
  <c r="AI15" i="86" s="1"/>
  <c r="AF15" i="85"/>
  <c r="AE15" i="85"/>
  <c r="AE15" i="87" s="1"/>
  <c r="AE15" i="86" s="1"/>
  <c r="AE15" i="88" s="1"/>
  <c r="AE15" i="89" s="1"/>
  <c r="AE15" i="90" s="1"/>
  <c r="AE15" i="91" s="1"/>
  <c r="AE15" i="92" s="1"/>
  <c r="AE15" i="93" s="1"/>
  <c r="AE15" i="94" s="1"/>
  <c r="AE15" i="95" s="1"/>
  <c r="AE15" i="96" s="1"/>
  <c r="AE15" i="97" s="1"/>
  <c r="AE15" i="98" s="1"/>
  <c r="AE15" i="99" s="1"/>
  <c r="AE15" i="100" s="1"/>
  <c r="AE15" i="101" s="1"/>
  <c r="AE15" i="102" s="1"/>
  <c r="AB15" i="85"/>
  <c r="AB15" i="87" s="1"/>
  <c r="AB15" i="86" s="1"/>
  <c r="AB15" i="88" s="1"/>
  <c r="AB15" i="89" s="1"/>
  <c r="AB15" i="90" s="1"/>
  <c r="AB15" i="91" s="1"/>
  <c r="AB15" i="92" s="1"/>
  <c r="AB15" i="93" s="1"/>
  <c r="AB15" i="94" s="1"/>
  <c r="AB15" i="95" s="1"/>
  <c r="AB15" i="96" s="1"/>
  <c r="AB15" i="97" s="1"/>
  <c r="AB15" i="98" s="1"/>
  <c r="AB15" i="99" s="1"/>
  <c r="AB15" i="100" s="1"/>
  <c r="AB15" i="101" s="1"/>
  <c r="AB15" i="102" s="1"/>
  <c r="Y15" i="85"/>
  <c r="Y15" i="87" s="1"/>
  <c r="Y15" i="86" s="1"/>
  <c r="Y15" i="88" s="1"/>
  <c r="Y15" i="89" s="1"/>
  <c r="Y15" i="90" s="1"/>
  <c r="Y15" i="91" s="1"/>
  <c r="Y15" i="92" s="1"/>
  <c r="Y15" i="93" s="1"/>
  <c r="Y15" i="94" s="1"/>
  <c r="Y15" i="95" s="1"/>
  <c r="Y15" i="96" s="1"/>
  <c r="Y15" i="97" s="1"/>
  <c r="Y15" i="98" s="1"/>
  <c r="Y15" i="99" s="1"/>
  <c r="Y15" i="100" s="1"/>
  <c r="Y15" i="101" s="1"/>
  <c r="Y15" i="102" s="1"/>
  <c r="V15" i="85"/>
  <c r="V15" i="87" s="1"/>
  <c r="V15" i="86" s="1"/>
  <c r="V15" i="88" s="1"/>
  <c r="V15" i="89" s="1"/>
  <c r="V15" i="90" s="1"/>
  <c r="V15" i="91" s="1"/>
  <c r="V15" i="92" s="1"/>
  <c r="V15" i="93" s="1"/>
  <c r="V15" i="94" s="1"/>
  <c r="V15" i="95" s="1"/>
  <c r="V15" i="96" s="1"/>
  <c r="V15" i="97" s="1"/>
  <c r="V15" i="98" s="1"/>
  <c r="V15" i="99" s="1"/>
  <c r="V15" i="100" s="1"/>
  <c r="V15" i="101" s="1"/>
  <c r="V15" i="102" s="1"/>
  <c r="S15" i="85"/>
  <c r="S15" i="87" s="1"/>
  <c r="S15" i="86" s="1"/>
  <c r="S15" i="88" s="1"/>
  <c r="S15" i="89" s="1"/>
  <c r="S15" i="90" s="1"/>
  <c r="S15" i="91" s="1"/>
  <c r="S15" i="92" s="1"/>
  <c r="S15" i="93" s="1"/>
  <c r="S15" i="94" s="1"/>
  <c r="S15" i="95" s="1"/>
  <c r="S15" i="96" s="1"/>
  <c r="S15" i="97" s="1"/>
  <c r="S15" i="98" s="1"/>
  <c r="S15" i="99" s="1"/>
  <c r="S15" i="100" s="1"/>
  <c r="S15" i="101" s="1"/>
  <c r="S15" i="102" s="1"/>
  <c r="P15" i="85"/>
  <c r="P15" i="87" s="1"/>
  <c r="P15" i="86" s="1"/>
  <c r="P15" i="88" s="1"/>
  <c r="P15" i="89" s="1"/>
  <c r="P15" i="90" s="1"/>
  <c r="P15" i="91" s="1"/>
  <c r="P15" i="92" s="1"/>
  <c r="P15" i="93" s="1"/>
  <c r="P15" i="94" s="1"/>
  <c r="P15" i="95" s="1"/>
  <c r="P15" i="96" s="1"/>
  <c r="P15" i="97" s="1"/>
  <c r="P15" i="98" s="1"/>
  <c r="P15" i="99" s="1"/>
  <c r="P15" i="100" s="1"/>
  <c r="P15" i="101" s="1"/>
  <c r="P15" i="102" s="1"/>
  <c r="M15" i="85"/>
  <c r="M15" i="87" s="1"/>
  <c r="M15" i="86" s="1"/>
  <c r="M15" i="88" s="1"/>
  <c r="M15" i="89" s="1"/>
  <c r="M15" i="90" s="1"/>
  <c r="M15" i="91" s="1"/>
  <c r="M15" i="92" s="1"/>
  <c r="M15" i="93" s="1"/>
  <c r="M15" i="94" s="1"/>
  <c r="M15" i="95" s="1"/>
  <c r="M15" i="96" s="1"/>
  <c r="M15" i="97" s="1"/>
  <c r="M15" i="98" s="1"/>
  <c r="M15" i="99" s="1"/>
  <c r="M15" i="100" s="1"/>
  <c r="M15" i="101" s="1"/>
  <c r="M15" i="102" s="1"/>
  <c r="J15" i="85"/>
  <c r="J15" i="87" s="1"/>
  <c r="J15" i="86" s="1"/>
  <c r="J15" i="88" s="1"/>
  <c r="J15" i="89" s="1"/>
  <c r="J15" i="90" s="1"/>
  <c r="J15" i="91" s="1"/>
  <c r="J15" i="92" s="1"/>
  <c r="J15" i="93" s="1"/>
  <c r="J15" i="94" s="1"/>
  <c r="J15" i="95" s="1"/>
  <c r="J15" i="96" s="1"/>
  <c r="J15" i="97" s="1"/>
  <c r="J15" i="98" s="1"/>
  <c r="J15" i="99" s="1"/>
  <c r="J15" i="100" s="1"/>
  <c r="J15" i="101" s="1"/>
  <c r="J15" i="102" s="1"/>
  <c r="J15" i="103" s="1"/>
  <c r="G15" i="85"/>
  <c r="G15" i="87" s="1"/>
  <c r="C15" i="85"/>
  <c r="B15" i="85"/>
  <c r="BQ14" i="85"/>
  <c r="BQ14" i="87" s="1"/>
  <c r="BQ14" i="86" s="1"/>
  <c r="BQ14" i="88" s="1"/>
  <c r="BQ14" i="89" s="1"/>
  <c r="BQ14" i="90" s="1"/>
  <c r="BQ14" i="91" s="1"/>
  <c r="BQ14" i="92" s="1"/>
  <c r="BQ14" i="93" s="1"/>
  <c r="BQ14" i="94" s="1"/>
  <c r="BQ14" i="95" s="1"/>
  <c r="BQ14" i="96" s="1"/>
  <c r="BQ14" i="97" s="1"/>
  <c r="BQ14" i="98" s="1"/>
  <c r="BQ14" i="99" s="1"/>
  <c r="BQ14" i="100" s="1"/>
  <c r="BQ14" i="101" s="1"/>
  <c r="BQ14" i="102" s="1"/>
  <c r="BN14" i="85"/>
  <c r="BN14" i="87" s="1"/>
  <c r="BN14" i="86" s="1"/>
  <c r="BN14" i="88" s="1"/>
  <c r="BN14" i="89" s="1"/>
  <c r="BN14" i="90" s="1"/>
  <c r="BN14" i="91" s="1"/>
  <c r="BN14" i="92" s="1"/>
  <c r="BN14" i="93" s="1"/>
  <c r="BN14" i="94" s="1"/>
  <c r="BN14" i="95" s="1"/>
  <c r="BN14" i="96" s="1"/>
  <c r="BN14" i="97" s="1"/>
  <c r="BN14" i="98" s="1"/>
  <c r="BN14" i="99" s="1"/>
  <c r="BN14" i="100" s="1"/>
  <c r="BN14" i="101" s="1"/>
  <c r="BN14" i="102" s="1"/>
  <c r="BL14" i="85"/>
  <c r="BL14" i="87" s="1"/>
  <c r="BL14" i="86" s="1"/>
  <c r="BL14" i="88" s="1"/>
  <c r="BL14" i="89" s="1"/>
  <c r="BL14" i="90" s="1"/>
  <c r="BL14" i="91" s="1"/>
  <c r="BL14" i="92" s="1"/>
  <c r="BL14" i="93" s="1"/>
  <c r="BL14" i="94" s="1"/>
  <c r="BL14" i="95" s="1"/>
  <c r="BL14" i="96" s="1"/>
  <c r="BL14" i="97" s="1"/>
  <c r="BL14" i="98" s="1"/>
  <c r="BL14" i="99" s="1"/>
  <c r="BL14" i="100" s="1"/>
  <c r="BL14" i="101" s="1"/>
  <c r="BL14" i="102" s="1"/>
  <c r="BJ14" i="85"/>
  <c r="BJ14" i="87" s="1"/>
  <c r="BJ14" i="86" s="1"/>
  <c r="BJ14" i="88" s="1"/>
  <c r="BJ14" i="89" s="1"/>
  <c r="BJ14" i="90" s="1"/>
  <c r="BJ14" i="91" s="1"/>
  <c r="BJ14" i="92" s="1"/>
  <c r="BJ14" i="93" s="1"/>
  <c r="BJ14" i="94" s="1"/>
  <c r="BJ14" i="95" s="1"/>
  <c r="BJ14" i="96" s="1"/>
  <c r="BJ14" i="97" s="1"/>
  <c r="BJ14" i="98" s="1"/>
  <c r="BJ14" i="99" s="1"/>
  <c r="BJ14" i="100" s="1"/>
  <c r="BJ14" i="101" s="1"/>
  <c r="BJ14" i="102" s="1"/>
  <c r="BH14" i="85"/>
  <c r="BH14" i="87" s="1"/>
  <c r="BH14" i="86" s="1"/>
  <c r="BH14" i="88" s="1"/>
  <c r="BH14" i="89" s="1"/>
  <c r="BH14" i="90" s="1"/>
  <c r="BH14" i="91" s="1"/>
  <c r="BH14" i="92" s="1"/>
  <c r="BH14" i="93" s="1"/>
  <c r="BH14" i="94" s="1"/>
  <c r="BH14" i="95" s="1"/>
  <c r="BH14" i="96" s="1"/>
  <c r="BH14" i="97" s="1"/>
  <c r="BH14" i="98" s="1"/>
  <c r="BH14" i="99" s="1"/>
  <c r="BH14" i="100" s="1"/>
  <c r="BH14" i="101" s="1"/>
  <c r="BH14" i="102" s="1"/>
  <c r="BF14" i="85"/>
  <c r="BF14" i="87" s="1"/>
  <c r="BC14" i="85"/>
  <c r="BB14" i="85"/>
  <c r="BB14" i="87" s="1"/>
  <c r="BB14" i="86" s="1"/>
  <c r="BB14" i="88" s="1"/>
  <c r="BB14" i="89" s="1"/>
  <c r="BB14" i="90" s="1"/>
  <c r="BB14" i="91" s="1"/>
  <c r="BB14" i="92" s="1"/>
  <c r="BB14" i="93" s="1"/>
  <c r="BB14" i="94" s="1"/>
  <c r="BB14" i="95" s="1"/>
  <c r="BB14" i="96" s="1"/>
  <c r="BB14" i="97" s="1"/>
  <c r="BB14" i="98" s="1"/>
  <c r="BB14" i="99" s="1"/>
  <c r="BB14" i="100" s="1"/>
  <c r="BB14" i="101" s="1"/>
  <c r="BB14" i="102" s="1"/>
  <c r="AZ14" i="85"/>
  <c r="AZ14" i="87" s="1"/>
  <c r="AZ14" i="86" s="1"/>
  <c r="AZ14" i="88" s="1"/>
  <c r="AZ14" i="89" s="1"/>
  <c r="AZ14" i="90" s="1"/>
  <c r="AZ14" i="91" s="1"/>
  <c r="AZ14" i="92" s="1"/>
  <c r="AZ14" i="93" s="1"/>
  <c r="AZ14" i="94" s="1"/>
  <c r="AZ14" i="95" s="1"/>
  <c r="AZ14" i="96" s="1"/>
  <c r="AZ14" i="97" s="1"/>
  <c r="AZ14" i="98" s="1"/>
  <c r="AZ14" i="99" s="1"/>
  <c r="AZ14" i="100" s="1"/>
  <c r="AZ14" i="101" s="1"/>
  <c r="AZ14" i="102" s="1"/>
  <c r="AX14" i="85"/>
  <c r="AX14" i="87" s="1"/>
  <c r="AX14" i="86" s="1"/>
  <c r="AX14" i="88" s="1"/>
  <c r="AX14" i="89" s="1"/>
  <c r="AX14" i="90" s="1"/>
  <c r="AX14" i="91" s="1"/>
  <c r="AX14" i="92" s="1"/>
  <c r="AX14" i="93" s="1"/>
  <c r="AX14" i="94" s="1"/>
  <c r="AX14" i="95" s="1"/>
  <c r="AX14" i="96" s="1"/>
  <c r="AX14" i="97" s="1"/>
  <c r="AX14" i="98" s="1"/>
  <c r="AX14" i="99" s="1"/>
  <c r="AX14" i="100" s="1"/>
  <c r="AX14" i="101" s="1"/>
  <c r="AX14" i="102" s="1"/>
  <c r="AV14" i="85"/>
  <c r="AT14" i="85"/>
  <c r="AT14" i="87" s="1"/>
  <c r="AQ14" i="85"/>
  <c r="AO14" i="85"/>
  <c r="AO14" i="87" s="1"/>
  <c r="AO14" i="86" s="1"/>
  <c r="AO14" i="88" s="1"/>
  <c r="AO14" i="89" s="1"/>
  <c r="AO14" i="90" s="1"/>
  <c r="AO14" i="91" s="1"/>
  <c r="AO14" i="92" s="1"/>
  <c r="AO14" i="93" s="1"/>
  <c r="AO14" i="94" s="1"/>
  <c r="AO14" i="95" s="1"/>
  <c r="AO14" i="96" s="1"/>
  <c r="AO14" i="97" s="1"/>
  <c r="AO14" i="98" s="1"/>
  <c r="AO14" i="99" s="1"/>
  <c r="AO14" i="100" s="1"/>
  <c r="AO14" i="101" s="1"/>
  <c r="AO14" i="102" s="1"/>
  <c r="AM14" i="85"/>
  <c r="AM14" i="87" s="1"/>
  <c r="AM14" i="86" s="1"/>
  <c r="AM14" i="88" s="1"/>
  <c r="AM14" i="89" s="1"/>
  <c r="AM14" i="90" s="1"/>
  <c r="AM14" i="91" s="1"/>
  <c r="AM14" i="92" s="1"/>
  <c r="AM14" i="93" s="1"/>
  <c r="AM14" i="94" s="1"/>
  <c r="AM14" i="95" s="1"/>
  <c r="AM14" i="96" s="1"/>
  <c r="AM14" i="97" s="1"/>
  <c r="AM14" i="98" s="1"/>
  <c r="AM14" i="99" s="1"/>
  <c r="AM14" i="100" s="1"/>
  <c r="AM14" i="101" s="1"/>
  <c r="AM14" i="102" s="1"/>
  <c r="AK14" i="85"/>
  <c r="AK14" i="87" s="1"/>
  <c r="AK14" i="86" s="1"/>
  <c r="AK14" i="88" s="1"/>
  <c r="AK14" i="89" s="1"/>
  <c r="AK14" i="90" s="1"/>
  <c r="AK14" i="91" s="1"/>
  <c r="AK14" i="92" s="1"/>
  <c r="AK14" i="93" s="1"/>
  <c r="AK14" i="94" s="1"/>
  <c r="AK14" i="95" s="1"/>
  <c r="AK14" i="96" s="1"/>
  <c r="AK14" i="97" s="1"/>
  <c r="AK14" i="98" s="1"/>
  <c r="AK14" i="99" s="1"/>
  <c r="AK14" i="100" s="1"/>
  <c r="AK14" i="101" s="1"/>
  <c r="AK14" i="102" s="1"/>
  <c r="AI14" i="85"/>
  <c r="AI14" i="87" s="1"/>
  <c r="AF14" i="85"/>
  <c r="AE14" i="85"/>
  <c r="AE14" i="87" s="1"/>
  <c r="AE14" i="86" s="1"/>
  <c r="AE14" i="88" s="1"/>
  <c r="AE14" i="89" s="1"/>
  <c r="AE14" i="90" s="1"/>
  <c r="AE14" i="91" s="1"/>
  <c r="AE14" i="92" s="1"/>
  <c r="AE14" i="93" s="1"/>
  <c r="AE14" i="94" s="1"/>
  <c r="AE14" i="95" s="1"/>
  <c r="AE14" i="96" s="1"/>
  <c r="AE14" i="97" s="1"/>
  <c r="AE14" i="98" s="1"/>
  <c r="AE14" i="99" s="1"/>
  <c r="AE14" i="100" s="1"/>
  <c r="AE14" i="101" s="1"/>
  <c r="AE14" i="102" s="1"/>
  <c r="AB14" i="85"/>
  <c r="AB14" i="87" s="1"/>
  <c r="AB14" i="86" s="1"/>
  <c r="AB14" i="88" s="1"/>
  <c r="AB14" i="89" s="1"/>
  <c r="AB14" i="90" s="1"/>
  <c r="AB14" i="91" s="1"/>
  <c r="AB14" i="92" s="1"/>
  <c r="AB14" i="93" s="1"/>
  <c r="AB14" i="94" s="1"/>
  <c r="AB14" i="95" s="1"/>
  <c r="AB14" i="96" s="1"/>
  <c r="AB14" i="97" s="1"/>
  <c r="AB14" i="98" s="1"/>
  <c r="AB14" i="99" s="1"/>
  <c r="AB14" i="100" s="1"/>
  <c r="AB14" i="101" s="1"/>
  <c r="AB14" i="102" s="1"/>
  <c r="Y14" i="85"/>
  <c r="Y14" i="87" s="1"/>
  <c r="Y14" i="86" s="1"/>
  <c r="Y14" i="88" s="1"/>
  <c r="Y14" i="89" s="1"/>
  <c r="Y14" i="90" s="1"/>
  <c r="Y14" i="91" s="1"/>
  <c r="Y14" i="92" s="1"/>
  <c r="Y14" i="93" s="1"/>
  <c r="Y14" i="94" s="1"/>
  <c r="Y14" i="95" s="1"/>
  <c r="Y14" i="96" s="1"/>
  <c r="Y14" i="97" s="1"/>
  <c r="Y14" i="98" s="1"/>
  <c r="Y14" i="99" s="1"/>
  <c r="Y14" i="100" s="1"/>
  <c r="Y14" i="101" s="1"/>
  <c r="Y14" i="102" s="1"/>
  <c r="V14" i="85"/>
  <c r="V14" i="87" s="1"/>
  <c r="V14" i="86" s="1"/>
  <c r="V14" i="88" s="1"/>
  <c r="V14" i="89" s="1"/>
  <c r="V14" i="90" s="1"/>
  <c r="V14" i="91" s="1"/>
  <c r="V14" i="92" s="1"/>
  <c r="V14" i="93" s="1"/>
  <c r="V14" i="94" s="1"/>
  <c r="V14" i="95" s="1"/>
  <c r="V14" i="96" s="1"/>
  <c r="V14" i="97" s="1"/>
  <c r="V14" i="98" s="1"/>
  <c r="V14" i="99" s="1"/>
  <c r="V14" i="100" s="1"/>
  <c r="V14" i="101" s="1"/>
  <c r="V14" i="102" s="1"/>
  <c r="S14" i="85"/>
  <c r="S14" i="87" s="1"/>
  <c r="S14" i="86" s="1"/>
  <c r="S14" i="88" s="1"/>
  <c r="S14" i="89" s="1"/>
  <c r="S14" i="90" s="1"/>
  <c r="S14" i="91" s="1"/>
  <c r="S14" i="92" s="1"/>
  <c r="S14" i="93" s="1"/>
  <c r="S14" i="94" s="1"/>
  <c r="P14" i="85"/>
  <c r="P14" i="87" s="1"/>
  <c r="P14" i="86" s="1"/>
  <c r="P14" i="88" s="1"/>
  <c r="P14" i="89" s="1"/>
  <c r="P14" i="90" s="1"/>
  <c r="P14" i="91" s="1"/>
  <c r="P14" i="92" s="1"/>
  <c r="P14" i="93" s="1"/>
  <c r="P14" i="94" s="1"/>
  <c r="P14" i="95" s="1"/>
  <c r="P14" i="96" s="1"/>
  <c r="P14" i="97" s="1"/>
  <c r="P14" i="98" s="1"/>
  <c r="P14" i="99" s="1"/>
  <c r="P14" i="100" s="1"/>
  <c r="P14" i="101" s="1"/>
  <c r="P14" i="102" s="1"/>
  <c r="M14" i="85"/>
  <c r="M14" i="87" s="1"/>
  <c r="M14" i="86" s="1"/>
  <c r="M14" i="88" s="1"/>
  <c r="M14" i="89" s="1"/>
  <c r="M14" i="90" s="1"/>
  <c r="M14" i="91" s="1"/>
  <c r="M14" i="92" s="1"/>
  <c r="M14" i="93" s="1"/>
  <c r="M14" i="94" s="1"/>
  <c r="M14" i="95" s="1"/>
  <c r="M14" i="96" s="1"/>
  <c r="M14" i="97" s="1"/>
  <c r="M14" i="98" s="1"/>
  <c r="M14" i="99" s="1"/>
  <c r="M14" i="100" s="1"/>
  <c r="M14" i="101" s="1"/>
  <c r="M14" i="102" s="1"/>
  <c r="J14" i="85"/>
  <c r="J14" i="87" s="1"/>
  <c r="J14" i="86" s="1"/>
  <c r="J14" i="88" s="1"/>
  <c r="J14" i="89" s="1"/>
  <c r="J14" i="90" s="1"/>
  <c r="J14" i="91" s="1"/>
  <c r="J14" i="92" s="1"/>
  <c r="J14" i="93" s="1"/>
  <c r="J14" i="94" s="1"/>
  <c r="J14" i="95" s="1"/>
  <c r="J14" i="96" s="1"/>
  <c r="J14" i="97" s="1"/>
  <c r="J14" i="98" s="1"/>
  <c r="J14" i="99" s="1"/>
  <c r="J14" i="100" s="1"/>
  <c r="J14" i="101" s="1"/>
  <c r="J14" i="102" s="1"/>
  <c r="G14" i="85"/>
  <c r="C14" i="85"/>
  <c r="B14" i="85"/>
  <c r="BQ13" i="85"/>
  <c r="BQ13" i="87" s="1"/>
  <c r="BQ13" i="86" s="1"/>
  <c r="BQ13" i="88" s="1"/>
  <c r="BQ13" i="89" s="1"/>
  <c r="BQ13" i="90" s="1"/>
  <c r="BQ13" i="91" s="1"/>
  <c r="BQ13" i="92" s="1"/>
  <c r="BQ13" i="93" s="1"/>
  <c r="BQ13" i="94" s="1"/>
  <c r="BQ13" i="95" s="1"/>
  <c r="BQ13" i="96" s="1"/>
  <c r="BQ13" i="97" s="1"/>
  <c r="BQ13" i="98" s="1"/>
  <c r="BQ13" i="99" s="1"/>
  <c r="BQ13" i="100" s="1"/>
  <c r="BQ13" i="101" s="1"/>
  <c r="BQ13" i="102" s="1"/>
  <c r="BN13" i="85"/>
  <c r="BN13" i="87" s="1"/>
  <c r="BN13" i="86" s="1"/>
  <c r="BN13" i="88" s="1"/>
  <c r="BN13" i="89" s="1"/>
  <c r="BN13" i="90" s="1"/>
  <c r="BN13" i="91" s="1"/>
  <c r="BN13" i="92" s="1"/>
  <c r="BN13" i="93" s="1"/>
  <c r="BN13" i="94" s="1"/>
  <c r="BN13" i="95" s="1"/>
  <c r="BN13" i="96" s="1"/>
  <c r="BN13" i="97" s="1"/>
  <c r="BN13" i="98" s="1"/>
  <c r="BN13" i="99" s="1"/>
  <c r="BN13" i="100" s="1"/>
  <c r="BN13" i="101" s="1"/>
  <c r="BN13" i="102" s="1"/>
  <c r="BL13" i="85"/>
  <c r="BL13" i="87" s="1"/>
  <c r="BL13" i="86" s="1"/>
  <c r="BL13" i="88" s="1"/>
  <c r="BL13" i="89" s="1"/>
  <c r="BL13" i="90" s="1"/>
  <c r="BL13" i="91" s="1"/>
  <c r="BL13" i="92" s="1"/>
  <c r="BL13" i="93" s="1"/>
  <c r="BL13" i="94" s="1"/>
  <c r="BL13" i="95" s="1"/>
  <c r="BL13" i="96" s="1"/>
  <c r="BL13" i="97" s="1"/>
  <c r="BL13" i="98" s="1"/>
  <c r="BL13" i="99" s="1"/>
  <c r="BL13" i="100" s="1"/>
  <c r="BL13" i="101" s="1"/>
  <c r="BL13" i="102" s="1"/>
  <c r="BJ13" i="85"/>
  <c r="BJ13" i="87" s="1"/>
  <c r="BJ13" i="86" s="1"/>
  <c r="BJ13" i="88" s="1"/>
  <c r="BJ13" i="89" s="1"/>
  <c r="BJ13" i="90" s="1"/>
  <c r="BJ13" i="91" s="1"/>
  <c r="BJ13" i="92" s="1"/>
  <c r="BJ13" i="93" s="1"/>
  <c r="BJ13" i="94" s="1"/>
  <c r="BJ13" i="95" s="1"/>
  <c r="BJ13" i="96" s="1"/>
  <c r="BJ13" i="97" s="1"/>
  <c r="BJ13" i="98" s="1"/>
  <c r="BJ13" i="99" s="1"/>
  <c r="BJ13" i="100" s="1"/>
  <c r="BJ13" i="101" s="1"/>
  <c r="BJ13" i="102" s="1"/>
  <c r="BH13" i="85"/>
  <c r="BH13" i="87" s="1"/>
  <c r="BH13" i="86" s="1"/>
  <c r="BH13" i="88" s="1"/>
  <c r="BH13" i="89" s="1"/>
  <c r="BH13" i="90" s="1"/>
  <c r="BH13" i="91" s="1"/>
  <c r="BH13" i="92" s="1"/>
  <c r="BH13" i="93" s="1"/>
  <c r="BH13" i="94" s="1"/>
  <c r="BH13" i="95" s="1"/>
  <c r="BH13" i="96" s="1"/>
  <c r="BH13" i="97" s="1"/>
  <c r="BH13" i="98" s="1"/>
  <c r="BH13" i="99" s="1"/>
  <c r="BH13" i="100" s="1"/>
  <c r="BH13" i="101" s="1"/>
  <c r="BH13" i="102" s="1"/>
  <c r="BF13" i="85"/>
  <c r="BF13" i="87" s="1"/>
  <c r="BC13" i="85"/>
  <c r="BB13" i="85"/>
  <c r="BB13" i="87" s="1"/>
  <c r="BB13" i="86" s="1"/>
  <c r="BB13" i="88" s="1"/>
  <c r="BB13" i="89" s="1"/>
  <c r="BB13" i="90" s="1"/>
  <c r="BB13" i="91" s="1"/>
  <c r="BB13" i="92" s="1"/>
  <c r="BB13" i="93" s="1"/>
  <c r="BB13" i="94" s="1"/>
  <c r="BB13" i="95" s="1"/>
  <c r="BB13" i="96" s="1"/>
  <c r="BB13" i="97" s="1"/>
  <c r="BB13" i="98" s="1"/>
  <c r="BB13" i="99" s="1"/>
  <c r="BB13" i="100" s="1"/>
  <c r="BB13" i="101" s="1"/>
  <c r="BB13" i="102" s="1"/>
  <c r="AZ13" i="85"/>
  <c r="AZ13" i="87" s="1"/>
  <c r="AZ13" i="86" s="1"/>
  <c r="AZ13" i="88" s="1"/>
  <c r="AZ13" i="89" s="1"/>
  <c r="AZ13" i="90" s="1"/>
  <c r="AZ13" i="91" s="1"/>
  <c r="AZ13" i="92" s="1"/>
  <c r="AZ13" i="93" s="1"/>
  <c r="AZ13" i="94" s="1"/>
  <c r="AZ13" i="95" s="1"/>
  <c r="AZ13" i="96" s="1"/>
  <c r="AZ13" i="97" s="1"/>
  <c r="AZ13" i="98" s="1"/>
  <c r="AZ13" i="99" s="1"/>
  <c r="AZ13" i="100" s="1"/>
  <c r="AZ13" i="101" s="1"/>
  <c r="AZ13" i="102" s="1"/>
  <c r="AX13" i="85"/>
  <c r="AX13" i="87" s="1"/>
  <c r="AX13" i="86" s="1"/>
  <c r="AX13" i="88" s="1"/>
  <c r="AX13" i="89" s="1"/>
  <c r="AX13" i="90" s="1"/>
  <c r="AX13" i="91" s="1"/>
  <c r="AX13" i="92" s="1"/>
  <c r="AX13" i="93" s="1"/>
  <c r="AX13" i="94" s="1"/>
  <c r="AX13" i="95" s="1"/>
  <c r="AX13" i="96" s="1"/>
  <c r="AX13" i="97" s="1"/>
  <c r="AX13" i="98" s="1"/>
  <c r="AX13" i="99" s="1"/>
  <c r="AX13" i="100" s="1"/>
  <c r="AX13" i="101" s="1"/>
  <c r="AX13" i="102" s="1"/>
  <c r="AV13" i="85"/>
  <c r="AV13" i="87" s="1"/>
  <c r="AV13" i="86" s="1"/>
  <c r="AV13" i="88" s="1"/>
  <c r="AV13" i="89" s="1"/>
  <c r="AV13" i="90" s="1"/>
  <c r="AV13" i="91" s="1"/>
  <c r="AV13" i="92" s="1"/>
  <c r="AV13" i="93" s="1"/>
  <c r="AV13" i="94" s="1"/>
  <c r="AV13" i="95" s="1"/>
  <c r="AV13" i="96" s="1"/>
  <c r="AV13" i="97" s="1"/>
  <c r="AV13" i="98" s="1"/>
  <c r="AV13" i="99" s="1"/>
  <c r="AT13" i="85"/>
  <c r="AT13" i="87" s="1"/>
  <c r="AQ13" i="85"/>
  <c r="AO13" i="85"/>
  <c r="AO13" i="87" s="1"/>
  <c r="AO13" i="86" s="1"/>
  <c r="AO13" i="88" s="1"/>
  <c r="AO13" i="89" s="1"/>
  <c r="AO13" i="90" s="1"/>
  <c r="AO13" i="91" s="1"/>
  <c r="AO13" i="92" s="1"/>
  <c r="AO13" i="93" s="1"/>
  <c r="AO13" i="94" s="1"/>
  <c r="AO13" i="95" s="1"/>
  <c r="AO13" i="96" s="1"/>
  <c r="AO13" i="97" s="1"/>
  <c r="AO13" i="98" s="1"/>
  <c r="AO13" i="99" s="1"/>
  <c r="AO13" i="100" s="1"/>
  <c r="AO13" i="101" s="1"/>
  <c r="AO13" i="102" s="1"/>
  <c r="AM13" i="85"/>
  <c r="AM13" i="87" s="1"/>
  <c r="AM13" i="86" s="1"/>
  <c r="AM13" i="88" s="1"/>
  <c r="AM13" i="89" s="1"/>
  <c r="AM13" i="90" s="1"/>
  <c r="AM13" i="91" s="1"/>
  <c r="AM13" i="92" s="1"/>
  <c r="AM13" i="93" s="1"/>
  <c r="AM13" i="94" s="1"/>
  <c r="AM13" i="95" s="1"/>
  <c r="AM13" i="96" s="1"/>
  <c r="AM13" i="97" s="1"/>
  <c r="AM13" i="98" s="1"/>
  <c r="AM13" i="99" s="1"/>
  <c r="AM13" i="100" s="1"/>
  <c r="AM13" i="101" s="1"/>
  <c r="AM13" i="102" s="1"/>
  <c r="AK13" i="85"/>
  <c r="AK13" i="87" s="1"/>
  <c r="AK13" i="86" s="1"/>
  <c r="AK13" i="88" s="1"/>
  <c r="AK13" i="89" s="1"/>
  <c r="AK13" i="90" s="1"/>
  <c r="AK13" i="91" s="1"/>
  <c r="AK13" i="92" s="1"/>
  <c r="AK13" i="93" s="1"/>
  <c r="AK13" i="94" s="1"/>
  <c r="AK13" i="95" s="1"/>
  <c r="AK13" i="96" s="1"/>
  <c r="AK13" i="97" s="1"/>
  <c r="AK13" i="98" s="1"/>
  <c r="AK13" i="99" s="1"/>
  <c r="AK13" i="100" s="1"/>
  <c r="AK13" i="101" s="1"/>
  <c r="AK13" i="102" s="1"/>
  <c r="AI13" i="85"/>
  <c r="AF13" i="85"/>
  <c r="AE13" i="85"/>
  <c r="AE13" i="87" s="1"/>
  <c r="AE13" i="86" s="1"/>
  <c r="AE13" i="88" s="1"/>
  <c r="AE13" i="89" s="1"/>
  <c r="AE13" i="90" s="1"/>
  <c r="AE13" i="91" s="1"/>
  <c r="AE13" i="92" s="1"/>
  <c r="AE13" i="93" s="1"/>
  <c r="AE13" i="94" s="1"/>
  <c r="AE13" i="95" s="1"/>
  <c r="AE13" i="96" s="1"/>
  <c r="AE13" i="97" s="1"/>
  <c r="AE13" i="98" s="1"/>
  <c r="AE13" i="99" s="1"/>
  <c r="AE13" i="100" s="1"/>
  <c r="AE13" i="101" s="1"/>
  <c r="AE13" i="102" s="1"/>
  <c r="AB13" i="85"/>
  <c r="AB13" i="87" s="1"/>
  <c r="AB13" i="86" s="1"/>
  <c r="AB13" i="88" s="1"/>
  <c r="AB13" i="89" s="1"/>
  <c r="AB13" i="90" s="1"/>
  <c r="AB13" i="91" s="1"/>
  <c r="AB13" i="92" s="1"/>
  <c r="AB13" i="93" s="1"/>
  <c r="AB13" i="94" s="1"/>
  <c r="AB13" i="95" s="1"/>
  <c r="AB13" i="96" s="1"/>
  <c r="AB13" i="97" s="1"/>
  <c r="AB13" i="98" s="1"/>
  <c r="AB13" i="99" s="1"/>
  <c r="AB13" i="100" s="1"/>
  <c r="AB13" i="101" s="1"/>
  <c r="AB13" i="102" s="1"/>
  <c r="Y13" i="85"/>
  <c r="Y13" i="87" s="1"/>
  <c r="Y13" i="86" s="1"/>
  <c r="Y13" i="88" s="1"/>
  <c r="Y13" i="89" s="1"/>
  <c r="Y13" i="90" s="1"/>
  <c r="Y13" i="91" s="1"/>
  <c r="Y13" i="92" s="1"/>
  <c r="Y13" i="93" s="1"/>
  <c r="Y13" i="94" s="1"/>
  <c r="Y13" i="95" s="1"/>
  <c r="Y13" i="96" s="1"/>
  <c r="Y13" i="97" s="1"/>
  <c r="Y13" i="98" s="1"/>
  <c r="Y13" i="99" s="1"/>
  <c r="Y13" i="100" s="1"/>
  <c r="Y13" i="101" s="1"/>
  <c r="Y13" i="102" s="1"/>
  <c r="V13" i="85"/>
  <c r="S13" i="85"/>
  <c r="S13" i="87" s="1"/>
  <c r="S13" i="86" s="1"/>
  <c r="S13" i="88" s="1"/>
  <c r="S13" i="89" s="1"/>
  <c r="S13" i="90" s="1"/>
  <c r="S13" i="91" s="1"/>
  <c r="S13" i="92" s="1"/>
  <c r="S13" i="93" s="1"/>
  <c r="S13" i="94" s="1"/>
  <c r="S13" i="95" s="1"/>
  <c r="S13" i="96" s="1"/>
  <c r="S13" i="97" s="1"/>
  <c r="S13" i="98" s="1"/>
  <c r="S13" i="99" s="1"/>
  <c r="S13" i="100" s="1"/>
  <c r="S13" i="101" s="1"/>
  <c r="S13" i="102" s="1"/>
  <c r="P13" i="85"/>
  <c r="P13" i="87" s="1"/>
  <c r="P13" i="86" s="1"/>
  <c r="P13" i="88" s="1"/>
  <c r="P13" i="89" s="1"/>
  <c r="P13" i="90" s="1"/>
  <c r="P13" i="91" s="1"/>
  <c r="P13" i="92" s="1"/>
  <c r="P13" i="93" s="1"/>
  <c r="P13" i="94" s="1"/>
  <c r="P13" i="95" s="1"/>
  <c r="P13" i="96" s="1"/>
  <c r="P13" i="97" s="1"/>
  <c r="P13" i="98" s="1"/>
  <c r="P13" i="99" s="1"/>
  <c r="P13" i="100" s="1"/>
  <c r="P13" i="101" s="1"/>
  <c r="P13" i="102" s="1"/>
  <c r="M13" i="85"/>
  <c r="M13" i="87" s="1"/>
  <c r="M13" i="86" s="1"/>
  <c r="M13" i="88" s="1"/>
  <c r="M13" i="89" s="1"/>
  <c r="M13" i="90" s="1"/>
  <c r="M13" i="91" s="1"/>
  <c r="M13" i="92" s="1"/>
  <c r="M13" i="93" s="1"/>
  <c r="M13" i="94" s="1"/>
  <c r="M13" i="95" s="1"/>
  <c r="M13" i="96" s="1"/>
  <c r="M13" i="97" s="1"/>
  <c r="M13" i="98" s="1"/>
  <c r="M13" i="99" s="1"/>
  <c r="M13" i="100" s="1"/>
  <c r="M13" i="101" s="1"/>
  <c r="M13" i="102" s="1"/>
  <c r="J13" i="85"/>
  <c r="J13" i="87" s="1"/>
  <c r="J13" i="86" s="1"/>
  <c r="J13" i="88" s="1"/>
  <c r="J13" i="89" s="1"/>
  <c r="J13" i="90" s="1"/>
  <c r="J13" i="91" s="1"/>
  <c r="J13" i="92" s="1"/>
  <c r="J13" i="93" s="1"/>
  <c r="J13" i="94" s="1"/>
  <c r="J13" i="95" s="1"/>
  <c r="J13" i="96" s="1"/>
  <c r="J13" i="97" s="1"/>
  <c r="J13" i="98" s="1"/>
  <c r="J13" i="99" s="1"/>
  <c r="J13" i="100" s="1"/>
  <c r="J13" i="101" s="1"/>
  <c r="J13" i="102" s="1"/>
  <c r="G13" i="85"/>
  <c r="G13" i="87" s="1"/>
  <c r="C13" i="85"/>
  <c r="B13" i="85"/>
  <c r="BQ12" i="85"/>
  <c r="BQ12" i="87" s="1"/>
  <c r="BQ12" i="86" s="1"/>
  <c r="BQ12" i="88" s="1"/>
  <c r="BQ12" i="89" s="1"/>
  <c r="BQ12" i="90" s="1"/>
  <c r="BQ12" i="91" s="1"/>
  <c r="BQ12" i="92" s="1"/>
  <c r="BQ12" i="93" s="1"/>
  <c r="BQ12" i="94" s="1"/>
  <c r="BQ12" i="95" s="1"/>
  <c r="BQ12" i="96" s="1"/>
  <c r="BQ12" i="97" s="1"/>
  <c r="BQ12" i="98" s="1"/>
  <c r="BQ12" i="99" s="1"/>
  <c r="BQ12" i="100" s="1"/>
  <c r="BQ12" i="101" s="1"/>
  <c r="BQ12" i="102" s="1"/>
  <c r="BN12" i="85"/>
  <c r="BN12" i="87" s="1"/>
  <c r="BN12" i="86" s="1"/>
  <c r="BN12" i="88" s="1"/>
  <c r="BN12" i="89" s="1"/>
  <c r="BN12" i="90" s="1"/>
  <c r="BN12" i="91" s="1"/>
  <c r="BN12" i="92" s="1"/>
  <c r="BN12" i="93" s="1"/>
  <c r="BN12" i="94" s="1"/>
  <c r="BN12" i="95" s="1"/>
  <c r="BN12" i="96" s="1"/>
  <c r="BN12" i="97" s="1"/>
  <c r="BN12" i="98" s="1"/>
  <c r="BN12" i="99" s="1"/>
  <c r="BN12" i="100" s="1"/>
  <c r="BN12" i="101" s="1"/>
  <c r="BN12" i="102" s="1"/>
  <c r="BL12" i="85"/>
  <c r="BL12" i="87" s="1"/>
  <c r="BL12" i="86" s="1"/>
  <c r="BL12" i="88" s="1"/>
  <c r="BL12" i="89" s="1"/>
  <c r="BL12" i="90" s="1"/>
  <c r="BL12" i="91" s="1"/>
  <c r="BL12" i="92" s="1"/>
  <c r="BL12" i="93" s="1"/>
  <c r="BL12" i="94" s="1"/>
  <c r="BL12" i="95" s="1"/>
  <c r="BL12" i="96" s="1"/>
  <c r="BL12" i="97" s="1"/>
  <c r="BL12" i="98" s="1"/>
  <c r="BL12" i="99" s="1"/>
  <c r="BL12" i="100" s="1"/>
  <c r="BL12" i="101" s="1"/>
  <c r="BL12" i="102" s="1"/>
  <c r="BJ12" i="85"/>
  <c r="BJ12" i="87" s="1"/>
  <c r="BJ12" i="86" s="1"/>
  <c r="BJ12" i="88" s="1"/>
  <c r="BJ12" i="89" s="1"/>
  <c r="BJ12" i="90" s="1"/>
  <c r="BJ12" i="91" s="1"/>
  <c r="BJ12" i="92" s="1"/>
  <c r="BJ12" i="93" s="1"/>
  <c r="BJ12" i="94" s="1"/>
  <c r="BJ12" i="95" s="1"/>
  <c r="BJ12" i="96" s="1"/>
  <c r="BJ12" i="97" s="1"/>
  <c r="BJ12" i="98" s="1"/>
  <c r="BJ12" i="99" s="1"/>
  <c r="BJ12" i="100" s="1"/>
  <c r="BJ12" i="101" s="1"/>
  <c r="BJ12" i="102" s="1"/>
  <c r="BH12" i="85"/>
  <c r="BH12" i="87" s="1"/>
  <c r="BH12" i="86" s="1"/>
  <c r="BH12" i="88" s="1"/>
  <c r="BH12" i="89" s="1"/>
  <c r="BH12" i="90" s="1"/>
  <c r="BH12" i="91" s="1"/>
  <c r="BH12" i="92" s="1"/>
  <c r="BH12" i="93" s="1"/>
  <c r="BH12" i="94" s="1"/>
  <c r="BH12" i="95" s="1"/>
  <c r="BH12" i="96" s="1"/>
  <c r="BH12" i="97" s="1"/>
  <c r="BH12" i="98" s="1"/>
  <c r="BH12" i="99" s="1"/>
  <c r="BH12" i="100" s="1"/>
  <c r="BH12" i="101" s="1"/>
  <c r="BH12" i="102" s="1"/>
  <c r="BF12" i="85"/>
  <c r="BC12" i="85"/>
  <c r="BB12" i="85"/>
  <c r="BB12" i="87" s="1"/>
  <c r="BB12" i="86" s="1"/>
  <c r="BB12" i="88" s="1"/>
  <c r="BB12" i="89" s="1"/>
  <c r="BB12" i="90" s="1"/>
  <c r="BB12" i="91" s="1"/>
  <c r="BB12" i="92" s="1"/>
  <c r="BB12" i="93" s="1"/>
  <c r="BB12" i="94" s="1"/>
  <c r="BB12" i="95" s="1"/>
  <c r="BB12" i="96" s="1"/>
  <c r="BB12" i="97" s="1"/>
  <c r="BB12" i="98" s="1"/>
  <c r="BB12" i="99" s="1"/>
  <c r="BB12" i="100" s="1"/>
  <c r="BB12" i="101" s="1"/>
  <c r="BB12" i="102" s="1"/>
  <c r="AZ12" i="85"/>
  <c r="AZ12" i="87" s="1"/>
  <c r="AZ12" i="86" s="1"/>
  <c r="AZ12" i="88" s="1"/>
  <c r="AZ12" i="89" s="1"/>
  <c r="AZ12" i="90" s="1"/>
  <c r="AZ12" i="91" s="1"/>
  <c r="AZ12" i="92" s="1"/>
  <c r="AZ12" i="93" s="1"/>
  <c r="AZ12" i="94" s="1"/>
  <c r="AZ12" i="95" s="1"/>
  <c r="AZ12" i="96" s="1"/>
  <c r="AZ12" i="97" s="1"/>
  <c r="AZ12" i="98" s="1"/>
  <c r="AZ12" i="99" s="1"/>
  <c r="AZ12" i="100" s="1"/>
  <c r="AZ12" i="101" s="1"/>
  <c r="AZ12" i="102" s="1"/>
  <c r="AZ12" i="103" s="1"/>
  <c r="AX12" i="85"/>
  <c r="AX12" i="87" s="1"/>
  <c r="AX12" i="86" s="1"/>
  <c r="AX12" i="88" s="1"/>
  <c r="AX12" i="89" s="1"/>
  <c r="AX12" i="90" s="1"/>
  <c r="AX12" i="91" s="1"/>
  <c r="AX12" i="92" s="1"/>
  <c r="AX12" i="93" s="1"/>
  <c r="AX12" i="94" s="1"/>
  <c r="AX12" i="95" s="1"/>
  <c r="AX12" i="96" s="1"/>
  <c r="AX12" i="97" s="1"/>
  <c r="AX12" i="98" s="1"/>
  <c r="AX12" i="99" s="1"/>
  <c r="AX12" i="100" s="1"/>
  <c r="AX12" i="101" s="1"/>
  <c r="AX12" i="102" s="1"/>
  <c r="AV12" i="85"/>
  <c r="AV12" i="87" s="1"/>
  <c r="AV12" i="86" s="1"/>
  <c r="AV12" i="88" s="1"/>
  <c r="AV12" i="89" s="1"/>
  <c r="AV12" i="90" s="1"/>
  <c r="AV12" i="91" s="1"/>
  <c r="AV12" i="92" s="1"/>
  <c r="AV12" i="93" s="1"/>
  <c r="AV12" i="94" s="1"/>
  <c r="AV12" i="95" s="1"/>
  <c r="AV12" i="96" s="1"/>
  <c r="AV12" i="97" s="1"/>
  <c r="AV12" i="98" s="1"/>
  <c r="AV12" i="99" s="1"/>
  <c r="AV12" i="100" s="1"/>
  <c r="AV12" i="101" s="1"/>
  <c r="AV12" i="102" s="1"/>
  <c r="AT12" i="85"/>
  <c r="AT12" i="87" s="1"/>
  <c r="AQ12" i="85"/>
  <c r="AO12" i="85"/>
  <c r="AO12" i="87" s="1"/>
  <c r="AO12" i="86" s="1"/>
  <c r="AO12" i="88" s="1"/>
  <c r="AO12" i="89" s="1"/>
  <c r="AO12" i="90" s="1"/>
  <c r="AO12" i="91" s="1"/>
  <c r="AO12" i="92" s="1"/>
  <c r="AO12" i="93" s="1"/>
  <c r="AO12" i="94" s="1"/>
  <c r="AO12" i="95" s="1"/>
  <c r="AO12" i="96" s="1"/>
  <c r="AO12" i="97" s="1"/>
  <c r="AO12" i="98" s="1"/>
  <c r="AO12" i="99" s="1"/>
  <c r="AO12" i="100" s="1"/>
  <c r="AO12" i="101" s="1"/>
  <c r="AO12" i="102" s="1"/>
  <c r="AM12" i="85"/>
  <c r="AM12" i="87" s="1"/>
  <c r="AM12" i="86" s="1"/>
  <c r="AM12" i="88" s="1"/>
  <c r="AM12" i="89" s="1"/>
  <c r="AM12" i="90" s="1"/>
  <c r="AM12" i="91" s="1"/>
  <c r="AM12" i="92" s="1"/>
  <c r="AM12" i="93" s="1"/>
  <c r="AM12" i="94" s="1"/>
  <c r="AM12" i="95" s="1"/>
  <c r="AM12" i="96" s="1"/>
  <c r="AM12" i="97" s="1"/>
  <c r="AM12" i="98" s="1"/>
  <c r="AM12" i="99" s="1"/>
  <c r="AM12" i="100" s="1"/>
  <c r="AM12" i="101" s="1"/>
  <c r="AM12" i="102" s="1"/>
  <c r="AK12" i="85"/>
  <c r="AK12" i="87" s="1"/>
  <c r="AK12" i="86" s="1"/>
  <c r="AK12" i="88" s="1"/>
  <c r="AK12" i="89" s="1"/>
  <c r="AK12" i="90" s="1"/>
  <c r="AK12" i="91" s="1"/>
  <c r="AK12" i="92" s="1"/>
  <c r="AK12" i="93" s="1"/>
  <c r="AK12" i="94" s="1"/>
  <c r="AK12" i="95" s="1"/>
  <c r="AK12" i="96" s="1"/>
  <c r="AK12" i="97" s="1"/>
  <c r="AK12" i="98" s="1"/>
  <c r="AK12" i="99" s="1"/>
  <c r="AK12" i="100" s="1"/>
  <c r="AK12" i="101" s="1"/>
  <c r="AK12" i="102" s="1"/>
  <c r="AI12" i="85"/>
  <c r="AI12" i="87" s="1"/>
  <c r="AF12" i="85"/>
  <c r="AE12" i="85"/>
  <c r="AE12" i="87" s="1"/>
  <c r="AE12" i="86" s="1"/>
  <c r="AE12" i="88" s="1"/>
  <c r="AE12" i="89" s="1"/>
  <c r="AE12" i="90" s="1"/>
  <c r="AE12" i="91" s="1"/>
  <c r="AE12" i="92" s="1"/>
  <c r="AE12" i="93" s="1"/>
  <c r="AE12" i="94" s="1"/>
  <c r="AE12" i="95" s="1"/>
  <c r="AE12" i="96" s="1"/>
  <c r="AE12" i="97" s="1"/>
  <c r="AE12" i="98" s="1"/>
  <c r="AE12" i="99" s="1"/>
  <c r="AE12" i="100" s="1"/>
  <c r="AE12" i="101" s="1"/>
  <c r="AE12" i="102" s="1"/>
  <c r="AB12" i="85"/>
  <c r="AB12" i="87" s="1"/>
  <c r="AB12" i="86" s="1"/>
  <c r="AB12" i="88" s="1"/>
  <c r="AB12" i="89" s="1"/>
  <c r="AB12" i="90" s="1"/>
  <c r="AB12" i="91" s="1"/>
  <c r="AB12" i="92" s="1"/>
  <c r="AB12" i="93" s="1"/>
  <c r="AB12" i="94" s="1"/>
  <c r="AB12" i="95" s="1"/>
  <c r="AB12" i="96" s="1"/>
  <c r="AB12" i="97" s="1"/>
  <c r="AB12" i="98" s="1"/>
  <c r="AB12" i="99" s="1"/>
  <c r="AB12" i="100" s="1"/>
  <c r="AB12" i="101" s="1"/>
  <c r="AB12" i="102" s="1"/>
  <c r="Y12" i="85"/>
  <c r="Y12" i="87" s="1"/>
  <c r="Y12" i="86" s="1"/>
  <c r="Y12" i="88" s="1"/>
  <c r="Y12" i="89" s="1"/>
  <c r="Y12" i="90" s="1"/>
  <c r="Y12" i="91" s="1"/>
  <c r="Y12" i="92" s="1"/>
  <c r="Y12" i="93" s="1"/>
  <c r="Y12" i="94" s="1"/>
  <c r="Y12" i="95" s="1"/>
  <c r="Y12" i="96" s="1"/>
  <c r="Y12" i="97" s="1"/>
  <c r="Y12" i="98" s="1"/>
  <c r="Y12" i="99" s="1"/>
  <c r="Y12" i="100" s="1"/>
  <c r="Y12" i="101" s="1"/>
  <c r="Y12" i="102" s="1"/>
  <c r="V12" i="85"/>
  <c r="V12" i="87" s="1"/>
  <c r="V12" i="86" s="1"/>
  <c r="V12" i="88" s="1"/>
  <c r="V12" i="89" s="1"/>
  <c r="V12" i="90" s="1"/>
  <c r="V12" i="91" s="1"/>
  <c r="V12" i="92" s="1"/>
  <c r="V12" i="93" s="1"/>
  <c r="V12" i="94" s="1"/>
  <c r="V12" i="95" s="1"/>
  <c r="V12" i="96" s="1"/>
  <c r="V12" i="97" s="1"/>
  <c r="V12" i="98" s="1"/>
  <c r="V12" i="99" s="1"/>
  <c r="V12" i="100" s="1"/>
  <c r="V12" i="101" s="1"/>
  <c r="V12" i="102" s="1"/>
  <c r="S12" i="85"/>
  <c r="S12" i="87" s="1"/>
  <c r="S12" i="86" s="1"/>
  <c r="S12" i="88" s="1"/>
  <c r="S12" i="89" s="1"/>
  <c r="S12" i="90" s="1"/>
  <c r="S12" i="91" s="1"/>
  <c r="S12" i="92" s="1"/>
  <c r="S12" i="93" s="1"/>
  <c r="S12" i="94" s="1"/>
  <c r="S12" i="95" s="1"/>
  <c r="S12" i="96" s="1"/>
  <c r="S12" i="97" s="1"/>
  <c r="S12" i="98" s="1"/>
  <c r="S12" i="99" s="1"/>
  <c r="S12" i="100" s="1"/>
  <c r="S12" i="101" s="1"/>
  <c r="S12" i="102" s="1"/>
  <c r="P12" i="85"/>
  <c r="P12" i="87" s="1"/>
  <c r="P12" i="86" s="1"/>
  <c r="P12" i="88" s="1"/>
  <c r="P12" i="89" s="1"/>
  <c r="P12" i="90" s="1"/>
  <c r="P12" i="91" s="1"/>
  <c r="P12" i="92" s="1"/>
  <c r="P12" i="93" s="1"/>
  <c r="P12" i="94" s="1"/>
  <c r="P12" i="95" s="1"/>
  <c r="P12" i="96" s="1"/>
  <c r="P12" i="97" s="1"/>
  <c r="P12" i="98" s="1"/>
  <c r="P12" i="99" s="1"/>
  <c r="P12" i="100" s="1"/>
  <c r="P12" i="101" s="1"/>
  <c r="P12" i="102" s="1"/>
  <c r="M12" i="85"/>
  <c r="M12" i="87" s="1"/>
  <c r="M12" i="86" s="1"/>
  <c r="M12" i="88" s="1"/>
  <c r="M12" i="89" s="1"/>
  <c r="M12" i="90" s="1"/>
  <c r="M12" i="91" s="1"/>
  <c r="M12" i="92" s="1"/>
  <c r="M12" i="93" s="1"/>
  <c r="M12" i="94" s="1"/>
  <c r="M12" i="95" s="1"/>
  <c r="M12" i="96" s="1"/>
  <c r="M12" i="97" s="1"/>
  <c r="M12" i="98" s="1"/>
  <c r="M12" i="99" s="1"/>
  <c r="M12" i="100" s="1"/>
  <c r="M12" i="101" s="1"/>
  <c r="M12" i="102" s="1"/>
  <c r="J12" i="85"/>
  <c r="J12" i="87" s="1"/>
  <c r="J12" i="86" s="1"/>
  <c r="J12" i="88" s="1"/>
  <c r="J12" i="89" s="1"/>
  <c r="J12" i="90" s="1"/>
  <c r="J12" i="91" s="1"/>
  <c r="J12" i="92" s="1"/>
  <c r="J12" i="93" s="1"/>
  <c r="J12" i="94" s="1"/>
  <c r="J12" i="95" s="1"/>
  <c r="J12" i="96" s="1"/>
  <c r="J12" i="97" s="1"/>
  <c r="J12" i="98" s="1"/>
  <c r="J12" i="99" s="1"/>
  <c r="J12" i="100" s="1"/>
  <c r="J12" i="101" s="1"/>
  <c r="J12" i="102" s="1"/>
  <c r="G12" i="85"/>
  <c r="G12" i="87" s="1"/>
  <c r="C12" i="85"/>
  <c r="B12" i="85"/>
  <c r="BQ11" i="85"/>
  <c r="BQ11" i="87" s="1"/>
  <c r="BQ11" i="86" s="1"/>
  <c r="BQ11" i="88" s="1"/>
  <c r="BQ11" i="89" s="1"/>
  <c r="BQ11" i="90" s="1"/>
  <c r="BQ11" i="91" s="1"/>
  <c r="BQ11" i="92" s="1"/>
  <c r="BQ11" i="93" s="1"/>
  <c r="BQ11" i="94" s="1"/>
  <c r="BQ11" i="95" s="1"/>
  <c r="BQ11" i="96" s="1"/>
  <c r="BQ11" i="97" s="1"/>
  <c r="BQ11" i="98" s="1"/>
  <c r="BQ11" i="99" s="1"/>
  <c r="BQ11" i="100" s="1"/>
  <c r="BQ11" i="101" s="1"/>
  <c r="BQ11" i="102" s="1"/>
  <c r="BN11" i="85"/>
  <c r="BN11" i="87" s="1"/>
  <c r="BN11" i="86" s="1"/>
  <c r="BN11" i="88" s="1"/>
  <c r="BN11" i="89" s="1"/>
  <c r="BN11" i="90" s="1"/>
  <c r="BN11" i="91" s="1"/>
  <c r="BN11" i="92" s="1"/>
  <c r="BN11" i="93" s="1"/>
  <c r="BN11" i="94" s="1"/>
  <c r="BN11" i="95" s="1"/>
  <c r="BN11" i="96" s="1"/>
  <c r="BN11" i="97" s="1"/>
  <c r="BN11" i="98" s="1"/>
  <c r="BN11" i="99" s="1"/>
  <c r="BN11" i="100" s="1"/>
  <c r="BN11" i="101" s="1"/>
  <c r="BN11" i="102" s="1"/>
  <c r="BL11" i="85"/>
  <c r="BL11" i="87" s="1"/>
  <c r="BL11" i="86" s="1"/>
  <c r="BL11" i="88" s="1"/>
  <c r="BL11" i="89" s="1"/>
  <c r="BL11" i="90" s="1"/>
  <c r="BL11" i="91" s="1"/>
  <c r="BL11" i="92" s="1"/>
  <c r="BL11" i="93" s="1"/>
  <c r="BL11" i="94" s="1"/>
  <c r="BL11" i="95" s="1"/>
  <c r="BL11" i="96" s="1"/>
  <c r="BL11" i="97" s="1"/>
  <c r="BL11" i="98" s="1"/>
  <c r="BL11" i="99" s="1"/>
  <c r="BL11" i="100" s="1"/>
  <c r="BL11" i="101" s="1"/>
  <c r="BL11" i="102" s="1"/>
  <c r="BJ11" i="85"/>
  <c r="BJ11" i="87" s="1"/>
  <c r="BJ11" i="86" s="1"/>
  <c r="BJ11" i="88" s="1"/>
  <c r="BJ11" i="89" s="1"/>
  <c r="BJ11" i="90" s="1"/>
  <c r="BJ11" i="91" s="1"/>
  <c r="BJ11" i="92" s="1"/>
  <c r="BJ11" i="93" s="1"/>
  <c r="BJ11" i="94" s="1"/>
  <c r="BH11" i="85"/>
  <c r="BH11" i="87" s="1"/>
  <c r="BH11" i="86" s="1"/>
  <c r="BH11" i="88" s="1"/>
  <c r="BH11" i="89" s="1"/>
  <c r="BH11" i="90" s="1"/>
  <c r="BH11" i="91" s="1"/>
  <c r="BH11" i="92" s="1"/>
  <c r="BH11" i="93" s="1"/>
  <c r="BH11" i="94" s="1"/>
  <c r="BH11" i="95" s="1"/>
  <c r="BH11" i="96" s="1"/>
  <c r="BH11" i="97" s="1"/>
  <c r="BH11" i="98" s="1"/>
  <c r="BH11" i="99" s="1"/>
  <c r="BH11" i="100" s="1"/>
  <c r="BH11" i="101" s="1"/>
  <c r="BH11" i="102" s="1"/>
  <c r="BF11" i="85"/>
  <c r="BF11" i="87" s="1"/>
  <c r="BC11" i="85"/>
  <c r="BB11" i="85"/>
  <c r="BB11" i="87" s="1"/>
  <c r="BB11" i="86" s="1"/>
  <c r="BB11" i="88" s="1"/>
  <c r="BB11" i="89" s="1"/>
  <c r="BB11" i="90" s="1"/>
  <c r="BB11" i="91" s="1"/>
  <c r="BB11" i="92" s="1"/>
  <c r="BB11" i="93" s="1"/>
  <c r="BB11" i="94" s="1"/>
  <c r="BB11" i="95" s="1"/>
  <c r="BB11" i="96" s="1"/>
  <c r="BB11" i="97" s="1"/>
  <c r="BB11" i="98" s="1"/>
  <c r="BB11" i="99" s="1"/>
  <c r="BB11" i="100" s="1"/>
  <c r="BB11" i="101" s="1"/>
  <c r="BB11" i="102" s="1"/>
  <c r="AZ11" i="85"/>
  <c r="AZ11" i="87" s="1"/>
  <c r="AZ11" i="86" s="1"/>
  <c r="AZ11" i="88" s="1"/>
  <c r="AZ11" i="89" s="1"/>
  <c r="AZ11" i="90" s="1"/>
  <c r="AZ11" i="91" s="1"/>
  <c r="AZ11" i="92" s="1"/>
  <c r="AZ11" i="93" s="1"/>
  <c r="AZ11" i="94" s="1"/>
  <c r="AZ11" i="95" s="1"/>
  <c r="AZ11" i="96" s="1"/>
  <c r="AZ11" i="97" s="1"/>
  <c r="AZ11" i="98" s="1"/>
  <c r="AZ11" i="99" s="1"/>
  <c r="AZ11" i="100" s="1"/>
  <c r="AZ11" i="101" s="1"/>
  <c r="AZ11" i="102" s="1"/>
  <c r="AX11" i="85"/>
  <c r="AX11" i="87" s="1"/>
  <c r="AX11" i="86" s="1"/>
  <c r="AX11" i="88" s="1"/>
  <c r="AX11" i="89" s="1"/>
  <c r="AX11" i="90" s="1"/>
  <c r="AX11" i="91" s="1"/>
  <c r="AX11" i="92" s="1"/>
  <c r="AX11" i="93" s="1"/>
  <c r="AX11" i="94" s="1"/>
  <c r="AX11" i="95" s="1"/>
  <c r="AX11" i="96" s="1"/>
  <c r="AX11" i="97" s="1"/>
  <c r="AX11" i="98" s="1"/>
  <c r="AX11" i="99" s="1"/>
  <c r="AX11" i="100" s="1"/>
  <c r="AX11" i="101" s="1"/>
  <c r="AX11" i="102" s="1"/>
  <c r="AV11" i="85"/>
  <c r="AV11" i="87" s="1"/>
  <c r="AV11" i="86" s="1"/>
  <c r="AV11" i="88" s="1"/>
  <c r="AV11" i="89" s="1"/>
  <c r="AV11" i="90" s="1"/>
  <c r="AV11" i="91" s="1"/>
  <c r="AV11" i="92" s="1"/>
  <c r="AV11" i="93" s="1"/>
  <c r="AV11" i="94" s="1"/>
  <c r="AV11" i="95" s="1"/>
  <c r="AV11" i="96" s="1"/>
  <c r="AV11" i="97" s="1"/>
  <c r="AV11" i="98" s="1"/>
  <c r="AV11" i="99" s="1"/>
  <c r="AV11" i="100" s="1"/>
  <c r="AV11" i="101" s="1"/>
  <c r="AV11" i="102" s="1"/>
  <c r="AT11" i="85"/>
  <c r="AQ11" i="85"/>
  <c r="AO11" i="85"/>
  <c r="AO11" i="87" s="1"/>
  <c r="AO11" i="86" s="1"/>
  <c r="AO11" i="88" s="1"/>
  <c r="AO11" i="89" s="1"/>
  <c r="AO11" i="90" s="1"/>
  <c r="AO11" i="91" s="1"/>
  <c r="AO11" i="92" s="1"/>
  <c r="AO11" i="93" s="1"/>
  <c r="AO11" i="94" s="1"/>
  <c r="AO11" i="95" s="1"/>
  <c r="AO11" i="96" s="1"/>
  <c r="AO11" i="97" s="1"/>
  <c r="AO11" i="98" s="1"/>
  <c r="AO11" i="99" s="1"/>
  <c r="AO11" i="100" s="1"/>
  <c r="AO11" i="101" s="1"/>
  <c r="AO11" i="102" s="1"/>
  <c r="AM11" i="85"/>
  <c r="AM11" i="87" s="1"/>
  <c r="AM11" i="86" s="1"/>
  <c r="AM11" i="88" s="1"/>
  <c r="AM11" i="89" s="1"/>
  <c r="AM11" i="90" s="1"/>
  <c r="AM11" i="91" s="1"/>
  <c r="AM11" i="92" s="1"/>
  <c r="AM11" i="93" s="1"/>
  <c r="AM11" i="94" s="1"/>
  <c r="AM11" i="95" s="1"/>
  <c r="AM11" i="96" s="1"/>
  <c r="AM11" i="97" s="1"/>
  <c r="AM11" i="98" s="1"/>
  <c r="AM11" i="99" s="1"/>
  <c r="AM11" i="100" s="1"/>
  <c r="AM11" i="101" s="1"/>
  <c r="AM11" i="102" s="1"/>
  <c r="AK11" i="85"/>
  <c r="AK11" i="87" s="1"/>
  <c r="AK11" i="86" s="1"/>
  <c r="AK11" i="88" s="1"/>
  <c r="AK11" i="89" s="1"/>
  <c r="AK11" i="90" s="1"/>
  <c r="AK11" i="91" s="1"/>
  <c r="AK11" i="92" s="1"/>
  <c r="AK11" i="93" s="1"/>
  <c r="AK11" i="94" s="1"/>
  <c r="AK11" i="95" s="1"/>
  <c r="AK11" i="96" s="1"/>
  <c r="AK11" i="97" s="1"/>
  <c r="AK11" i="98" s="1"/>
  <c r="AK11" i="99" s="1"/>
  <c r="AK11" i="100" s="1"/>
  <c r="AK11" i="101" s="1"/>
  <c r="AK11" i="102" s="1"/>
  <c r="AI11" i="85"/>
  <c r="AI11" i="87" s="1"/>
  <c r="AF11" i="85"/>
  <c r="AE11" i="85"/>
  <c r="AE11" i="87" s="1"/>
  <c r="AE11" i="86" s="1"/>
  <c r="AE11" i="88" s="1"/>
  <c r="AE11" i="89" s="1"/>
  <c r="AE11" i="90" s="1"/>
  <c r="AE11" i="91" s="1"/>
  <c r="AE11" i="92" s="1"/>
  <c r="AE11" i="93" s="1"/>
  <c r="AE11" i="94" s="1"/>
  <c r="AE11" i="95" s="1"/>
  <c r="AE11" i="96" s="1"/>
  <c r="AE11" i="97" s="1"/>
  <c r="AE11" i="98" s="1"/>
  <c r="AE11" i="99" s="1"/>
  <c r="AE11" i="100" s="1"/>
  <c r="AE11" i="101" s="1"/>
  <c r="AE11" i="102" s="1"/>
  <c r="AB11" i="85"/>
  <c r="AB11" i="87" s="1"/>
  <c r="AB11" i="86" s="1"/>
  <c r="AB11" i="88" s="1"/>
  <c r="AB11" i="89" s="1"/>
  <c r="AB11" i="90" s="1"/>
  <c r="AB11" i="91" s="1"/>
  <c r="AB11" i="92" s="1"/>
  <c r="AB11" i="93" s="1"/>
  <c r="AB11" i="94" s="1"/>
  <c r="AB11" i="95" s="1"/>
  <c r="AB11" i="96" s="1"/>
  <c r="AB11" i="97" s="1"/>
  <c r="AB11" i="98" s="1"/>
  <c r="AB11" i="99" s="1"/>
  <c r="AB11" i="100" s="1"/>
  <c r="AB11" i="101" s="1"/>
  <c r="AB11" i="102" s="1"/>
  <c r="Y11" i="85"/>
  <c r="Y11" i="87" s="1"/>
  <c r="Y11" i="86" s="1"/>
  <c r="Y11" i="88" s="1"/>
  <c r="Y11" i="89" s="1"/>
  <c r="Y11" i="90" s="1"/>
  <c r="Y11" i="91" s="1"/>
  <c r="Y11" i="92" s="1"/>
  <c r="Y11" i="93" s="1"/>
  <c r="Y11" i="94" s="1"/>
  <c r="Y11" i="95" s="1"/>
  <c r="Y11" i="96" s="1"/>
  <c r="Y11" i="97" s="1"/>
  <c r="Y11" i="98" s="1"/>
  <c r="Y11" i="99" s="1"/>
  <c r="Y11" i="100" s="1"/>
  <c r="Y11" i="101" s="1"/>
  <c r="Y11" i="102" s="1"/>
  <c r="V11" i="85"/>
  <c r="V11" i="87" s="1"/>
  <c r="V11" i="86" s="1"/>
  <c r="V11" i="88" s="1"/>
  <c r="V11" i="89" s="1"/>
  <c r="V11" i="90" s="1"/>
  <c r="V11" i="91" s="1"/>
  <c r="V11" i="92" s="1"/>
  <c r="V11" i="93" s="1"/>
  <c r="V11" i="94" s="1"/>
  <c r="V11" i="95" s="1"/>
  <c r="V11" i="96" s="1"/>
  <c r="V11" i="97" s="1"/>
  <c r="V11" i="98" s="1"/>
  <c r="V11" i="99" s="1"/>
  <c r="V11" i="100" s="1"/>
  <c r="V11" i="101" s="1"/>
  <c r="V11" i="102" s="1"/>
  <c r="S11" i="85"/>
  <c r="S11" i="87" s="1"/>
  <c r="S11" i="86" s="1"/>
  <c r="S11" i="88" s="1"/>
  <c r="S11" i="89" s="1"/>
  <c r="S11" i="90" s="1"/>
  <c r="S11" i="91" s="1"/>
  <c r="S11" i="92" s="1"/>
  <c r="S11" i="93" s="1"/>
  <c r="S11" i="94" s="1"/>
  <c r="S11" i="95" s="1"/>
  <c r="S11" i="96" s="1"/>
  <c r="S11" i="97" s="1"/>
  <c r="S11" i="98" s="1"/>
  <c r="S11" i="99" s="1"/>
  <c r="S11" i="100" s="1"/>
  <c r="S11" i="101" s="1"/>
  <c r="S11" i="102" s="1"/>
  <c r="P11" i="85"/>
  <c r="P11" i="87" s="1"/>
  <c r="P11" i="86" s="1"/>
  <c r="P11" i="88" s="1"/>
  <c r="P11" i="89" s="1"/>
  <c r="P11" i="90" s="1"/>
  <c r="P11" i="91" s="1"/>
  <c r="P11" i="92" s="1"/>
  <c r="P11" i="93" s="1"/>
  <c r="P11" i="94" s="1"/>
  <c r="P11" i="95" s="1"/>
  <c r="P11" i="96" s="1"/>
  <c r="P11" i="97" s="1"/>
  <c r="P11" i="98" s="1"/>
  <c r="P11" i="99" s="1"/>
  <c r="P11" i="100" s="1"/>
  <c r="P11" i="101" s="1"/>
  <c r="P11" i="102" s="1"/>
  <c r="M11" i="85"/>
  <c r="M11" i="87" s="1"/>
  <c r="M11" i="86" s="1"/>
  <c r="M11" i="88" s="1"/>
  <c r="M11" i="89" s="1"/>
  <c r="M11" i="90" s="1"/>
  <c r="M11" i="91" s="1"/>
  <c r="M11" i="92" s="1"/>
  <c r="M11" i="93" s="1"/>
  <c r="M11" i="94" s="1"/>
  <c r="M11" i="95" s="1"/>
  <c r="M11" i="96" s="1"/>
  <c r="M11" i="97" s="1"/>
  <c r="M11" i="98" s="1"/>
  <c r="M11" i="99" s="1"/>
  <c r="M11" i="100" s="1"/>
  <c r="M11" i="101" s="1"/>
  <c r="M11" i="102" s="1"/>
  <c r="J11" i="85"/>
  <c r="J11" i="87" s="1"/>
  <c r="J11" i="86" s="1"/>
  <c r="J11" i="88" s="1"/>
  <c r="J11" i="89" s="1"/>
  <c r="J11" i="90" s="1"/>
  <c r="J11" i="91" s="1"/>
  <c r="J11" i="92" s="1"/>
  <c r="J11" i="93" s="1"/>
  <c r="J11" i="94" s="1"/>
  <c r="J11" i="95" s="1"/>
  <c r="J11" i="96" s="1"/>
  <c r="J11" i="97" s="1"/>
  <c r="J11" i="98" s="1"/>
  <c r="J11" i="99" s="1"/>
  <c r="J11" i="100" s="1"/>
  <c r="J11" i="101" s="1"/>
  <c r="J11" i="102" s="1"/>
  <c r="J11" i="103" s="1"/>
  <c r="G11" i="85"/>
  <c r="C11" i="85"/>
  <c r="B11" i="85"/>
  <c r="BQ10" i="85"/>
  <c r="BQ10" i="87" s="1"/>
  <c r="BQ10" i="86" s="1"/>
  <c r="BQ10" i="88" s="1"/>
  <c r="BQ10" i="89" s="1"/>
  <c r="BQ10" i="90" s="1"/>
  <c r="BQ10" i="91" s="1"/>
  <c r="BQ10" i="92" s="1"/>
  <c r="BQ10" i="93" s="1"/>
  <c r="BQ10" i="94" s="1"/>
  <c r="BQ10" i="95" s="1"/>
  <c r="BQ10" i="96" s="1"/>
  <c r="BQ10" i="97" s="1"/>
  <c r="BQ10" i="98" s="1"/>
  <c r="BQ10" i="99" s="1"/>
  <c r="BQ10" i="100" s="1"/>
  <c r="BQ10" i="101" s="1"/>
  <c r="BQ10" i="102" s="1"/>
  <c r="BN10" i="85"/>
  <c r="BN10" i="87" s="1"/>
  <c r="BN10" i="86" s="1"/>
  <c r="BN10" i="88" s="1"/>
  <c r="BN10" i="89" s="1"/>
  <c r="BN10" i="90" s="1"/>
  <c r="BN10" i="91" s="1"/>
  <c r="BN10" i="92" s="1"/>
  <c r="BN10" i="93" s="1"/>
  <c r="BN10" i="94" s="1"/>
  <c r="BN10" i="95" s="1"/>
  <c r="BN10" i="96" s="1"/>
  <c r="BN10" i="97" s="1"/>
  <c r="BN10" i="98" s="1"/>
  <c r="BN10" i="99" s="1"/>
  <c r="BN10" i="100" s="1"/>
  <c r="BN10" i="101" s="1"/>
  <c r="BN10" i="102" s="1"/>
  <c r="BN10" i="103" s="1"/>
  <c r="BL10" i="85"/>
  <c r="BL10" i="87" s="1"/>
  <c r="BL10" i="86" s="1"/>
  <c r="BL10" i="88" s="1"/>
  <c r="BL10" i="89" s="1"/>
  <c r="BL10" i="90" s="1"/>
  <c r="BL10" i="91" s="1"/>
  <c r="BL10" i="92" s="1"/>
  <c r="BL10" i="93" s="1"/>
  <c r="BL10" i="94" s="1"/>
  <c r="BL10" i="95" s="1"/>
  <c r="BL10" i="96" s="1"/>
  <c r="BL10" i="97" s="1"/>
  <c r="BL10" i="98" s="1"/>
  <c r="BL10" i="99" s="1"/>
  <c r="BL10" i="100" s="1"/>
  <c r="BL10" i="101" s="1"/>
  <c r="BL10" i="102" s="1"/>
  <c r="BL10" i="103" s="1"/>
  <c r="BJ10" i="85"/>
  <c r="BJ10" i="87" s="1"/>
  <c r="BJ10" i="86" s="1"/>
  <c r="BJ10" i="88" s="1"/>
  <c r="BJ10" i="89" s="1"/>
  <c r="BJ10" i="90" s="1"/>
  <c r="BJ10" i="91" s="1"/>
  <c r="BJ10" i="92" s="1"/>
  <c r="BJ10" i="93" s="1"/>
  <c r="BJ10" i="94" s="1"/>
  <c r="BJ10" i="95" s="1"/>
  <c r="BJ10" i="96" s="1"/>
  <c r="BJ10" i="97" s="1"/>
  <c r="BJ10" i="98" s="1"/>
  <c r="BJ10" i="99" s="1"/>
  <c r="BJ10" i="100" s="1"/>
  <c r="BJ10" i="101" s="1"/>
  <c r="BJ10" i="102" s="1"/>
  <c r="BJ10" i="103" s="1"/>
  <c r="BH10" i="85"/>
  <c r="BH10" i="87" s="1"/>
  <c r="BH10" i="86" s="1"/>
  <c r="BH10" i="88" s="1"/>
  <c r="BH10" i="89" s="1"/>
  <c r="BH10" i="90" s="1"/>
  <c r="BH10" i="91" s="1"/>
  <c r="BH10" i="92" s="1"/>
  <c r="BH10" i="93" s="1"/>
  <c r="BH10" i="94" s="1"/>
  <c r="BH10" i="95" s="1"/>
  <c r="BH10" i="96" s="1"/>
  <c r="BH10" i="97" s="1"/>
  <c r="BH10" i="98" s="1"/>
  <c r="BH10" i="99" s="1"/>
  <c r="BH10" i="100" s="1"/>
  <c r="BH10" i="101" s="1"/>
  <c r="BH10" i="102" s="1"/>
  <c r="BH10" i="103" s="1"/>
  <c r="BF10" i="85"/>
  <c r="BF10" i="87" s="1"/>
  <c r="BC10" i="85"/>
  <c r="BB10" i="85"/>
  <c r="BB10" i="87" s="1"/>
  <c r="BB10" i="86" s="1"/>
  <c r="BB10" i="88" s="1"/>
  <c r="BB10" i="89" s="1"/>
  <c r="BB10" i="90" s="1"/>
  <c r="BB10" i="91" s="1"/>
  <c r="BB10" i="92" s="1"/>
  <c r="BB10" i="93" s="1"/>
  <c r="BB10" i="94" s="1"/>
  <c r="BB10" i="95" s="1"/>
  <c r="BB10" i="96" s="1"/>
  <c r="BB10" i="97" s="1"/>
  <c r="BB10" i="98" s="1"/>
  <c r="BB10" i="99" s="1"/>
  <c r="BB10" i="100" s="1"/>
  <c r="BB10" i="101" s="1"/>
  <c r="BB10" i="102" s="1"/>
  <c r="BB10" i="103" s="1"/>
  <c r="AZ10" i="85"/>
  <c r="AZ10" i="87" s="1"/>
  <c r="AZ10" i="86" s="1"/>
  <c r="AZ10" i="88" s="1"/>
  <c r="AZ10" i="89" s="1"/>
  <c r="AZ10" i="90" s="1"/>
  <c r="AZ10" i="91" s="1"/>
  <c r="AZ10" i="92" s="1"/>
  <c r="AZ10" i="93" s="1"/>
  <c r="AZ10" i="94" s="1"/>
  <c r="AZ10" i="95" s="1"/>
  <c r="AZ10" i="96" s="1"/>
  <c r="AZ10" i="97" s="1"/>
  <c r="AZ10" i="98" s="1"/>
  <c r="AZ10" i="99" s="1"/>
  <c r="AZ10" i="100" s="1"/>
  <c r="AZ10" i="101" s="1"/>
  <c r="AZ10" i="102" s="1"/>
  <c r="AZ10" i="103" s="1"/>
  <c r="AX10" i="85"/>
  <c r="AX10" i="87" s="1"/>
  <c r="AX10" i="86" s="1"/>
  <c r="AX10" i="88" s="1"/>
  <c r="AX10" i="89" s="1"/>
  <c r="AX10" i="90" s="1"/>
  <c r="AX10" i="91" s="1"/>
  <c r="AX10" i="92" s="1"/>
  <c r="AX10" i="93" s="1"/>
  <c r="AX10" i="94" s="1"/>
  <c r="AX10" i="95" s="1"/>
  <c r="AX10" i="96" s="1"/>
  <c r="AX10" i="97" s="1"/>
  <c r="AX10" i="98" s="1"/>
  <c r="AX10" i="99" s="1"/>
  <c r="AX10" i="100" s="1"/>
  <c r="AX10" i="101" s="1"/>
  <c r="AX10" i="102" s="1"/>
  <c r="AX10" i="103" s="1"/>
  <c r="AV10" i="85"/>
  <c r="AV10" i="87" s="1"/>
  <c r="AV10" i="86" s="1"/>
  <c r="AV10" i="88" s="1"/>
  <c r="AV10" i="89" s="1"/>
  <c r="AV10" i="90" s="1"/>
  <c r="AV10" i="91" s="1"/>
  <c r="AV10" i="92" s="1"/>
  <c r="AV10" i="93" s="1"/>
  <c r="AV10" i="94" s="1"/>
  <c r="AV10" i="95" s="1"/>
  <c r="AV10" i="96" s="1"/>
  <c r="AV10" i="97" s="1"/>
  <c r="AV10" i="98" s="1"/>
  <c r="AV10" i="99" s="1"/>
  <c r="AV10" i="100" s="1"/>
  <c r="AV10" i="101" s="1"/>
  <c r="AV10" i="102" s="1"/>
  <c r="AV10" i="103" s="1"/>
  <c r="AT10" i="85"/>
  <c r="AT10" i="87" s="1"/>
  <c r="AQ10" i="85"/>
  <c r="AO10" i="85"/>
  <c r="AO10" i="87" s="1"/>
  <c r="AO10" i="86" s="1"/>
  <c r="AO10" i="88" s="1"/>
  <c r="AO10" i="89" s="1"/>
  <c r="AO10" i="90" s="1"/>
  <c r="AO10" i="91" s="1"/>
  <c r="AO10" i="92" s="1"/>
  <c r="AO10" i="93" s="1"/>
  <c r="AO10" i="94" s="1"/>
  <c r="AO10" i="95" s="1"/>
  <c r="AO10" i="96" s="1"/>
  <c r="AO10" i="97" s="1"/>
  <c r="AO10" i="98" s="1"/>
  <c r="AO10" i="99" s="1"/>
  <c r="AO10" i="100" s="1"/>
  <c r="AO10" i="101" s="1"/>
  <c r="AO10" i="102" s="1"/>
  <c r="AO10" i="103" s="1"/>
  <c r="AM10" i="85"/>
  <c r="AM10" i="87" s="1"/>
  <c r="AM10" i="86" s="1"/>
  <c r="AM10" i="88" s="1"/>
  <c r="AM10" i="89" s="1"/>
  <c r="AM10" i="90" s="1"/>
  <c r="AM10" i="91" s="1"/>
  <c r="AM10" i="92" s="1"/>
  <c r="AM10" i="93" s="1"/>
  <c r="AM10" i="94" s="1"/>
  <c r="AM10" i="95" s="1"/>
  <c r="AM10" i="96" s="1"/>
  <c r="AM10" i="97" s="1"/>
  <c r="AM10" i="98" s="1"/>
  <c r="AM10" i="99" s="1"/>
  <c r="AM10" i="100" s="1"/>
  <c r="AM10" i="101" s="1"/>
  <c r="AM10" i="102" s="1"/>
  <c r="AM10" i="103" s="1"/>
  <c r="AK10" i="85"/>
  <c r="AK10" i="87" s="1"/>
  <c r="AK10" i="86" s="1"/>
  <c r="AK10" i="88" s="1"/>
  <c r="AK10" i="89" s="1"/>
  <c r="AK10" i="90" s="1"/>
  <c r="AK10" i="91" s="1"/>
  <c r="AK10" i="92" s="1"/>
  <c r="AK10" i="93" s="1"/>
  <c r="AK10" i="94" s="1"/>
  <c r="AK10" i="95" s="1"/>
  <c r="AK10" i="96" s="1"/>
  <c r="AK10" i="97" s="1"/>
  <c r="AK10" i="98" s="1"/>
  <c r="AK10" i="99" s="1"/>
  <c r="AK10" i="100" s="1"/>
  <c r="AK10" i="101" s="1"/>
  <c r="AK10" i="102" s="1"/>
  <c r="AK10" i="103" s="1"/>
  <c r="AI10" i="85"/>
  <c r="AI10" i="87" s="1"/>
  <c r="AF10" i="85"/>
  <c r="AE10" i="85"/>
  <c r="AE10" i="87" s="1"/>
  <c r="AE10" i="86" s="1"/>
  <c r="AE10" i="88" s="1"/>
  <c r="AE10" i="89" s="1"/>
  <c r="AE10" i="90" s="1"/>
  <c r="AE10" i="91" s="1"/>
  <c r="AE10" i="92" s="1"/>
  <c r="AE10" i="93" s="1"/>
  <c r="AE10" i="94" s="1"/>
  <c r="AE10" i="95" s="1"/>
  <c r="AE10" i="96" s="1"/>
  <c r="AE10" i="97" s="1"/>
  <c r="AE10" i="98" s="1"/>
  <c r="AE10" i="99" s="1"/>
  <c r="AE10" i="100" s="1"/>
  <c r="AE10" i="101" s="1"/>
  <c r="AE10" i="102" s="1"/>
  <c r="AE10" i="103" s="1"/>
  <c r="AB10" i="85"/>
  <c r="AB10" i="87" s="1"/>
  <c r="AB10" i="86" s="1"/>
  <c r="AB10" i="88" s="1"/>
  <c r="AB10" i="89" s="1"/>
  <c r="AB10" i="90" s="1"/>
  <c r="AB10" i="91" s="1"/>
  <c r="AB10" i="92" s="1"/>
  <c r="AB10" i="93" s="1"/>
  <c r="AB10" i="94" s="1"/>
  <c r="AB10" i="95" s="1"/>
  <c r="AB10" i="96" s="1"/>
  <c r="AB10" i="97" s="1"/>
  <c r="AB10" i="98" s="1"/>
  <c r="AB10" i="99" s="1"/>
  <c r="AB10" i="100" s="1"/>
  <c r="AB10" i="101" s="1"/>
  <c r="AB10" i="102" s="1"/>
  <c r="Y10" i="85"/>
  <c r="Y10" i="87" s="1"/>
  <c r="Y10" i="86" s="1"/>
  <c r="Y10" i="88" s="1"/>
  <c r="Y10" i="89" s="1"/>
  <c r="Y10" i="90" s="1"/>
  <c r="Y10" i="91" s="1"/>
  <c r="Y10" i="92" s="1"/>
  <c r="Y10" i="93" s="1"/>
  <c r="Y10" i="94" s="1"/>
  <c r="Y10" i="95" s="1"/>
  <c r="Y10" i="96" s="1"/>
  <c r="Y10" i="97" s="1"/>
  <c r="Y10" i="98" s="1"/>
  <c r="Y10" i="99" s="1"/>
  <c r="Y10" i="100" s="1"/>
  <c r="Y10" i="101" s="1"/>
  <c r="Y10" i="102" s="1"/>
  <c r="Y10" i="103" s="1"/>
  <c r="V10" i="85"/>
  <c r="V10" i="87" s="1"/>
  <c r="V10" i="86" s="1"/>
  <c r="V10" i="88" s="1"/>
  <c r="V10" i="89" s="1"/>
  <c r="V10" i="90" s="1"/>
  <c r="V10" i="91" s="1"/>
  <c r="V10" i="92" s="1"/>
  <c r="V10" i="93" s="1"/>
  <c r="V10" i="94" s="1"/>
  <c r="V10" i="95" s="1"/>
  <c r="V10" i="96" s="1"/>
  <c r="V10" i="97" s="1"/>
  <c r="V10" i="98" s="1"/>
  <c r="V10" i="99" s="1"/>
  <c r="V10" i="100" s="1"/>
  <c r="V10" i="101" s="1"/>
  <c r="V10" i="102" s="1"/>
  <c r="V10" i="103" s="1"/>
  <c r="S10" i="85"/>
  <c r="S10" i="87" s="1"/>
  <c r="S10" i="86" s="1"/>
  <c r="S10" i="88" s="1"/>
  <c r="S10" i="89" s="1"/>
  <c r="S10" i="90" s="1"/>
  <c r="S10" i="91" s="1"/>
  <c r="S10" i="92" s="1"/>
  <c r="S10" i="93" s="1"/>
  <c r="S10" i="94" s="1"/>
  <c r="S10" i="95" s="1"/>
  <c r="S10" i="96" s="1"/>
  <c r="S10" i="97" s="1"/>
  <c r="S10" i="98" s="1"/>
  <c r="S10" i="99" s="1"/>
  <c r="S10" i="100" s="1"/>
  <c r="S10" i="101" s="1"/>
  <c r="S10" i="102" s="1"/>
  <c r="S10" i="103" s="1"/>
  <c r="P10" i="85"/>
  <c r="P10" i="87" s="1"/>
  <c r="P10" i="86" s="1"/>
  <c r="P10" i="88" s="1"/>
  <c r="P10" i="89" s="1"/>
  <c r="P10" i="90" s="1"/>
  <c r="P10" i="91" s="1"/>
  <c r="P10" i="92" s="1"/>
  <c r="P10" i="93" s="1"/>
  <c r="P10" i="94" s="1"/>
  <c r="P10" i="95" s="1"/>
  <c r="P10" i="96" s="1"/>
  <c r="P10" i="97" s="1"/>
  <c r="P10" i="98" s="1"/>
  <c r="P10" i="99" s="1"/>
  <c r="P10" i="100" s="1"/>
  <c r="P10" i="101" s="1"/>
  <c r="P10" i="102" s="1"/>
  <c r="P10" i="103" s="1"/>
  <c r="M10" i="85"/>
  <c r="M10" i="87" s="1"/>
  <c r="M10" i="86" s="1"/>
  <c r="M10" i="88" s="1"/>
  <c r="M10" i="89" s="1"/>
  <c r="M10" i="90" s="1"/>
  <c r="M10" i="91" s="1"/>
  <c r="M10" i="92" s="1"/>
  <c r="M10" i="93" s="1"/>
  <c r="M10" i="94" s="1"/>
  <c r="M10" i="95" s="1"/>
  <c r="M10" i="96" s="1"/>
  <c r="M10" i="97" s="1"/>
  <c r="M10" i="98" s="1"/>
  <c r="M10" i="99" s="1"/>
  <c r="M10" i="100" s="1"/>
  <c r="M10" i="101" s="1"/>
  <c r="M10" i="102" s="1"/>
  <c r="M10" i="103" s="1"/>
  <c r="J10" i="85"/>
  <c r="J10" i="87" s="1"/>
  <c r="J10" i="86" s="1"/>
  <c r="J10" i="88" s="1"/>
  <c r="J10" i="89" s="1"/>
  <c r="J10" i="90" s="1"/>
  <c r="J10" i="91" s="1"/>
  <c r="J10" i="92" s="1"/>
  <c r="J10" i="93" s="1"/>
  <c r="J10" i="94" s="1"/>
  <c r="J10" i="95" s="1"/>
  <c r="J10" i="96" s="1"/>
  <c r="J10" i="97" s="1"/>
  <c r="J10" i="98" s="1"/>
  <c r="J10" i="99" s="1"/>
  <c r="J10" i="100" s="1"/>
  <c r="J10" i="101" s="1"/>
  <c r="J10" i="102" s="1"/>
  <c r="J10" i="103" s="1"/>
  <c r="G10" i="85"/>
  <c r="G10" i="87" s="1"/>
  <c r="G10" i="86" s="1"/>
  <c r="C10" i="85"/>
  <c r="B10" i="85"/>
  <c r="BQ9" i="85"/>
  <c r="BQ9" i="87" s="1"/>
  <c r="BQ9" i="86" s="1"/>
  <c r="BQ9" i="88" s="1"/>
  <c r="BQ9" i="89" s="1"/>
  <c r="BQ9" i="90" s="1"/>
  <c r="BQ9" i="91" s="1"/>
  <c r="BQ9" i="92" s="1"/>
  <c r="BQ9" i="93" s="1"/>
  <c r="BQ9" i="94" s="1"/>
  <c r="BQ9" i="95" s="1"/>
  <c r="BQ9" i="96" s="1"/>
  <c r="BQ9" i="97" s="1"/>
  <c r="BQ9" i="98" s="1"/>
  <c r="BQ9" i="99" s="1"/>
  <c r="BQ9" i="100" s="1"/>
  <c r="BQ9" i="101" s="1"/>
  <c r="BQ9" i="102" s="1"/>
  <c r="BQ9" i="103" s="1"/>
  <c r="BN9" i="85"/>
  <c r="BL9" i="85"/>
  <c r="BL9" i="87" s="1"/>
  <c r="BL9" i="86" s="1"/>
  <c r="BL9" i="88" s="1"/>
  <c r="BL9" i="89" s="1"/>
  <c r="BL9" i="90" s="1"/>
  <c r="BL9" i="91" s="1"/>
  <c r="BL9" i="92" s="1"/>
  <c r="BL9" i="93" s="1"/>
  <c r="BJ9" i="85"/>
  <c r="BJ9" i="87" s="1"/>
  <c r="BJ9" i="86" s="1"/>
  <c r="BJ9" i="88" s="1"/>
  <c r="BJ9" i="89" s="1"/>
  <c r="BJ9" i="90" s="1"/>
  <c r="BJ9" i="91" s="1"/>
  <c r="BJ9" i="92" s="1"/>
  <c r="BJ9" i="93" s="1"/>
  <c r="BJ9" i="94" s="1"/>
  <c r="BJ9" i="95" s="1"/>
  <c r="BH9" i="85"/>
  <c r="BH9" i="87" s="1"/>
  <c r="BH9" i="86" s="1"/>
  <c r="BH9" i="88" s="1"/>
  <c r="BH9" i="89" s="1"/>
  <c r="BH9" i="90" s="1"/>
  <c r="BH9" i="91" s="1"/>
  <c r="BF9" i="85"/>
  <c r="BC9" i="85"/>
  <c r="BB9" i="85"/>
  <c r="BB9" i="87" s="1"/>
  <c r="BB9" i="86" s="1"/>
  <c r="BB9" i="88" s="1"/>
  <c r="BB9" i="89" s="1"/>
  <c r="BB9" i="90" s="1"/>
  <c r="BB9" i="91" s="1"/>
  <c r="BB9" i="92" s="1"/>
  <c r="BB9" i="93" s="1"/>
  <c r="BB9" i="94" s="1"/>
  <c r="BB9" i="95" s="1"/>
  <c r="AZ9" i="85"/>
  <c r="AZ9" i="87" s="1"/>
  <c r="AZ9" i="86" s="1"/>
  <c r="AZ9" i="88" s="1"/>
  <c r="AZ9" i="89" s="1"/>
  <c r="AZ9" i="90" s="1"/>
  <c r="AX9" i="85"/>
  <c r="AX9" i="87" s="1"/>
  <c r="AX9" i="86" s="1"/>
  <c r="AX9" i="88" s="1"/>
  <c r="AX9" i="89" s="1"/>
  <c r="AX9" i="90" s="1"/>
  <c r="AX9" i="91" s="1"/>
  <c r="AX9" i="92" s="1"/>
  <c r="AX9" i="93" s="1"/>
  <c r="AX9" i="94" s="1"/>
  <c r="AX9" i="95" s="1"/>
  <c r="AV9" i="85"/>
  <c r="AV9" i="87" s="1"/>
  <c r="AV9" i="86" s="1"/>
  <c r="AV9" i="88" s="1"/>
  <c r="AT9" i="85"/>
  <c r="AT9" i="87" s="1"/>
  <c r="AQ9" i="85"/>
  <c r="AO9" i="85"/>
  <c r="AO9" i="87" s="1"/>
  <c r="AO9" i="86" s="1"/>
  <c r="AO9" i="88" s="1"/>
  <c r="AO9" i="89" s="1"/>
  <c r="AO9" i="90" s="1"/>
  <c r="AO9" i="91" s="1"/>
  <c r="AO9" i="92" s="1"/>
  <c r="AM9" i="85"/>
  <c r="AM9" i="87" s="1"/>
  <c r="AM9" i="86" s="1"/>
  <c r="AM9" i="88" s="1"/>
  <c r="AM9" i="89" s="1"/>
  <c r="AM9" i="90" s="1"/>
  <c r="AM9" i="91" s="1"/>
  <c r="AM9" i="92" s="1"/>
  <c r="AM9" i="93" s="1"/>
  <c r="AM9" i="94" s="1"/>
  <c r="AM9" i="95" s="1"/>
  <c r="AK9" i="85"/>
  <c r="AK9" i="87" s="1"/>
  <c r="AK9" i="86" s="1"/>
  <c r="AK9" i="88" s="1"/>
  <c r="AK9" i="89" s="1"/>
  <c r="AK9" i="90" s="1"/>
  <c r="AK9" i="91" s="1"/>
  <c r="AK9" i="92" s="1"/>
  <c r="AI9" i="85"/>
  <c r="AF9" i="85"/>
  <c r="AE9" i="85"/>
  <c r="AB9" i="85"/>
  <c r="AB9" i="87" s="1"/>
  <c r="AB9" i="86" s="1"/>
  <c r="AB9" i="88" s="1"/>
  <c r="AB9" i="89" s="1"/>
  <c r="AB9" i="90" s="1"/>
  <c r="AB9" i="91" s="1"/>
  <c r="Y9" i="85"/>
  <c r="Y9" i="87" s="1"/>
  <c r="Y9" i="86" s="1"/>
  <c r="Y9" i="88" s="1"/>
  <c r="Y9" i="89" s="1"/>
  <c r="Y9" i="90" s="1"/>
  <c r="Y9" i="91" s="1"/>
  <c r="Y9" i="92" s="1"/>
  <c r="Y9" i="93" s="1"/>
  <c r="Y9" i="94" s="1"/>
  <c r="Y9" i="95" s="1"/>
  <c r="V9" i="85"/>
  <c r="V9" i="87" s="1"/>
  <c r="V9" i="86" s="1"/>
  <c r="V9" i="88" s="1"/>
  <c r="V9" i="89" s="1"/>
  <c r="V9" i="90" s="1"/>
  <c r="V9" i="91" s="1"/>
  <c r="V9" i="92" s="1"/>
  <c r="V9" i="93" s="1"/>
  <c r="V9" i="94" s="1"/>
  <c r="V9" i="95" s="1"/>
  <c r="S9" i="85"/>
  <c r="S9" i="87" s="1"/>
  <c r="S9" i="86" s="1"/>
  <c r="S9" i="88" s="1"/>
  <c r="S9" i="89" s="1"/>
  <c r="S9" i="90" s="1"/>
  <c r="S9" i="91" s="1"/>
  <c r="S9" i="92" s="1"/>
  <c r="S9" i="93" s="1"/>
  <c r="S9" i="94" s="1"/>
  <c r="S9" i="95" s="1"/>
  <c r="P9" i="85"/>
  <c r="M9" i="85"/>
  <c r="M9" i="87" s="1"/>
  <c r="M9" i="86" s="1"/>
  <c r="J9" i="85"/>
  <c r="J9" i="87" s="1"/>
  <c r="J9" i="86" s="1"/>
  <c r="J9" i="88" s="1"/>
  <c r="J9" i="89" s="1"/>
  <c r="J9" i="90" s="1"/>
  <c r="J9" i="91" s="1"/>
  <c r="J9" i="92" s="1"/>
  <c r="J9" i="93" s="1"/>
  <c r="J9" i="94" s="1"/>
  <c r="G9" i="85"/>
  <c r="G9" i="87" s="1"/>
  <c r="C9" i="85"/>
  <c r="B9" i="85"/>
  <c r="BQ8" i="85"/>
  <c r="BL8" i="85"/>
  <c r="BJ8" i="85"/>
  <c r="BH8" i="85"/>
  <c r="BF8" i="85"/>
  <c r="BC8" i="85"/>
  <c r="BB8" i="85"/>
  <c r="AZ8" i="85"/>
  <c r="AX8" i="85"/>
  <c r="AV8" i="85"/>
  <c r="AT8" i="85"/>
  <c r="AQ8" i="85"/>
  <c r="AO8" i="85"/>
  <c r="AM8" i="85"/>
  <c r="AK8" i="85"/>
  <c r="AI8" i="85"/>
  <c r="AF8" i="85"/>
  <c r="AE8" i="85"/>
  <c r="AB8" i="85"/>
  <c r="Y8" i="85"/>
  <c r="V8" i="85"/>
  <c r="S8" i="85"/>
  <c r="P8" i="85"/>
  <c r="M8" i="85"/>
  <c r="J8" i="85"/>
  <c r="G8" i="85"/>
  <c r="C8" i="85"/>
  <c r="B8" i="85"/>
  <c r="BP23" i="79"/>
  <c r="BO23" i="79"/>
  <c r="BM23" i="79"/>
  <c r="BK23" i="79"/>
  <c r="BI23" i="79"/>
  <c r="BG23" i="79"/>
  <c r="BE23" i="79"/>
  <c r="BA23" i="79"/>
  <c r="AY23" i="79"/>
  <c r="AW23" i="79"/>
  <c r="AU23" i="79"/>
  <c r="AS23" i="79"/>
  <c r="AN23" i="79"/>
  <c r="AL23" i="79"/>
  <c r="AJ23" i="79"/>
  <c r="AH23" i="79"/>
  <c r="AD23" i="79"/>
  <c r="AC23" i="79"/>
  <c r="AA23" i="79"/>
  <c r="Z23" i="79"/>
  <c r="X23" i="79"/>
  <c r="W23" i="79"/>
  <c r="U23" i="79"/>
  <c r="T23" i="79"/>
  <c r="R23" i="79"/>
  <c r="Q23" i="79"/>
  <c r="O23" i="79"/>
  <c r="N23" i="79"/>
  <c r="L23" i="79"/>
  <c r="K23" i="79"/>
  <c r="I23" i="79"/>
  <c r="H23" i="79"/>
  <c r="F23" i="79"/>
  <c r="E23" i="79"/>
  <c r="BC22" i="79"/>
  <c r="AQ22" i="79"/>
  <c r="AF22" i="79"/>
  <c r="C22" i="79"/>
  <c r="B22" i="79"/>
  <c r="BC21" i="79"/>
  <c r="AQ21" i="79"/>
  <c r="AF21" i="79"/>
  <c r="C21" i="79"/>
  <c r="B21" i="79"/>
  <c r="BC20" i="79"/>
  <c r="AQ20" i="79"/>
  <c r="AF20" i="79"/>
  <c r="C20" i="79"/>
  <c r="B20" i="79"/>
  <c r="BC19" i="79"/>
  <c r="AQ19" i="79"/>
  <c r="AF19" i="79"/>
  <c r="C19" i="79"/>
  <c r="B19" i="79"/>
  <c r="BC18" i="79"/>
  <c r="AQ18" i="79"/>
  <c r="AF18" i="79"/>
  <c r="C18" i="79"/>
  <c r="B18" i="79"/>
  <c r="BC17" i="79"/>
  <c r="AQ17" i="79"/>
  <c r="AF17" i="79"/>
  <c r="C17" i="79"/>
  <c r="B17" i="79"/>
  <c r="BC16" i="79"/>
  <c r="AQ16" i="79"/>
  <c r="AF16" i="79"/>
  <c r="C16" i="79"/>
  <c r="B16" i="79"/>
  <c r="BC15" i="79"/>
  <c r="AQ15" i="79"/>
  <c r="AF15" i="79"/>
  <c r="C15" i="79"/>
  <c r="B15" i="79"/>
  <c r="BC14" i="79"/>
  <c r="AQ14" i="79"/>
  <c r="AF14" i="79"/>
  <c r="C14" i="79"/>
  <c r="B14" i="79"/>
  <c r="BC13" i="79"/>
  <c r="AQ13" i="79"/>
  <c r="AF13" i="79"/>
  <c r="C13" i="79"/>
  <c r="B13" i="79"/>
  <c r="BC12" i="79"/>
  <c r="AQ12" i="79"/>
  <c r="AF12" i="79"/>
  <c r="C12" i="79"/>
  <c r="B12" i="79"/>
  <c r="BC11" i="79"/>
  <c r="AQ11" i="79"/>
  <c r="AF11" i="79"/>
  <c r="C11" i="79"/>
  <c r="B11" i="79"/>
  <c r="BC10" i="79"/>
  <c r="AQ10" i="79"/>
  <c r="AF10" i="79"/>
  <c r="C10" i="79"/>
  <c r="B10" i="79"/>
  <c r="BC9" i="79"/>
  <c r="AQ9" i="79"/>
  <c r="AF9" i="79"/>
  <c r="C9" i="79"/>
  <c r="B9" i="79"/>
  <c r="BQ8" i="79"/>
  <c r="BL8" i="79"/>
  <c r="BJ8" i="79"/>
  <c r="BH8" i="79"/>
  <c r="BF8" i="79"/>
  <c r="BC8" i="79"/>
  <c r="BB8" i="79"/>
  <c r="AZ8" i="79"/>
  <c r="AX8" i="79"/>
  <c r="AV8" i="79"/>
  <c r="AT8" i="79"/>
  <c r="AQ8" i="79"/>
  <c r="AO8" i="79"/>
  <c r="AM8" i="79"/>
  <c r="AK8" i="79"/>
  <c r="AI8" i="79"/>
  <c r="AF8" i="79"/>
  <c r="AE8" i="79"/>
  <c r="AB8" i="79"/>
  <c r="Y8" i="79"/>
  <c r="V8" i="79"/>
  <c r="S8" i="79"/>
  <c r="P8" i="79"/>
  <c r="M8" i="79"/>
  <c r="J8" i="79"/>
  <c r="G8" i="79"/>
  <c r="C8" i="79"/>
  <c r="B8" i="79"/>
  <c r="BP23" i="78"/>
  <c r="BO23" i="78"/>
  <c r="BM23" i="78"/>
  <c r="BK23" i="78"/>
  <c r="BI23" i="78"/>
  <c r="BG23" i="78"/>
  <c r="BE23" i="78"/>
  <c r="BA23" i="78"/>
  <c r="AY23" i="78"/>
  <c r="AW23" i="78"/>
  <c r="AU23" i="78"/>
  <c r="AS23" i="78"/>
  <c r="AN23" i="78"/>
  <c r="AL23" i="78"/>
  <c r="AJ23" i="78"/>
  <c r="AH23" i="78"/>
  <c r="AD23" i="78"/>
  <c r="AC23" i="78"/>
  <c r="AA23" i="78"/>
  <c r="Z23" i="78"/>
  <c r="X23" i="78"/>
  <c r="W23" i="78"/>
  <c r="U23" i="78"/>
  <c r="T23" i="78"/>
  <c r="R23" i="78"/>
  <c r="Q23" i="78"/>
  <c r="O23" i="78"/>
  <c r="N23" i="78"/>
  <c r="L23" i="78"/>
  <c r="K23" i="78"/>
  <c r="I23" i="78"/>
  <c r="H23" i="78"/>
  <c r="F23" i="78"/>
  <c r="E23" i="78"/>
  <c r="BC22" i="78"/>
  <c r="AQ22" i="78"/>
  <c r="AF22" i="78"/>
  <c r="C22" i="78"/>
  <c r="B22" i="78"/>
  <c r="BC21" i="78"/>
  <c r="AQ21" i="78"/>
  <c r="AF21" i="78"/>
  <c r="C21" i="78"/>
  <c r="B21" i="78"/>
  <c r="BC20" i="78"/>
  <c r="AQ20" i="78"/>
  <c r="AF20" i="78"/>
  <c r="C20" i="78"/>
  <c r="B20" i="78"/>
  <c r="BC19" i="78"/>
  <c r="AQ19" i="78"/>
  <c r="AF19" i="78"/>
  <c r="C19" i="78"/>
  <c r="B19" i="78"/>
  <c r="BC18" i="78"/>
  <c r="AQ18" i="78"/>
  <c r="AF18" i="78"/>
  <c r="C18" i="78"/>
  <c r="B18" i="78"/>
  <c r="BC17" i="78"/>
  <c r="AQ17" i="78"/>
  <c r="AF17" i="78"/>
  <c r="C17" i="78"/>
  <c r="B17" i="78"/>
  <c r="BC16" i="78"/>
  <c r="AQ16" i="78"/>
  <c r="AF16" i="78"/>
  <c r="C16" i="78"/>
  <c r="B16" i="78"/>
  <c r="BC15" i="78"/>
  <c r="AQ15" i="78"/>
  <c r="AF15" i="78"/>
  <c r="C15" i="78"/>
  <c r="B15" i="78"/>
  <c r="BC14" i="78"/>
  <c r="AQ14" i="78"/>
  <c r="AF14" i="78"/>
  <c r="C14" i="78"/>
  <c r="B14" i="78"/>
  <c r="BC13" i="78"/>
  <c r="AQ13" i="78"/>
  <c r="AF13" i="78"/>
  <c r="C13" i="78"/>
  <c r="B13" i="78"/>
  <c r="BC12" i="78"/>
  <c r="AQ12" i="78"/>
  <c r="AF12" i="78"/>
  <c r="C12" i="78"/>
  <c r="B12" i="78"/>
  <c r="BC11" i="78"/>
  <c r="AQ11" i="78"/>
  <c r="AF11" i="78"/>
  <c r="C11" i="78"/>
  <c r="B11" i="78"/>
  <c r="BC10" i="78"/>
  <c r="AQ10" i="78"/>
  <c r="AF10" i="78"/>
  <c r="C10" i="78"/>
  <c r="B10" i="78"/>
  <c r="BC9" i="78"/>
  <c r="AQ9" i="78"/>
  <c r="AF9" i="78"/>
  <c r="C9" i="78"/>
  <c r="B9" i="78"/>
  <c r="BQ8" i="78"/>
  <c r="BL8" i="78"/>
  <c r="BJ8" i="78"/>
  <c r="BH8" i="78"/>
  <c r="BF8" i="78"/>
  <c r="BC8" i="78"/>
  <c r="BB8" i="78"/>
  <c r="AZ8" i="78"/>
  <c r="AX8" i="78"/>
  <c r="AV8" i="78"/>
  <c r="AT8" i="78"/>
  <c r="AQ8" i="78"/>
  <c r="AO8" i="78"/>
  <c r="AM8" i="78"/>
  <c r="AK8" i="78"/>
  <c r="AI8" i="78"/>
  <c r="AF8" i="78"/>
  <c r="AE8" i="78"/>
  <c r="AB8" i="78"/>
  <c r="Y8" i="78"/>
  <c r="V8" i="78"/>
  <c r="S8" i="78"/>
  <c r="P8" i="78"/>
  <c r="M8" i="78"/>
  <c r="J8" i="78"/>
  <c r="G8" i="78"/>
  <c r="C8" i="78"/>
  <c r="B8" i="78"/>
  <c r="BP23" i="77"/>
  <c r="BO23" i="77"/>
  <c r="BM23" i="77"/>
  <c r="BK23" i="77"/>
  <c r="BI23" i="77"/>
  <c r="BG23" i="77"/>
  <c r="BE23" i="77"/>
  <c r="BA23" i="77"/>
  <c r="AY23" i="77"/>
  <c r="AW23" i="77"/>
  <c r="AU23" i="77"/>
  <c r="AS23" i="77"/>
  <c r="AN23" i="77"/>
  <c r="AL23" i="77"/>
  <c r="AJ23" i="77"/>
  <c r="AH23" i="77"/>
  <c r="AD23" i="77"/>
  <c r="AC23" i="77"/>
  <c r="AA23" i="77"/>
  <c r="Z23" i="77"/>
  <c r="X23" i="77"/>
  <c r="W23" i="77"/>
  <c r="U23" i="77"/>
  <c r="T23" i="77"/>
  <c r="R23" i="77"/>
  <c r="Q23" i="77"/>
  <c r="O23" i="77"/>
  <c r="N23" i="77"/>
  <c r="L23" i="77"/>
  <c r="K23" i="77"/>
  <c r="I23" i="77"/>
  <c r="H23" i="77"/>
  <c r="F23" i="77"/>
  <c r="E23" i="77"/>
  <c r="BC22" i="77"/>
  <c r="AQ22" i="77"/>
  <c r="AF22" i="77"/>
  <c r="C22" i="77"/>
  <c r="B22" i="77"/>
  <c r="BC21" i="77"/>
  <c r="AQ21" i="77"/>
  <c r="AF21" i="77"/>
  <c r="C21" i="77"/>
  <c r="B21" i="77"/>
  <c r="BC20" i="77"/>
  <c r="AQ20" i="77"/>
  <c r="AF20" i="77"/>
  <c r="C20" i="77"/>
  <c r="B20" i="77"/>
  <c r="BC19" i="77"/>
  <c r="AQ19" i="77"/>
  <c r="AF19" i="77"/>
  <c r="C19" i="77"/>
  <c r="B19" i="77"/>
  <c r="BC18" i="77"/>
  <c r="AQ18" i="77"/>
  <c r="AF18" i="77"/>
  <c r="C18" i="77"/>
  <c r="B18" i="77"/>
  <c r="BC17" i="77"/>
  <c r="AQ17" i="77"/>
  <c r="AF17" i="77"/>
  <c r="C17" i="77"/>
  <c r="B17" i="77"/>
  <c r="BC16" i="77"/>
  <c r="AQ16" i="77"/>
  <c r="AF16" i="77"/>
  <c r="C16" i="77"/>
  <c r="B16" i="77"/>
  <c r="BC15" i="77"/>
  <c r="AQ15" i="77"/>
  <c r="AF15" i="77"/>
  <c r="C15" i="77"/>
  <c r="B15" i="77"/>
  <c r="BC14" i="77"/>
  <c r="AQ14" i="77"/>
  <c r="AF14" i="77"/>
  <c r="C14" i="77"/>
  <c r="B14" i="77"/>
  <c r="BC13" i="77"/>
  <c r="AQ13" i="77"/>
  <c r="AF13" i="77"/>
  <c r="C13" i="77"/>
  <c r="B13" i="77"/>
  <c r="BC12" i="77"/>
  <c r="AQ12" i="77"/>
  <c r="AF12" i="77"/>
  <c r="C12" i="77"/>
  <c r="B12" i="77"/>
  <c r="BC11" i="77"/>
  <c r="AQ11" i="77"/>
  <c r="AF11" i="77"/>
  <c r="C11" i="77"/>
  <c r="B11" i="77"/>
  <c r="BC10" i="77"/>
  <c r="AQ10" i="77"/>
  <c r="AF10" i="77"/>
  <c r="C10" i="77"/>
  <c r="B10" i="77"/>
  <c r="BC9" i="77"/>
  <c r="AQ9" i="77"/>
  <c r="AF9" i="77"/>
  <c r="C9" i="77"/>
  <c r="B9" i="77"/>
  <c r="BQ8" i="77"/>
  <c r="BL8" i="77"/>
  <c r="BJ8" i="77"/>
  <c r="BH8" i="77"/>
  <c r="BF8" i="77"/>
  <c r="BC8" i="77"/>
  <c r="BB8" i="77"/>
  <c r="AZ8" i="77"/>
  <c r="AX8" i="77"/>
  <c r="AV8" i="77"/>
  <c r="AT8" i="77"/>
  <c r="AQ8" i="77"/>
  <c r="AO8" i="77"/>
  <c r="AM8" i="77"/>
  <c r="AK8" i="77"/>
  <c r="AI8" i="77"/>
  <c r="AF8" i="77"/>
  <c r="AE8" i="77"/>
  <c r="AB8" i="77"/>
  <c r="Y8" i="77"/>
  <c r="V8" i="77"/>
  <c r="S8" i="77"/>
  <c r="P8" i="77"/>
  <c r="M8" i="77"/>
  <c r="J8" i="77"/>
  <c r="G8" i="77"/>
  <c r="C8" i="77"/>
  <c r="B8" i="77"/>
  <c r="BP23" i="76"/>
  <c r="BO23" i="76"/>
  <c r="BM23" i="76"/>
  <c r="BK23" i="76"/>
  <c r="BI23" i="76"/>
  <c r="BG23" i="76"/>
  <c r="BE23" i="76"/>
  <c r="BA23" i="76"/>
  <c r="AY23" i="76"/>
  <c r="AW23" i="76"/>
  <c r="AU23" i="76"/>
  <c r="AS23" i="76"/>
  <c r="AN23" i="76"/>
  <c r="AL23" i="76"/>
  <c r="AJ23" i="76"/>
  <c r="AH23" i="76"/>
  <c r="AD23" i="76"/>
  <c r="AC23" i="76"/>
  <c r="AA23" i="76"/>
  <c r="Z23" i="76"/>
  <c r="X23" i="76"/>
  <c r="W23" i="76"/>
  <c r="U23" i="76"/>
  <c r="T23" i="76"/>
  <c r="R23" i="76"/>
  <c r="Q23" i="76"/>
  <c r="O23" i="76"/>
  <c r="N23" i="76"/>
  <c r="L23" i="76"/>
  <c r="K23" i="76"/>
  <c r="I23" i="76"/>
  <c r="H23" i="76"/>
  <c r="F23" i="76"/>
  <c r="E23" i="76"/>
  <c r="BC22" i="76"/>
  <c r="AQ22" i="76"/>
  <c r="AF22" i="76"/>
  <c r="C22" i="76"/>
  <c r="B22" i="76"/>
  <c r="BC21" i="76"/>
  <c r="AQ21" i="76"/>
  <c r="AF21" i="76"/>
  <c r="C21" i="76"/>
  <c r="B21" i="76"/>
  <c r="BC20" i="76"/>
  <c r="AQ20" i="76"/>
  <c r="AF20" i="76"/>
  <c r="C20" i="76"/>
  <c r="B20" i="76"/>
  <c r="BC19" i="76"/>
  <c r="AQ19" i="76"/>
  <c r="AF19" i="76"/>
  <c r="C19" i="76"/>
  <c r="B19" i="76"/>
  <c r="BC18" i="76"/>
  <c r="AQ18" i="76"/>
  <c r="AF18" i="76"/>
  <c r="C18" i="76"/>
  <c r="B18" i="76"/>
  <c r="BC17" i="76"/>
  <c r="AQ17" i="76"/>
  <c r="AF17" i="76"/>
  <c r="C17" i="76"/>
  <c r="B17" i="76"/>
  <c r="BC16" i="76"/>
  <c r="AQ16" i="76"/>
  <c r="AF16" i="76"/>
  <c r="C16" i="76"/>
  <c r="B16" i="76"/>
  <c r="BC15" i="76"/>
  <c r="AQ15" i="76"/>
  <c r="AF15" i="76"/>
  <c r="C15" i="76"/>
  <c r="B15" i="76"/>
  <c r="BC14" i="76"/>
  <c r="AQ14" i="76"/>
  <c r="AF14" i="76"/>
  <c r="C14" i="76"/>
  <c r="B14" i="76"/>
  <c r="BC13" i="76"/>
  <c r="AQ13" i="76"/>
  <c r="AF13" i="76"/>
  <c r="C13" i="76"/>
  <c r="B13" i="76"/>
  <c r="BC12" i="76"/>
  <c r="AQ12" i="76"/>
  <c r="AF12" i="76"/>
  <c r="C12" i="76"/>
  <c r="B12" i="76"/>
  <c r="BC11" i="76"/>
  <c r="AQ11" i="76"/>
  <c r="AF11" i="76"/>
  <c r="C11" i="76"/>
  <c r="B11" i="76"/>
  <c r="BC10" i="76"/>
  <c r="AQ10" i="76"/>
  <c r="AF10" i="76"/>
  <c r="C10" i="76"/>
  <c r="B10" i="76"/>
  <c r="BC9" i="76"/>
  <c r="AQ9" i="76"/>
  <c r="AF9" i="76"/>
  <c r="C9" i="76"/>
  <c r="B9" i="76"/>
  <c r="BQ8" i="76"/>
  <c r="BL8" i="76"/>
  <c r="BJ8" i="76"/>
  <c r="BH8" i="76"/>
  <c r="BF8" i="76"/>
  <c r="BC8" i="76"/>
  <c r="BB8" i="76"/>
  <c r="AZ8" i="76"/>
  <c r="AX8" i="76"/>
  <c r="AV8" i="76"/>
  <c r="AT8" i="76"/>
  <c r="AQ8" i="76"/>
  <c r="AO8" i="76"/>
  <c r="AM8" i="76"/>
  <c r="AK8" i="76"/>
  <c r="AI8" i="76"/>
  <c r="AF8" i="76"/>
  <c r="AE8" i="76"/>
  <c r="AB8" i="76"/>
  <c r="Y8" i="76"/>
  <c r="V8" i="76"/>
  <c r="S8" i="76"/>
  <c r="P8" i="76"/>
  <c r="M8" i="76"/>
  <c r="J8" i="76"/>
  <c r="G8" i="76"/>
  <c r="C8" i="76"/>
  <c r="B8" i="76"/>
  <c r="BP23" i="74"/>
  <c r="BO23" i="74"/>
  <c r="BM23" i="74"/>
  <c r="BK23" i="74"/>
  <c r="BI23" i="74"/>
  <c r="BG23" i="74"/>
  <c r="BE23" i="74"/>
  <c r="BA23" i="74"/>
  <c r="AY23" i="74"/>
  <c r="AW23" i="74"/>
  <c r="AU23" i="74"/>
  <c r="AS23" i="74"/>
  <c r="AN23" i="74"/>
  <c r="AL23" i="74"/>
  <c r="AJ23" i="74"/>
  <c r="AH23" i="74"/>
  <c r="AD23" i="74"/>
  <c r="AC23" i="74"/>
  <c r="AA23" i="74"/>
  <c r="Z23" i="74"/>
  <c r="X23" i="74"/>
  <c r="W23" i="74"/>
  <c r="U23" i="74"/>
  <c r="T23" i="74"/>
  <c r="R23" i="74"/>
  <c r="Q23" i="74"/>
  <c r="O23" i="74"/>
  <c r="N23" i="74"/>
  <c r="L23" i="74"/>
  <c r="K23" i="74"/>
  <c r="I23" i="74"/>
  <c r="H23" i="74"/>
  <c r="F23" i="74"/>
  <c r="E23" i="74"/>
  <c r="BC22" i="74"/>
  <c r="AQ22" i="74"/>
  <c r="AF22" i="74"/>
  <c r="C22" i="74"/>
  <c r="B22" i="74"/>
  <c r="BC21" i="74"/>
  <c r="AQ21" i="74"/>
  <c r="AF21" i="74"/>
  <c r="C21" i="74"/>
  <c r="B21" i="74"/>
  <c r="BC20" i="74"/>
  <c r="AQ20" i="74"/>
  <c r="AF20" i="74"/>
  <c r="C20" i="74"/>
  <c r="B20" i="74"/>
  <c r="BC19" i="74"/>
  <c r="AQ19" i="74"/>
  <c r="AF19" i="74"/>
  <c r="C19" i="74"/>
  <c r="B19" i="74"/>
  <c r="BC18" i="74"/>
  <c r="AQ18" i="74"/>
  <c r="AF18" i="74"/>
  <c r="C18" i="74"/>
  <c r="B18" i="74"/>
  <c r="BC17" i="74"/>
  <c r="AQ17" i="74"/>
  <c r="AF17" i="74"/>
  <c r="C17" i="74"/>
  <c r="B17" i="74"/>
  <c r="BC16" i="74"/>
  <c r="AQ16" i="74"/>
  <c r="AF16" i="74"/>
  <c r="C16" i="74"/>
  <c r="B16" i="74"/>
  <c r="BC15" i="74"/>
  <c r="AQ15" i="74"/>
  <c r="AF15" i="74"/>
  <c r="C15" i="74"/>
  <c r="B15" i="74"/>
  <c r="BC14" i="74"/>
  <c r="AQ14" i="74"/>
  <c r="AF14" i="74"/>
  <c r="C14" i="74"/>
  <c r="B14" i="74"/>
  <c r="BC13" i="74"/>
  <c r="AQ13" i="74"/>
  <c r="AF13" i="74"/>
  <c r="C13" i="74"/>
  <c r="B13" i="74"/>
  <c r="BC12" i="74"/>
  <c r="AQ12" i="74"/>
  <c r="AF12" i="74"/>
  <c r="C12" i="74"/>
  <c r="B12" i="74"/>
  <c r="BC11" i="74"/>
  <c r="AQ11" i="74"/>
  <c r="AF11" i="74"/>
  <c r="C11" i="74"/>
  <c r="B11" i="74"/>
  <c r="BC10" i="74"/>
  <c r="AQ10" i="74"/>
  <c r="AF10" i="74"/>
  <c r="C10" i="74"/>
  <c r="B10" i="74"/>
  <c r="BC9" i="74"/>
  <c r="AQ9" i="74"/>
  <c r="AF9" i="74"/>
  <c r="C9" i="74"/>
  <c r="B9" i="74"/>
  <c r="BQ8" i="74"/>
  <c r="BL8" i="74"/>
  <c r="BJ8" i="74"/>
  <c r="BH8" i="74"/>
  <c r="BF8" i="74"/>
  <c r="BC8" i="74"/>
  <c r="BB8" i="74"/>
  <c r="AZ8" i="74"/>
  <c r="AX8" i="74"/>
  <c r="AV8" i="74"/>
  <c r="AT8" i="74"/>
  <c r="AQ8" i="74"/>
  <c r="AO8" i="74"/>
  <c r="AM8" i="74"/>
  <c r="AK8" i="74"/>
  <c r="AI8" i="74"/>
  <c r="AF8" i="74"/>
  <c r="AE8" i="74"/>
  <c r="AB8" i="74"/>
  <c r="Y8" i="74"/>
  <c r="V8" i="74"/>
  <c r="S8" i="74"/>
  <c r="P8" i="74"/>
  <c r="M8" i="74"/>
  <c r="J8" i="74"/>
  <c r="G8" i="74"/>
  <c r="C8" i="74"/>
  <c r="B8" i="74"/>
  <c r="BP23" i="73"/>
  <c r="BO23" i="73"/>
  <c r="BM23" i="73"/>
  <c r="BK23" i="73"/>
  <c r="BI23" i="73"/>
  <c r="BG23" i="73"/>
  <c r="BE23" i="73"/>
  <c r="BA23" i="73"/>
  <c r="AY23" i="73"/>
  <c r="AW23" i="73"/>
  <c r="AU23" i="73"/>
  <c r="AS23" i="73"/>
  <c r="AN23" i="73"/>
  <c r="AL23" i="73"/>
  <c r="AJ23" i="73"/>
  <c r="AH23" i="73"/>
  <c r="AD23" i="73"/>
  <c r="AC23" i="73"/>
  <c r="AA23" i="73"/>
  <c r="Z23" i="73"/>
  <c r="X23" i="73"/>
  <c r="W23" i="73"/>
  <c r="U23" i="73"/>
  <c r="T23" i="73"/>
  <c r="R23" i="73"/>
  <c r="Q23" i="73"/>
  <c r="O23" i="73"/>
  <c r="N23" i="73"/>
  <c r="L23" i="73"/>
  <c r="K23" i="73"/>
  <c r="I23" i="73"/>
  <c r="H23" i="73"/>
  <c r="F23" i="73"/>
  <c r="E23" i="73"/>
  <c r="BC22" i="73"/>
  <c r="AQ22" i="73"/>
  <c r="AF22" i="73"/>
  <c r="C22" i="73"/>
  <c r="B22" i="73"/>
  <c r="BC21" i="73"/>
  <c r="AQ21" i="73"/>
  <c r="AF21" i="73"/>
  <c r="C21" i="73"/>
  <c r="B21" i="73"/>
  <c r="BC20" i="73"/>
  <c r="AQ20" i="73"/>
  <c r="AF20" i="73"/>
  <c r="C20" i="73"/>
  <c r="B20" i="73"/>
  <c r="BC19" i="73"/>
  <c r="AQ19" i="73"/>
  <c r="AF19" i="73"/>
  <c r="C19" i="73"/>
  <c r="B19" i="73"/>
  <c r="BC18" i="73"/>
  <c r="AQ18" i="73"/>
  <c r="AF18" i="73"/>
  <c r="C18" i="73"/>
  <c r="B18" i="73"/>
  <c r="BC17" i="73"/>
  <c r="AQ17" i="73"/>
  <c r="AF17" i="73"/>
  <c r="C17" i="73"/>
  <c r="B17" i="73"/>
  <c r="BC16" i="73"/>
  <c r="AQ16" i="73"/>
  <c r="AF16" i="73"/>
  <c r="C16" i="73"/>
  <c r="B16" i="73"/>
  <c r="BC15" i="73"/>
  <c r="AQ15" i="73"/>
  <c r="AF15" i="73"/>
  <c r="C15" i="73"/>
  <c r="B15" i="73"/>
  <c r="BC14" i="73"/>
  <c r="AQ14" i="73"/>
  <c r="AF14" i="73"/>
  <c r="C14" i="73"/>
  <c r="B14" i="73"/>
  <c r="BC13" i="73"/>
  <c r="AQ13" i="73"/>
  <c r="AF13" i="73"/>
  <c r="C13" i="73"/>
  <c r="B13" i="73"/>
  <c r="BC12" i="73"/>
  <c r="AQ12" i="73"/>
  <c r="AF12" i="73"/>
  <c r="C12" i="73"/>
  <c r="B12" i="73"/>
  <c r="BC11" i="73"/>
  <c r="AQ11" i="73"/>
  <c r="AF11" i="73"/>
  <c r="C11" i="73"/>
  <c r="B11" i="73"/>
  <c r="BC10" i="73"/>
  <c r="AQ10" i="73"/>
  <c r="AF10" i="73"/>
  <c r="C10" i="73"/>
  <c r="B10" i="73"/>
  <c r="BC9" i="73"/>
  <c r="AQ9" i="73"/>
  <c r="AF9" i="73"/>
  <c r="C9" i="73"/>
  <c r="B9" i="73"/>
  <c r="BQ8" i="73"/>
  <c r="BL8" i="73"/>
  <c r="BJ8" i="73"/>
  <c r="BH8" i="73"/>
  <c r="BF8" i="73"/>
  <c r="BC8" i="73"/>
  <c r="BB8" i="73"/>
  <c r="AZ8" i="73"/>
  <c r="AX8" i="73"/>
  <c r="AV8" i="73"/>
  <c r="AT8" i="73"/>
  <c r="AQ8" i="73"/>
  <c r="AO8" i="73"/>
  <c r="AM8" i="73"/>
  <c r="AK8" i="73"/>
  <c r="AI8" i="73"/>
  <c r="AF8" i="73"/>
  <c r="AE8" i="73"/>
  <c r="AB8" i="73"/>
  <c r="Y8" i="73"/>
  <c r="V8" i="73"/>
  <c r="S8" i="73"/>
  <c r="P8" i="73"/>
  <c r="M8" i="73"/>
  <c r="J8" i="73"/>
  <c r="G8" i="73"/>
  <c r="C8" i="73"/>
  <c r="B8" i="73"/>
  <c r="BP23" i="71"/>
  <c r="BO23" i="71"/>
  <c r="BM23" i="71"/>
  <c r="BK23" i="71"/>
  <c r="BI23" i="71"/>
  <c r="BG23" i="71"/>
  <c r="BE23" i="71"/>
  <c r="BA23" i="71"/>
  <c r="AY23" i="71"/>
  <c r="AW23" i="71"/>
  <c r="AU23" i="71"/>
  <c r="AS23" i="71"/>
  <c r="AN23" i="71"/>
  <c r="AL23" i="71"/>
  <c r="AJ23" i="71"/>
  <c r="AH23" i="71"/>
  <c r="AD23" i="71"/>
  <c r="AC23" i="71"/>
  <c r="AA23" i="71"/>
  <c r="Z23" i="71"/>
  <c r="X23" i="71"/>
  <c r="W23" i="71"/>
  <c r="U23" i="71"/>
  <c r="T23" i="71"/>
  <c r="R23" i="71"/>
  <c r="Q23" i="71"/>
  <c r="O23" i="71"/>
  <c r="N23" i="71"/>
  <c r="L23" i="71"/>
  <c r="K23" i="71"/>
  <c r="I23" i="71"/>
  <c r="H23" i="71"/>
  <c r="F23" i="71"/>
  <c r="E23" i="71"/>
  <c r="BC22" i="71"/>
  <c r="AQ22" i="71"/>
  <c r="AF22" i="71"/>
  <c r="C22" i="71"/>
  <c r="B22" i="71"/>
  <c r="BC21" i="71"/>
  <c r="AQ21" i="71"/>
  <c r="AF21" i="71"/>
  <c r="C21" i="71"/>
  <c r="B21" i="71"/>
  <c r="BC20" i="71"/>
  <c r="AQ20" i="71"/>
  <c r="AF20" i="71"/>
  <c r="C20" i="71"/>
  <c r="B20" i="71"/>
  <c r="BC19" i="71"/>
  <c r="AQ19" i="71"/>
  <c r="AF19" i="71"/>
  <c r="C19" i="71"/>
  <c r="B19" i="71"/>
  <c r="BC18" i="71"/>
  <c r="AQ18" i="71"/>
  <c r="AF18" i="71"/>
  <c r="C18" i="71"/>
  <c r="B18" i="71"/>
  <c r="BC17" i="71"/>
  <c r="AQ17" i="71"/>
  <c r="AF17" i="71"/>
  <c r="C17" i="71"/>
  <c r="B17" i="71"/>
  <c r="BC16" i="71"/>
  <c r="AQ16" i="71"/>
  <c r="AF16" i="71"/>
  <c r="C16" i="71"/>
  <c r="B16" i="71"/>
  <c r="BC15" i="71"/>
  <c r="AQ15" i="71"/>
  <c r="AF15" i="71"/>
  <c r="C15" i="71"/>
  <c r="B15" i="71"/>
  <c r="BC14" i="71"/>
  <c r="AQ14" i="71"/>
  <c r="AF14" i="71"/>
  <c r="C14" i="71"/>
  <c r="B14" i="71"/>
  <c r="BC13" i="71"/>
  <c r="AQ13" i="71"/>
  <c r="AF13" i="71"/>
  <c r="C13" i="71"/>
  <c r="B13" i="71"/>
  <c r="BC12" i="71"/>
  <c r="AQ12" i="71"/>
  <c r="AF12" i="71"/>
  <c r="C12" i="71"/>
  <c r="B12" i="71"/>
  <c r="BC11" i="71"/>
  <c r="AQ11" i="71"/>
  <c r="AF11" i="71"/>
  <c r="C11" i="71"/>
  <c r="B11" i="71"/>
  <c r="BC10" i="71"/>
  <c r="AQ10" i="71"/>
  <c r="AF10" i="71"/>
  <c r="C10" i="71"/>
  <c r="B10" i="71"/>
  <c r="BC9" i="71"/>
  <c r="AQ9" i="71"/>
  <c r="AF9" i="71"/>
  <c r="C9" i="71"/>
  <c r="B9" i="71"/>
  <c r="BQ8" i="71"/>
  <c r="BL8" i="71"/>
  <c r="BJ8" i="71"/>
  <c r="BH8" i="71"/>
  <c r="BF8" i="71"/>
  <c r="BC8" i="71"/>
  <c r="BB8" i="71"/>
  <c r="AZ8" i="71"/>
  <c r="AX8" i="71"/>
  <c r="AV8" i="71"/>
  <c r="AT8" i="71"/>
  <c r="AQ8" i="71"/>
  <c r="AO8" i="71"/>
  <c r="AM8" i="71"/>
  <c r="AK8" i="71"/>
  <c r="AI8" i="71"/>
  <c r="AF8" i="71"/>
  <c r="AE8" i="71"/>
  <c r="AB8" i="71"/>
  <c r="Y8" i="71"/>
  <c r="V8" i="71"/>
  <c r="S8" i="71"/>
  <c r="P8" i="71"/>
  <c r="M8" i="71"/>
  <c r="J8" i="71"/>
  <c r="G8" i="71"/>
  <c r="C8" i="71"/>
  <c r="B8" i="71"/>
  <c r="BP23" i="70"/>
  <c r="BO23" i="70"/>
  <c r="BM23" i="70"/>
  <c r="BK23" i="70"/>
  <c r="BI23" i="70"/>
  <c r="BG23" i="70"/>
  <c r="BE23" i="70"/>
  <c r="BA23" i="70"/>
  <c r="AY23" i="70"/>
  <c r="AW23" i="70"/>
  <c r="AU23" i="70"/>
  <c r="AS23" i="70"/>
  <c r="AN23" i="70"/>
  <c r="AL23" i="70"/>
  <c r="AJ23" i="70"/>
  <c r="AH23" i="70"/>
  <c r="AD23" i="70"/>
  <c r="AC23" i="70"/>
  <c r="AA23" i="70"/>
  <c r="Z23" i="70"/>
  <c r="X23" i="70"/>
  <c r="W23" i="70"/>
  <c r="U23" i="70"/>
  <c r="T23" i="70"/>
  <c r="R23" i="70"/>
  <c r="Q23" i="70"/>
  <c r="O23" i="70"/>
  <c r="N23" i="70"/>
  <c r="L23" i="70"/>
  <c r="K23" i="70"/>
  <c r="I23" i="70"/>
  <c r="H23" i="70"/>
  <c r="F23" i="70"/>
  <c r="E23" i="70"/>
  <c r="BC22" i="70"/>
  <c r="AQ22" i="70"/>
  <c r="AF22" i="70"/>
  <c r="C22" i="70"/>
  <c r="B22" i="70"/>
  <c r="BC21" i="70"/>
  <c r="AQ21" i="70"/>
  <c r="AF21" i="70"/>
  <c r="C21" i="70"/>
  <c r="B21" i="70"/>
  <c r="BC20" i="70"/>
  <c r="AQ20" i="70"/>
  <c r="AF20" i="70"/>
  <c r="C20" i="70"/>
  <c r="B20" i="70"/>
  <c r="BC19" i="70"/>
  <c r="AQ19" i="70"/>
  <c r="AF19" i="70"/>
  <c r="C19" i="70"/>
  <c r="B19" i="70"/>
  <c r="BC18" i="70"/>
  <c r="AQ18" i="70"/>
  <c r="AF18" i="70"/>
  <c r="C18" i="70"/>
  <c r="B18" i="70"/>
  <c r="BC17" i="70"/>
  <c r="AQ17" i="70"/>
  <c r="AF17" i="70"/>
  <c r="C17" i="70"/>
  <c r="B17" i="70"/>
  <c r="BC16" i="70"/>
  <c r="AQ16" i="70"/>
  <c r="AF16" i="70"/>
  <c r="C16" i="70"/>
  <c r="B16" i="70"/>
  <c r="BC15" i="70"/>
  <c r="AQ15" i="70"/>
  <c r="AF15" i="70"/>
  <c r="C15" i="70"/>
  <c r="B15" i="70"/>
  <c r="BC14" i="70"/>
  <c r="AQ14" i="70"/>
  <c r="AF14" i="70"/>
  <c r="C14" i="70"/>
  <c r="B14" i="70"/>
  <c r="BC13" i="70"/>
  <c r="AQ13" i="70"/>
  <c r="AF13" i="70"/>
  <c r="C13" i="70"/>
  <c r="B13" i="70"/>
  <c r="BC12" i="70"/>
  <c r="AQ12" i="70"/>
  <c r="AF12" i="70"/>
  <c r="C12" i="70"/>
  <c r="B12" i="70"/>
  <c r="BC11" i="70"/>
  <c r="AQ11" i="70"/>
  <c r="AF11" i="70"/>
  <c r="C11" i="70"/>
  <c r="B11" i="70"/>
  <c r="BC10" i="70"/>
  <c r="AQ10" i="70"/>
  <c r="AF10" i="70"/>
  <c r="C10" i="70"/>
  <c r="B10" i="70"/>
  <c r="BC9" i="70"/>
  <c r="AQ9" i="70"/>
  <c r="AF9" i="70"/>
  <c r="C9" i="70"/>
  <c r="B9" i="70"/>
  <c r="BQ8" i="70"/>
  <c r="BL8" i="70"/>
  <c r="BJ8" i="70"/>
  <c r="BH8" i="70"/>
  <c r="BF8" i="70"/>
  <c r="BC8" i="70"/>
  <c r="BB8" i="70"/>
  <c r="AZ8" i="70"/>
  <c r="AX8" i="70"/>
  <c r="AV8" i="70"/>
  <c r="AT8" i="70"/>
  <c r="AQ8" i="70"/>
  <c r="AO8" i="70"/>
  <c r="AM8" i="70"/>
  <c r="AK8" i="70"/>
  <c r="AI8" i="70"/>
  <c r="AF8" i="70"/>
  <c r="AE8" i="70"/>
  <c r="AB8" i="70"/>
  <c r="Y8" i="70"/>
  <c r="V8" i="70"/>
  <c r="S8" i="70"/>
  <c r="P8" i="70"/>
  <c r="M8" i="70"/>
  <c r="J8" i="70"/>
  <c r="G8" i="70"/>
  <c r="C8" i="70"/>
  <c r="B8" i="70"/>
  <c r="BP23" i="69"/>
  <c r="BQ23" i="69" s="1"/>
  <c r="BO23" i="69"/>
  <c r="BM23" i="69"/>
  <c r="BK23" i="69"/>
  <c r="BI23" i="69"/>
  <c r="BG23" i="69"/>
  <c r="BE23" i="69"/>
  <c r="BA23" i="69"/>
  <c r="AY23" i="69"/>
  <c r="AW23" i="69"/>
  <c r="AU23" i="69"/>
  <c r="AS23" i="69"/>
  <c r="AN23" i="69"/>
  <c r="AL23" i="69"/>
  <c r="AJ23" i="69"/>
  <c r="AH23" i="69"/>
  <c r="AD23" i="69"/>
  <c r="AC23" i="69"/>
  <c r="AA23" i="69"/>
  <c r="Z23" i="69"/>
  <c r="X23" i="69"/>
  <c r="W23" i="69"/>
  <c r="U23" i="69"/>
  <c r="T23" i="69"/>
  <c r="R23" i="69"/>
  <c r="Q23" i="69"/>
  <c r="O23" i="69"/>
  <c r="N23" i="69"/>
  <c r="L23" i="69"/>
  <c r="K23" i="69"/>
  <c r="I23" i="69"/>
  <c r="H23" i="69"/>
  <c r="F23" i="69"/>
  <c r="E23" i="69"/>
  <c r="BC22" i="69"/>
  <c r="AQ22" i="69"/>
  <c r="AF22" i="69"/>
  <c r="C22" i="69"/>
  <c r="B22" i="69"/>
  <c r="BC21" i="69"/>
  <c r="AQ21" i="69"/>
  <c r="AF21" i="69"/>
  <c r="C21" i="69"/>
  <c r="B21" i="69"/>
  <c r="BC20" i="69"/>
  <c r="AQ20" i="69"/>
  <c r="AF20" i="69"/>
  <c r="C20" i="69"/>
  <c r="B20" i="69"/>
  <c r="BC19" i="69"/>
  <c r="AQ19" i="69"/>
  <c r="AF19" i="69"/>
  <c r="C19" i="69"/>
  <c r="B19" i="69"/>
  <c r="BC18" i="69"/>
  <c r="AQ18" i="69"/>
  <c r="AF18" i="69"/>
  <c r="C18" i="69"/>
  <c r="B18" i="69"/>
  <c r="BC17" i="69"/>
  <c r="AQ17" i="69"/>
  <c r="AF17" i="69"/>
  <c r="C17" i="69"/>
  <c r="B17" i="69"/>
  <c r="BC16" i="69"/>
  <c r="AQ16" i="69"/>
  <c r="AF16" i="69"/>
  <c r="C16" i="69"/>
  <c r="B16" i="69"/>
  <c r="BC15" i="69"/>
  <c r="AQ15" i="69"/>
  <c r="AF15" i="69"/>
  <c r="C15" i="69"/>
  <c r="B15" i="69"/>
  <c r="BC14" i="69"/>
  <c r="AQ14" i="69"/>
  <c r="AF14" i="69"/>
  <c r="C14" i="69"/>
  <c r="B14" i="69"/>
  <c r="BC13" i="69"/>
  <c r="AQ13" i="69"/>
  <c r="AF13" i="69"/>
  <c r="C13" i="69"/>
  <c r="B13" i="69"/>
  <c r="BC12" i="69"/>
  <c r="AQ12" i="69"/>
  <c r="AF12" i="69"/>
  <c r="C12" i="69"/>
  <c r="B12" i="69"/>
  <c r="BC11" i="69"/>
  <c r="AQ11" i="69"/>
  <c r="AF11" i="69"/>
  <c r="C11" i="69"/>
  <c r="B11" i="69"/>
  <c r="BC10" i="69"/>
  <c r="AQ10" i="69"/>
  <c r="AF10" i="69"/>
  <c r="C10" i="69"/>
  <c r="B10" i="69"/>
  <c r="BC9" i="69"/>
  <c r="AQ9" i="69"/>
  <c r="AF9" i="69"/>
  <c r="C9" i="69"/>
  <c r="B9" i="69"/>
  <c r="BQ8" i="69"/>
  <c r="BL8" i="69"/>
  <c r="BJ8" i="69"/>
  <c r="BH8" i="69"/>
  <c r="BF8" i="69"/>
  <c r="BC8" i="69"/>
  <c r="BB8" i="69"/>
  <c r="AZ8" i="69"/>
  <c r="AX8" i="69"/>
  <c r="AV8" i="69"/>
  <c r="AT8" i="69"/>
  <c r="AQ8" i="69"/>
  <c r="AO8" i="69"/>
  <c r="AM8" i="69"/>
  <c r="AK8" i="69"/>
  <c r="AI8" i="69"/>
  <c r="AF8" i="69"/>
  <c r="AE8" i="69"/>
  <c r="AB8" i="69"/>
  <c r="Y8" i="69"/>
  <c r="V8" i="69"/>
  <c r="S8" i="69"/>
  <c r="P8" i="69"/>
  <c r="M8" i="69"/>
  <c r="J8" i="69"/>
  <c r="G8" i="69"/>
  <c r="C8" i="69"/>
  <c r="B8" i="69"/>
  <c r="BP23" i="68"/>
  <c r="BO23" i="68"/>
  <c r="BM23" i="68"/>
  <c r="BK23" i="68"/>
  <c r="BI23" i="68"/>
  <c r="BG23" i="68"/>
  <c r="BE23" i="68"/>
  <c r="BA23" i="68"/>
  <c r="AY23" i="68"/>
  <c r="AW23" i="68"/>
  <c r="AU23" i="68"/>
  <c r="AS23" i="68"/>
  <c r="AN23" i="68"/>
  <c r="AL23" i="68"/>
  <c r="AJ23" i="68"/>
  <c r="AH23" i="68"/>
  <c r="AD23" i="68"/>
  <c r="AC23" i="68"/>
  <c r="AA23" i="68"/>
  <c r="Z23" i="68"/>
  <c r="X23" i="68"/>
  <c r="W23" i="68"/>
  <c r="U23" i="68"/>
  <c r="T23" i="68"/>
  <c r="R23" i="68"/>
  <c r="Q23" i="68"/>
  <c r="O23" i="68"/>
  <c r="N23" i="68"/>
  <c r="L23" i="68"/>
  <c r="K23" i="68"/>
  <c r="I23" i="68"/>
  <c r="H23" i="68"/>
  <c r="F23" i="68"/>
  <c r="E23" i="68"/>
  <c r="BC22" i="68"/>
  <c r="AQ22" i="68"/>
  <c r="AF22" i="68"/>
  <c r="C22" i="68"/>
  <c r="B22" i="68"/>
  <c r="BC21" i="68"/>
  <c r="AQ21" i="68"/>
  <c r="AF21" i="68"/>
  <c r="C21" i="68"/>
  <c r="B21" i="68"/>
  <c r="BC20" i="68"/>
  <c r="AQ20" i="68"/>
  <c r="AF20" i="68"/>
  <c r="C20" i="68"/>
  <c r="B20" i="68"/>
  <c r="BC19" i="68"/>
  <c r="AQ19" i="68"/>
  <c r="AF19" i="68"/>
  <c r="C19" i="68"/>
  <c r="B19" i="68"/>
  <c r="BC18" i="68"/>
  <c r="AQ18" i="68"/>
  <c r="AF18" i="68"/>
  <c r="C18" i="68"/>
  <c r="B18" i="68"/>
  <c r="BC17" i="68"/>
  <c r="AQ17" i="68"/>
  <c r="AF17" i="68"/>
  <c r="C17" i="68"/>
  <c r="B17" i="68"/>
  <c r="BC16" i="68"/>
  <c r="AQ16" i="68"/>
  <c r="AF16" i="68"/>
  <c r="C16" i="68"/>
  <c r="B16" i="68"/>
  <c r="BC15" i="68"/>
  <c r="AQ15" i="68"/>
  <c r="AF15" i="68"/>
  <c r="C15" i="68"/>
  <c r="B15" i="68"/>
  <c r="BC14" i="68"/>
  <c r="AQ14" i="68"/>
  <c r="AF14" i="68"/>
  <c r="C14" i="68"/>
  <c r="B14" i="68"/>
  <c r="BC13" i="68"/>
  <c r="AQ13" i="68"/>
  <c r="AF13" i="68"/>
  <c r="C13" i="68"/>
  <c r="B13" i="68"/>
  <c r="BC12" i="68"/>
  <c r="AQ12" i="68"/>
  <c r="AF12" i="68"/>
  <c r="C12" i="68"/>
  <c r="B12" i="68"/>
  <c r="BC11" i="68"/>
  <c r="AQ11" i="68"/>
  <c r="AF11" i="68"/>
  <c r="C11" i="68"/>
  <c r="B11" i="68"/>
  <c r="BC10" i="68"/>
  <c r="AQ10" i="68"/>
  <c r="AF10" i="68"/>
  <c r="C10" i="68"/>
  <c r="B10" i="68"/>
  <c r="BC9" i="68"/>
  <c r="AQ9" i="68"/>
  <c r="AF9" i="68"/>
  <c r="C9" i="68"/>
  <c r="B9" i="68"/>
  <c r="BQ8" i="68"/>
  <c r="BL8" i="68"/>
  <c r="BJ8" i="68"/>
  <c r="BH8" i="68"/>
  <c r="BF8" i="68"/>
  <c r="BC8" i="68"/>
  <c r="BB8" i="68"/>
  <c r="AZ8" i="68"/>
  <c r="AX8" i="68"/>
  <c r="AV8" i="68"/>
  <c r="AT8" i="68"/>
  <c r="AQ8" i="68"/>
  <c r="AO8" i="68"/>
  <c r="AM8" i="68"/>
  <c r="AK8" i="68"/>
  <c r="AI8" i="68"/>
  <c r="AF8" i="68"/>
  <c r="AE8" i="68"/>
  <c r="AB8" i="68"/>
  <c r="Y8" i="68"/>
  <c r="V8" i="68"/>
  <c r="S8" i="68"/>
  <c r="P8" i="68"/>
  <c r="M8" i="68"/>
  <c r="J8" i="68"/>
  <c r="G8" i="68"/>
  <c r="C8" i="68"/>
  <c r="B8" i="68"/>
  <c r="BP23" i="67"/>
  <c r="BO23" i="67"/>
  <c r="BM23" i="67"/>
  <c r="BK23" i="67"/>
  <c r="BI23" i="67"/>
  <c r="BG23" i="67"/>
  <c r="BE23" i="67"/>
  <c r="BA23" i="67"/>
  <c r="AY23" i="67"/>
  <c r="AW23" i="67"/>
  <c r="AU23" i="67"/>
  <c r="AS23" i="67"/>
  <c r="AN23" i="67"/>
  <c r="AL23" i="67"/>
  <c r="AJ23" i="67"/>
  <c r="AH23" i="67"/>
  <c r="AD23" i="67"/>
  <c r="AC23" i="67"/>
  <c r="AA23" i="67"/>
  <c r="Z23" i="67"/>
  <c r="X23" i="67"/>
  <c r="W23" i="67"/>
  <c r="U23" i="67"/>
  <c r="T23" i="67"/>
  <c r="R23" i="67"/>
  <c r="Q23" i="67"/>
  <c r="O23" i="67"/>
  <c r="N23" i="67"/>
  <c r="L23" i="67"/>
  <c r="K23" i="67"/>
  <c r="I23" i="67"/>
  <c r="H23" i="67"/>
  <c r="F23" i="67"/>
  <c r="E23" i="67"/>
  <c r="BC22" i="67"/>
  <c r="AQ22" i="67"/>
  <c r="AF22" i="67"/>
  <c r="C22" i="67"/>
  <c r="B22" i="67"/>
  <c r="BC21" i="67"/>
  <c r="AQ21" i="67"/>
  <c r="AF21" i="67"/>
  <c r="C21" i="67"/>
  <c r="B21" i="67"/>
  <c r="BC20" i="67"/>
  <c r="AQ20" i="67"/>
  <c r="AF20" i="67"/>
  <c r="C20" i="67"/>
  <c r="B20" i="67"/>
  <c r="BC19" i="67"/>
  <c r="AQ19" i="67"/>
  <c r="AF19" i="67"/>
  <c r="C19" i="67"/>
  <c r="B19" i="67"/>
  <c r="BC18" i="67"/>
  <c r="AQ18" i="67"/>
  <c r="AF18" i="67"/>
  <c r="C18" i="67"/>
  <c r="B18" i="67"/>
  <c r="BC17" i="67"/>
  <c r="AQ17" i="67"/>
  <c r="AF17" i="67"/>
  <c r="C17" i="67"/>
  <c r="B17" i="67"/>
  <c r="BC16" i="67"/>
  <c r="AQ16" i="67"/>
  <c r="AF16" i="67"/>
  <c r="C16" i="67"/>
  <c r="B16" i="67"/>
  <c r="BC15" i="67"/>
  <c r="AQ15" i="67"/>
  <c r="AF15" i="67"/>
  <c r="C15" i="67"/>
  <c r="B15" i="67"/>
  <c r="BC14" i="67"/>
  <c r="AQ14" i="67"/>
  <c r="AF14" i="67"/>
  <c r="C14" i="67"/>
  <c r="B14" i="67"/>
  <c r="BC13" i="67"/>
  <c r="AQ13" i="67"/>
  <c r="AF13" i="67"/>
  <c r="C13" i="67"/>
  <c r="B13" i="67"/>
  <c r="BC12" i="67"/>
  <c r="AQ12" i="67"/>
  <c r="AF12" i="67"/>
  <c r="C12" i="67"/>
  <c r="B12" i="67"/>
  <c r="BC11" i="67"/>
  <c r="AQ11" i="67"/>
  <c r="AF11" i="67"/>
  <c r="C11" i="67"/>
  <c r="B11" i="67"/>
  <c r="BC10" i="67"/>
  <c r="AQ10" i="67"/>
  <c r="AF10" i="67"/>
  <c r="C10" i="67"/>
  <c r="B10" i="67"/>
  <c r="BC9" i="67"/>
  <c r="AQ9" i="67"/>
  <c r="AF9" i="67"/>
  <c r="C9" i="67"/>
  <c r="B9" i="67"/>
  <c r="BQ8" i="67"/>
  <c r="BL8" i="67"/>
  <c r="BJ8" i="67"/>
  <c r="BH8" i="67"/>
  <c r="BF8" i="67"/>
  <c r="BC8" i="67"/>
  <c r="BB8" i="67"/>
  <c r="AZ8" i="67"/>
  <c r="AX8" i="67"/>
  <c r="AV8" i="67"/>
  <c r="AT8" i="67"/>
  <c r="AQ8" i="67"/>
  <c r="AO8" i="67"/>
  <c r="AM8" i="67"/>
  <c r="AK8" i="67"/>
  <c r="AI8" i="67"/>
  <c r="AF8" i="67"/>
  <c r="AE8" i="67"/>
  <c r="AB8" i="67"/>
  <c r="Y8" i="67"/>
  <c r="V8" i="67"/>
  <c r="S8" i="67"/>
  <c r="P8" i="67"/>
  <c r="M8" i="67"/>
  <c r="J8" i="67"/>
  <c r="G8" i="67"/>
  <c r="C8" i="67"/>
  <c r="B8" i="67"/>
  <c r="BP23" i="66"/>
  <c r="BO23" i="66"/>
  <c r="BM23" i="66"/>
  <c r="BK23" i="66"/>
  <c r="BI23" i="66"/>
  <c r="BG23" i="66"/>
  <c r="BE23" i="66"/>
  <c r="BA23" i="66"/>
  <c r="AY23" i="66"/>
  <c r="AW23" i="66"/>
  <c r="AU23" i="66"/>
  <c r="AS23" i="66"/>
  <c r="AN23" i="66"/>
  <c r="AL23" i="66"/>
  <c r="AJ23" i="66"/>
  <c r="AH23" i="66"/>
  <c r="AD23" i="66"/>
  <c r="AC23" i="66"/>
  <c r="AA23" i="66"/>
  <c r="Z23" i="66"/>
  <c r="X23" i="66"/>
  <c r="W23" i="66"/>
  <c r="U23" i="66"/>
  <c r="T23" i="66"/>
  <c r="R23" i="66"/>
  <c r="Q23" i="66"/>
  <c r="O23" i="66"/>
  <c r="N23" i="66"/>
  <c r="L23" i="66"/>
  <c r="K23" i="66"/>
  <c r="I23" i="66"/>
  <c r="H23" i="66"/>
  <c r="F23" i="66"/>
  <c r="E23" i="66"/>
  <c r="BC22" i="66"/>
  <c r="AQ22" i="66"/>
  <c r="AF22" i="66"/>
  <c r="C22" i="66"/>
  <c r="B22" i="66"/>
  <c r="BC21" i="66"/>
  <c r="AQ21" i="66"/>
  <c r="AF21" i="66"/>
  <c r="C21" i="66"/>
  <c r="B21" i="66"/>
  <c r="BC20" i="66"/>
  <c r="AQ20" i="66"/>
  <c r="AF20" i="66"/>
  <c r="C20" i="66"/>
  <c r="B20" i="66"/>
  <c r="BC19" i="66"/>
  <c r="AQ19" i="66"/>
  <c r="AF19" i="66"/>
  <c r="C19" i="66"/>
  <c r="B19" i="66"/>
  <c r="BC18" i="66"/>
  <c r="AQ18" i="66"/>
  <c r="AF18" i="66"/>
  <c r="C18" i="66"/>
  <c r="B18" i="66"/>
  <c r="BC17" i="66"/>
  <c r="AQ17" i="66"/>
  <c r="AF17" i="66"/>
  <c r="C17" i="66"/>
  <c r="B17" i="66"/>
  <c r="BC16" i="66"/>
  <c r="AQ16" i="66"/>
  <c r="AF16" i="66"/>
  <c r="C16" i="66"/>
  <c r="B16" i="66"/>
  <c r="BC15" i="66"/>
  <c r="AQ15" i="66"/>
  <c r="AF15" i="66"/>
  <c r="C15" i="66"/>
  <c r="B15" i="66"/>
  <c r="BC14" i="66"/>
  <c r="AQ14" i="66"/>
  <c r="AF14" i="66"/>
  <c r="C14" i="66"/>
  <c r="B14" i="66"/>
  <c r="BC13" i="66"/>
  <c r="AQ13" i="66"/>
  <c r="AF13" i="66"/>
  <c r="C13" i="66"/>
  <c r="B13" i="66"/>
  <c r="BC12" i="66"/>
  <c r="AQ12" i="66"/>
  <c r="AF12" i="66"/>
  <c r="C12" i="66"/>
  <c r="B12" i="66"/>
  <c r="BC11" i="66"/>
  <c r="AQ11" i="66"/>
  <c r="AF11" i="66"/>
  <c r="C11" i="66"/>
  <c r="B11" i="66"/>
  <c r="BC10" i="66"/>
  <c r="AQ10" i="66"/>
  <c r="AF10" i="66"/>
  <c r="C10" i="66"/>
  <c r="B10" i="66"/>
  <c r="BC9" i="66"/>
  <c r="AQ9" i="66"/>
  <c r="AF9" i="66"/>
  <c r="C9" i="66"/>
  <c r="B9" i="66"/>
  <c r="BQ8" i="66"/>
  <c r="BL8" i="66"/>
  <c r="BJ8" i="66"/>
  <c r="BH8" i="66"/>
  <c r="BF8" i="66"/>
  <c r="BC8" i="66"/>
  <c r="BB8" i="66"/>
  <c r="AZ8" i="66"/>
  <c r="AX8" i="66"/>
  <c r="AV8" i="66"/>
  <c r="AT8" i="66"/>
  <c r="AQ8" i="66"/>
  <c r="AO8" i="66"/>
  <c r="AM8" i="66"/>
  <c r="AK8" i="66"/>
  <c r="AI8" i="66"/>
  <c r="AF8" i="66"/>
  <c r="AE8" i="66"/>
  <c r="AB8" i="66"/>
  <c r="Y8" i="66"/>
  <c r="V8" i="66"/>
  <c r="S8" i="66"/>
  <c r="P8" i="66"/>
  <c r="M8" i="66"/>
  <c r="J8" i="66"/>
  <c r="G8" i="66"/>
  <c r="C8" i="66"/>
  <c r="B8" i="66"/>
  <c r="BP23" i="65"/>
  <c r="BO23" i="65"/>
  <c r="BM23" i="65"/>
  <c r="BK23" i="65"/>
  <c r="BI23" i="65"/>
  <c r="BG23" i="65"/>
  <c r="BE23" i="65"/>
  <c r="BA23" i="65"/>
  <c r="AY23" i="65"/>
  <c r="AW23" i="65"/>
  <c r="AU23" i="65"/>
  <c r="AS23" i="65"/>
  <c r="AN23" i="65"/>
  <c r="AL23" i="65"/>
  <c r="AJ23" i="65"/>
  <c r="AH23" i="65"/>
  <c r="AD23" i="65"/>
  <c r="AC23" i="65"/>
  <c r="AA23" i="65"/>
  <c r="Z23" i="65"/>
  <c r="X23" i="65"/>
  <c r="W23" i="65"/>
  <c r="U23" i="65"/>
  <c r="T23" i="65"/>
  <c r="R23" i="65"/>
  <c r="Q23" i="65"/>
  <c r="O23" i="65"/>
  <c r="N23" i="65"/>
  <c r="L23" i="65"/>
  <c r="K23" i="65"/>
  <c r="I23" i="65"/>
  <c r="H23" i="65"/>
  <c r="F23" i="65"/>
  <c r="E23" i="65"/>
  <c r="BC22" i="65"/>
  <c r="AQ22" i="65"/>
  <c r="AF22" i="65"/>
  <c r="C22" i="65"/>
  <c r="B22" i="65"/>
  <c r="BC21" i="65"/>
  <c r="AQ21" i="65"/>
  <c r="AF21" i="65"/>
  <c r="C21" i="65"/>
  <c r="B21" i="65"/>
  <c r="BC20" i="65"/>
  <c r="AQ20" i="65"/>
  <c r="AF20" i="65"/>
  <c r="C20" i="65"/>
  <c r="B20" i="65"/>
  <c r="BC19" i="65"/>
  <c r="AQ19" i="65"/>
  <c r="AF19" i="65"/>
  <c r="C19" i="65"/>
  <c r="B19" i="65"/>
  <c r="BC18" i="65"/>
  <c r="AQ18" i="65"/>
  <c r="AF18" i="65"/>
  <c r="C18" i="65"/>
  <c r="B18" i="65"/>
  <c r="BC17" i="65"/>
  <c r="AQ17" i="65"/>
  <c r="AF17" i="65"/>
  <c r="C17" i="65"/>
  <c r="B17" i="65"/>
  <c r="BC16" i="65"/>
  <c r="AQ16" i="65"/>
  <c r="AF16" i="65"/>
  <c r="C16" i="65"/>
  <c r="B16" i="65"/>
  <c r="BC15" i="65"/>
  <c r="AQ15" i="65"/>
  <c r="AF15" i="65"/>
  <c r="C15" i="65"/>
  <c r="B15" i="65"/>
  <c r="BC14" i="65"/>
  <c r="AQ14" i="65"/>
  <c r="AF14" i="65"/>
  <c r="C14" i="65"/>
  <c r="B14" i="65"/>
  <c r="BC13" i="65"/>
  <c r="AQ13" i="65"/>
  <c r="AF13" i="65"/>
  <c r="C13" i="65"/>
  <c r="B13" i="65"/>
  <c r="BC12" i="65"/>
  <c r="AQ12" i="65"/>
  <c r="AF12" i="65"/>
  <c r="C12" i="65"/>
  <c r="B12" i="65"/>
  <c r="BC11" i="65"/>
  <c r="AQ11" i="65"/>
  <c r="AF11" i="65"/>
  <c r="C11" i="65"/>
  <c r="B11" i="65"/>
  <c r="BC10" i="65"/>
  <c r="AQ10" i="65"/>
  <c r="AF10" i="65"/>
  <c r="C10" i="65"/>
  <c r="B10" i="65"/>
  <c r="BC9" i="65"/>
  <c r="AQ9" i="65"/>
  <c r="AF9" i="65"/>
  <c r="C9" i="65"/>
  <c r="B9" i="65"/>
  <c r="BQ8" i="65"/>
  <c r="BL8" i="65"/>
  <c r="BJ8" i="65"/>
  <c r="BH8" i="65"/>
  <c r="BF8" i="65"/>
  <c r="BC8" i="65"/>
  <c r="BB8" i="65"/>
  <c r="AZ8" i="65"/>
  <c r="AX8" i="65"/>
  <c r="AV8" i="65"/>
  <c r="AT8" i="65"/>
  <c r="AQ8" i="65"/>
  <c r="AO8" i="65"/>
  <c r="AM8" i="65"/>
  <c r="AK8" i="65"/>
  <c r="AI8" i="65"/>
  <c r="AF8" i="65"/>
  <c r="AE8" i="65"/>
  <c r="AB8" i="65"/>
  <c r="Y8" i="65"/>
  <c r="V8" i="65"/>
  <c r="S8" i="65"/>
  <c r="P8" i="65"/>
  <c r="M8" i="65"/>
  <c r="J8" i="65"/>
  <c r="G8" i="65"/>
  <c r="C8" i="65"/>
  <c r="B8" i="65"/>
  <c r="BP23" i="64"/>
  <c r="BO23" i="64"/>
  <c r="BM23" i="64"/>
  <c r="BK23" i="64"/>
  <c r="BI23" i="64"/>
  <c r="BG23" i="64"/>
  <c r="BE23" i="64"/>
  <c r="BA23" i="64"/>
  <c r="AY23" i="64"/>
  <c r="AW23" i="64"/>
  <c r="AU23" i="64"/>
  <c r="AS23" i="64"/>
  <c r="AN23" i="64"/>
  <c r="AL23" i="64"/>
  <c r="AJ23" i="64"/>
  <c r="AH23" i="64"/>
  <c r="AD23" i="64"/>
  <c r="AC23" i="64"/>
  <c r="AA23" i="64"/>
  <c r="Z23" i="64"/>
  <c r="X23" i="64"/>
  <c r="W23" i="64"/>
  <c r="U23" i="64"/>
  <c r="T23" i="64"/>
  <c r="R23" i="64"/>
  <c r="Q23" i="64"/>
  <c r="O23" i="64"/>
  <c r="N23" i="64"/>
  <c r="L23" i="64"/>
  <c r="K23" i="64"/>
  <c r="I23" i="64"/>
  <c r="H23" i="64"/>
  <c r="F23" i="64"/>
  <c r="E23" i="64"/>
  <c r="BC22" i="64"/>
  <c r="AQ22" i="64"/>
  <c r="AF22" i="64"/>
  <c r="C22" i="64"/>
  <c r="B22" i="64"/>
  <c r="BC21" i="64"/>
  <c r="AQ21" i="64"/>
  <c r="AF21" i="64"/>
  <c r="C21" i="64"/>
  <c r="B21" i="64"/>
  <c r="BC20" i="64"/>
  <c r="AQ20" i="64"/>
  <c r="AF20" i="64"/>
  <c r="C20" i="64"/>
  <c r="B20" i="64"/>
  <c r="BC19" i="64"/>
  <c r="AQ19" i="64"/>
  <c r="AF19" i="64"/>
  <c r="C19" i="64"/>
  <c r="B19" i="64"/>
  <c r="BC18" i="64"/>
  <c r="AQ18" i="64"/>
  <c r="AF18" i="64"/>
  <c r="C18" i="64"/>
  <c r="B18" i="64"/>
  <c r="BC17" i="64"/>
  <c r="AQ17" i="64"/>
  <c r="AF17" i="64"/>
  <c r="C17" i="64"/>
  <c r="B17" i="64"/>
  <c r="BC16" i="64"/>
  <c r="AQ16" i="64"/>
  <c r="AF16" i="64"/>
  <c r="C16" i="64"/>
  <c r="B16" i="64"/>
  <c r="BC15" i="64"/>
  <c r="AQ15" i="64"/>
  <c r="AF15" i="64"/>
  <c r="C15" i="64"/>
  <c r="B15" i="64"/>
  <c r="BC14" i="64"/>
  <c r="AQ14" i="64"/>
  <c r="AF14" i="64"/>
  <c r="C14" i="64"/>
  <c r="B14" i="64"/>
  <c r="BC13" i="64"/>
  <c r="AQ13" i="64"/>
  <c r="AF13" i="64"/>
  <c r="C13" i="64"/>
  <c r="B13" i="64"/>
  <c r="BC12" i="64"/>
  <c r="AQ12" i="64"/>
  <c r="AF12" i="64"/>
  <c r="C12" i="64"/>
  <c r="B12" i="64"/>
  <c r="BC11" i="64"/>
  <c r="AQ11" i="64"/>
  <c r="AF11" i="64"/>
  <c r="C11" i="64"/>
  <c r="B11" i="64"/>
  <c r="BC10" i="64"/>
  <c r="AQ10" i="64"/>
  <c r="AF10" i="64"/>
  <c r="C10" i="64"/>
  <c r="B10" i="64"/>
  <c r="BC9" i="64"/>
  <c r="AQ9" i="64"/>
  <c r="AF9" i="64"/>
  <c r="C9" i="64"/>
  <c r="B9" i="64"/>
  <c r="BQ8" i="64"/>
  <c r="BL8" i="64"/>
  <c r="BJ8" i="64"/>
  <c r="BH8" i="64"/>
  <c r="BF8" i="64"/>
  <c r="BC8" i="64"/>
  <c r="BB8" i="64"/>
  <c r="AZ8" i="64"/>
  <c r="AX8" i="64"/>
  <c r="AV8" i="64"/>
  <c r="AT8" i="64"/>
  <c r="AQ8" i="64"/>
  <c r="AO8" i="64"/>
  <c r="AM8" i="64"/>
  <c r="AK8" i="64"/>
  <c r="AI8" i="64"/>
  <c r="AF8" i="64"/>
  <c r="AE8" i="64"/>
  <c r="AB8" i="64"/>
  <c r="Y8" i="64"/>
  <c r="V8" i="64"/>
  <c r="S8" i="64"/>
  <c r="P8" i="64"/>
  <c r="M8" i="64"/>
  <c r="J8" i="64"/>
  <c r="G8" i="64"/>
  <c r="C8" i="64"/>
  <c r="B8" i="64"/>
  <c r="BP23" i="63"/>
  <c r="BO23" i="63"/>
  <c r="BM23" i="63"/>
  <c r="BK23" i="63"/>
  <c r="BI23" i="63"/>
  <c r="BG23" i="63"/>
  <c r="BE23" i="63"/>
  <c r="BA23" i="63"/>
  <c r="AY23" i="63"/>
  <c r="AW23" i="63"/>
  <c r="AU23" i="63"/>
  <c r="AS23" i="63"/>
  <c r="AN23" i="63"/>
  <c r="AL23" i="63"/>
  <c r="AJ23" i="63"/>
  <c r="AH23" i="63"/>
  <c r="AD23" i="63"/>
  <c r="AC23" i="63"/>
  <c r="AA23" i="63"/>
  <c r="Z23" i="63"/>
  <c r="X23" i="63"/>
  <c r="W23" i="63"/>
  <c r="U23" i="63"/>
  <c r="T23" i="63"/>
  <c r="R23" i="63"/>
  <c r="Q23" i="63"/>
  <c r="O23" i="63"/>
  <c r="N23" i="63"/>
  <c r="L23" i="63"/>
  <c r="K23" i="63"/>
  <c r="I23" i="63"/>
  <c r="H23" i="63"/>
  <c r="F23" i="63"/>
  <c r="E23" i="63"/>
  <c r="BC22" i="63"/>
  <c r="AQ22" i="63"/>
  <c r="AF22" i="63"/>
  <c r="C22" i="63"/>
  <c r="B22" i="63"/>
  <c r="BC21" i="63"/>
  <c r="AQ21" i="63"/>
  <c r="AF21" i="63"/>
  <c r="C21" i="63"/>
  <c r="B21" i="63"/>
  <c r="BC20" i="63"/>
  <c r="AQ20" i="63"/>
  <c r="AF20" i="63"/>
  <c r="C20" i="63"/>
  <c r="B20" i="63"/>
  <c r="BC19" i="63"/>
  <c r="AQ19" i="63"/>
  <c r="AF19" i="63"/>
  <c r="C19" i="63"/>
  <c r="B19" i="63"/>
  <c r="BC18" i="63"/>
  <c r="AQ18" i="63"/>
  <c r="AF18" i="63"/>
  <c r="C18" i="63"/>
  <c r="B18" i="63"/>
  <c r="BC17" i="63"/>
  <c r="AQ17" i="63"/>
  <c r="AF17" i="63"/>
  <c r="C17" i="63"/>
  <c r="B17" i="63"/>
  <c r="BC16" i="63"/>
  <c r="AQ16" i="63"/>
  <c r="AF16" i="63"/>
  <c r="C16" i="63"/>
  <c r="B16" i="63"/>
  <c r="BC15" i="63"/>
  <c r="AQ15" i="63"/>
  <c r="AF15" i="63"/>
  <c r="C15" i="63"/>
  <c r="B15" i="63"/>
  <c r="BC14" i="63"/>
  <c r="AQ14" i="63"/>
  <c r="AF14" i="63"/>
  <c r="C14" i="63"/>
  <c r="B14" i="63"/>
  <c r="BC13" i="63"/>
  <c r="AQ13" i="63"/>
  <c r="AF13" i="63"/>
  <c r="C13" i="63"/>
  <c r="B13" i="63"/>
  <c r="BC12" i="63"/>
  <c r="AQ12" i="63"/>
  <c r="AF12" i="63"/>
  <c r="C12" i="63"/>
  <c r="B12" i="63"/>
  <c r="BC11" i="63"/>
  <c r="AQ11" i="63"/>
  <c r="AF11" i="63"/>
  <c r="C11" i="63"/>
  <c r="B11" i="63"/>
  <c r="BC10" i="63"/>
  <c r="AQ10" i="63"/>
  <c r="AF10" i="63"/>
  <c r="C10" i="63"/>
  <c r="B10" i="63"/>
  <c r="BC9" i="63"/>
  <c r="AQ9" i="63"/>
  <c r="AF9" i="63"/>
  <c r="C9" i="63"/>
  <c r="B9" i="63"/>
  <c r="BQ8" i="63"/>
  <c r="BL8" i="63"/>
  <c r="BJ8" i="63"/>
  <c r="BH8" i="63"/>
  <c r="BF8" i="63"/>
  <c r="BC8" i="63"/>
  <c r="BB8" i="63"/>
  <c r="AZ8" i="63"/>
  <c r="AX8" i="63"/>
  <c r="AV8" i="63"/>
  <c r="AT8" i="63"/>
  <c r="AQ8" i="63"/>
  <c r="AO8" i="63"/>
  <c r="AM8" i="63"/>
  <c r="AK8" i="63"/>
  <c r="AI8" i="63"/>
  <c r="AF8" i="63"/>
  <c r="AE8" i="63"/>
  <c r="AB8" i="63"/>
  <c r="Y8" i="63"/>
  <c r="V8" i="63"/>
  <c r="S8" i="63"/>
  <c r="P8" i="63"/>
  <c r="M8" i="63"/>
  <c r="J8" i="63"/>
  <c r="G8" i="63"/>
  <c r="C8" i="63"/>
  <c r="B8" i="63"/>
  <c r="BP23" i="62"/>
  <c r="BO23" i="62"/>
  <c r="BM23" i="62"/>
  <c r="BK23" i="62"/>
  <c r="BI23" i="62"/>
  <c r="BG23" i="62"/>
  <c r="BE23" i="62"/>
  <c r="BA23" i="62"/>
  <c r="AY23" i="62"/>
  <c r="AW23" i="62"/>
  <c r="AU23" i="62"/>
  <c r="AS23" i="62"/>
  <c r="AN23" i="62"/>
  <c r="AL23" i="62"/>
  <c r="AJ23" i="62"/>
  <c r="AH23" i="62"/>
  <c r="AD23" i="62"/>
  <c r="AC23" i="62"/>
  <c r="AA23" i="62"/>
  <c r="Z23" i="62"/>
  <c r="X23" i="62"/>
  <c r="W23" i="62"/>
  <c r="U23" i="62"/>
  <c r="T23" i="62"/>
  <c r="R23" i="62"/>
  <c r="Q23" i="62"/>
  <c r="O23" i="62"/>
  <c r="N23" i="62"/>
  <c r="L23" i="62"/>
  <c r="K23" i="62"/>
  <c r="I23" i="62"/>
  <c r="H23" i="62"/>
  <c r="F23" i="62"/>
  <c r="E23" i="62"/>
  <c r="BC22" i="62"/>
  <c r="AQ22" i="62"/>
  <c r="AF22" i="62"/>
  <c r="C22" i="62"/>
  <c r="B22" i="62"/>
  <c r="BC21" i="62"/>
  <c r="AQ21" i="62"/>
  <c r="AF21" i="62"/>
  <c r="C21" i="62"/>
  <c r="B21" i="62"/>
  <c r="BC20" i="62"/>
  <c r="AQ20" i="62"/>
  <c r="AF20" i="62"/>
  <c r="C20" i="62"/>
  <c r="B20" i="62"/>
  <c r="BC19" i="62"/>
  <c r="AQ19" i="62"/>
  <c r="AF19" i="62"/>
  <c r="C19" i="62"/>
  <c r="B19" i="62"/>
  <c r="BC18" i="62"/>
  <c r="AQ18" i="62"/>
  <c r="AF18" i="62"/>
  <c r="C18" i="62"/>
  <c r="B18" i="62"/>
  <c r="BC17" i="62"/>
  <c r="AQ17" i="62"/>
  <c r="AF17" i="62"/>
  <c r="C17" i="62"/>
  <c r="B17" i="62"/>
  <c r="BC16" i="62"/>
  <c r="AQ16" i="62"/>
  <c r="AF16" i="62"/>
  <c r="C16" i="62"/>
  <c r="B16" i="62"/>
  <c r="BC15" i="62"/>
  <c r="AQ15" i="62"/>
  <c r="AF15" i="62"/>
  <c r="C15" i="62"/>
  <c r="B15" i="62"/>
  <c r="BC14" i="62"/>
  <c r="AQ14" i="62"/>
  <c r="AF14" i="62"/>
  <c r="C14" i="62"/>
  <c r="B14" i="62"/>
  <c r="BC13" i="62"/>
  <c r="AQ13" i="62"/>
  <c r="AF13" i="62"/>
  <c r="C13" i="62"/>
  <c r="B13" i="62"/>
  <c r="BC12" i="62"/>
  <c r="AQ12" i="62"/>
  <c r="AF12" i="62"/>
  <c r="C12" i="62"/>
  <c r="B12" i="62"/>
  <c r="BC11" i="62"/>
  <c r="AQ11" i="62"/>
  <c r="AF11" i="62"/>
  <c r="C11" i="62"/>
  <c r="B11" i="62"/>
  <c r="BC10" i="62"/>
  <c r="AQ10" i="62"/>
  <c r="AF10" i="62"/>
  <c r="C10" i="62"/>
  <c r="B10" i="62"/>
  <c r="BC9" i="62"/>
  <c r="AQ9" i="62"/>
  <c r="AF9" i="62"/>
  <c r="C9" i="62"/>
  <c r="B9" i="62"/>
  <c r="BQ8" i="62"/>
  <c r="BL8" i="62"/>
  <c r="BJ8" i="62"/>
  <c r="BH8" i="62"/>
  <c r="BF8" i="62"/>
  <c r="BC8" i="62"/>
  <c r="BB8" i="62"/>
  <c r="AZ8" i="62"/>
  <c r="AX8" i="62"/>
  <c r="AV8" i="62"/>
  <c r="AT8" i="62"/>
  <c r="AQ8" i="62"/>
  <c r="AO8" i="62"/>
  <c r="AM8" i="62"/>
  <c r="AK8" i="62"/>
  <c r="AI8" i="62"/>
  <c r="AF8" i="62"/>
  <c r="AE8" i="62"/>
  <c r="AB8" i="62"/>
  <c r="Y8" i="62"/>
  <c r="V8" i="62"/>
  <c r="S8" i="62"/>
  <c r="P8" i="62"/>
  <c r="M8" i="62"/>
  <c r="J8" i="62"/>
  <c r="G8" i="62"/>
  <c r="C8" i="62"/>
  <c r="B8" i="62"/>
  <c r="BP23" i="61"/>
  <c r="BO23" i="61"/>
  <c r="BM23" i="61"/>
  <c r="BK23" i="61"/>
  <c r="BI23" i="61"/>
  <c r="BG23" i="61"/>
  <c r="BE23" i="61"/>
  <c r="BA23" i="61"/>
  <c r="AY23" i="61"/>
  <c r="AW23" i="61"/>
  <c r="AU23" i="61"/>
  <c r="AS23" i="61"/>
  <c r="AN23" i="61"/>
  <c r="AL23" i="61"/>
  <c r="AJ23" i="61"/>
  <c r="AH23" i="61"/>
  <c r="AD23" i="61"/>
  <c r="AC23" i="61"/>
  <c r="AA23" i="61"/>
  <c r="Z23" i="61"/>
  <c r="X23" i="61"/>
  <c r="W23" i="61"/>
  <c r="U23" i="61"/>
  <c r="T23" i="61"/>
  <c r="R23" i="61"/>
  <c r="Q23" i="61"/>
  <c r="O23" i="61"/>
  <c r="N23" i="61"/>
  <c r="L23" i="61"/>
  <c r="K23" i="61"/>
  <c r="I23" i="61"/>
  <c r="H23" i="61"/>
  <c r="F23" i="61"/>
  <c r="E23" i="61"/>
  <c r="BC22" i="61"/>
  <c r="AQ22" i="61"/>
  <c r="AF22" i="61"/>
  <c r="C22" i="61"/>
  <c r="B22" i="61"/>
  <c r="BC21" i="61"/>
  <c r="AQ21" i="61"/>
  <c r="AF21" i="61"/>
  <c r="C21" i="61"/>
  <c r="B21" i="61"/>
  <c r="BC20" i="61"/>
  <c r="AQ20" i="61"/>
  <c r="AF20" i="61"/>
  <c r="C20" i="61"/>
  <c r="B20" i="61"/>
  <c r="BC19" i="61"/>
  <c r="AQ19" i="61"/>
  <c r="AF19" i="61"/>
  <c r="C19" i="61"/>
  <c r="B19" i="61"/>
  <c r="BC18" i="61"/>
  <c r="AQ18" i="61"/>
  <c r="AF18" i="61"/>
  <c r="C18" i="61"/>
  <c r="B18" i="61"/>
  <c r="BC17" i="61"/>
  <c r="AQ17" i="61"/>
  <c r="AF17" i="61"/>
  <c r="C17" i="61"/>
  <c r="B17" i="61"/>
  <c r="BC16" i="61"/>
  <c r="AQ16" i="61"/>
  <c r="AF16" i="61"/>
  <c r="C16" i="61"/>
  <c r="B16" i="61"/>
  <c r="BC15" i="61"/>
  <c r="AQ15" i="61"/>
  <c r="AF15" i="61"/>
  <c r="C15" i="61"/>
  <c r="B15" i="61"/>
  <c r="BC14" i="61"/>
  <c r="AQ14" i="61"/>
  <c r="AF14" i="61"/>
  <c r="C14" i="61"/>
  <c r="B14" i="61"/>
  <c r="BC13" i="61"/>
  <c r="AQ13" i="61"/>
  <c r="AF13" i="61"/>
  <c r="C13" i="61"/>
  <c r="B13" i="61"/>
  <c r="BC12" i="61"/>
  <c r="AQ12" i="61"/>
  <c r="AF12" i="61"/>
  <c r="C12" i="61"/>
  <c r="B12" i="61"/>
  <c r="BC11" i="61"/>
  <c r="AQ11" i="61"/>
  <c r="AF11" i="61"/>
  <c r="C11" i="61"/>
  <c r="B11" i="61"/>
  <c r="BC10" i="61"/>
  <c r="AQ10" i="61"/>
  <c r="AF10" i="61"/>
  <c r="C10" i="61"/>
  <c r="B10" i="61"/>
  <c r="BC9" i="61"/>
  <c r="AQ9" i="61"/>
  <c r="AF9" i="61"/>
  <c r="C9" i="61"/>
  <c r="B9" i="61"/>
  <c r="BQ8" i="61"/>
  <c r="BL8" i="61"/>
  <c r="BJ8" i="61"/>
  <c r="BH8" i="61"/>
  <c r="BF8" i="61"/>
  <c r="BC8" i="61"/>
  <c r="BB8" i="61"/>
  <c r="AZ8" i="61"/>
  <c r="AX8" i="61"/>
  <c r="AV8" i="61"/>
  <c r="AT8" i="61"/>
  <c r="AQ8" i="61"/>
  <c r="AO8" i="61"/>
  <c r="AM8" i="61"/>
  <c r="AK8" i="61"/>
  <c r="AI8" i="61"/>
  <c r="AF8" i="61"/>
  <c r="AE8" i="61"/>
  <c r="AB8" i="61"/>
  <c r="Y8" i="61"/>
  <c r="V8" i="61"/>
  <c r="S8" i="61"/>
  <c r="P8" i="61"/>
  <c r="M8" i="61"/>
  <c r="J8" i="61"/>
  <c r="G8" i="61"/>
  <c r="C8" i="61"/>
  <c r="B8" i="61"/>
  <c r="BP23" i="58"/>
  <c r="BO23" i="58"/>
  <c r="BM23" i="58"/>
  <c r="BK23" i="58"/>
  <c r="BI23" i="58"/>
  <c r="BG23" i="58"/>
  <c r="BE23" i="58"/>
  <c r="BA23" i="58"/>
  <c r="AY23" i="58"/>
  <c r="AW23" i="58"/>
  <c r="AU23" i="58"/>
  <c r="AS23" i="58"/>
  <c r="AN23" i="58"/>
  <c r="AL23" i="58"/>
  <c r="AJ23" i="58"/>
  <c r="AH23" i="58"/>
  <c r="AD23" i="58"/>
  <c r="AC23" i="58"/>
  <c r="AA23" i="58"/>
  <c r="Z23" i="58"/>
  <c r="X23" i="58"/>
  <c r="W23" i="58"/>
  <c r="U23" i="58"/>
  <c r="T23" i="58"/>
  <c r="R23" i="58"/>
  <c r="Q23" i="58"/>
  <c r="O23" i="58"/>
  <c r="N23" i="58"/>
  <c r="L23" i="58"/>
  <c r="K23" i="58"/>
  <c r="I23" i="58"/>
  <c r="H23" i="58"/>
  <c r="F23" i="58"/>
  <c r="E23" i="58"/>
  <c r="BC22" i="58"/>
  <c r="AQ22" i="58"/>
  <c r="AF22" i="58"/>
  <c r="C22" i="58"/>
  <c r="B22" i="58"/>
  <c r="BC21" i="58"/>
  <c r="AQ21" i="58"/>
  <c r="AF21" i="58"/>
  <c r="C21" i="58"/>
  <c r="B21" i="58"/>
  <c r="BC20" i="58"/>
  <c r="AQ20" i="58"/>
  <c r="AF20" i="58"/>
  <c r="C20" i="58"/>
  <c r="B20" i="58"/>
  <c r="BC19" i="58"/>
  <c r="AQ19" i="58"/>
  <c r="AF19" i="58"/>
  <c r="C19" i="58"/>
  <c r="B19" i="58"/>
  <c r="BC18" i="58"/>
  <c r="AQ18" i="58"/>
  <c r="AF18" i="58"/>
  <c r="C18" i="58"/>
  <c r="B18" i="58"/>
  <c r="BC17" i="58"/>
  <c r="AQ17" i="58"/>
  <c r="AF17" i="58"/>
  <c r="C17" i="58"/>
  <c r="B17" i="58"/>
  <c r="BC16" i="58"/>
  <c r="AQ16" i="58"/>
  <c r="AF16" i="58"/>
  <c r="C16" i="58"/>
  <c r="B16" i="58"/>
  <c r="BC15" i="58"/>
  <c r="AQ15" i="58"/>
  <c r="AF15" i="58"/>
  <c r="C15" i="58"/>
  <c r="B15" i="58"/>
  <c r="BC14" i="58"/>
  <c r="AQ14" i="58"/>
  <c r="AF14" i="58"/>
  <c r="C14" i="58"/>
  <c r="B14" i="58"/>
  <c r="BC13" i="58"/>
  <c r="AQ13" i="58"/>
  <c r="AF13" i="58"/>
  <c r="C13" i="58"/>
  <c r="B13" i="58"/>
  <c r="BC12" i="58"/>
  <c r="AQ12" i="58"/>
  <c r="AF12" i="58"/>
  <c r="C12" i="58"/>
  <c r="B12" i="58"/>
  <c r="BC11" i="58"/>
  <c r="AQ11" i="58"/>
  <c r="AF11" i="58"/>
  <c r="C11" i="58"/>
  <c r="B11" i="58"/>
  <c r="BC10" i="58"/>
  <c r="AQ10" i="58"/>
  <c r="AF10" i="58"/>
  <c r="C10" i="58"/>
  <c r="B10" i="58"/>
  <c r="BC9" i="58"/>
  <c r="AQ9" i="58"/>
  <c r="AF9" i="58"/>
  <c r="C9" i="58"/>
  <c r="B9" i="58"/>
  <c r="BQ8" i="58"/>
  <c r="BL8" i="58"/>
  <c r="BJ8" i="58"/>
  <c r="BH8" i="58"/>
  <c r="BF8" i="58"/>
  <c r="BC8" i="58"/>
  <c r="BB8" i="58"/>
  <c r="AZ8" i="58"/>
  <c r="AX8" i="58"/>
  <c r="AV8" i="58"/>
  <c r="AT8" i="58"/>
  <c r="AQ8" i="58"/>
  <c r="AO8" i="58"/>
  <c r="AM8" i="58"/>
  <c r="AK8" i="58"/>
  <c r="AI8" i="58"/>
  <c r="AF8" i="58"/>
  <c r="AE8" i="58"/>
  <c r="AB8" i="58"/>
  <c r="Y8" i="58"/>
  <c r="V8" i="58"/>
  <c r="S8" i="58"/>
  <c r="P8" i="58"/>
  <c r="M8" i="58"/>
  <c r="J8" i="58"/>
  <c r="G8" i="58"/>
  <c r="C8" i="58"/>
  <c r="B8" i="58"/>
  <c r="BP23" i="57"/>
  <c r="BO23" i="57"/>
  <c r="BM23" i="57"/>
  <c r="BK23" i="57"/>
  <c r="BI23" i="57"/>
  <c r="BG23" i="57"/>
  <c r="BE23" i="57"/>
  <c r="BA23" i="57"/>
  <c r="AY23" i="57"/>
  <c r="AW23" i="57"/>
  <c r="AU23" i="57"/>
  <c r="AS23" i="57"/>
  <c r="AN23" i="57"/>
  <c r="AL23" i="57"/>
  <c r="AJ23" i="57"/>
  <c r="AH23" i="57"/>
  <c r="AD23" i="57"/>
  <c r="AC23" i="57"/>
  <c r="AA23" i="57"/>
  <c r="Z23" i="57"/>
  <c r="X23" i="57"/>
  <c r="W23" i="57"/>
  <c r="U23" i="57"/>
  <c r="T23" i="57"/>
  <c r="R23" i="57"/>
  <c r="Q23" i="57"/>
  <c r="O23" i="57"/>
  <c r="N23" i="57"/>
  <c r="L23" i="57"/>
  <c r="K23" i="57"/>
  <c r="I23" i="57"/>
  <c r="H23" i="57"/>
  <c r="F23" i="57"/>
  <c r="E23" i="57"/>
  <c r="BC22" i="57"/>
  <c r="AQ22" i="57"/>
  <c r="AF22" i="57"/>
  <c r="C22" i="57"/>
  <c r="B22" i="57"/>
  <c r="BC21" i="57"/>
  <c r="AQ21" i="57"/>
  <c r="AF21" i="57"/>
  <c r="C21" i="57"/>
  <c r="B21" i="57"/>
  <c r="BC20" i="57"/>
  <c r="AQ20" i="57"/>
  <c r="AF20" i="57"/>
  <c r="C20" i="57"/>
  <c r="B20" i="57"/>
  <c r="BC19" i="57"/>
  <c r="AQ19" i="57"/>
  <c r="AF19" i="57"/>
  <c r="C19" i="57"/>
  <c r="B19" i="57"/>
  <c r="BC18" i="57"/>
  <c r="AQ18" i="57"/>
  <c r="AF18" i="57"/>
  <c r="C18" i="57"/>
  <c r="B18" i="57"/>
  <c r="BC17" i="57"/>
  <c r="AQ17" i="57"/>
  <c r="AF17" i="57"/>
  <c r="C17" i="57"/>
  <c r="B17" i="57"/>
  <c r="BC16" i="57"/>
  <c r="AQ16" i="57"/>
  <c r="AF16" i="57"/>
  <c r="C16" i="57"/>
  <c r="B16" i="57"/>
  <c r="BC15" i="57"/>
  <c r="AQ15" i="57"/>
  <c r="AF15" i="57"/>
  <c r="C15" i="57"/>
  <c r="B15" i="57"/>
  <c r="BC14" i="57"/>
  <c r="AQ14" i="57"/>
  <c r="AF14" i="57"/>
  <c r="C14" i="57"/>
  <c r="B14" i="57"/>
  <c r="BC13" i="57"/>
  <c r="AQ13" i="57"/>
  <c r="AF13" i="57"/>
  <c r="C13" i="57"/>
  <c r="B13" i="57"/>
  <c r="BC12" i="57"/>
  <c r="AQ12" i="57"/>
  <c r="AF12" i="57"/>
  <c r="C12" i="57"/>
  <c r="B12" i="57"/>
  <c r="BC11" i="57"/>
  <c r="AQ11" i="57"/>
  <c r="AF11" i="57"/>
  <c r="C11" i="57"/>
  <c r="B11" i="57"/>
  <c r="BC10" i="57"/>
  <c r="AQ10" i="57"/>
  <c r="AF10" i="57"/>
  <c r="C10" i="57"/>
  <c r="B10" i="57"/>
  <c r="BC9" i="57"/>
  <c r="AQ9" i="57"/>
  <c r="AF9" i="57"/>
  <c r="C9" i="57"/>
  <c r="B9" i="57"/>
  <c r="BQ8" i="57"/>
  <c r="BL8" i="57"/>
  <c r="BJ8" i="57"/>
  <c r="BH8" i="57"/>
  <c r="BF8" i="57"/>
  <c r="BC8" i="57"/>
  <c r="BB8" i="57"/>
  <c r="AZ8" i="57"/>
  <c r="AX8" i="57"/>
  <c r="AV8" i="57"/>
  <c r="AT8" i="57"/>
  <c r="AQ8" i="57"/>
  <c r="AO8" i="57"/>
  <c r="AM8" i="57"/>
  <c r="AK8" i="57"/>
  <c r="AI8" i="57"/>
  <c r="AF8" i="57"/>
  <c r="AE8" i="57"/>
  <c r="AB8" i="57"/>
  <c r="Y8" i="57"/>
  <c r="V8" i="57"/>
  <c r="S8" i="57"/>
  <c r="P8" i="57"/>
  <c r="M8" i="57"/>
  <c r="J8" i="57"/>
  <c r="G8" i="57"/>
  <c r="C8" i="57"/>
  <c r="B8" i="57"/>
  <c r="BP23" i="56"/>
  <c r="BO23" i="56"/>
  <c r="BM23" i="56"/>
  <c r="BK23" i="56"/>
  <c r="BI23" i="56"/>
  <c r="BG23" i="56"/>
  <c r="BE23" i="56"/>
  <c r="BA23" i="56"/>
  <c r="AY23" i="56"/>
  <c r="AW23" i="56"/>
  <c r="AU23" i="56"/>
  <c r="AS23" i="56"/>
  <c r="AN23" i="56"/>
  <c r="AL23" i="56"/>
  <c r="AJ23" i="56"/>
  <c r="AH23" i="56"/>
  <c r="AD23" i="56"/>
  <c r="AC23" i="56"/>
  <c r="AA23" i="56"/>
  <c r="Z23" i="56"/>
  <c r="X23" i="56"/>
  <c r="W23" i="56"/>
  <c r="U23" i="56"/>
  <c r="T23" i="56"/>
  <c r="R23" i="56"/>
  <c r="Q23" i="56"/>
  <c r="O23" i="56"/>
  <c r="N23" i="56"/>
  <c r="L23" i="56"/>
  <c r="K23" i="56"/>
  <c r="I23" i="56"/>
  <c r="H23" i="56"/>
  <c r="F23" i="56"/>
  <c r="E23" i="56"/>
  <c r="BC22" i="56"/>
  <c r="AQ22" i="56"/>
  <c r="AF22" i="56"/>
  <c r="C22" i="56"/>
  <c r="B22" i="56"/>
  <c r="BC21" i="56"/>
  <c r="AQ21" i="56"/>
  <c r="AF21" i="56"/>
  <c r="C21" i="56"/>
  <c r="B21" i="56"/>
  <c r="BC20" i="56"/>
  <c r="AQ20" i="56"/>
  <c r="AF20" i="56"/>
  <c r="C20" i="56"/>
  <c r="B20" i="56"/>
  <c r="BC19" i="56"/>
  <c r="AQ19" i="56"/>
  <c r="AF19" i="56"/>
  <c r="C19" i="56"/>
  <c r="B19" i="56"/>
  <c r="BC18" i="56"/>
  <c r="AQ18" i="56"/>
  <c r="AF18" i="56"/>
  <c r="C18" i="56"/>
  <c r="B18" i="56"/>
  <c r="BC17" i="56"/>
  <c r="AQ17" i="56"/>
  <c r="AF17" i="56"/>
  <c r="C17" i="56"/>
  <c r="B17" i="56"/>
  <c r="BC16" i="56"/>
  <c r="AQ16" i="56"/>
  <c r="AF16" i="56"/>
  <c r="C16" i="56"/>
  <c r="B16" i="56"/>
  <c r="BC15" i="56"/>
  <c r="AQ15" i="56"/>
  <c r="AF15" i="56"/>
  <c r="C15" i="56"/>
  <c r="B15" i="56"/>
  <c r="BC14" i="56"/>
  <c r="AQ14" i="56"/>
  <c r="AF14" i="56"/>
  <c r="C14" i="56"/>
  <c r="B14" i="56"/>
  <c r="BC13" i="56"/>
  <c r="AQ13" i="56"/>
  <c r="AF13" i="56"/>
  <c r="C13" i="56"/>
  <c r="B13" i="56"/>
  <c r="BC12" i="56"/>
  <c r="AQ12" i="56"/>
  <c r="AF12" i="56"/>
  <c r="C12" i="56"/>
  <c r="B12" i="56"/>
  <c r="BC11" i="56"/>
  <c r="AQ11" i="56"/>
  <c r="AF11" i="56"/>
  <c r="C11" i="56"/>
  <c r="B11" i="56"/>
  <c r="BC10" i="56"/>
  <c r="AQ10" i="56"/>
  <c r="AF10" i="56"/>
  <c r="C10" i="56"/>
  <c r="B10" i="56"/>
  <c r="BC9" i="56"/>
  <c r="AQ9" i="56"/>
  <c r="AF9" i="56"/>
  <c r="C9" i="56"/>
  <c r="B9" i="56"/>
  <c r="BQ8" i="56"/>
  <c r="BL8" i="56"/>
  <c r="BJ8" i="56"/>
  <c r="BH8" i="56"/>
  <c r="BF8" i="56"/>
  <c r="BC8" i="56"/>
  <c r="BB8" i="56"/>
  <c r="AZ8" i="56"/>
  <c r="AX8" i="56"/>
  <c r="AV8" i="56"/>
  <c r="AT8" i="56"/>
  <c r="AQ8" i="56"/>
  <c r="AO8" i="56"/>
  <c r="AM8" i="56"/>
  <c r="AK8" i="56"/>
  <c r="AI8" i="56"/>
  <c r="AF8" i="56"/>
  <c r="AE8" i="56"/>
  <c r="AB8" i="56"/>
  <c r="Y8" i="56"/>
  <c r="V8" i="56"/>
  <c r="S8" i="56"/>
  <c r="P8" i="56"/>
  <c r="M8" i="56"/>
  <c r="J8" i="56"/>
  <c r="G8" i="56"/>
  <c r="C8" i="56"/>
  <c r="B8" i="56"/>
  <c r="BP23" i="55"/>
  <c r="BO23" i="55"/>
  <c r="BM23" i="55"/>
  <c r="BK23" i="55"/>
  <c r="BI23" i="55"/>
  <c r="BG23" i="55"/>
  <c r="BE23" i="55"/>
  <c r="BA23" i="55"/>
  <c r="AY23" i="55"/>
  <c r="AW23" i="55"/>
  <c r="AU23" i="55"/>
  <c r="AS23" i="55"/>
  <c r="AN23" i="55"/>
  <c r="AL23" i="55"/>
  <c r="AJ23" i="55"/>
  <c r="AH23" i="55"/>
  <c r="AD23" i="55"/>
  <c r="AC23" i="55"/>
  <c r="AA23" i="55"/>
  <c r="Z23" i="55"/>
  <c r="X23" i="55"/>
  <c r="W23" i="55"/>
  <c r="U23" i="55"/>
  <c r="T23" i="55"/>
  <c r="R23" i="55"/>
  <c r="Q23" i="55"/>
  <c r="O23" i="55"/>
  <c r="N23" i="55"/>
  <c r="L23" i="55"/>
  <c r="K23" i="55"/>
  <c r="I23" i="55"/>
  <c r="H23" i="55"/>
  <c r="F23" i="55"/>
  <c r="E23" i="55"/>
  <c r="BC22" i="55"/>
  <c r="AQ22" i="55"/>
  <c r="AF22" i="55"/>
  <c r="C22" i="55"/>
  <c r="B22" i="55"/>
  <c r="BC21" i="55"/>
  <c r="AQ21" i="55"/>
  <c r="AF21" i="55"/>
  <c r="C21" i="55"/>
  <c r="B21" i="55"/>
  <c r="BC20" i="55"/>
  <c r="AQ20" i="55"/>
  <c r="AF20" i="55"/>
  <c r="C20" i="55"/>
  <c r="B20" i="55"/>
  <c r="BC19" i="55"/>
  <c r="AQ19" i="55"/>
  <c r="AF19" i="55"/>
  <c r="C19" i="55"/>
  <c r="B19" i="55"/>
  <c r="BC18" i="55"/>
  <c r="AQ18" i="55"/>
  <c r="AF18" i="55"/>
  <c r="C18" i="55"/>
  <c r="B18" i="55"/>
  <c r="BC17" i="55"/>
  <c r="AQ17" i="55"/>
  <c r="AF17" i="55"/>
  <c r="C17" i="55"/>
  <c r="B17" i="55"/>
  <c r="BC16" i="55"/>
  <c r="AQ16" i="55"/>
  <c r="AF16" i="55"/>
  <c r="C16" i="55"/>
  <c r="B16" i="55"/>
  <c r="BC15" i="55"/>
  <c r="AQ15" i="55"/>
  <c r="AF15" i="55"/>
  <c r="C15" i="55"/>
  <c r="B15" i="55"/>
  <c r="BC14" i="55"/>
  <c r="AQ14" i="55"/>
  <c r="AF14" i="55"/>
  <c r="C14" i="55"/>
  <c r="B14" i="55"/>
  <c r="BC13" i="55"/>
  <c r="AQ13" i="55"/>
  <c r="AF13" i="55"/>
  <c r="C13" i="55"/>
  <c r="B13" i="55"/>
  <c r="BC12" i="55"/>
  <c r="AQ12" i="55"/>
  <c r="AF12" i="55"/>
  <c r="C12" i="55"/>
  <c r="B12" i="55"/>
  <c r="BC11" i="55"/>
  <c r="AQ11" i="55"/>
  <c r="AF11" i="55"/>
  <c r="C11" i="55"/>
  <c r="B11" i="55"/>
  <c r="BC10" i="55"/>
  <c r="AQ10" i="55"/>
  <c r="AF10" i="55"/>
  <c r="C10" i="55"/>
  <c r="B10" i="55"/>
  <c r="BC9" i="55"/>
  <c r="AQ9" i="55"/>
  <c r="AF9" i="55"/>
  <c r="C9" i="55"/>
  <c r="B9" i="55"/>
  <c r="BQ8" i="55"/>
  <c r="BL8" i="55"/>
  <c r="BJ8" i="55"/>
  <c r="BH8" i="55"/>
  <c r="BF8" i="55"/>
  <c r="BC8" i="55"/>
  <c r="BB8" i="55"/>
  <c r="AZ8" i="55"/>
  <c r="AX8" i="55"/>
  <c r="AV8" i="55"/>
  <c r="AT8" i="55"/>
  <c r="AQ8" i="55"/>
  <c r="AO8" i="55"/>
  <c r="AM8" i="55"/>
  <c r="AK8" i="55"/>
  <c r="AI8" i="55"/>
  <c r="AF8" i="55"/>
  <c r="AE8" i="55"/>
  <c r="AB8" i="55"/>
  <c r="Y8" i="55"/>
  <c r="V8" i="55"/>
  <c r="S8" i="55"/>
  <c r="P8" i="55"/>
  <c r="M8" i="55"/>
  <c r="J8" i="55"/>
  <c r="G8" i="55"/>
  <c r="C8" i="55"/>
  <c r="B8" i="55"/>
  <c r="BP23" i="54"/>
  <c r="BO23" i="54"/>
  <c r="BM23" i="54"/>
  <c r="BK23" i="54"/>
  <c r="BI23" i="54"/>
  <c r="BG23" i="54"/>
  <c r="BE23" i="54"/>
  <c r="BA23" i="54"/>
  <c r="AY23" i="54"/>
  <c r="AW23" i="54"/>
  <c r="AU23" i="54"/>
  <c r="AS23" i="54"/>
  <c r="AN23" i="54"/>
  <c r="AL23" i="54"/>
  <c r="AJ23" i="54"/>
  <c r="AH23" i="54"/>
  <c r="AD23" i="54"/>
  <c r="AC23" i="54"/>
  <c r="AA23" i="54"/>
  <c r="Z23" i="54"/>
  <c r="X23" i="54"/>
  <c r="W23" i="54"/>
  <c r="U23" i="54"/>
  <c r="T23" i="54"/>
  <c r="R23" i="54"/>
  <c r="Q23" i="54"/>
  <c r="O23" i="54"/>
  <c r="N23" i="54"/>
  <c r="L23" i="54"/>
  <c r="K23" i="54"/>
  <c r="I23" i="54"/>
  <c r="H23" i="54"/>
  <c r="F23" i="54"/>
  <c r="E23" i="54"/>
  <c r="BC22" i="54"/>
  <c r="AQ22" i="54"/>
  <c r="AF22" i="54"/>
  <c r="C22" i="54"/>
  <c r="B22" i="54"/>
  <c r="BC21" i="54"/>
  <c r="AQ21" i="54"/>
  <c r="AF21" i="54"/>
  <c r="C21" i="54"/>
  <c r="B21" i="54"/>
  <c r="BC20" i="54"/>
  <c r="AQ20" i="54"/>
  <c r="AF20" i="54"/>
  <c r="C20" i="54"/>
  <c r="B20" i="54"/>
  <c r="BC19" i="54"/>
  <c r="AQ19" i="54"/>
  <c r="AF19" i="54"/>
  <c r="C19" i="54"/>
  <c r="B19" i="54"/>
  <c r="BC18" i="54"/>
  <c r="AQ18" i="54"/>
  <c r="AF18" i="54"/>
  <c r="C18" i="54"/>
  <c r="B18" i="54"/>
  <c r="BC17" i="54"/>
  <c r="AQ17" i="54"/>
  <c r="AF17" i="54"/>
  <c r="C17" i="54"/>
  <c r="B17" i="54"/>
  <c r="BC16" i="54"/>
  <c r="AQ16" i="54"/>
  <c r="AF16" i="54"/>
  <c r="C16" i="54"/>
  <c r="B16" i="54"/>
  <c r="BC15" i="54"/>
  <c r="AQ15" i="54"/>
  <c r="AF15" i="54"/>
  <c r="C15" i="54"/>
  <c r="B15" i="54"/>
  <c r="BC14" i="54"/>
  <c r="AQ14" i="54"/>
  <c r="AF14" i="54"/>
  <c r="C14" i="54"/>
  <c r="B14" i="54"/>
  <c r="BC13" i="54"/>
  <c r="AQ13" i="54"/>
  <c r="AF13" i="54"/>
  <c r="C13" i="54"/>
  <c r="B13" i="54"/>
  <c r="BC12" i="54"/>
  <c r="AQ12" i="54"/>
  <c r="AF12" i="54"/>
  <c r="C12" i="54"/>
  <c r="B12" i="54"/>
  <c r="BC11" i="54"/>
  <c r="AQ11" i="54"/>
  <c r="AF11" i="54"/>
  <c r="C11" i="54"/>
  <c r="B11" i="54"/>
  <c r="BC10" i="54"/>
  <c r="AQ10" i="54"/>
  <c r="AF10" i="54"/>
  <c r="C10" i="54"/>
  <c r="B10" i="54"/>
  <c r="BC9" i="54"/>
  <c r="AQ9" i="54"/>
  <c r="AF9" i="54"/>
  <c r="C9" i="54"/>
  <c r="B9" i="54"/>
  <c r="BQ8" i="54"/>
  <c r="BL8" i="54"/>
  <c r="BJ8" i="54"/>
  <c r="BH8" i="54"/>
  <c r="BF8" i="54"/>
  <c r="BC8" i="54"/>
  <c r="BB8" i="54"/>
  <c r="AZ8" i="54"/>
  <c r="AX8" i="54"/>
  <c r="AV8" i="54"/>
  <c r="AT8" i="54"/>
  <c r="AQ8" i="54"/>
  <c r="AO8" i="54"/>
  <c r="AM8" i="54"/>
  <c r="AK8" i="54"/>
  <c r="AI8" i="54"/>
  <c r="AF8" i="54"/>
  <c r="AE8" i="54"/>
  <c r="AB8" i="54"/>
  <c r="Y8" i="54"/>
  <c r="V8" i="54"/>
  <c r="S8" i="54"/>
  <c r="P8" i="54"/>
  <c r="M8" i="54"/>
  <c r="J8" i="54"/>
  <c r="G8" i="54"/>
  <c r="C8" i="54"/>
  <c r="B8" i="54"/>
  <c r="BP23" i="53"/>
  <c r="BO23" i="53"/>
  <c r="BM23" i="53"/>
  <c r="BK23" i="53"/>
  <c r="BI23" i="53"/>
  <c r="BG23" i="53"/>
  <c r="BE23" i="53"/>
  <c r="BA23" i="53"/>
  <c r="AY23" i="53"/>
  <c r="AW23" i="53"/>
  <c r="AU23" i="53"/>
  <c r="AS23" i="53"/>
  <c r="AN23" i="53"/>
  <c r="AL23" i="53"/>
  <c r="AJ23" i="53"/>
  <c r="AH23" i="53"/>
  <c r="AD23" i="53"/>
  <c r="AC23" i="53"/>
  <c r="AA23" i="53"/>
  <c r="Z23" i="53"/>
  <c r="X23" i="53"/>
  <c r="W23" i="53"/>
  <c r="U23" i="53"/>
  <c r="T23" i="53"/>
  <c r="R23" i="53"/>
  <c r="Q23" i="53"/>
  <c r="O23" i="53"/>
  <c r="N23" i="53"/>
  <c r="L23" i="53"/>
  <c r="K23" i="53"/>
  <c r="I23" i="53"/>
  <c r="H23" i="53"/>
  <c r="F23" i="53"/>
  <c r="E23" i="53"/>
  <c r="BC22" i="53"/>
  <c r="AQ22" i="53"/>
  <c r="AF22" i="53"/>
  <c r="C22" i="53"/>
  <c r="B22" i="53"/>
  <c r="BC21" i="53"/>
  <c r="AQ21" i="53"/>
  <c r="AF21" i="53"/>
  <c r="C21" i="53"/>
  <c r="B21" i="53"/>
  <c r="BC20" i="53"/>
  <c r="AQ20" i="53"/>
  <c r="AF20" i="53"/>
  <c r="C20" i="53"/>
  <c r="B20" i="53"/>
  <c r="BC19" i="53"/>
  <c r="AQ19" i="53"/>
  <c r="AF19" i="53"/>
  <c r="C19" i="53"/>
  <c r="B19" i="53"/>
  <c r="BC18" i="53"/>
  <c r="AQ18" i="53"/>
  <c r="AF18" i="53"/>
  <c r="C18" i="53"/>
  <c r="B18" i="53"/>
  <c r="BC17" i="53"/>
  <c r="AQ17" i="53"/>
  <c r="AF17" i="53"/>
  <c r="C17" i="53"/>
  <c r="B17" i="53"/>
  <c r="BC16" i="53"/>
  <c r="AQ16" i="53"/>
  <c r="AF16" i="53"/>
  <c r="C16" i="53"/>
  <c r="B16" i="53"/>
  <c r="BC15" i="53"/>
  <c r="AQ15" i="53"/>
  <c r="AF15" i="53"/>
  <c r="C15" i="53"/>
  <c r="B15" i="53"/>
  <c r="BC14" i="53"/>
  <c r="AQ14" i="53"/>
  <c r="AF14" i="53"/>
  <c r="C14" i="53"/>
  <c r="B14" i="53"/>
  <c r="BC13" i="53"/>
  <c r="AQ13" i="53"/>
  <c r="AF13" i="53"/>
  <c r="C13" i="53"/>
  <c r="B13" i="53"/>
  <c r="BC12" i="53"/>
  <c r="AQ12" i="53"/>
  <c r="AF12" i="53"/>
  <c r="C12" i="53"/>
  <c r="B12" i="53"/>
  <c r="BC11" i="53"/>
  <c r="AQ11" i="53"/>
  <c r="AF11" i="53"/>
  <c r="C11" i="53"/>
  <c r="B11" i="53"/>
  <c r="BC10" i="53"/>
  <c r="AQ10" i="53"/>
  <c r="AF10" i="53"/>
  <c r="C10" i="53"/>
  <c r="B10" i="53"/>
  <c r="BC9" i="53"/>
  <c r="AQ9" i="53"/>
  <c r="AF9" i="53"/>
  <c r="C9" i="53"/>
  <c r="B9" i="53"/>
  <c r="BQ8" i="53"/>
  <c r="BL8" i="53"/>
  <c r="BJ8" i="53"/>
  <c r="BH8" i="53"/>
  <c r="BF8" i="53"/>
  <c r="BC8" i="53"/>
  <c r="BB8" i="53"/>
  <c r="AZ8" i="53"/>
  <c r="AX8" i="53"/>
  <c r="AV8" i="53"/>
  <c r="AT8" i="53"/>
  <c r="AQ8" i="53"/>
  <c r="AO8" i="53"/>
  <c r="AM8" i="53"/>
  <c r="AK8" i="53"/>
  <c r="AI8" i="53"/>
  <c r="AF8" i="53"/>
  <c r="AE8" i="53"/>
  <c r="AB8" i="53"/>
  <c r="Y8" i="53"/>
  <c r="V8" i="53"/>
  <c r="S8" i="53"/>
  <c r="P8" i="53"/>
  <c r="M8" i="53"/>
  <c r="J8" i="53"/>
  <c r="G8" i="53"/>
  <c r="C8" i="53"/>
  <c r="B8" i="53"/>
  <c r="BP23" i="52"/>
  <c r="BO23" i="52"/>
  <c r="BM23" i="52"/>
  <c r="BK23" i="52"/>
  <c r="BI23" i="52"/>
  <c r="BG23" i="52"/>
  <c r="BE23" i="52"/>
  <c r="BA23" i="52"/>
  <c r="AY23" i="52"/>
  <c r="AW23" i="52"/>
  <c r="AU23" i="52"/>
  <c r="AS23" i="52"/>
  <c r="AN23" i="52"/>
  <c r="AL23" i="52"/>
  <c r="AJ23" i="52"/>
  <c r="AH23" i="52"/>
  <c r="AD23" i="52"/>
  <c r="AC23" i="52"/>
  <c r="AA23" i="52"/>
  <c r="Z23" i="52"/>
  <c r="X23" i="52"/>
  <c r="W23" i="52"/>
  <c r="U23" i="52"/>
  <c r="T23" i="52"/>
  <c r="R23" i="52"/>
  <c r="Q23" i="52"/>
  <c r="O23" i="52"/>
  <c r="N23" i="52"/>
  <c r="L23" i="52"/>
  <c r="K23" i="52"/>
  <c r="I23" i="52"/>
  <c r="H23" i="52"/>
  <c r="F23" i="52"/>
  <c r="E23" i="52"/>
  <c r="BC22" i="52"/>
  <c r="AQ22" i="52"/>
  <c r="AF22" i="52"/>
  <c r="C22" i="52"/>
  <c r="B22" i="52"/>
  <c r="BC21" i="52"/>
  <c r="AQ21" i="52"/>
  <c r="AF21" i="52"/>
  <c r="C21" i="52"/>
  <c r="B21" i="52"/>
  <c r="BC20" i="52"/>
  <c r="AQ20" i="52"/>
  <c r="AF20" i="52"/>
  <c r="C20" i="52"/>
  <c r="B20" i="52"/>
  <c r="BC19" i="52"/>
  <c r="AQ19" i="52"/>
  <c r="AF19" i="52"/>
  <c r="C19" i="52"/>
  <c r="B19" i="52"/>
  <c r="BC18" i="52"/>
  <c r="AQ18" i="52"/>
  <c r="AF18" i="52"/>
  <c r="C18" i="52"/>
  <c r="B18" i="52"/>
  <c r="BC17" i="52"/>
  <c r="AQ17" i="52"/>
  <c r="AF17" i="52"/>
  <c r="C17" i="52"/>
  <c r="B17" i="52"/>
  <c r="BC16" i="52"/>
  <c r="AQ16" i="52"/>
  <c r="AF16" i="52"/>
  <c r="C16" i="52"/>
  <c r="B16" i="52"/>
  <c r="BC15" i="52"/>
  <c r="AQ15" i="52"/>
  <c r="AF15" i="52"/>
  <c r="C15" i="52"/>
  <c r="B15" i="52"/>
  <c r="BC14" i="52"/>
  <c r="AQ14" i="52"/>
  <c r="AF14" i="52"/>
  <c r="C14" i="52"/>
  <c r="B14" i="52"/>
  <c r="BC13" i="52"/>
  <c r="AQ13" i="52"/>
  <c r="AF13" i="52"/>
  <c r="C13" i="52"/>
  <c r="B13" i="52"/>
  <c r="BC12" i="52"/>
  <c r="AQ12" i="52"/>
  <c r="AF12" i="52"/>
  <c r="C12" i="52"/>
  <c r="B12" i="52"/>
  <c r="BC11" i="52"/>
  <c r="AQ11" i="52"/>
  <c r="AF11" i="52"/>
  <c r="C11" i="52"/>
  <c r="B11" i="52"/>
  <c r="BC10" i="52"/>
  <c r="AQ10" i="52"/>
  <c r="AF10" i="52"/>
  <c r="C10" i="52"/>
  <c r="B10" i="52"/>
  <c r="BC9" i="52"/>
  <c r="AQ9" i="52"/>
  <c r="AF9" i="52"/>
  <c r="C9" i="52"/>
  <c r="B9" i="52"/>
  <c r="BQ8" i="52"/>
  <c r="BL8" i="52"/>
  <c r="BJ8" i="52"/>
  <c r="BH8" i="52"/>
  <c r="BF8" i="52"/>
  <c r="BC8" i="52"/>
  <c r="BB8" i="52"/>
  <c r="AZ8" i="52"/>
  <c r="AX8" i="52"/>
  <c r="AV8" i="52"/>
  <c r="AT8" i="52"/>
  <c r="AQ8" i="52"/>
  <c r="AO8" i="52"/>
  <c r="AM8" i="52"/>
  <c r="AK8" i="52"/>
  <c r="AI8" i="52"/>
  <c r="AF8" i="52"/>
  <c r="AE8" i="52"/>
  <c r="AB8" i="52"/>
  <c r="Y8" i="52"/>
  <c r="V8" i="52"/>
  <c r="S8" i="52"/>
  <c r="P8" i="52"/>
  <c r="M8" i="52"/>
  <c r="J8" i="52"/>
  <c r="G8" i="52"/>
  <c r="C8" i="52"/>
  <c r="B8" i="52"/>
  <c r="BP23" i="51"/>
  <c r="BO23" i="51"/>
  <c r="BM23" i="51"/>
  <c r="BK23" i="51"/>
  <c r="BI23" i="51"/>
  <c r="BG23" i="51"/>
  <c r="BE23" i="51"/>
  <c r="BA23" i="51"/>
  <c r="AY23" i="51"/>
  <c r="AW23" i="51"/>
  <c r="AU23" i="51"/>
  <c r="AS23" i="51"/>
  <c r="AN23" i="51"/>
  <c r="AL23" i="51"/>
  <c r="AJ23" i="51"/>
  <c r="AH23" i="51"/>
  <c r="AD23" i="51"/>
  <c r="AC23" i="51"/>
  <c r="AA23" i="51"/>
  <c r="Z23" i="51"/>
  <c r="X23" i="51"/>
  <c r="W23" i="51"/>
  <c r="U23" i="51"/>
  <c r="T23" i="51"/>
  <c r="R23" i="51"/>
  <c r="Q23" i="51"/>
  <c r="O23" i="51"/>
  <c r="N23" i="51"/>
  <c r="L23" i="51"/>
  <c r="K23" i="51"/>
  <c r="I23" i="51"/>
  <c r="H23" i="51"/>
  <c r="F23" i="51"/>
  <c r="E23" i="51"/>
  <c r="BC22" i="51"/>
  <c r="AQ22" i="51"/>
  <c r="AF22" i="51"/>
  <c r="C22" i="51"/>
  <c r="B22" i="51"/>
  <c r="BC21" i="51"/>
  <c r="AQ21" i="51"/>
  <c r="AF21" i="51"/>
  <c r="C21" i="51"/>
  <c r="B21" i="51"/>
  <c r="BC20" i="51"/>
  <c r="AQ20" i="51"/>
  <c r="AF20" i="51"/>
  <c r="C20" i="51"/>
  <c r="B20" i="51"/>
  <c r="BC19" i="51"/>
  <c r="AQ19" i="51"/>
  <c r="AF19" i="51"/>
  <c r="C19" i="51"/>
  <c r="B19" i="51"/>
  <c r="BC18" i="51"/>
  <c r="AQ18" i="51"/>
  <c r="AF18" i="51"/>
  <c r="C18" i="51"/>
  <c r="B18" i="51"/>
  <c r="BC17" i="51"/>
  <c r="AQ17" i="51"/>
  <c r="AF17" i="51"/>
  <c r="C17" i="51"/>
  <c r="B17" i="51"/>
  <c r="BC16" i="51"/>
  <c r="AQ16" i="51"/>
  <c r="AF16" i="51"/>
  <c r="C16" i="51"/>
  <c r="B16" i="51"/>
  <c r="BC15" i="51"/>
  <c r="AQ15" i="51"/>
  <c r="AF15" i="51"/>
  <c r="C15" i="51"/>
  <c r="B15" i="51"/>
  <c r="BC14" i="51"/>
  <c r="AQ14" i="51"/>
  <c r="AF14" i="51"/>
  <c r="C14" i="51"/>
  <c r="B14" i="51"/>
  <c r="BC13" i="51"/>
  <c r="AQ13" i="51"/>
  <c r="AF13" i="51"/>
  <c r="C13" i="51"/>
  <c r="B13" i="51"/>
  <c r="BC12" i="51"/>
  <c r="AQ12" i="51"/>
  <c r="AF12" i="51"/>
  <c r="C12" i="51"/>
  <c r="B12" i="51"/>
  <c r="BC11" i="51"/>
  <c r="AQ11" i="51"/>
  <c r="AF11" i="51"/>
  <c r="C11" i="51"/>
  <c r="B11" i="51"/>
  <c r="BC10" i="51"/>
  <c r="AQ10" i="51"/>
  <c r="AF10" i="51"/>
  <c r="C10" i="51"/>
  <c r="B10" i="51"/>
  <c r="BC9" i="51"/>
  <c r="AQ9" i="51"/>
  <c r="AF9" i="51"/>
  <c r="C9" i="51"/>
  <c r="B9" i="51"/>
  <c r="BQ8" i="51"/>
  <c r="BL8" i="51"/>
  <c r="BJ8" i="51"/>
  <c r="BH8" i="51"/>
  <c r="BF8" i="51"/>
  <c r="BC8" i="51"/>
  <c r="BB8" i="51"/>
  <c r="AZ8" i="51"/>
  <c r="AX8" i="51"/>
  <c r="AV8" i="51"/>
  <c r="AT8" i="51"/>
  <c r="AQ8" i="51"/>
  <c r="AO8" i="51"/>
  <c r="AM8" i="51"/>
  <c r="AK8" i="51"/>
  <c r="AI8" i="51"/>
  <c r="AF8" i="51"/>
  <c r="AE8" i="51"/>
  <c r="AB8" i="51"/>
  <c r="Y8" i="51"/>
  <c r="V8" i="51"/>
  <c r="S8" i="51"/>
  <c r="P8" i="51"/>
  <c r="M8" i="51"/>
  <c r="J8" i="51"/>
  <c r="G8" i="51"/>
  <c r="C8" i="51"/>
  <c r="B8" i="51"/>
  <c r="BP23" i="50"/>
  <c r="BO23" i="50"/>
  <c r="BM23" i="50"/>
  <c r="BK23" i="50"/>
  <c r="BI23" i="50"/>
  <c r="BG23" i="50"/>
  <c r="BE23" i="50"/>
  <c r="BA23" i="50"/>
  <c r="AY23" i="50"/>
  <c r="AW23" i="50"/>
  <c r="AU23" i="50"/>
  <c r="AS23" i="50"/>
  <c r="AN23" i="50"/>
  <c r="AL23" i="50"/>
  <c r="AJ23" i="50"/>
  <c r="AH23" i="50"/>
  <c r="AD23" i="50"/>
  <c r="AC23" i="50"/>
  <c r="AA23" i="50"/>
  <c r="Z23" i="50"/>
  <c r="X23" i="50"/>
  <c r="W23" i="50"/>
  <c r="U23" i="50"/>
  <c r="T23" i="50"/>
  <c r="R23" i="50"/>
  <c r="Q23" i="50"/>
  <c r="O23" i="50"/>
  <c r="N23" i="50"/>
  <c r="L23" i="50"/>
  <c r="K23" i="50"/>
  <c r="I23" i="50"/>
  <c r="H23" i="50"/>
  <c r="F23" i="50"/>
  <c r="E23" i="50"/>
  <c r="BC22" i="50"/>
  <c r="AQ22" i="50"/>
  <c r="AF22" i="50"/>
  <c r="C22" i="50"/>
  <c r="B22" i="50"/>
  <c r="BC21" i="50"/>
  <c r="AQ21" i="50"/>
  <c r="AF21" i="50"/>
  <c r="C21" i="50"/>
  <c r="B21" i="50"/>
  <c r="BC20" i="50"/>
  <c r="AQ20" i="50"/>
  <c r="AF20" i="50"/>
  <c r="C20" i="50"/>
  <c r="B20" i="50"/>
  <c r="BC19" i="50"/>
  <c r="AQ19" i="50"/>
  <c r="AF19" i="50"/>
  <c r="C19" i="50"/>
  <c r="B19" i="50"/>
  <c r="BC18" i="50"/>
  <c r="AQ18" i="50"/>
  <c r="AF18" i="50"/>
  <c r="C18" i="50"/>
  <c r="B18" i="50"/>
  <c r="BC17" i="50"/>
  <c r="AQ17" i="50"/>
  <c r="AF17" i="50"/>
  <c r="C17" i="50"/>
  <c r="B17" i="50"/>
  <c r="BC16" i="50"/>
  <c r="AQ16" i="50"/>
  <c r="AF16" i="50"/>
  <c r="C16" i="50"/>
  <c r="B16" i="50"/>
  <c r="BC15" i="50"/>
  <c r="AQ15" i="50"/>
  <c r="AF15" i="50"/>
  <c r="C15" i="50"/>
  <c r="B15" i="50"/>
  <c r="BC14" i="50"/>
  <c r="AQ14" i="50"/>
  <c r="AF14" i="50"/>
  <c r="C14" i="50"/>
  <c r="B14" i="50"/>
  <c r="BC13" i="50"/>
  <c r="AQ13" i="50"/>
  <c r="AF13" i="50"/>
  <c r="C13" i="50"/>
  <c r="B13" i="50"/>
  <c r="BC12" i="50"/>
  <c r="AQ12" i="50"/>
  <c r="AF12" i="50"/>
  <c r="C12" i="50"/>
  <c r="B12" i="50"/>
  <c r="BC11" i="50"/>
  <c r="AQ11" i="50"/>
  <c r="AF11" i="50"/>
  <c r="C11" i="50"/>
  <c r="B11" i="50"/>
  <c r="BC10" i="50"/>
  <c r="AQ10" i="50"/>
  <c r="AF10" i="50"/>
  <c r="C10" i="50"/>
  <c r="B10" i="50"/>
  <c r="BC9" i="50"/>
  <c r="AQ9" i="50"/>
  <c r="AF9" i="50"/>
  <c r="C9" i="50"/>
  <c r="B9" i="50"/>
  <c r="BQ8" i="50"/>
  <c r="BL8" i="50"/>
  <c r="BJ8" i="50"/>
  <c r="BH8" i="50"/>
  <c r="BF8" i="50"/>
  <c r="BC8" i="50"/>
  <c r="BB8" i="50"/>
  <c r="AZ8" i="50"/>
  <c r="AX8" i="50"/>
  <c r="AV8" i="50"/>
  <c r="AT8" i="50"/>
  <c r="AQ8" i="50"/>
  <c r="AO8" i="50"/>
  <c r="AM8" i="50"/>
  <c r="AK8" i="50"/>
  <c r="AI8" i="50"/>
  <c r="AF8" i="50"/>
  <c r="AE8" i="50"/>
  <c r="AB8" i="50"/>
  <c r="Y8" i="50"/>
  <c r="V8" i="50"/>
  <c r="S8" i="50"/>
  <c r="P8" i="50"/>
  <c r="M8" i="50"/>
  <c r="J8" i="50"/>
  <c r="G8" i="50"/>
  <c r="C8" i="50"/>
  <c r="B8" i="50"/>
  <c r="BP23" i="49"/>
  <c r="BO23" i="49"/>
  <c r="BM23" i="49"/>
  <c r="BK23" i="49"/>
  <c r="BI23" i="49"/>
  <c r="BG23" i="49"/>
  <c r="BE23" i="49"/>
  <c r="BA23" i="49"/>
  <c r="AY23" i="49"/>
  <c r="AW23" i="49"/>
  <c r="AU23" i="49"/>
  <c r="AS23" i="49"/>
  <c r="AN23" i="49"/>
  <c r="AL23" i="49"/>
  <c r="AJ23" i="49"/>
  <c r="AH23" i="49"/>
  <c r="AD23" i="49"/>
  <c r="AC23" i="49"/>
  <c r="AA23" i="49"/>
  <c r="Z23" i="49"/>
  <c r="X23" i="49"/>
  <c r="W23" i="49"/>
  <c r="U23" i="49"/>
  <c r="T23" i="49"/>
  <c r="R23" i="49"/>
  <c r="Q23" i="49"/>
  <c r="O23" i="49"/>
  <c r="N23" i="49"/>
  <c r="L23" i="49"/>
  <c r="K23" i="49"/>
  <c r="I23" i="49"/>
  <c r="H23" i="49"/>
  <c r="F23" i="49"/>
  <c r="E23" i="49"/>
  <c r="BC22" i="49"/>
  <c r="AQ22" i="49"/>
  <c r="AF22" i="49"/>
  <c r="C22" i="49"/>
  <c r="B22" i="49"/>
  <c r="BC21" i="49"/>
  <c r="AQ21" i="49"/>
  <c r="AF21" i="49"/>
  <c r="C21" i="49"/>
  <c r="B21" i="49"/>
  <c r="BC20" i="49"/>
  <c r="AQ20" i="49"/>
  <c r="AF20" i="49"/>
  <c r="C20" i="49"/>
  <c r="B20" i="49"/>
  <c r="BC19" i="49"/>
  <c r="AQ19" i="49"/>
  <c r="AF19" i="49"/>
  <c r="C19" i="49"/>
  <c r="B19" i="49"/>
  <c r="BC18" i="49"/>
  <c r="AQ18" i="49"/>
  <c r="AF18" i="49"/>
  <c r="C18" i="49"/>
  <c r="B18" i="49"/>
  <c r="BC17" i="49"/>
  <c r="AQ17" i="49"/>
  <c r="AF17" i="49"/>
  <c r="C17" i="49"/>
  <c r="B17" i="49"/>
  <c r="BC16" i="49"/>
  <c r="AQ16" i="49"/>
  <c r="AF16" i="49"/>
  <c r="C16" i="49"/>
  <c r="B16" i="49"/>
  <c r="BC15" i="49"/>
  <c r="AQ15" i="49"/>
  <c r="AF15" i="49"/>
  <c r="C15" i="49"/>
  <c r="B15" i="49"/>
  <c r="BC14" i="49"/>
  <c r="AQ14" i="49"/>
  <c r="AF14" i="49"/>
  <c r="C14" i="49"/>
  <c r="B14" i="49"/>
  <c r="BC13" i="49"/>
  <c r="AQ13" i="49"/>
  <c r="AF13" i="49"/>
  <c r="C13" i="49"/>
  <c r="B13" i="49"/>
  <c r="BC12" i="49"/>
  <c r="AQ12" i="49"/>
  <c r="AF12" i="49"/>
  <c r="C12" i="49"/>
  <c r="B12" i="49"/>
  <c r="BC11" i="49"/>
  <c r="AQ11" i="49"/>
  <c r="AF11" i="49"/>
  <c r="C11" i="49"/>
  <c r="B11" i="49"/>
  <c r="BC10" i="49"/>
  <c r="AQ10" i="49"/>
  <c r="AF10" i="49"/>
  <c r="C10" i="49"/>
  <c r="B10" i="49"/>
  <c r="BC9" i="49"/>
  <c r="AQ9" i="49"/>
  <c r="AF9" i="49"/>
  <c r="C9" i="49"/>
  <c r="B9" i="49"/>
  <c r="BQ8" i="49"/>
  <c r="BL8" i="49"/>
  <c r="BJ8" i="49"/>
  <c r="BH8" i="49"/>
  <c r="BF8" i="49"/>
  <c r="BC8" i="49"/>
  <c r="BB8" i="49"/>
  <c r="AZ8" i="49"/>
  <c r="AX8" i="49"/>
  <c r="AV8" i="49"/>
  <c r="AT8" i="49"/>
  <c r="AQ8" i="49"/>
  <c r="AO8" i="49"/>
  <c r="AM8" i="49"/>
  <c r="AK8" i="49"/>
  <c r="AI8" i="49"/>
  <c r="AF8" i="49"/>
  <c r="AE8" i="49"/>
  <c r="AB8" i="49"/>
  <c r="Y8" i="49"/>
  <c r="V8" i="49"/>
  <c r="S8" i="49"/>
  <c r="P8" i="49"/>
  <c r="M8" i="49"/>
  <c r="J8" i="49"/>
  <c r="G8" i="49"/>
  <c r="C8" i="49"/>
  <c r="B8" i="49"/>
  <c r="BP23" i="48"/>
  <c r="BO23" i="48"/>
  <c r="BM23" i="48"/>
  <c r="BK23" i="48"/>
  <c r="BI23" i="48"/>
  <c r="BG23" i="48"/>
  <c r="BE23" i="48"/>
  <c r="BA23" i="48"/>
  <c r="AY23" i="48"/>
  <c r="AW23" i="48"/>
  <c r="AU23" i="48"/>
  <c r="AS23" i="48"/>
  <c r="AN23" i="48"/>
  <c r="AL23" i="48"/>
  <c r="AJ23" i="48"/>
  <c r="AH23" i="48"/>
  <c r="AD23" i="48"/>
  <c r="AC23" i="48"/>
  <c r="AA23" i="48"/>
  <c r="Z23" i="48"/>
  <c r="X23" i="48"/>
  <c r="W23" i="48"/>
  <c r="U23" i="48"/>
  <c r="T23" i="48"/>
  <c r="R23" i="48"/>
  <c r="Q23" i="48"/>
  <c r="O23" i="48"/>
  <c r="N23" i="48"/>
  <c r="L23" i="48"/>
  <c r="K23" i="48"/>
  <c r="I23" i="48"/>
  <c r="H23" i="48"/>
  <c r="F23" i="48"/>
  <c r="E23" i="48"/>
  <c r="BC22" i="48"/>
  <c r="AQ22" i="48"/>
  <c r="AF22" i="48"/>
  <c r="C22" i="48"/>
  <c r="B22" i="48"/>
  <c r="BC21" i="48"/>
  <c r="AQ21" i="48"/>
  <c r="AF21" i="48"/>
  <c r="C21" i="48"/>
  <c r="B21" i="48"/>
  <c r="BC20" i="48"/>
  <c r="AQ20" i="48"/>
  <c r="AF20" i="48"/>
  <c r="C20" i="48"/>
  <c r="B20" i="48"/>
  <c r="BC19" i="48"/>
  <c r="AQ19" i="48"/>
  <c r="AF19" i="48"/>
  <c r="C19" i="48"/>
  <c r="B19" i="48"/>
  <c r="BC18" i="48"/>
  <c r="AQ18" i="48"/>
  <c r="AF18" i="48"/>
  <c r="C18" i="48"/>
  <c r="B18" i="48"/>
  <c r="BC17" i="48"/>
  <c r="AQ17" i="48"/>
  <c r="AF17" i="48"/>
  <c r="C17" i="48"/>
  <c r="B17" i="48"/>
  <c r="BC16" i="48"/>
  <c r="AQ16" i="48"/>
  <c r="AF16" i="48"/>
  <c r="C16" i="48"/>
  <c r="B16" i="48"/>
  <c r="BC15" i="48"/>
  <c r="AQ15" i="48"/>
  <c r="AF15" i="48"/>
  <c r="C15" i="48"/>
  <c r="B15" i="48"/>
  <c r="BC14" i="48"/>
  <c r="AQ14" i="48"/>
  <c r="AF14" i="48"/>
  <c r="C14" i="48"/>
  <c r="B14" i="48"/>
  <c r="BC13" i="48"/>
  <c r="AQ13" i="48"/>
  <c r="AF13" i="48"/>
  <c r="C13" i="48"/>
  <c r="B13" i="48"/>
  <c r="BC12" i="48"/>
  <c r="AQ12" i="48"/>
  <c r="AF12" i="48"/>
  <c r="C12" i="48"/>
  <c r="B12" i="48"/>
  <c r="BC11" i="48"/>
  <c r="AQ11" i="48"/>
  <c r="AF11" i="48"/>
  <c r="C11" i="48"/>
  <c r="B11" i="48"/>
  <c r="BC10" i="48"/>
  <c r="AQ10" i="48"/>
  <c r="AF10" i="48"/>
  <c r="C10" i="48"/>
  <c r="B10" i="48"/>
  <c r="BC9" i="48"/>
  <c r="AQ9" i="48"/>
  <c r="AF9" i="48"/>
  <c r="C9" i="48"/>
  <c r="B9" i="48"/>
  <c r="BQ8" i="48"/>
  <c r="BL8" i="48"/>
  <c r="BJ8" i="48"/>
  <c r="BH8" i="48"/>
  <c r="BF8" i="48"/>
  <c r="BC8" i="48"/>
  <c r="BB8" i="48"/>
  <c r="AZ8" i="48"/>
  <c r="AX8" i="48"/>
  <c r="AV8" i="48"/>
  <c r="AT8" i="48"/>
  <c r="AQ8" i="48"/>
  <c r="AO8" i="48"/>
  <c r="AM8" i="48"/>
  <c r="AK8" i="48"/>
  <c r="AI8" i="48"/>
  <c r="AF8" i="48"/>
  <c r="AE8" i="48"/>
  <c r="AB8" i="48"/>
  <c r="Y8" i="48"/>
  <c r="V8" i="48"/>
  <c r="S8" i="48"/>
  <c r="P8" i="48"/>
  <c r="M8" i="48"/>
  <c r="J8" i="48"/>
  <c r="G8" i="48"/>
  <c r="C8" i="48"/>
  <c r="B8" i="48"/>
  <c r="BP23" i="35"/>
  <c r="BO23" i="35"/>
  <c r="BM23" i="35"/>
  <c r="BK23" i="35"/>
  <c r="BI23" i="35"/>
  <c r="BG23" i="35"/>
  <c r="BE23" i="35"/>
  <c r="BA23" i="35"/>
  <c r="AY23" i="35"/>
  <c r="AW23" i="35"/>
  <c r="AU23" i="35"/>
  <c r="AS23" i="35"/>
  <c r="AN23" i="35"/>
  <c r="AL23" i="35"/>
  <c r="AJ23" i="35"/>
  <c r="AH23" i="35"/>
  <c r="AD23" i="35"/>
  <c r="AC23" i="35"/>
  <c r="AA23" i="35"/>
  <c r="Z23" i="35"/>
  <c r="X23" i="35"/>
  <c r="W23" i="35"/>
  <c r="U23" i="35"/>
  <c r="T23" i="35"/>
  <c r="R23" i="35"/>
  <c r="Q23" i="35"/>
  <c r="O23" i="35"/>
  <c r="N23" i="35"/>
  <c r="L23" i="35"/>
  <c r="K23" i="35"/>
  <c r="I23" i="35"/>
  <c r="H23" i="35"/>
  <c r="F23" i="35"/>
  <c r="E23" i="35"/>
  <c r="BQ22" i="35"/>
  <c r="BQ22" i="37" s="1"/>
  <c r="BQ22" i="38" s="1"/>
  <c r="BQ22" i="39" s="1"/>
  <c r="BQ22" i="41" s="1"/>
  <c r="BQ22" i="42" s="1"/>
  <c r="BN22" i="35"/>
  <c r="BN22" i="37" s="1"/>
  <c r="BN22" i="38" s="1"/>
  <c r="BN22" i="39" s="1"/>
  <c r="BN22" i="41" s="1"/>
  <c r="BN22" i="42" s="1"/>
  <c r="BL22" i="35"/>
  <c r="BL22" i="37" s="1"/>
  <c r="BL22" i="38" s="1"/>
  <c r="BL22" i="39" s="1"/>
  <c r="BL22" i="41" s="1"/>
  <c r="BL22" i="42" s="1"/>
  <c r="BJ22" i="35"/>
  <c r="BJ22" i="37" s="1"/>
  <c r="BJ22" i="38" s="1"/>
  <c r="BJ22" i="39" s="1"/>
  <c r="BJ22" i="41" s="1"/>
  <c r="BJ22" i="42" s="1"/>
  <c r="BH22" i="35"/>
  <c r="BH22" i="37" s="1"/>
  <c r="BH22" i="38" s="1"/>
  <c r="BH22" i="39" s="1"/>
  <c r="BH22" i="41" s="1"/>
  <c r="BH22" i="42" s="1"/>
  <c r="BF22" i="35"/>
  <c r="BF22" i="37" s="1"/>
  <c r="BC22" i="35"/>
  <c r="BB22" i="35"/>
  <c r="BB22" i="37" s="1"/>
  <c r="BB22" i="38" s="1"/>
  <c r="BB22" i="39" s="1"/>
  <c r="BB22" i="41" s="1"/>
  <c r="BB22" i="42" s="1"/>
  <c r="AZ22" i="35"/>
  <c r="AZ22" i="37" s="1"/>
  <c r="AZ22" i="38" s="1"/>
  <c r="AZ22" i="39" s="1"/>
  <c r="AZ22" i="41" s="1"/>
  <c r="AZ22" i="42" s="1"/>
  <c r="AX22" i="35"/>
  <c r="AX22" i="37" s="1"/>
  <c r="AX22" i="38" s="1"/>
  <c r="AX22" i="39" s="1"/>
  <c r="AX22" i="41" s="1"/>
  <c r="AX22" i="42" s="1"/>
  <c r="AV22" i="35"/>
  <c r="AV22" i="37" s="1"/>
  <c r="AV22" i="38" s="1"/>
  <c r="AV22" i="39" s="1"/>
  <c r="AV22" i="41" s="1"/>
  <c r="AV22" i="42" s="1"/>
  <c r="AT22" i="35"/>
  <c r="AT22" i="37" s="1"/>
  <c r="AQ22" i="35"/>
  <c r="AO22" i="35"/>
  <c r="AO22" i="37" s="1"/>
  <c r="AO22" i="38" s="1"/>
  <c r="AO22" i="39" s="1"/>
  <c r="AO22" i="41" s="1"/>
  <c r="AO22" i="42" s="1"/>
  <c r="AM22" i="35"/>
  <c r="AM22" i="37" s="1"/>
  <c r="AM22" i="38" s="1"/>
  <c r="AM22" i="39" s="1"/>
  <c r="AM22" i="41" s="1"/>
  <c r="AM22" i="42" s="1"/>
  <c r="AK22" i="35"/>
  <c r="AK22" i="37" s="1"/>
  <c r="AK22" i="38" s="1"/>
  <c r="AK22" i="39" s="1"/>
  <c r="AK22" i="41" s="1"/>
  <c r="AK22" i="42" s="1"/>
  <c r="AI22" i="35"/>
  <c r="AF22" i="35"/>
  <c r="AE22" i="35"/>
  <c r="AE22" i="37" s="1"/>
  <c r="AE22" i="38" s="1"/>
  <c r="AE22" i="39" s="1"/>
  <c r="AE22" i="41" s="1"/>
  <c r="AE22" i="42" s="1"/>
  <c r="AB22" i="35"/>
  <c r="AB22" i="37" s="1"/>
  <c r="AB22" i="38" s="1"/>
  <c r="AB22" i="39" s="1"/>
  <c r="AB22" i="41" s="1"/>
  <c r="AB22" i="42" s="1"/>
  <c r="Y22" i="35"/>
  <c r="Y22" i="37" s="1"/>
  <c r="Y22" i="38" s="1"/>
  <c r="Y22" i="39" s="1"/>
  <c r="Y22" i="41" s="1"/>
  <c r="Y22" i="42" s="1"/>
  <c r="V22" i="35"/>
  <c r="V22" i="37" s="1"/>
  <c r="V22" i="38" s="1"/>
  <c r="V22" i="39" s="1"/>
  <c r="V22" i="41" s="1"/>
  <c r="V22" i="42" s="1"/>
  <c r="V22" i="81" s="1"/>
  <c r="V22" i="48" s="1"/>
  <c r="V22" i="49" s="1"/>
  <c r="V22" i="50" s="1"/>
  <c r="V22" i="51" s="1"/>
  <c r="V22" i="52" s="1"/>
  <c r="V22" i="53" s="1"/>
  <c r="V22" i="54" s="1"/>
  <c r="V22" i="55" s="1"/>
  <c r="V22" i="56" s="1"/>
  <c r="V22" i="57" s="1"/>
  <c r="V22" i="58" s="1"/>
  <c r="V22" i="61" s="1"/>
  <c r="V22" i="62" s="1"/>
  <c r="V22" i="63" s="1"/>
  <c r="V22" i="64" s="1"/>
  <c r="V22" i="65" s="1"/>
  <c r="V22" i="66" s="1"/>
  <c r="V22" i="67" s="1"/>
  <c r="V22" i="68" s="1"/>
  <c r="V22" i="69" s="1"/>
  <c r="V22" i="70" s="1"/>
  <c r="V22" i="71" s="1"/>
  <c r="V22" i="73" s="1"/>
  <c r="V22" i="74" s="1"/>
  <c r="V22" i="76" s="1"/>
  <c r="V22" i="77" s="1"/>
  <c r="V22" i="78" s="1"/>
  <c r="V22" i="79" s="1"/>
  <c r="S22" i="35"/>
  <c r="S22" i="37" s="1"/>
  <c r="S22" i="38" s="1"/>
  <c r="S22" i="39" s="1"/>
  <c r="S22" i="41" s="1"/>
  <c r="S22" i="42" s="1"/>
  <c r="P22" i="35"/>
  <c r="P22" i="37" s="1"/>
  <c r="P22" i="38" s="1"/>
  <c r="P22" i="39" s="1"/>
  <c r="P22" i="41" s="1"/>
  <c r="P22" i="42" s="1"/>
  <c r="M22" i="35"/>
  <c r="M22" i="37" s="1"/>
  <c r="M22" i="38" s="1"/>
  <c r="M22" i="39" s="1"/>
  <c r="M22" i="41" s="1"/>
  <c r="M22" i="42" s="1"/>
  <c r="J22" i="35"/>
  <c r="G22" i="35"/>
  <c r="G22" i="37" s="1"/>
  <c r="C22" i="35"/>
  <c r="B22" i="35"/>
  <c r="BQ21" i="35"/>
  <c r="BQ21" i="37" s="1"/>
  <c r="BQ21" i="38" s="1"/>
  <c r="BQ21" i="39" s="1"/>
  <c r="BQ21" i="41" s="1"/>
  <c r="BQ21" i="42" s="1"/>
  <c r="BN21" i="35"/>
  <c r="BN21" i="37" s="1"/>
  <c r="BN21" i="38" s="1"/>
  <c r="BN21" i="39" s="1"/>
  <c r="BN21" i="41" s="1"/>
  <c r="BN21" i="42" s="1"/>
  <c r="BL21" i="35"/>
  <c r="BL21" i="37" s="1"/>
  <c r="BL21" i="38" s="1"/>
  <c r="BL21" i="39" s="1"/>
  <c r="BL21" i="41" s="1"/>
  <c r="BL21" i="42" s="1"/>
  <c r="BJ21" i="35"/>
  <c r="BH21" i="35"/>
  <c r="BH21" i="37" s="1"/>
  <c r="BH21" i="38" s="1"/>
  <c r="BH21" i="39" s="1"/>
  <c r="BH21" i="41" s="1"/>
  <c r="BH21" i="42" s="1"/>
  <c r="BF21" i="35"/>
  <c r="BF21" i="37" s="1"/>
  <c r="BC21" i="35"/>
  <c r="BB21" i="35"/>
  <c r="BB21" i="37" s="1"/>
  <c r="BB21" i="38" s="1"/>
  <c r="BB21" i="39" s="1"/>
  <c r="BB21" i="41" s="1"/>
  <c r="BB21" i="42" s="1"/>
  <c r="AZ21" i="35"/>
  <c r="AZ21" i="37" s="1"/>
  <c r="AZ21" i="38" s="1"/>
  <c r="AZ21" i="39" s="1"/>
  <c r="AZ21" i="41" s="1"/>
  <c r="AZ21" i="42" s="1"/>
  <c r="AX21" i="35"/>
  <c r="AX21" i="37" s="1"/>
  <c r="AX21" i="38" s="1"/>
  <c r="AX21" i="39" s="1"/>
  <c r="AX21" i="41" s="1"/>
  <c r="AX21" i="42" s="1"/>
  <c r="AV21" i="35"/>
  <c r="AV21" i="37" s="1"/>
  <c r="AV21" i="38" s="1"/>
  <c r="AV21" i="39" s="1"/>
  <c r="AV21" i="41" s="1"/>
  <c r="AV21" i="42" s="1"/>
  <c r="AT21" i="35"/>
  <c r="AT21" i="37" s="1"/>
  <c r="AQ21" i="35"/>
  <c r="AO21" i="35"/>
  <c r="AO21" i="37" s="1"/>
  <c r="AO21" i="38" s="1"/>
  <c r="AO21" i="39" s="1"/>
  <c r="AO21" i="41" s="1"/>
  <c r="AO21" i="42" s="1"/>
  <c r="AM21" i="35"/>
  <c r="AM21" i="37" s="1"/>
  <c r="AM21" i="38" s="1"/>
  <c r="AM21" i="39" s="1"/>
  <c r="AM21" i="41" s="1"/>
  <c r="AM21" i="42" s="1"/>
  <c r="AK21" i="35"/>
  <c r="AK21" i="37" s="1"/>
  <c r="AK21" i="38" s="1"/>
  <c r="AK21" i="39" s="1"/>
  <c r="AK21" i="41" s="1"/>
  <c r="AK21" i="42" s="1"/>
  <c r="AI21" i="35"/>
  <c r="AI21" i="37" s="1"/>
  <c r="AF21" i="35"/>
  <c r="AE21" i="35"/>
  <c r="AE21" i="37" s="1"/>
  <c r="AE21" i="38" s="1"/>
  <c r="AE21" i="39" s="1"/>
  <c r="AE21" i="41" s="1"/>
  <c r="AE21" i="42" s="1"/>
  <c r="AB21" i="35"/>
  <c r="AB21" i="37" s="1"/>
  <c r="AB21" i="38" s="1"/>
  <c r="AB21" i="39" s="1"/>
  <c r="AB21" i="41" s="1"/>
  <c r="AB21" i="42" s="1"/>
  <c r="AB21" i="81" s="1"/>
  <c r="AB21" i="48" s="1"/>
  <c r="AB21" i="49" s="1"/>
  <c r="AB21" i="50" s="1"/>
  <c r="AB21" i="51" s="1"/>
  <c r="AB21" i="52" s="1"/>
  <c r="AB21" i="53" s="1"/>
  <c r="AB21" i="54" s="1"/>
  <c r="AB21" i="55" s="1"/>
  <c r="AB21" i="56" s="1"/>
  <c r="AB21" i="57" s="1"/>
  <c r="AB21" i="58" s="1"/>
  <c r="AB21" i="61" s="1"/>
  <c r="AB21" i="62" s="1"/>
  <c r="AB21" i="63" s="1"/>
  <c r="AB21" i="64" s="1"/>
  <c r="AB21" i="65" s="1"/>
  <c r="AB21" i="66" s="1"/>
  <c r="AB21" i="67" s="1"/>
  <c r="AB21" i="68" s="1"/>
  <c r="AB21" i="69" s="1"/>
  <c r="AB21" i="70" s="1"/>
  <c r="AB21" i="71" s="1"/>
  <c r="AB21" i="73" s="1"/>
  <c r="AB21" i="74" s="1"/>
  <c r="AB21" i="76" s="1"/>
  <c r="AB21" i="77" s="1"/>
  <c r="AB21" i="78" s="1"/>
  <c r="AB21" i="79" s="1"/>
  <c r="Y21" i="35"/>
  <c r="Y21" i="37" s="1"/>
  <c r="Y21" i="38" s="1"/>
  <c r="Y21" i="39" s="1"/>
  <c r="Y21" i="41" s="1"/>
  <c r="Y21" i="42" s="1"/>
  <c r="V21" i="35"/>
  <c r="V21" i="37" s="1"/>
  <c r="V21" i="38" s="1"/>
  <c r="V21" i="39" s="1"/>
  <c r="V21" i="41" s="1"/>
  <c r="V21" i="42" s="1"/>
  <c r="S21" i="35"/>
  <c r="S21" i="37" s="1"/>
  <c r="S21" i="38" s="1"/>
  <c r="S21" i="39" s="1"/>
  <c r="S21" i="41" s="1"/>
  <c r="S21" i="42" s="1"/>
  <c r="P21" i="35"/>
  <c r="P21" i="37" s="1"/>
  <c r="P21" i="38" s="1"/>
  <c r="P21" i="39" s="1"/>
  <c r="P21" i="41" s="1"/>
  <c r="P21" i="42" s="1"/>
  <c r="M21" i="35"/>
  <c r="M21" i="37" s="1"/>
  <c r="M21" i="38" s="1"/>
  <c r="M21" i="39" s="1"/>
  <c r="M21" i="41" s="1"/>
  <c r="M21" i="42" s="1"/>
  <c r="J21" i="35"/>
  <c r="J21" i="37" s="1"/>
  <c r="J21" i="38" s="1"/>
  <c r="J21" i="39" s="1"/>
  <c r="J21" i="41" s="1"/>
  <c r="J21" i="42" s="1"/>
  <c r="J21" i="81" s="1"/>
  <c r="J21" i="48" s="1"/>
  <c r="J21" i="49" s="1"/>
  <c r="J21" i="50" s="1"/>
  <c r="J21" i="51" s="1"/>
  <c r="J21" i="52" s="1"/>
  <c r="J21" i="53" s="1"/>
  <c r="J21" i="54" s="1"/>
  <c r="J21" i="55" s="1"/>
  <c r="J21" i="56" s="1"/>
  <c r="J21" i="57" s="1"/>
  <c r="J21" i="58" s="1"/>
  <c r="J21" i="61" s="1"/>
  <c r="J21" i="62" s="1"/>
  <c r="J21" i="63" s="1"/>
  <c r="J21" i="64" s="1"/>
  <c r="J21" i="65" s="1"/>
  <c r="J21" i="66" s="1"/>
  <c r="J21" i="67" s="1"/>
  <c r="J21" i="68" s="1"/>
  <c r="J21" i="69" s="1"/>
  <c r="J21" i="70" s="1"/>
  <c r="J21" i="71" s="1"/>
  <c r="J21" i="73" s="1"/>
  <c r="J21" i="74" s="1"/>
  <c r="J21" i="76" s="1"/>
  <c r="J21" i="77" s="1"/>
  <c r="J21" i="78" s="1"/>
  <c r="J21" i="79" s="1"/>
  <c r="G21" i="35"/>
  <c r="G21" i="37" s="1"/>
  <c r="C21" i="35"/>
  <c r="B21" i="35"/>
  <c r="BQ20" i="35"/>
  <c r="BQ20" i="37" s="1"/>
  <c r="BQ20" i="38" s="1"/>
  <c r="BQ20" i="39" s="1"/>
  <c r="BQ20" i="41" s="1"/>
  <c r="BQ20" i="42" s="1"/>
  <c r="BN20" i="35"/>
  <c r="BN20" i="37" s="1"/>
  <c r="BN20" i="38" s="1"/>
  <c r="BN20" i="39" s="1"/>
  <c r="BN20" i="41" s="1"/>
  <c r="BN20" i="42" s="1"/>
  <c r="BL20" i="35"/>
  <c r="BL20" i="37" s="1"/>
  <c r="BL20" i="38" s="1"/>
  <c r="BL20" i="39" s="1"/>
  <c r="BL20" i="41" s="1"/>
  <c r="BL20" i="42" s="1"/>
  <c r="BJ20" i="35"/>
  <c r="BJ20" i="37" s="1"/>
  <c r="BJ20" i="38" s="1"/>
  <c r="BJ20" i="39" s="1"/>
  <c r="BJ20" i="41" s="1"/>
  <c r="BJ20" i="42" s="1"/>
  <c r="BH20" i="35"/>
  <c r="BH20" i="37" s="1"/>
  <c r="BH20" i="38" s="1"/>
  <c r="BH20" i="39" s="1"/>
  <c r="BH20" i="41" s="1"/>
  <c r="BH20" i="42" s="1"/>
  <c r="BF20" i="35"/>
  <c r="BF20" i="37" s="1"/>
  <c r="BC20" i="35"/>
  <c r="BB20" i="35"/>
  <c r="BB20" i="37" s="1"/>
  <c r="BB20" i="38" s="1"/>
  <c r="BB20" i="39" s="1"/>
  <c r="BB20" i="41" s="1"/>
  <c r="BB20" i="42" s="1"/>
  <c r="AZ20" i="35"/>
  <c r="AZ20" i="37" s="1"/>
  <c r="AZ20" i="38" s="1"/>
  <c r="AZ20" i="39" s="1"/>
  <c r="AZ20" i="41" s="1"/>
  <c r="AZ20" i="42" s="1"/>
  <c r="AX20" i="35"/>
  <c r="AX20" i="37" s="1"/>
  <c r="AX20" i="38" s="1"/>
  <c r="AX20" i="39" s="1"/>
  <c r="AX20" i="41" s="1"/>
  <c r="AX20" i="42" s="1"/>
  <c r="AX20" i="81" s="1"/>
  <c r="AX20" i="48" s="1"/>
  <c r="AX20" i="49" s="1"/>
  <c r="AX20" i="50" s="1"/>
  <c r="AX20" i="51" s="1"/>
  <c r="AX20" i="52" s="1"/>
  <c r="AX20" i="53" s="1"/>
  <c r="AX20" i="54" s="1"/>
  <c r="AX20" i="55" s="1"/>
  <c r="AX20" i="56" s="1"/>
  <c r="AX20" i="57" s="1"/>
  <c r="AX20" i="58" s="1"/>
  <c r="AX20" i="61" s="1"/>
  <c r="AX20" i="62" s="1"/>
  <c r="AX20" i="63" s="1"/>
  <c r="AX20" i="64" s="1"/>
  <c r="AX20" i="65" s="1"/>
  <c r="AX20" i="66" s="1"/>
  <c r="AX20" i="67" s="1"/>
  <c r="AX20" i="68" s="1"/>
  <c r="AX20" i="69" s="1"/>
  <c r="AX20" i="70" s="1"/>
  <c r="AX20" i="71" s="1"/>
  <c r="AX20" i="73" s="1"/>
  <c r="AX20" i="74" s="1"/>
  <c r="AX20" i="76" s="1"/>
  <c r="AX20" i="77" s="1"/>
  <c r="AX20" i="78" s="1"/>
  <c r="AX20" i="79" s="1"/>
  <c r="AV20" i="35"/>
  <c r="AV20" i="37" s="1"/>
  <c r="AV20" i="38" s="1"/>
  <c r="AV20" i="39" s="1"/>
  <c r="AV20" i="41" s="1"/>
  <c r="AV20" i="42" s="1"/>
  <c r="AT20" i="35"/>
  <c r="AQ20" i="35"/>
  <c r="AO20" i="35"/>
  <c r="AO20" i="37" s="1"/>
  <c r="AO20" i="38" s="1"/>
  <c r="AO20" i="39" s="1"/>
  <c r="AO20" i="41" s="1"/>
  <c r="AO20" i="42" s="1"/>
  <c r="AM20" i="35"/>
  <c r="AM20" i="37" s="1"/>
  <c r="AM20" i="38" s="1"/>
  <c r="AM20" i="39" s="1"/>
  <c r="AM20" i="41" s="1"/>
  <c r="AM20" i="42" s="1"/>
  <c r="AK20" i="35"/>
  <c r="AK20" i="37" s="1"/>
  <c r="AK20" i="38" s="1"/>
  <c r="AK20" i="39" s="1"/>
  <c r="AK20" i="41" s="1"/>
  <c r="AK20" i="42" s="1"/>
  <c r="AI20" i="35"/>
  <c r="AI20" i="37" s="1"/>
  <c r="AF20" i="35"/>
  <c r="AE20" i="35"/>
  <c r="AE20" i="37" s="1"/>
  <c r="AE20" i="38" s="1"/>
  <c r="AE20" i="39" s="1"/>
  <c r="AE20" i="41" s="1"/>
  <c r="AE20" i="42" s="1"/>
  <c r="AB20" i="35"/>
  <c r="AB20" i="37" s="1"/>
  <c r="AB20" i="38" s="1"/>
  <c r="AB20" i="39" s="1"/>
  <c r="AB20" i="41" s="1"/>
  <c r="AB20" i="42" s="1"/>
  <c r="AB20" i="81" s="1"/>
  <c r="AB20" i="48" s="1"/>
  <c r="AB20" i="49" s="1"/>
  <c r="AB20" i="50" s="1"/>
  <c r="AB20" i="51" s="1"/>
  <c r="AB20" i="52" s="1"/>
  <c r="AB20" i="53" s="1"/>
  <c r="AB20" i="54" s="1"/>
  <c r="AB20" i="55" s="1"/>
  <c r="AB20" i="56" s="1"/>
  <c r="AB20" i="57" s="1"/>
  <c r="AB20" i="58" s="1"/>
  <c r="AB20" i="61" s="1"/>
  <c r="AB20" i="62" s="1"/>
  <c r="AB20" i="63" s="1"/>
  <c r="AB20" i="64" s="1"/>
  <c r="AB20" i="65" s="1"/>
  <c r="AB20" i="66" s="1"/>
  <c r="AB20" i="67" s="1"/>
  <c r="AB20" i="68" s="1"/>
  <c r="AB20" i="69" s="1"/>
  <c r="AB20" i="70" s="1"/>
  <c r="AB20" i="71" s="1"/>
  <c r="AB20" i="73" s="1"/>
  <c r="AB20" i="74" s="1"/>
  <c r="AB20" i="76" s="1"/>
  <c r="AB20" i="77" s="1"/>
  <c r="AB20" i="78" s="1"/>
  <c r="AB20" i="79" s="1"/>
  <c r="Y20" i="35"/>
  <c r="Y20" i="37" s="1"/>
  <c r="Y20" i="38" s="1"/>
  <c r="Y20" i="39" s="1"/>
  <c r="Y20" i="41" s="1"/>
  <c r="Y20" i="42" s="1"/>
  <c r="V20" i="35"/>
  <c r="V20" i="37" s="1"/>
  <c r="V20" i="38" s="1"/>
  <c r="V20" i="39" s="1"/>
  <c r="V20" i="41" s="1"/>
  <c r="V20" i="42" s="1"/>
  <c r="S20" i="35"/>
  <c r="S20" i="37" s="1"/>
  <c r="S20" i="38" s="1"/>
  <c r="S20" i="39" s="1"/>
  <c r="S20" i="41" s="1"/>
  <c r="S20" i="42" s="1"/>
  <c r="S20" i="81" s="1"/>
  <c r="S20" i="48" s="1"/>
  <c r="S20" i="49" s="1"/>
  <c r="S20" i="50" s="1"/>
  <c r="S20" i="51" s="1"/>
  <c r="S20" i="52" s="1"/>
  <c r="S20" i="53" s="1"/>
  <c r="S20" i="54" s="1"/>
  <c r="S20" i="55" s="1"/>
  <c r="S20" i="56" s="1"/>
  <c r="S20" i="57" s="1"/>
  <c r="S20" i="58" s="1"/>
  <c r="S20" i="61" s="1"/>
  <c r="S20" i="62" s="1"/>
  <c r="S20" i="63" s="1"/>
  <c r="S20" i="64" s="1"/>
  <c r="S20" i="65" s="1"/>
  <c r="S20" i="66" s="1"/>
  <c r="S20" i="67" s="1"/>
  <c r="S20" i="68" s="1"/>
  <c r="S20" i="69" s="1"/>
  <c r="S20" i="70" s="1"/>
  <c r="S20" i="71" s="1"/>
  <c r="S20" i="73" s="1"/>
  <c r="S20" i="74" s="1"/>
  <c r="S20" i="76" s="1"/>
  <c r="S20" i="77" s="1"/>
  <c r="S20" i="78" s="1"/>
  <c r="S20" i="79" s="1"/>
  <c r="P20" i="35"/>
  <c r="P20" i="37" s="1"/>
  <c r="P20" i="38" s="1"/>
  <c r="P20" i="39" s="1"/>
  <c r="P20" i="41" s="1"/>
  <c r="P20" i="42" s="1"/>
  <c r="M20" i="35"/>
  <c r="M20" i="37" s="1"/>
  <c r="M20" i="38" s="1"/>
  <c r="M20" i="39" s="1"/>
  <c r="M20" i="41" s="1"/>
  <c r="M20" i="42" s="1"/>
  <c r="J20" i="35"/>
  <c r="J20" i="37" s="1"/>
  <c r="J20" i="38" s="1"/>
  <c r="J20" i="39" s="1"/>
  <c r="J20" i="41" s="1"/>
  <c r="J20" i="42" s="1"/>
  <c r="G20" i="35"/>
  <c r="G20" i="37" s="1"/>
  <c r="C20" i="35"/>
  <c r="B20" i="35"/>
  <c r="BQ19" i="35"/>
  <c r="BQ19" i="37" s="1"/>
  <c r="BQ19" i="38" s="1"/>
  <c r="BQ19" i="39" s="1"/>
  <c r="BQ19" i="41" s="1"/>
  <c r="BQ19" i="42" s="1"/>
  <c r="BN19" i="35"/>
  <c r="BN19" i="37" s="1"/>
  <c r="BN19" i="38" s="1"/>
  <c r="BN19" i="39" s="1"/>
  <c r="BN19" i="41" s="1"/>
  <c r="BN19" i="42" s="1"/>
  <c r="BL19" i="35"/>
  <c r="BL19" i="37" s="1"/>
  <c r="BL19" i="38" s="1"/>
  <c r="BL19" i="39" s="1"/>
  <c r="BL19" i="41" s="1"/>
  <c r="BL19" i="42" s="1"/>
  <c r="BJ19" i="35"/>
  <c r="BJ19" i="37" s="1"/>
  <c r="BJ19" i="38" s="1"/>
  <c r="BJ19" i="39" s="1"/>
  <c r="BJ19" i="41" s="1"/>
  <c r="BJ19" i="42" s="1"/>
  <c r="BH19" i="35"/>
  <c r="BH19" i="37" s="1"/>
  <c r="BH19" i="38" s="1"/>
  <c r="BH19" i="39" s="1"/>
  <c r="BH19" i="41" s="1"/>
  <c r="BH19" i="42" s="1"/>
  <c r="BF19" i="35"/>
  <c r="BF19" i="37" s="1"/>
  <c r="BC19" i="35"/>
  <c r="BB19" i="35"/>
  <c r="BB19" i="37" s="1"/>
  <c r="BB19" i="38" s="1"/>
  <c r="BB19" i="39" s="1"/>
  <c r="BB19" i="41" s="1"/>
  <c r="BB19" i="42" s="1"/>
  <c r="AZ19" i="35"/>
  <c r="AZ19" i="37" s="1"/>
  <c r="AZ19" i="38" s="1"/>
  <c r="AZ19" i="39" s="1"/>
  <c r="AZ19" i="41" s="1"/>
  <c r="AZ19" i="42" s="1"/>
  <c r="AX19" i="35"/>
  <c r="AX19" i="37" s="1"/>
  <c r="AX19" i="38" s="1"/>
  <c r="AX19" i="39" s="1"/>
  <c r="AX19" i="41" s="1"/>
  <c r="AX19" i="42" s="1"/>
  <c r="AV19" i="35"/>
  <c r="AV19" i="37" s="1"/>
  <c r="AV19" i="38" s="1"/>
  <c r="AV19" i="39" s="1"/>
  <c r="AV19" i="41" s="1"/>
  <c r="AV19" i="42" s="1"/>
  <c r="AT19" i="35"/>
  <c r="AT19" i="37" s="1"/>
  <c r="AQ19" i="35"/>
  <c r="AO19" i="35"/>
  <c r="AO19" i="37" s="1"/>
  <c r="AO19" i="38" s="1"/>
  <c r="AO19" i="39" s="1"/>
  <c r="AO19" i="41" s="1"/>
  <c r="AO19" i="42" s="1"/>
  <c r="AM19" i="35"/>
  <c r="AM19" i="37" s="1"/>
  <c r="AM19" i="38" s="1"/>
  <c r="AM19" i="39" s="1"/>
  <c r="AM19" i="41" s="1"/>
  <c r="AM19" i="42" s="1"/>
  <c r="AM19" i="81" s="1"/>
  <c r="AM19" i="48" s="1"/>
  <c r="AM19" i="49" s="1"/>
  <c r="AM19" i="50" s="1"/>
  <c r="AM19" i="51" s="1"/>
  <c r="AM19" i="52" s="1"/>
  <c r="AM19" i="53" s="1"/>
  <c r="AM19" i="54" s="1"/>
  <c r="AM19" i="55" s="1"/>
  <c r="AM19" i="56" s="1"/>
  <c r="AM19" i="57" s="1"/>
  <c r="AM19" i="58" s="1"/>
  <c r="AM19" i="61" s="1"/>
  <c r="AM19" i="62" s="1"/>
  <c r="AM19" i="63" s="1"/>
  <c r="AM19" i="64" s="1"/>
  <c r="AM19" i="65" s="1"/>
  <c r="AM19" i="66" s="1"/>
  <c r="AM19" i="67" s="1"/>
  <c r="AM19" i="68" s="1"/>
  <c r="AM19" i="69" s="1"/>
  <c r="AM19" i="70" s="1"/>
  <c r="AM19" i="71" s="1"/>
  <c r="AM19" i="73" s="1"/>
  <c r="AM19" i="74" s="1"/>
  <c r="AM19" i="76" s="1"/>
  <c r="AM19" i="77" s="1"/>
  <c r="AM19" i="78" s="1"/>
  <c r="AM19" i="79" s="1"/>
  <c r="AK19" i="35"/>
  <c r="AK19" i="37" s="1"/>
  <c r="AK19" i="38" s="1"/>
  <c r="AK19" i="39" s="1"/>
  <c r="AK19" i="41" s="1"/>
  <c r="AK19" i="42" s="1"/>
  <c r="AI19" i="35"/>
  <c r="AI19" i="37" s="1"/>
  <c r="AF19" i="35"/>
  <c r="AE19" i="35"/>
  <c r="AE19" i="37" s="1"/>
  <c r="AE19" i="38" s="1"/>
  <c r="AE19" i="39" s="1"/>
  <c r="AE19" i="41" s="1"/>
  <c r="AE19" i="42" s="1"/>
  <c r="AB19" i="35"/>
  <c r="AB19" i="37" s="1"/>
  <c r="AB19" i="38" s="1"/>
  <c r="AB19" i="39" s="1"/>
  <c r="AB19" i="41" s="1"/>
  <c r="AB19" i="42" s="1"/>
  <c r="Y19" i="35"/>
  <c r="Y19" i="37" s="1"/>
  <c r="Y19" i="38" s="1"/>
  <c r="Y19" i="39" s="1"/>
  <c r="Y19" i="41" s="1"/>
  <c r="Y19" i="42" s="1"/>
  <c r="V19" i="35"/>
  <c r="V19" i="37" s="1"/>
  <c r="V19" i="38" s="1"/>
  <c r="V19" i="39" s="1"/>
  <c r="V19" i="41" s="1"/>
  <c r="V19" i="42" s="1"/>
  <c r="S19" i="35"/>
  <c r="S19" i="37" s="1"/>
  <c r="S19" i="38" s="1"/>
  <c r="S19" i="39" s="1"/>
  <c r="S19" i="41" s="1"/>
  <c r="S19" i="42" s="1"/>
  <c r="S19" i="81" s="1"/>
  <c r="S19" i="48" s="1"/>
  <c r="S19" i="49" s="1"/>
  <c r="S19" i="50" s="1"/>
  <c r="S19" i="51" s="1"/>
  <c r="S19" i="52" s="1"/>
  <c r="S19" i="53" s="1"/>
  <c r="S19" i="54" s="1"/>
  <c r="S19" i="55" s="1"/>
  <c r="S19" i="56" s="1"/>
  <c r="S19" i="57" s="1"/>
  <c r="S19" i="58" s="1"/>
  <c r="S19" i="61" s="1"/>
  <c r="S19" i="62" s="1"/>
  <c r="S19" i="63" s="1"/>
  <c r="S19" i="64" s="1"/>
  <c r="S19" i="65" s="1"/>
  <c r="S19" i="66" s="1"/>
  <c r="S19" i="67" s="1"/>
  <c r="S19" i="68" s="1"/>
  <c r="S19" i="69" s="1"/>
  <c r="S19" i="70" s="1"/>
  <c r="S19" i="71" s="1"/>
  <c r="S19" i="73" s="1"/>
  <c r="S19" i="74" s="1"/>
  <c r="S19" i="76" s="1"/>
  <c r="S19" i="77" s="1"/>
  <c r="S19" i="78" s="1"/>
  <c r="S19" i="79" s="1"/>
  <c r="P19" i="35"/>
  <c r="P19" i="37" s="1"/>
  <c r="P19" i="38" s="1"/>
  <c r="P19" i="39" s="1"/>
  <c r="P19" i="41" s="1"/>
  <c r="P19" i="42" s="1"/>
  <c r="M19" i="35"/>
  <c r="M19" i="37" s="1"/>
  <c r="M19" i="38" s="1"/>
  <c r="M19" i="39" s="1"/>
  <c r="M19" i="41" s="1"/>
  <c r="M19" i="42" s="1"/>
  <c r="J19" i="35"/>
  <c r="J19" i="37" s="1"/>
  <c r="J19" i="38" s="1"/>
  <c r="J19" i="39" s="1"/>
  <c r="J19" i="41" s="1"/>
  <c r="J19" i="42" s="1"/>
  <c r="G19" i="35"/>
  <c r="G19" i="37" s="1"/>
  <c r="C19" i="35"/>
  <c r="B19" i="35"/>
  <c r="BQ18" i="35"/>
  <c r="BQ18" i="37" s="1"/>
  <c r="BQ18" i="38" s="1"/>
  <c r="BQ18" i="39" s="1"/>
  <c r="BQ18" i="41" s="1"/>
  <c r="BQ18" i="42" s="1"/>
  <c r="BN18" i="35"/>
  <c r="BN18" i="37" s="1"/>
  <c r="BN18" i="38" s="1"/>
  <c r="BN18" i="39" s="1"/>
  <c r="BN18" i="41" s="1"/>
  <c r="BN18" i="42" s="1"/>
  <c r="BN18" i="81" s="1"/>
  <c r="BN18" i="48" s="1"/>
  <c r="BN18" i="49" s="1"/>
  <c r="BN18" i="50" s="1"/>
  <c r="BN18" i="51" s="1"/>
  <c r="BN18" i="52" s="1"/>
  <c r="BN18" i="53" s="1"/>
  <c r="BN18" i="54" s="1"/>
  <c r="BN18" i="55" s="1"/>
  <c r="BN18" i="56" s="1"/>
  <c r="BN18" i="57" s="1"/>
  <c r="BN18" i="58" s="1"/>
  <c r="BN18" i="61" s="1"/>
  <c r="BN18" i="62" s="1"/>
  <c r="BN18" i="63" s="1"/>
  <c r="BN18" i="64" s="1"/>
  <c r="BN18" i="65" s="1"/>
  <c r="BN18" i="66" s="1"/>
  <c r="BN18" i="67" s="1"/>
  <c r="BN18" i="68" s="1"/>
  <c r="BN18" i="69" s="1"/>
  <c r="BN18" i="70" s="1"/>
  <c r="BN18" i="71" s="1"/>
  <c r="BN18" i="73" s="1"/>
  <c r="BN18" i="74" s="1"/>
  <c r="BN18" i="76" s="1"/>
  <c r="BN18" i="77" s="1"/>
  <c r="BN18" i="78" s="1"/>
  <c r="BN18" i="79" s="1"/>
  <c r="BL18" i="35"/>
  <c r="BL18" i="37" s="1"/>
  <c r="BL18" i="38" s="1"/>
  <c r="BL18" i="39" s="1"/>
  <c r="BL18" i="41" s="1"/>
  <c r="BL18" i="42" s="1"/>
  <c r="BJ18" i="35"/>
  <c r="BJ18" i="37" s="1"/>
  <c r="BJ18" i="38" s="1"/>
  <c r="BJ18" i="39" s="1"/>
  <c r="BJ18" i="41" s="1"/>
  <c r="BJ18" i="42" s="1"/>
  <c r="BH18" i="35"/>
  <c r="BH18" i="37" s="1"/>
  <c r="BH18" i="38" s="1"/>
  <c r="BH18" i="39" s="1"/>
  <c r="BH18" i="41" s="1"/>
  <c r="BH18" i="42" s="1"/>
  <c r="BF18" i="35"/>
  <c r="BF18" i="37" s="1"/>
  <c r="BC18" i="35"/>
  <c r="BB18" i="35"/>
  <c r="BB18" i="37" s="1"/>
  <c r="BB18" i="38" s="1"/>
  <c r="BB18" i="39" s="1"/>
  <c r="BB18" i="41" s="1"/>
  <c r="BB18" i="42" s="1"/>
  <c r="AZ18" i="35"/>
  <c r="AZ18" i="37" s="1"/>
  <c r="AZ18" i="38" s="1"/>
  <c r="AZ18" i="39" s="1"/>
  <c r="AZ18" i="41" s="1"/>
  <c r="AZ18" i="42" s="1"/>
  <c r="AX18" i="35"/>
  <c r="AX18" i="37" s="1"/>
  <c r="AX18" i="38" s="1"/>
  <c r="AX18" i="39" s="1"/>
  <c r="AX18" i="41" s="1"/>
  <c r="AX18" i="42" s="1"/>
  <c r="AX18" i="81" s="1"/>
  <c r="AX18" i="48" s="1"/>
  <c r="AX18" i="49" s="1"/>
  <c r="AX18" i="50" s="1"/>
  <c r="AX18" i="51" s="1"/>
  <c r="AX18" i="52" s="1"/>
  <c r="AX18" i="53" s="1"/>
  <c r="AX18" i="54" s="1"/>
  <c r="AX18" i="55" s="1"/>
  <c r="AX18" i="56" s="1"/>
  <c r="AX18" i="57" s="1"/>
  <c r="AX18" i="58" s="1"/>
  <c r="AX18" i="61" s="1"/>
  <c r="AX18" i="62" s="1"/>
  <c r="AX18" i="63" s="1"/>
  <c r="AX18" i="64" s="1"/>
  <c r="AX18" i="65" s="1"/>
  <c r="AX18" i="66" s="1"/>
  <c r="AX18" i="67" s="1"/>
  <c r="AX18" i="68" s="1"/>
  <c r="AX18" i="69" s="1"/>
  <c r="AX18" i="70" s="1"/>
  <c r="AX18" i="71" s="1"/>
  <c r="AX18" i="73" s="1"/>
  <c r="AX18" i="74" s="1"/>
  <c r="AX18" i="76" s="1"/>
  <c r="AX18" i="77" s="1"/>
  <c r="AX18" i="78" s="1"/>
  <c r="AX18" i="79" s="1"/>
  <c r="AT18" i="35"/>
  <c r="AT18" i="37" s="1"/>
  <c r="AQ18" i="35"/>
  <c r="AO18" i="35"/>
  <c r="AO18" i="37" s="1"/>
  <c r="AO18" i="38" s="1"/>
  <c r="AO18" i="39" s="1"/>
  <c r="AO18" i="41" s="1"/>
  <c r="AO18" i="42" s="1"/>
  <c r="AM18" i="35"/>
  <c r="AM18" i="37" s="1"/>
  <c r="AM18" i="38" s="1"/>
  <c r="AM18" i="39" s="1"/>
  <c r="AM18" i="41" s="1"/>
  <c r="AM18" i="42" s="1"/>
  <c r="AK18" i="35"/>
  <c r="AK18" i="37" s="1"/>
  <c r="AK18" i="38" s="1"/>
  <c r="AK18" i="39" s="1"/>
  <c r="AK18" i="41" s="1"/>
  <c r="AK18" i="42" s="1"/>
  <c r="AI18" i="35"/>
  <c r="AI18" i="37" s="1"/>
  <c r="AF18" i="35"/>
  <c r="AE18" i="35"/>
  <c r="AE18" i="37" s="1"/>
  <c r="AE18" i="38" s="1"/>
  <c r="AE18" i="39" s="1"/>
  <c r="AE18" i="41" s="1"/>
  <c r="AE18" i="42" s="1"/>
  <c r="AE18" i="81" s="1"/>
  <c r="AE18" i="48" s="1"/>
  <c r="AE18" i="49" s="1"/>
  <c r="AE18" i="50" s="1"/>
  <c r="AE18" i="51" s="1"/>
  <c r="AE18" i="52" s="1"/>
  <c r="AE18" i="53" s="1"/>
  <c r="AE18" i="54" s="1"/>
  <c r="AE18" i="55" s="1"/>
  <c r="AE18" i="56" s="1"/>
  <c r="AE18" i="57" s="1"/>
  <c r="AE18" i="58" s="1"/>
  <c r="AE18" i="61" s="1"/>
  <c r="AE18" i="62" s="1"/>
  <c r="AE18" i="63" s="1"/>
  <c r="AE18" i="64" s="1"/>
  <c r="AE18" i="65" s="1"/>
  <c r="AE18" i="66" s="1"/>
  <c r="AE18" i="67" s="1"/>
  <c r="AE18" i="68" s="1"/>
  <c r="AE18" i="69" s="1"/>
  <c r="AE18" i="70" s="1"/>
  <c r="AE18" i="71" s="1"/>
  <c r="AE18" i="73" s="1"/>
  <c r="AE18" i="74" s="1"/>
  <c r="AE18" i="76" s="1"/>
  <c r="AE18" i="77" s="1"/>
  <c r="AE18" i="78" s="1"/>
  <c r="AE18" i="79" s="1"/>
  <c r="AB18" i="35"/>
  <c r="AB18" i="37" s="1"/>
  <c r="AB18" i="38" s="1"/>
  <c r="AB18" i="39" s="1"/>
  <c r="AB18" i="41" s="1"/>
  <c r="AB18" i="42" s="1"/>
  <c r="Y18" i="35"/>
  <c r="Y18" i="37" s="1"/>
  <c r="Y18" i="38" s="1"/>
  <c r="Y18" i="39" s="1"/>
  <c r="Y18" i="41" s="1"/>
  <c r="Y18" i="42" s="1"/>
  <c r="V18" i="35"/>
  <c r="V18" i="37" s="1"/>
  <c r="V18" i="38" s="1"/>
  <c r="V18" i="39" s="1"/>
  <c r="V18" i="41" s="1"/>
  <c r="V18" i="42" s="1"/>
  <c r="S18" i="35"/>
  <c r="S18" i="37" s="1"/>
  <c r="S18" i="38" s="1"/>
  <c r="S18" i="39" s="1"/>
  <c r="S18" i="41" s="1"/>
  <c r="S18" i="42" s="1"/>
  <c r="P18" i="35"/>
  <c r="P18" i="37" s="1"/>
  <c r="P18" i="38" s="1"/>
  <c r="P18" i="39" s="1"/>
  <c r="P18" i="41" s="1"/>
  <c r="P18" i="42" s="1"/>
  <c r="M18" i="35"/>
  <c r="M18" i="37" s="1"/>
  <c r="M18" i="38" s="1"/>
  <c r="M18" i="39" s="1"/>
  <c r="M18" i="41" s="1"/>
  <c r="M18" i="42" s="1"/>
  <c r="J18" i="35"/>
  <c r="J18" i="37" s="1"/>
  <c r="J18" i="38" s="1"/>
  <c r="J18" i="39" s="1"/>
  <c r="J18" i="41" s="1"/>
  <c r="J18" i="42" s="1"/>
  <c r="G18" i="35"/>
  <c r="G18" i="37" s="1"/>
  <c r="C18" i="35"/>
  <c r="B18" i="35"/>
  <c r="BQ17" i="35"/>
  <c r="BQ17" i="37" s="1"/>
  <c r="BQ17" i="38" s="1"/>
  <c r="BQ17" i="39" s="1"/>
  <c r="BQ17" i="41" s="1"/>
  <c r="BQ17" i="42" s="1"/>
  <c r="BN17" i="35"/>
  <c r="BN17" i="37" s="1"/>
  <c r="BN17" i="38" s="1"/>
  <c r="BN17" i="39" s="1"/>
  <c r="BN17" i="41" s="1"/>
  <c r="BN17" i="42" s="1"/>
  <c r="BL17" i="35"/>
  <c r="BL17" i="37" s="1"/>
  <c r="BL17" i="38" s="1"/>
  <c r="BL17" i="39" s="1"/>
  <c r="BL17" i="41" s="1"/>
  <c r="BL17" i="42" s="1"/>
  <c r="BJ17" i="35"/>
  <c r="BJ17" i="37" s="1"/>
  <c r="BJ17" i="38" s="1"/>
  <c r="BJ17" i="39" s="1"/>
  <c r="BJ17" i="41" s="1"/>
  <c r="BJ17" i="42" s="1"/>
  <c r="BH17" i="35"/>
  <c r="BH17" i="37" s="1"/>
  <c r="BH17" i="38" s="1"/>
  <c r="BH17" i="39" s="1"/>
  <c r="BH17" i="41" s="1"/>
  <c r="BH17" i="42" s="1"/>
  <c r="BF17" i="35"/>
  <c r="BF17" i="37" s="1"/>
  <c r="BC17" i="35"/>
  <c r="BB17" i="35"/>
  <c r="BB17" i="37" s="1"/>
  <c r="BB17" i="38" s="1"/>
  <c r="BB17" i="39" s="1"/>
  <c r="BB17" i="41" s="1"/>
  <c r="BB17" i="42" s="1"/>
  <c r="AZ17" i="35"/>
  <c r="AZ17" i="37" s="1"/>
  <c r="AZ17" i="38" s="1"/>
  <c r="AZ17" i="39" s="1"/>
  <c r="AZ17" i="41" s="1"/>
  <c r="AZ17" i="42" s="1"/>
  <c r="AX17" i="35"/>
  <c r="AX17" i="37" s="1"/>
  <c r="AX17" i="38" s="1"/>
  <c r="AX17" i="39" s="1"/>
  <c r="AX17" i="41" s="1"/>
  <c r="AX17" i="42" s="1"/>
  <c r="AV17" i="35"/>
  <c r="AV17" i="37" s="1"/>
  <c r="AV17" i="38" s="1"/>
  <c r="AV17" i="39" s="1"/>
  <c r="AV17" i="41" s="1"/>
  <c r="AV17" i="42" s="1"/>
  <c r="AT17" i="35"/>
  <c r="AT17" i="37" s="1"/>
  <c r="AQ17" i="35"/>
  <c r="AO17" i="35"/>
  <c r="AO17" i="37" s="1"/>
  <c r="AO17" i="38" s="1"/>
  <c r="AO17" i="39" s="1"/>
  <c r="AO17" i="41" s="1"/>
  <c r="AO17" i="42" s="1"/>
  <c r="AM17" i="35"/>
  <c r="AM17" i="37" s="1"/>
  <c r="AM17" i="38" s="1"/>
  <c r="AM17" i="39" s="1"/>
  <c r="AM17" i="41" s="1"/>
  <c r="AM17" i="42" s="1"/>
  <c r="AK17" i="35"/>
  <c r="AK17" i="37" s="1"/>
  <c r="AK17" i="38" s="1"/>
  <c r="AK17" i="39" s="1"/>
  <c r="AK17" i="41" s="1"/>
  <c r="AK17" i="42" s="1"/>
  <c r="AI17" i="35"/>
  <c r="AI17" i="37" s="1"/>
  <c r="AF17" i="35"/>
  <c r="AE17" i="35"/>
  <c r="AE17" i="37" s="1"/>
  <c r="AE17" i="38" s="1"/>
  <c r="AE17" i="39" s="1"/>
  <c r="AE17" i="41" s="1"/>
  <c r="AE17" i="42" s="1"/>
  <c r="AB17" i="35"/>
  <c r="AB17" i="37" s="1"/>
  <c r="AB17" i="38" s="1"/>
  <c r="AB17" i="39" s="1"/>
  <c r="AB17" i="41" s="1"/>
  <c r="AB17" i="42" s="1"/>
  <c r="Y17" i="35"/>
  <c r="Y17" i="37" s="1"/>
  <c r="Y17" i="38" s="1"/>
  <c r="Y17" i="39" s="1"/>
  <c r="Y17" i="41" s="1"/>
  <c r="Y17" i="42" s="1"/>
  <c r="V17" i="35"/>
  <c r="V17" i="37" s="1"/>
  <c r="V17" i="38" s="1"/>
  <c r="V17" i="39" s="1"/>
  <c r="V17" i="41" s="1"/>
  <c r="V17" i="42" s="1"/>
  <c r="V17" i="81" s="1"/>
  <c r="V17" i="48" s="1"/>
  <c r="V17" i="49" s="1"/>
  <c r="V17" i="50" s="1"/>
  <c r="V17" i="51" s="1"/>
  <c r="V17" i="52" s="1"/>
  <c r="V17" i="53" s="1"/>
  <c r="V17" i="54" s="1"/>
  <c r="V17" i="55" s="1"/>
  <c r="V17" i="56" s="1"/>
  <c r="V17" i="57" s="1"/>
  <c r="V17" i="58" s="1"/>
  <c r="V17" i="61" s="1"/>
  <c r="V17" i="62" s="1"/>
  <c r="V17" i="63" s="1"/>
  <c r="V17" i="64" s="1"/>
  <c r="V17" i="65" s="1"/>
  <c r="V17" i="66" s="1"/>
  <c r="V17" i="67" s="1"/>
  <c r="V17" i="68" s="1"/>
  <c r="V17" i="69" s="1"/>
  <c r="V17" i="70" s="1"/>
  <c r="V17" i="71" s="1"/>
  <c r="V17" i="73" s="1"/>
  <c r="V17" i="74" s="1"/>
  <c r="V17" i="76" s="1"/>
  <c r="V17" i="77" s="1"/>
  <c r="V17" i="78" s="1"/>
  <c r="V17" i="79" s="1"/>
  <c r="S17" i="35"/>
  <c r="P17" i="35"/>
  <c r="P17" i="37" s="1"/>
  <c r="P17" i="38" s="1"/>
  <c r="P17" i="39" s="1"/>
  <c r="P17" i="41" s="1"/>
  <c r="P17" i="42" s="1"/>
  <c r="M17" i="35"/>
  <c r="M17" i="37" s="1"/>
  <c r="M17" i="38" s="1"/>
  <c r="M17" i="39" s="1"/>
  <c r="M17" i="41" s="1"/>
  <c r="M17" i="42" s="1"/>
  <c r="J17" i="35"/>
  <c r="J17" i="37" s="1"/>
  <c r="J17" i="38" s="1"/>
  <c r="J17" i="39" s="1"/>
  <c r="J17" i="41" s="1"/>
  <c r="J17" i="42" s="1"/>
  <c r="G17" i="35"/>
  <c r="G17" i="37" s="1"/>
  <c r="C17" i="35"/>
  <c r="B17" i="35"/>
  <c r="BQ16" i="35"/>
  <c r="BQ16" i="37" s="1"/>
  <c r="BQ16" i="38" s="1"/>
  <c r="BQ16" i="39" s="1"/>
  <c r="BQ16" i="41" s="1"/>
  <c r="BQ16" i="42" s="1"/>
  <c r="BN16" i="35"/>
  <c r="BN16" i="37" s="1"/>
  <c r="BN16" i="38" s="1"/>
  <c r="BN16" i="39" s="1"/>
  <c r="BN16" i="41" s="1"/>
  <c r="BN16" i="42" s="1"/>
  <c r="BL16" i="35"/>
  <c r="BL16" i="37" s="1"/>
  <c r="BL16" i="38" s="1"/>
  <c r="BL16" i="39" s="1"/>
  <c r="BL16" i="41" s="1"/>
  <c r="BL16" i="42" s="1"/>
  <c r="BJ16" i="35"/>
  <c r="BJ16" i="37" s="1"/>
  <c r="BJ16" i="38" s="1"/>
  <c r="BJ16" i="39" s="1"/>
  <c r="BJ16" i="41" s="1"/>
  <c r="BJ16" i="42" s="1"/>
  <c r="BH16" i="35"/>
  <c r="BH16" i="37" s="1"/>
  <c r="BH16" i="38" s="1"/>
  <c r="BH16" i="39" s="1"/>
  <c r="BH16" i="41" s="1"/>
  <c r="BH16" i="42" s="1"/>
  <c r="BF16" i="35"/>
  <c r="BF16" i="37" s="1"/>
  <c r="BC16" i="35"/>
  <c r="BB16" i="35"/>
  <c r="BB16" i="37" s="1"/>
  <c r="BB16" i="38" s="1"/>
  <c r="BB16" i="39" s="1"/>
  <c r="BB16" i="41" s="1"/>
  <c r="BB16" i="42" s="1"/>
  <c r="AZ16" i="35"/>
  <c r="AZ16" i="37" s="1"/>
  <c r="AZ16" i="38" s="1"/>
  <c r="AZ16" i="39" s="1"/>
  <c r="AZ16" i="41" s="1"/>
  <c r="AZ16" i="42" s="1"/>
  <c r="AX16" i="35"/>
  <c r="AX16" i="37" s="1"/>
  <c r="AX16" i="38" s="1"/>
  <c r="AX16" i="39" s="1"/>
  <c r="AX16" i="41" s="1"/>
  <c r="AX16" i="42" s="1"/>
  <c r="AV16" i="35"/>
  <c r="AV16" i="37" s="1"/>
  <c r="AV16" i="38" s="1"/>
  <c r="AV16" i="39" s="1"/>
  <c r="AV16" i="41" s="1"/>
  <c r="AV16" i="42" s="1"/>
  <c r="AT16" i="35"/>
  <c r="AT16" i="37" s="1"/>
  <c r="AQ16" i="35"/>
  <c r="AO16" i="35"/>
  <c r="AO16" i="37" s="1"/>
  <c r="AO16" i="38" s="1"/>
  <c r="AO16" i="39" s="1"/>
  <c r="AO16" i="41" s="1"/>
  <c r="AO16" i="42" s="1"/>
  <c r="AM16" i="35"/>
  <c r="AM16" i="37" s="1"/>
  <c r="AM16" i="38" s="1"/>
  <c r="AM16" i="39" s="1"/>
  <c r="AM16" i="41" s="1"/>
  <c r="AM16" i="42" s="1"/>
  <c r="AK16" i="35"/>
  <c r="AK16" i="37" s="1"/>
  <c r="AK16" i="38" s="1"/>
  <c r="AK16" i="39" s="1"/>
  <c r="AK16" i="41" s="1"/>
  <c r="AK16" i="42" s="1"/>
  <c r="AI16" i="35"/>
  <c r="AI16" i="37" s="1"/>
  <c r="AF16" i="35"/>
  <c r="AE16" i="35"/>
  <c r="AE16" i="37" s="1"/>
  <c r="AE16" i="38" s="1"/>
  <c r="AE16" i="39" s="1"/>
  <c r="AE16" i="41" s="1"/>
  <c r="AE16" i="42" s="1"/>
  <c r="AB16" i="35"/>
  <c r="AB16" i="37" s="1"/>
  <c r="AB16" i="38" s="1"/>
  <c r="AB16" i="39" s="1"/>
  <c r="AB16" i="41" s="1"/>
  <c r="AB16" i="42" s="1"/>
  <c r="Y16" i="35"/>
  <c r="Y16" i="37" s="1"/>
  <c r="Y16" i="38" s="1"/>
  <c r="Y16" i="39" s="1"/>
  <c r="Y16" i="41" s="1"/>
  <c r="Y16" i="42" s="1"/>
  <c r="V16" i="35"/>
  <c r="V16" i="37" s="1"/>
  <c r="V16" i="38" s="1"/>
  <c r="V16" i="39" s="1"/>
  <c r="V16" i="41" s="1"/>
  <c r="V16" i="42" s="1"/>
  <c r="S16" i="35"/>
  <c r="S16" i="37" s="1"/>
  <c r="S16" i="38" s="1"/>
  <c r="S16" i="39" s="1"/>
  <c r="S16" i="41" s="1"/>
  <c r="S16" i="42" s="1"/>
  <c r="P16" i="35"/>
  <c r="P16" i="37" s="1"/>
  <c r="P16" i="38" s="1"/>
  <c r="P16" i="39" s="1"/>
  <c r="P16" i="41" s="1"/>
  <c r="P16" i="42" s="1"/>
  <c r="M16" i="35"/>
  <c r="M16" i="37" s="1"/>
  <c r="M16" i="38" s="1"/>
  <c r="M16" i="39" s="1"/>
  <c r="M16" i="41" s="1"/>
  <c r="M16" i="42" s="1"/>
  <c r="M16" i="81" s="1"/>
  <c r="M16" i="48" s="1"/>
  <c r="M16" i="49" s="1"/>
  <c r="M16" i="50" s="1"/>
  <c r="M16" i="51" s="1"/>
  <c r="M16" i="52" s="1"/>
  <c r="M16" i="53" s="1"/>
  <c r="M16" i="54" s="1"/>
  <c r="M16" i="55" s="1"/>
  <c r="M16" i="56" s="1"/>
  <c r="M16" i="57" s="1"/>
  <c r="M16" i="58" s="1"/>
  <c r="M16" i="61" s="1"/>
  <c r="M16" i="62" s="1"/>
  <c r="M16" i="63" s="1"/>
  <c r="M16" i="64" s="1"/>
  <c r="M16" i="65" s="1"/>
  <c r="M16" i="66" s="1"/>
  <c r="M16" i="67" s="1"/>
  <c r="M16" i="68" s="1"/>
  <c r="M16" i="69" s="1"/>
  <c r="M16" i="70" s="1"/>
  <c r="M16" i="71" s="1"/>
  <c r="M16" i="73" s="1"/>
  <c r="M16" i="74" s="1"/>
  <c r="M16" i="76" s="1"/>
  <c r="M16" i="77" s="1"/>
  <c r="M16" i="78" s="1"/>
  <c r="M16" i="79" s="1"/>
  <c r="J16" i="35"/>
  <c r="J16" i="37" s="1"/>
  <c r="J16" i="38" s="1"/>
  <c r="J16" i="39" s="1"/>
  <c r="J16" i="41" s="1"/>
  <c r="J16" i="42" s="1"/>
  <c r="J16" i="81" s="1"/>
  <c r="J16" i="48" s="1"/>
  <c r="J16" i="49" s="1"/>
  <c r="J16" i="50" s="1"/>
  <c r="J16" i="51" s="1"/>
  <c r="J16" i="52" s="1"/>
  <c r="J16" i="53" s="1"/>
  <c r="J16" i="54" s="1"/>
  <c r="J16" i="55" s="1"/>
  <c r="J16" i="56" s="1"/>
  <c r="J16" i="57" s="1"/>
  <c r="J16" i="58" s="1"/>
  <c r="J16" i="61" s="1"/>
  <c r="J16" i="62" s="1"/>
  <c r="J16" i="63" s="1"/>
  <c r="J16" i="64" s="1"/>
  <c r="J16" i="65" s="1"/>
  <c r="J16" i="66" s="1"/>
  <c r="J16" i="67" s="1"/>
  <c r="J16" i="68" s="1"/>
  <c r="J16" i="69" s="1"/>
  <c r="J16" i="70" s="1"/>
  <c r="J16" i="71" s="1"/>
  <c r="J16" i="73" s="1"/>
  <c r="J16" i="74" s="1"/>
  <c r="J16" i="76" s="1"/>
  <c r="J16" i="77" s="1"/>
  <c r="J16" i="78" s="1"/>
  <c r="J16" i="79" s="1"/>
  <c r="G16" i="35"/>
  <c r="G16" i="37" s="1"/>
  <c r="C16" i="35"/>
  <c r="B16" i="35"/>
  <c r="BQ15" i="35"/>
  <c r="BQ15" i="37" s="1"/>
  <c r="BQ15" i="38" s="1"/>
  <c r="BQ15" i="39" s="1"/>
  <c r="BQ15" i="41" s="1"/>
  <c r="BQ15" i="42" s="1"/>
  <c r="BN15" i="35"/>
  <c r="BN15" i="37" s="1"/>
  <c r="BN15" i="38" s="1"/>
  <c r="BN15" i="39" s="1"/>
  <c r="BN15" i="41" s="1"/>
  <c r="BN15" i="42" s="1"/>
  <c r="BL15" i="35"/>
  <c r="BL15" i="37" s="1"/>
  <c r="BL15" i="38" s="1"/>
  <c r="BL15" i="39" s="1"/>
  <c r="BL15" i="41" s="1"/>
  <c r="BL15" i="42" s="1"/>
  <c r="BJ15" i="35"/>
  <c r="BJ15" i="37" s="1"/>
  <c r="BJ15" i="38" s="1"/>
  <c r="BJ15" i="39" s="1"/>
  <c r="BJ15" i="41" s="1"/>
  <c r="BJ15" i="42" s="1"/>
  <c r="BH15" i="35"/>
  <c r="BH15" i="37" s="1"/>
  <c r="BH15" i="38" s="1"/>
  <c r="BH15" i="39" s="1"/>
  <c r="BH15" i="41" s="1"/>
  <c r="BH15" i="42" s="1"/>
  <c r="BF15" i="35"/>
  <c r="BF15" i="37" s="1"/>
  <c r="BC15" i="35"/>
  <c r="BB15" i="35"/>
  <c r="BB15" i="37" s="1"/>
  <c r="BB15" i="38" s="1"/>
  <c r="BB15" i="39" s="1"/>
  <c r="BB15" i="41" s="1"/>
  <c r="BB15" i="42" s="1"/>
  <c r="AZ15" i="35"/>
  <c r="AZ15" i="37" s="1"/>
  <c r="AZ15" i="38" s="1"/>
  <c r="AZ15" i="39" s="1"/>
  <c r="AZ15" i="41" s="1"/>
  <c r="AZ15" i="42" s="1"/>
  <c r="AX15" i="35"/>
  <c r="AX15" i="37" s="1"/>
  <c r="AX15" i="38" s="1"/>
  <c r="AX15" i="39" s="1"/>
  <c r="AX15" i="41" s="1"/>
  <c r="AX15" i="42" s="1"/>
  <c r="AV15" i="35"/>
  <c r="AV15" i="37" s="1"/>
  <c r="AV15" i="38" s="1"/>
  <c r="AV15" i="39" s="1"/>
  <c r="AV15" i="41" s="1"/>
  <c r="AV15" i="42" s="1"/>
  <c r="AT15" i="35"/>
  <c r="AT15" i="37" s="1"/>
  <c r="AQ15" i="35"/>
  <c r="AO15" i="35"/>
  <c r="AO15" i="37" s="1"/>
  <c r="AO15" i="38" s="1"/>
  <c r="AO15" i="39" s="1"/>
  <c r="AO15" i="41" s="1"/>
  <c r="AO15" i="42" s="1"/>
  <c r="AM15" i="35"/>
  <c r="AM15" i="37" s="1"/>
  <c r="AM15" i="38" s="1"/>
  <c r="AM15" i="39" s="1"/>
  <c r="AM15" i="41" s="1"/>
  <c r="AM15" i="42" s="1"/>
  <c r="AI15" i="35"/>
  <c r="AI15" i="37" s="1"/>
  <c r="AF15" i="35"/>
  <c r="AE15" i="35"/>
  <c r="AE15" i="37" s="1"/>
  <c r="AE15" i="38" s="1"/>
  <c r="AE15" i="39" s="1"/>
  <c r="AE15" i="41" s="1"/>
  <c r="AE15" i="42" s="1"/>
  <c r="AB15" i="35"/>
  <c r="AB15" i="37" s="1"/>
  <c r="AB15" i="38" s="1"/>
  <c r="AB15" i="39" s="1"/>
  <c r="AB15" i="41" s="1"/>
  <c r="AB15" i="42" s="1"/>
  <c r="Y15" i="35"/>
  <c r="Y15" i="37" s="1"/>
  <c r="Y15" i="38" s="1"/>
  <c r="Y15" i="39" s="1"/>
  <c r="Y15" i="41" s="1"/>
  <c r="Y15" i="42" s="1"/>
  <c r="Y15" i="81" s="1"/>
  <c r="Y15" i="48" s="1"/>
  <c r="Y15" i="49" s="1"/>
  <c r="Y15" i="50" s="1"/>
  <c r="Y15" i="51" s="1"/>
  <c r="Y15" i="52" s="1"/>
  <c r="Y15" i="53" s="1"/>
  <c r="Y15" i="54" s="1"/>
  <c r="Y15" i="55" s="1"/>
  <c r="Y15" i="56" s="1"/>
  <c r="Y15" i="57" s="1"/>
  <c r="Y15" i="58" s="1"/>
  <c r="Y15" i="61" s="1"/>
  <c r="Y15" i="62" s="1"/>
  <c r="Y15" i="63" s="1"/>
  <c r="Y15" i="64" s="1"/>
  <c r="Y15" i="65" s="1"/>
  <c r="Y15" i="66" s="1"/>
  <c r="Y15" i="67" s="1"/>
  <c r="Y15" i="68" s="1"/>
  <c r="Y15" i="69" s="1"/>
  <c r="Y15" i="70" s="1"/>
  <c r="Y15" i="71" s="1"/>
  <c r="Y15" i="73" s="1"/>
  <c r="Y15" i="74" s="1"/>
  <c r="Y15" i="76" s="1"/>
  <c r="Y15" i="77" s="1"/>
  <c r="Y15" i="78" s="1"/>
  <c r="Y15" i="79" s="1"/>
  <c r="V15" i="35"/>
  <c r="V15" i="37" s="1"/>
  <c r="V15" i="38" s="1"/>
  <c r="V15" i="39" s="1"/>
  <c r="V15" i="41" s="1"/>
  <c r="V15" i="42" s="1"/>
  <c r="S15" i="35"/>
  <c r="S15" i="37" s="1"/>
  <c r="S15" i="38" s="1"/>
  <c r="S15" i="39" s="1"/>
  <c r="S15" i="41" s="1"/>
  <c r="S15" i="42" s="1"/>
  <c r="P15" i="35"/>
  <c r="P15" i="37" s="1"/>
  <c r="P15" i="38" s="1"/>
  <c r="P15" i="39" s="1"/>
  <c r="P15" i="41" s="1"/>
  <c r="P15" i="42" s="1"/>
  <c r="P15" i="81" s="1"/>
  <c r="P15" i="48" s="1"/>
  <c r="P15" i="49" s="1"/>
  <c r="P15" i="50" s="1"/>
  <c r="P15" i="51" s="1"/>
  <c r="P15" i="52" s="1"/>
  <c r="P15" i="53" s="1"/>
  <c r="P15" i="54" s="1"/>
  <c r="P15" i="55" s="1"/>
  <c r="P15" i="56" s="1"/>
  <c r="P15" i="57" s="1"/>
  <c r="P15" i="58" s="1"/>
  <c r="P15" i="61" s="1"/>
  <c r="P15" i="62" s="1"/>
  <c r="P15" i="63" s="1"/>
  <c r="P15" i="64" s="1"/>
  <c r="P15" i="65" s="1"/>
  <c r="P15" i="66" s="1"/>
  <c r="P15" i="67" s="1"/>
  <c r="P15" i="68" s="1"/>
  <c r="P15" i="69" s="1"/>
  <c r="P15" i="70" s="1"/>
  <c r="P15" i="71" s="1"/>
  <c r="P15" i="73" s="1"/>
  <c r="P15" i="74" s="1"/>
  <c r="P15" i="76" s="1"/>
  <c r="P15" i="77" s="1"/>
  <c r="P15" i="78" s="1"/>
  <c r="P15" i="79" s="1"/>
  <c r="M15" i="35"/>
  <c r="M15" i="37" s="1"/>
  <c r="M15" i="38" s="1"/>
  <c r="M15" i="39" s="1"/>
  <c r="M15" i="41" s="1"/>
  <c r="M15" i="42" s="1"/>
  <c r="J15" i="35"/>
  <c r="J15" i="37" s="1"/>
  <c r="J15" i="38" s="1"/>
  <c r="J15" i="39" s="1"/>
  <c r="J15" i="41" s="1"/>
  <c r="J15" i="42" s="1"/>
  <c r="G15" i="35"/>
  <c r="G15" i="37" s="1"/>
  <c r="C15" i="35"/>
  <c r="B15" i="35"/>
  <c r="BQ14" i="35"/>
  <c r="BQ14" i="37" s="1"/>
  <c r="BQ14" i="38" s="1"/>
  <c r="BQ14" i="39" s="1"/>
  <c r="BQ14" i="41" s="1"/>
  <c r="BQ14" i="42" s="1"/>
  <c r="BN14" i="35"/>
  <c r="BN14" i="37" s="1"/>
  <c r="BN14" i="38" s="1"/>
  <c r="BN14" i="39" s="1"/>
  <c r="BN14" i="41" s="1"/>
  <c r="BN14" i="42" s="1"/>
  <c r="BL14" i="35"/>
  <c r="BL14" i="37" s="1"/>
  <c r="BL14" i="38" s="1"/>
  <c r="BL14" i="39" s="1"/>
  <c r="BL14" i="41" s="1"/>
  <c r="BL14" i="42" s="1"/>
  <c r="BJ14" i="35"/>
  <c r="BJ14" i="37" s="1"/>
  <c r="BJ14" i="38" s="1"/>
  <c r="BJ14" i="39" s="1"/>
  <c r="BJ14" i="41" s="1"/>
  <c r="BJ14" i="42" s="1"/>
  <c r="BH14" i="35"/>
  <c r="BH14" i="37" s="1"/>
  <c r="BH14" i="38" s="1"/>
  <c r="BH14" i="39" s="1"/>
  <c r="BH14" i="41" s="1"/>
  <c r="BH14" i="42" s="1"/>
  <c r="BF14" i="35"/>
  <c r="BC14" i="35"/>
  <c r="BB14" i="35"/>
  <c r="BB14" i="37" s="1"/>
  <c r="BB14" i="38" s="1"/>
  <c r="BB14" i="39" s="1"/>
  <c r="BB14" i="41" s="1"/>
  <c r="BB14" i="42" s="1"/>
  <c r="BB14" i="81" s="1"/>
  <c r="BB14" i="48" s="1"/>
  <c r="BB14" i="49" s="1"/>
  <c r="BB14" i="50" s="1"/>
  <c r="BB14" i="51" s="1"/>
  <c r="BB14" i="52" s="1"/>
  <c r="BB14" i="53" s="1"/>
  <c r="BB14" i="54" s="1"/>
  <c r="BB14" i="55" s="1"/>
  <c r="BB14" i="56" s="1"/>
  <c r="BB14" i="57" s="1"/>
  <c r="BB14" i="58" s="1"/>
  <c r="BB14" i="61" s="1"/>
  <c r="BB14" i="62" s="1"/>
  <c r="BB14" i="63" s="1"/>
  <c r="BB14" i="64" s="1"/>
  <c r="BB14" i="65" s="1"/>
  <c r="BB14" i="66" s="1"/>
  <c r="BB14" i="67" s="1"/>
  <c r="BB14" i="68" s="1"/>
  <c r="BB14" i="69" s="1"/>
  <c r="BB14" i="70" s="1"/>
  <c r="BB14" i="71" s="1"/>
  <c r="BB14" i="73" s="1"/>
  <c r="BB14" i="74" s="1"/>
  <c r="BB14" i="76" s="1"/>
  <c r="BB14" i="77" s="1"/>
  <c r="BB14" i="78" s="1"/>
  <c r="BB14" i="79" s="1"/>
  <c r="AZ14" i="35"/>
  <c r="AZ14" i="37" s="1"/>
  <c r="AZ14" i="38" s="1"/>
  <c r="AZ14" i="39" s="1"/>
  <c r="AZ14" i="41" s="1"/>
  <c r="AZ14" i="42" s="1"/>
  <c r="AX14" i="35"/>
  <c r="AX14" i="37" s="1"/>
  <c r="AX14" i="38" s="1"/>
  <c r="AX14" i="39" s="1"/>
  <c r="AX14" i="41" s="1"/>
  <c r="AX14" i="42" s="1"/>
  <c r="AT14" i="35"/>
  <c r="AQ14" i="35"/>
  <c r="AO14" i="35"/>
  <c r="AO14" i="37" s="1"/>
  <c r="AO14" i="38" s="1"/>
  <c r="AO14" i="39" s="1"/>
  <c r="AO14" i="41" s="1"/>
  <c r="AO14" i="42" s="1"/>
  <c r="AM14" i="35"/>
  <c r="AM14" i="37" s="1"/>
  <c r="AM14" i="38" s="1"/>
  <c r="AM14" i="39" s="1"/>
  <c r="AM14" i="41" s="1"/>
  <c r="AM14" i="42" s="1"/>
  <c r="AK14" i="35"/>
  <c r="AK14" i="37" s="1"/>
  <c r="AK14" i="38" s="1"/>
  <c r="AK14" i="39" s="1"/>
  <c r="AK14" i="41" s="1"/>
  <c r="AK14" i="42" s="1"/>
  <c r="AK14" i="81" s="1"/>
  <c r="AK14" i="48" s="1"/>
  <c r="AK14" i="49" s="1"/>
  <c r="AK14" i="50" s="1"/>
  <c r="AK14" i="51" s="1"/>
  <c r="AK14" i="52" s="1"/>
  <c r="AK14" i="53" s="1"/>
  <c r="AK14" i="54" s="1"/>
  <c r="AK14" i="55" s="1"/>
  <c r="AK14" i="56" s="1"/>
  <c r="AK14" i="57" s="1"/>
  <c r="AK14" i="58" s="1"/>
  <c r="AK14" i="61" s="1"/>
  <c r="AK14" i="62" s="1"/>
  <c r="AK14" i="63" s="1"/>
  <c r="AK14" i="64" s="1"/>
  <c r="AK14" i="65" s="1"/>
  <c r="AK14" i="66" s="1"/>
  <c r="AK14" i="67" s="1"/>
  <c r="AK14" i="68" s="1"/>
  <c r="AK14" i="69" s="1"/>
  <c r="AK14" i="70" s="1"/>
  <c r="AK14" i="71" s="1"/>
  <c r="AK14" i="73" s="1"/>
  <c r="AK14" i="74" s="1"/>
  <c r="AK14" i="76" s="1"/>
  <c r="AK14" i="77" s="1"/>
  <c r="AK14" i="78" s="1"/>
  <c r="AK14" i="79" s="1"/>
  <c r="AI14" i="35"/>
  <c r="AI14" i="37" s="1"/>
  <c r="AF14" i="35"/>
  <c r="AE14" i="35"/>
  <c r="AE14" i="37" s="1"/>
  <c r="AE14" i="38" s="1"/>
  <c r="AE14" i="39" s="1"/>
  <c r="AE14" i="41" s="1"/>
  <c r="AE14" i="42" s="1"/>
  <c r="AB14" i="35"/>
  <c r="AB14" i="37" s="1"/>
  <c r="AB14" i="38" s="1"/>
  <c r="AB14" i="39" s="1"/>
  <c r="AB14" i="41" s="1"/>
  <c r="AB14" i="42" s="1"/>
  <c r="Y14" i="35"/>
  <c r="Y14" i="37" s="1"/>
  <c r="Y14" i="38" s="1"/>
  <c r="Y14" i="39" s="1"/>
  <c r="Y14" i="41" s="1"/>
  <c r="Y14" i="42" s="1"/>
  <c r="V14" i="35"/>
  <c r="V14" i="37" s="1"/>
  <c r="V14" i="38" s="1"/>
  <c r="V14" i="39" s="1"/>
  <c r="V14" i="41" s="1"/>
  <c r="V14" i="42" s="1"/>
  <c r="S14" i="35"/>
  <c r="S14" i="37" s="1"/>
  <c r="S14" i="38" s="1"/>
  <c r="S14" i="39" s="1"/>
  <c r="S14" i="41" s="1"/>
  <c r="S14" i="42" s="1"/>
  <c r="P14" i="35"/>
  <c r="P14" i="37" s="1"/>
  <c r="P14" i="38" s="1"/>
  <c r="P14" i="39" s="1"/>
  <c r="P14" i="41" s="1"/>
  <c r="P14" i="42" s="1"/>
  <c r="M14" i="35"/>
  <c r="M14" i="37" s="1"/>
  <c r="M14" i="38" s="1"/>
  <c r="M14" i="39" s="1"/>
  <c r="M14" i="41" s="1"/>
  <c r="M14" i="42" s="1"/>
  <c r="M14" i="81" s="1"/>
  <c r="M14" i="48" s="1"/>
  <c r="M14" i="49" s="1"/>
  <c r="M14" i="50" s="1"/>
  <c r="M14" i="51" s="1"/>
  <c r="M14" i="52" s="1"/>
  <c r="M14" i="53" s="1"/>
  <c r="M14" i="54" s="1"/>
  <c r="M14" i="55" s="1"/>
  <c r="M14" i="56" s="1"/>
  <c r="M14" i="57" s="1"/>
  <c r="M14" i="58" s="1"/>
  <c r="M14" i="61" s="1"/>
  <c r="M14" i="62" s="1"/>
  <c r="M14" i="63" s="1"/>
  <c r="M14" i="64" s="1"/>
  <c r="M14" i="65" s="1"/>
  <c r="M14" i="66" s="1"/>
  <c r="M14" i="67" s="1"/>
  <c r="M14" i="68" s="1"/>
  <c r="M14" i="69" s="1"/>
  <c r="M14" i="70" s="1"/>
  <c r="M14" i="71" s="1"/>
  <c r="M14" i="73" s="1"/>
  <c r="M14" i="74" s="1"/>
  <c r="M14" i="76" s="1"/>
  <c r="M14" i="77" s="1"/>
  <c r="M14" i="78" s="1"/>
  <c r="M14" i="79" s="1"/>
  <c r="J14" i="35"/>
  <c r="J14" i="37" s="1"/>
  <c r="J14" i="38" s="1"/>
  <c r="J14" i="39" s="1"/>
  <c r="J14" i="41" s="1"/>
  <c r="J14" i="42" s="1"/>
  <c r="G14" i="35"/>
  <c r="G14" i="37" s="1"/>
  <c r="C14" i="35"/>
  <c r="B14" i="35"/>
  <c r="BQ13" i="35"/>
  <c r="BQ13" i="37" s="1"/>
  <c r="BQ13" i="38" s="1"/>
  <c r="BQ13" i="39" s="1"/>
  <c r="BQ13" i="41" s="1"/>
  <c r="BQ13" i="42" s="1"/>
  <c r="BQ13" i="81" s="1"/>
  <c r="BQ13" i="48" s="1"/>
  <c r="BQ13" i="49" s="1"/>
  <c r="BQ13" i="50" s="1"/>
  <c r="BQ13" i="51" s="1"/>
  <c r="BQ13" i="52" s="1"/>
  <c r="BQ13" i="53" s="1"/>
  <c r="BQ13" i="54" s="1"/>
  <c r="BQ13" i="55" s="1"/>
  <c r="BQ13" i="56" s="1"/>
  <c r="BQ13" i="57" s="1"/>
  <c r="BQ13" i="58" s="1"/>
  <c r="BQ13" i="61" s="1"/>
  <c r="BQ13" i="62" s="1"/>
  <c r="BQ13" i="63" s="1"/>
  <c r="BQ13" i="64" s="1"/>
  <c r="BQ13" i="65" s="1"/>
  <c r="BQ13" i="66" s="1"/>
  <c r="BQ13" i="67" s="1"/>
  <c r="BQ13" i="68" s="1"/>
  <c r="BQ13" i="69" s="1"/>
  <c r="BQ13" i="70" s="1"/>
  <c r="BQ13" i="71" s="1"/>
  <c r="BQ13" i="73" s="1"/>
  <c r="BQ13" i="74" s="1"/>
  <c r="BQ13" i="76" s="1"/>
  <c r="BQ13" i="77" s="1"/>
  <c r="BQ13" i="78" s="1"/>
  <c r="BQ13" i="79" s="1"/>
  <c r="BN13" i="35"/>
  <c r="BN13" i="37" s="1"/>
  <c r="BN13" i="38" s="1"/>
  <c r="BN13" i="39" s="1"/>
  <c r="BN13" i="41" s="1"/>
  <c r="BN13" i="42" s="1"/>
  <c r="BL13" i="35"/>
  <c r="BL13" i="37" s="1"/>
  <c r="BL13" i="38" s="1"/>
  <c r="BL13" i="39" s="1"/>
  <c r="BL13" i="41" s="1"/>
  <c r="BL13" i="42" s="1"/>
  <c r="BJ13" i="35"/>
  <c r="BJ13" i="37" s="1"/>
  <c r="BJ13" i="38" s="1"/>
  <c r="BJ13" i="39" s="1"/>
  <c r="BJ13" i="41" s="1"/>
  <c r="BJ13" i="42" s="1"/>
  <c r="BJ13" i="81" s="1"/>
  <c r="BJ13" i="48" s="1"/>
  <c r="BJ13" i="49" s="1"/>
  <c r="BJ13" i="50" s="1"/>
  <c r="BJ13" i="51" s="1"/>
  <c r="BJ13" i="52" s="1"/>
  <c r="BJ13" i="53" s="1"/>
  <c r="BJ13" i="54" s="1"/>
  <c r="BJ13" i="55" s="1"/>
  <c r="BJ13" i="56" s="1"/>
  <c r="BJ13" i="57" s="1"/>
  <c r="BJ13" i="58" s="1"/>
  <c r="BJ13" i="61" s="1"/>
  <c r="BJ13" i="62" s="1"/>
  <c r="BJ13" i="63" s="1"/>
  <c r="BJ13" i="64" s="1"/>
  <c r="BJ13" i="65" s="1"/>
  <c r="BJ13" i="66" s="1"/>
  <c r="BJ13" i="67" s="1"/>
  <c r="BJ13" i="68" s="1"/>
  <c r="BJ13" i="69" s="1"/>
  <c r="BJ13" i="70" s="1"/>
  <c r="BJ13" i="71" s="1"/>
  <c r="BJ13" i="73" s="1"/>
  <c r="BJ13" i="74" s="1"/>
  <c r="BJ13" i="76" s="1"/>
  <c r="BJ13" i="77" s="1"/>
  <c r="BJ13" i="78" s="1"/>
  <c r="BJ13" i="79" s="1"/>
  <c r="BH13" i="35"/>
  <c r="BH13" i="37" s="1"/>
  <c r="BH13" i="38" s="1"/>
  <c r="BH13" i="39" s="1"/>
  <c r="BH13" i="41" s="1"/>
  <c r="BH13" i="42" s="1"/>
  <c r="BF13" i="35"/>
  <c r="BF13" i="37" s="1"/>
  <c r="BC13" i="35"/>
  <c r="BB13" i="35"/>
  <c r="AZ13" i="35"/>
  <c r="AZ13" i="37" s="1"/>
  <c r="AZ13" i="38" s="1"/>
  <c r="AZ13" i="39" s="1"/>
  <c r="AZ13" i="41" s="1"/>
  <c r="AZ13" i="42" s="1"/>
  <c r="AX13" i="35"/>
  <c r="AX13" i="37" s="1"/>
  <c r="AX13" i="38" s="1"/>
  <c r="AX13" i="39" s="1"/>
  <c r="AX13" i="41" s="1"/>
  <c r="AX13" i="42" s="1"/>
  <c r="AV13" i="35"/>
  <c r="AV13" i="37" s="1"/>
  <c r="AV13" i="38" s="1"/>
  <c r="AV13" i="39" s="1"/>
  <c r="AV13" i="41" s="1"/>
  <c r="AV13" i="42" s="1"/>
  <c r="AT13" i="35"/>
  <c r="AT13" i="37" s="1"/>
  <c r="AQ13" i="35"/>
  <c r="AO13" i="35"/>
  <c r="AO13" i="37" s="1"/>
  <c r="AO13" i="38" s="1"/>
  <c r="AO13" i="39" s="1"/>
  <c r="AO13" i="41" s="1"/>
  <c r="AO13" i="42" s="1"/>
  <c r="AM13" i="35"/>
  <c r="AM13" i="37" s="1"/>
  <c r="AM13" i="38" s="1"/>
  <c r="AM13" i="39" s="1"/>
  <c r="AM13" i="41" s="1"/>
  <c r="AM13" i="42" s="1"/>
  <c r="AK13" i="35"/>
  <c r="AK13" i="37" s="1"/>
  <c r="AK13" i="38" s="1"/>
  <c r="AK13" i="39" s="1"/>
  <c r="AK13" i="41" s="1"/>
  <c r="AK13" i="42" s="1"/>
  <c r="AI13" i="35"/>
  <c r="AI13" i="37" s="1"/>
  <c r="AF13" i="35"/>
  <c r="AE13" i="35"/>
  <c r="AE13" i="37" s="1"/>
  <c r="AE13" i="38" s="1"/>
  <c r="AE13" i="39" s="1"/>
  <c r="AE13" i="41" s="1"/>
  <c r="AE13" i="42" s="1"/>
  <c r="AB13" i="35"/>
  <c r="AB13" i="37" s="1"/>
  <c r="AB13" i="38" s="1"/>
  <c r="AB13" i="39" s="1"/>
  <c r="AB13" i="41" s="1"/>
  <c r="AB13" i="42" s="1"/>
  <c r="AB13" i="81" s="1"/>
  <c r="AB13" i="48" s="1"/>
  <c r="AB13" i="49" s="1"/>
  <c r="AB13" i="50" s="1"/>
  <c r="AB13" i="51" s="1"/>
  <c r="AB13" i="52" s="1"/>
  <c r="AB13" i="53" s="1"/>
  <c r="AB13" i="54" s="1"/>
  <c r="AB13" i="55" s="1"/>
  <c r="AB13" i="56" s="1"/>
  <c r="AB13" i="57" s="1"/>
  <c r="AB13" i="58" s="1"/>
  <c r="AB13" i="61" s="1"/>
  <c r="AB13" i="62" s="1"/>
  <c r="AB13" i="63" s="1"/>
  <c r="AB13" i="64" s="1"/>
  <c r="AB13" i="65" s="1"/>
  <c r="AB13" i="66" s="1"/>
  <c r="AB13" i="67" s="1"/>
  <c r="AB13" i="68" s="1"/>
  <c r="AB13" i="69" s="1"/>
  <c r="AB13" i="70" s="1"/>
  <c r="AB13" i="71" s="1"/>
  <c r="AB13" i="73" s="1"/>
  <c r="AB13" i="74" s="1"/>
  <c r="AB13" i="76" s="1"/>
  <c r="AB13" i="77" s="1"/>
  <c r="AB13" i="78" s="1"/>
  <c r="AB13" i="79" s="1"/>
  <c r="Y13" i="35"/>
  <c r="Y13" i="37" s="1"/>
  <c r="Y13" i="38" s="1"/>
  <c r="Y13" i="39" s="1"/>
  <c r="Y13" i="41" s="1"/>
  <c r="Y13" i="42" s="1"/>
  <c r="V13" i="35"/>
  <c r="V13" i="37" s="1"/>
  <c r="V13" i="38" s="1"/>
  <c r="V13" i="39" s="1"/>
  <c r="V13" i="41" s="1"/>
  <c r="V13" i="42" s="1"/>
  <c r="S13" i="35"/>
  <c r="S13" i="37" s="1"/>
  <c r="S13" i="38" s="1"/>
  <c r="S13" i="39" s="1"/>
  <c r="S13" i="41" s="1"/>
  <c r="S13" i="42" s="1"/>
  <c r="P13" i="35"/>
  <c r="P13" i="37" s="1"/>
  <c r="P13" i="38" s="1"/>
  <c r="P13" i="39" s="1"/>
  <c r="P13" i="41" s="1"/>
  <c r="P13" i="42" s="1"/>
  <c r="M13" i="35"/>
  <c r="M13" i="37" s="1"/>
  <c r="M13" i="38" s="1"/>
  <c r="M13" i="39" s="1"/>
  <c r="M13" i="41" s="1"/>
  <c r="M13" i="42" s="1"/>
  <c r="J13" i="35"/>
  <c r="J13" i="37" s="1"/>
  <c r="J13" i="38" s="1"/>
  <c r="J13" i="39" s="1"/>
  <c r="J13" i="41" s="1"/>
  <c r="J13" i="42" s="1"/>
  <c r="G13" i="35"/>
  <c r="G13" i="37" s="1"/>
  <c r="C13" i="35"/>
  <c r="B13" i="35"/>
  <c r="BQ12" i="35"/>
  <c r="BQ12" i="37" s="1"/>
  <c r="BQ12" i="38" s="1"/>
  <c r="BQ12" i="39" s="1"/>
  <c r="BQ12" i="41" s="1"/>
  <c r="BQ12" i="42" s="1"/>
  <c r="BN12" i="35"/>
  <c r="BN12" i="37" s="1"/>
  <c r="BN12" i="38" s="1"/>
  <c r="BN12" i="39" s="1"/>
  <c r="BN12" i="41" s="1"/>
  <c r="BN12" i="42" s="1"/>
  <c r="BL12" i="35"/>
  <c r="BL12" i="37" s="1"/>
  <c r="BL12" i="38" s="1"/>
  <c r="BL12" i="39" s="1"/>
  <c r="BL12" i="41" s="1"/>
  <c r="BL12" i="42" s="1"/>
  <c r="BJ12" i="35"/>
  <c r="BJ12" i="37" s="1"/>
  <c r="BJ12" i="38" s="1"/>
  <c r="BJ12" i="39" s="1"/>
  <c r="BJ12" i="41" s="1"/>
  <c r="BJ12" i="42" s="1"/>
  <c r="BH12" i="35"/>
  <c r="BH12" i="37" s="1"/>
  <c r="BH12" i="38" s="1"/>
  <c r="BH12" i="39" s="1"/>
  <c r="BH12" i="41" s="1"/>
  <c r="BH12" i="42" s="1"/>
  <c r="BF12" i="35"/>
  <c r="BF12" i="37" s="1"/>
  <c r="BC12" i="35"/>
  <c r="BB12" i="35"/>
  <c r="BB12" i="37" s="1"/>
  <c r="BB12" i="38" s="1"/>
  <c r="BB12" i="39" s="1"/>
  <c r="BB12" i="41" s="1"/>
  <c r="BB12" i="42" s="1"/>
  <c r="AZ12" i="35"/>
  <c r="AZ12" i="37" s="1"/>
  <c r="AZ12" i="38" s="1"/>
  <c r="AZ12" i="39" s="1"/>
  <c r="AZ12" i="41" s="1"/>
  <c r="AZ12" i="42" s="1"/>
  <c r="AX12" i="35"/>
  <c r="AX12" i="37" s="1"/>
  <c r="AX12" i="38" s="1"/>
  <c r="AX12" i="39" s="1"/>
  <c r="AX12" i="41" s="1"/>
  <c r="AX12" i="42" s="1"/>
  <c r="AV12" i="35"/>
  <c r="AV12" i="37" s="1"/>
  <c r="AV12" i="38" s="1"/>
  <c r="AV12" i="39" s="1"/>
  <c r="AV12" i="41" s="1"/>
  <c r="AV12" i="42" s="1"/>
  <c r="AT12" i="35"/>
  <c r="AT12" i="37" s="1"/>
  <c r="AQ12" i="35"/>
  <c r="AO12" i="35"/>
  <c r="AO12" i="37" s="1"/>
  <c r="AO12" i="38" s="1"/>
  <c r="AO12" i="39" s="1"/>
  <c r="AO12" i="41" s="1"/>
  <c r="AO12" i="42" s="1"/>
  <c r="AM12" i="35"/>
  <c r="AM12" i="37" s="1"/>
  <c r="AM12" i="38" s="1"/>
  <c r="AM12" i="39" s="1"/>
  <c r="AM12" i="41" s="1"/>
  <c r="AM12" i="42" s="1"/>
  <c r="AK12" i="35"/>
  <c r="AK12" i="37" s="1"/>
  <c r="AK12" i="38" s="1"/>
  <c r="AK12" i="39" s="1"/>
  <c r="AK12" i="41" s="1"/>
  <c r="AK12" i="42" s="1"/>
  <c r="AI12" i="35"/>
  <c r="AI12" i="37" s="1"/>
  <c r="AF12" i="35"/>
  <c r="AE12" i="35"/>
  <c r="AE12" i="37" s="1"/>
  <c r="AE12" i="38" s="1"/>
  <c r="AE12" i="39" s="1"/>
  <c r="AE12" i="41" s="1"/>
  <c r="AE12" i="42" s="1"/>
  <c r="AB12" i="35"/>
  <c r="AB12" i="37" s="1"/>
  <c r="AB12" i="38" s="1"/>
  <c r="AB12" i="39" s="1"/>
  <c r="AB12" i="41" s="1"/>
  <c r="AB12" i="42" s="1"/>
  <c r="AB12" i="81" s="1"/>
  <c r="AB12" i="48" s="1"/>
  <c r="AB12" i="49" s="1"/>
  <c r="AB12" i="50" s="1"/>
  <c r="AB12" i="51" s="1"/>
  <c r="AB12" i="52" s="1"/>
  <c r="AB12" i="53" s="1"/>
  <c r="AB12" i="54" s="1"/>
  <c r="AB12" i="55" s="1"/>
  <c r="AB12" i="56" s="1"/>
  <c r="AB12" i="57" s="1"/>
  <c r="AB12" i="58" s="1"/>
  <c r="AB12" i="61" s="1"/>
  <c r="AB12" i="62" s="1"/>
  <c r="AB12" i="63" s="1"/>
  <c r="AB12" i="64" s="1"/>
  <c r="AB12" i="65" s="1"/>
  <c r="AB12" i="66" s="1"/>
  <c r="AB12" i="67" s="1"/>
  <c r="AB12" i="68" s="1"/>
  <c r="AB12" i="69" s="1"/>
  <c r="AB12" i="70" s="1"/>
  <c r="AB12" i="71" s="1"/>
  <c r="AB12" i="73" s="1"/>
  <c r="AB12" i="74" s="1"/>
  <c r="AB12" i="76" s="1"/>
  <c r="AB12" i="77" s="1"/>
  <c r="AB12" i="78" s="1"/>
  <c r="AB12" i="79" s="1"/>
  <c r="Y12" i="35"/>
  <c r="Y12" i="37" s="1"/>
  <c r="Y12" i="38" s="1"/>
  <c r="Y12" i="39" s="1"/>
  <c r="Y12" i="41" s="1"/>
  <c r="Y12" i="42" s="1"/>
  <c r="V12" i="35"/>
  <c r="V12" i="37" s="1"/>
  <c r="V12" i="38" s="1"/>
  <c r="V12" i="39" s="1"/>
  <c r="V12" i="41" s="1"/>
  <c r="V12" i="42" s="1"/>
  <c r="V12" i="81" s="1"/>
  <c r="V12" i="48" s="1"/>
  <c r="V12" i="49" s="1"/>
  <c r="V12" i="50" s="1"/>
  <c r="V12" i="51" s="1"/>
  <c r="V12" i="52" s="1"/>
  <c r="V12" i="53" s="1"/>
  <c r="V12" i="54" s="1"/>
  <c r="V12" i="55" s="1"/>
  <c r="V12" i="56" s="1"/>
  <c r="V12" i="57" s="1"/>
  <c r="V12" i="58" s="1"/>
  <c r="V12" i="61" s="1"/>
  <c r="V12" i="62" s="1"/>
  <c r="V12" i="63" s="1"/>
  <c r="V12" i="64" s="1"/>
  <c r="V12" i="65" s="1"/>
  <c r="V12" i="66" s="1"/>
  <c r="V12" i="67" s="1"/>
  <c r="V12" i="68" s="1"/>
  <c r="V12" i="69" s="1"/>
  <c r="V12" i="70" s="1"/>
  <c r="V12" i="71" s="1"/>
  <c r="V12" i="73" s="1"/>
  <c r="V12" i="74" s="1"/>
  <c r="V12" i="76" s="1"/>
  <c r="V12" i="77" s="1"/>
  <c r="V12" i="78" s="1"/>
  <c r="V12" i="79" s="1"/>
  <c r="S12" i="35"/>
  <c r="S12" i="37" s="1"/>
  <c r="S12" i="38" s="1"/>
  <c r="S12" i="39" s="1"/>
  <c r="S12" i="41" s="1"/>
  <c r="S12" i="42" s="1"/>
  <c r="P12" i="35"/>
  <c r="P12" i="37" s="1"/>
  <c r="P12" i="38" s="1"/>
  <c r="P12" i="39" s="1"/>
  <c r="P12" i="41" s="1"/>
  <c r="P12" i="42" s="1"/>
  <c r="M12" i="35"/>
  <c r="M12" i="37" s="1"/>
  <c r="M12" i="38" s="1"/>
  <c r="M12" i="39" s="1"/>
  <c r="M12" i="41" s="1"/>
  <c r="M12" i="42" s="1"/>
  <c r="J12" i="35"/>
  <c r="J12" i="37" s="1"/>
  <c r="J12" i="38" s="1"/>
  <c r="J12" i="39" s="1"/>
  <c r="J12" i="41" s="1"/>
  <c r="J12" i="42" s="1"/>
  <c r="G12" i="35"/>
  <c r="G12" i="37" s="1"/>
  <c r="C12" i="35"/>
  <c r="B12" i="35"/>
  <c r="BQ11" i="35"/>
  <c r="BQ11" i="37" s="1"/>
  <c r="BQ11" i="38" s="1"/>
  <c r="BQ11" i="39" s="1"/>
  <c r="BQ11" i="41" s="1"/>
  <c r="BQ11" i="42" s="1"/>
  <c r="BN11" i="35"/>
  <c r="BN11" i="37" s="1"/>
  <c r="BN11" i="38" s="1"/>
  <c r="BN11" i="39" s="1"/>
  <c r="BN11" i="41" s="1"/>
  <c r="BN11" i="42" s="1"/>
  <c r="BL11" i="35"/>
  <c r="BL11" i="37" s="1"/>
  <c r="BL11" i="38" s="1"/>
  <c r="BL11" i="39" s="1"/>
  <c r="BL11" i="41" s="1"/>
  <c r="BL11" i="42" s="1"/>
  <c r="BJ11" i="35"/>
  <c r="BJ11" i="37" s="1"/>
  <c r="BJ11" i="38" s="1"/>
  <c r="BJ11" i="39" s="1"/>
  <c r="BJ11" i="41" s="1"/>
  <c r="BJ11" i="42" s="1"/>
  <c r="BH11" i="35"/>
  <c r="BH11" i="37" s="1"/>
  <c r="BH11" i="38" s="1"/>
  <c r="BH11" i="39" s="1"/>
  <c r="BH11" i="41" s="1"/>
  <c r="BH11" i="42" s="1"/>
  <c r="BF11" i="35"/>
  <c r="BF11" i="37" s="1"/>
  <c r="BC11" i="35"/>
  <c r="BB11" i="35"/>
  <c r="BB11" i="37" s="1"/>
  <c r="BB11" i="38" s="1"/>
  <c r="BB11" i="39" s="1"/>
  <c r="BB11" i="41" s="1"/>
  <c r="BB11" i="42" s="1"/>
  <c r="AZ11" i="35"/>
  <c r="AZ11" i="37" s="1"/>
  <c r="AZ11" i="38" s="1"/>
  <c r="AZ11" i="39" s="1"/>
  <c r="AZ11" i="41" s="1"/>
  <c r="AZ11" i="42" s="1"/>
  <c r="AZ11" i="81" s="1"/>
  <c r="AZ11" i="48" s="1"/>
  <c r="AZ11" i="49" s="1"/>
  <c r="AZ11" i="50" s="1"/>
  <c r="AZ11" i="51" s="1"/>
  <c r="AZ11" i="52" s="1"/>
  <c r="AZ11" i="53" s="1"/>
  <c r="AZ11" i="54" s="1"/>
  <c r="AZ11" i="55" s="1"/>
  <c r="AZ11" i="56" s="1"/>
  <c r="AZ11" i="57" s="1"/>
  <c r="AZ11" i="58" s="1"/>
  <c r="AZ11" i="61" s="1"/>
  <c r="AZ11" i="62" s="1"/>
  <c r="AZ11" i="63" s="1"/>
  <c r="AZ11" i="64" s="1"/>
  <c r="AZ11" i="65" s="1"/>
  <c r="AZ11" i="66" s="1"/>
  <c r="AZ11" i="67" s="1"/>
  <c r="AZ11" i="68" s="1"/>
  <c r="AZ11" i="69" s="1"/>
  <c r="AZ11" i="70" s="1"/>
  <c r="AZ11" i="71" s="1"/>
  <c r="AZ11" i="73" s="1"/>
  <c r="AZ11" i="74" s="1"/>
  <c r="AZ11" i="76" s="1"/>
  <c r="AZ11" i="77" s="1"/>
  <c r="AZ11" i="78" s="1"/>
  <c r="AZ11" i="79" s="1"/>
  <c r="AV11" i="35"/>
  <c r="AV11" i="37" s="1"/>
  <c r="AV11" i="38" s="1"/>
  <c r="AV11" i="39" s="1"/>
  <c r="AV11" i="41" s="1"/>
  <c r="AV11" i="42" s="1"/>
  <c r="AT11" i="35"/>
  <c r="AT11" i="37" s="1"/>
  <c r="AQ11" i="35"/>
  <c r="AO11" i="35"/>
  <c r="AO11" i="37" s="1"/>
  <c r="AO11" i="38" s="1"/>
  <c r="AO11" i="39" s="1"/>
  <c r="AO11" i="41" s="1"/>
  <c r="AO11" i="42" s="1"/>
  <c r="AM11" i="35"/>
  <c r="AM11" i="37" s="1"/>
  <c r="AM11" i="38" s="1"/>
  <c r="AM11" i="39" s="1"/>
  <c r="AM11" i="41" s="1"/>
  <c r="AM11" i="42" s="1"/>
  <c r="AK11" i="35"/>
  <c r="AK11" i="37" s="1"/>
  <c r="AK11" i="38" s="1"/>
  <c r="AK11" i="39" s="1"/>
  <c r="AK11" i="41" s="1"/>
  <c r="AK11" i="42" s="1"/>
  <c r="AI11" i="35"/>
  <c r="AI11" i="37" s="1"/>
  <c r="AF11" i="35"/>
  <c r="AE11" i="35"/>
  <c r="AE11" i="37" s="1"/>
  <c r="AE11" i="38" s="1"/>
  <c r="AE11" i="39" s="1"/>
  <c r="AE11" i="41" s="1"/>
  <c r="AE11" i="42" s="1"/>
  <c r="AE11" i="81" s="1"/>
  <c r="AE11" i="48" s="1"/>
  <c r="AE11" i="49" s="1"/>
  <c r="AE11" i="50" s="1"/>
  <c r="AE11" i="51" s="1"/>
  <c r="AE11" i="52" s="1"/>
  <c r="AE11" i="53" s="1"/>
  <c r="AE11" i="54" s="1"/>
  <c r="AE11" i="55" s="1"/>
  <c r="AE11" i="56" s="1"/>
  <c r="AE11" i="57" s="1"/>
  <c r="AE11" i="58" s="1"/>
  <c r="AE11" i="61" s="1"/>
  <c r="AE11" i="62" s="1"/>
  <c r="AE11" i="63" s="1"/>
  <c r="AE11" i="64" s="1"/>
  <c r="AE11" i="65" s="1"/>
  <c r="AE11" i="66" s="1"/>
  <c r="AE11" i="67" s="1"/>
  <c r="AE11" i="68" s="1"/>
  <c r="AE11" i="69" s="1"/>
  <c r="AE11" i="70" s="1"/>
  <c r="AE11" i="71" s="1"/>
  <c r="AE11" i="73" s="1"/>
  <c r="AE11" i="74" s="1"/>
  <c r="AE11" i="76" s="1"/>
  <c r="AE11" i="77" s="1"/>
  <c r="AE11" i="78" s="1"/>
  <c r="AE11" i="79" s="1"/>
  <c r="AB11" i="35"/>
  <c r="AB11" i="37" s="1"/>
  <c r="AB11" i="38" s="1"/>
  <c r="AB11" i="39" s="1"/>
  <c r="AB11" i="41" s="1"/>
  <c r="AB11" i="42" s="1"/>
  <c r="Y11" i="35"/>
  <c r="Y11" i="37" s="1"/>
  <c r="Y11" i="38" s="1"/>
  <c r="Y11" i="39" s="1"/>
  <c r="Y11" i="41" s="1"/>
  <c r="Y11" i="42" s="1"/>
  <c r="V11" i="35"/>
  <c r="V11" i="37" s="1"/>
  <c r="V11" i="38" s="1"/>
  <c r="V11" i="39" s="1"/>
  <c r="V11" i="41" s="1"/>
  <c r="V11" i="42" s="1"/>
  <c r="S11" i="35"/>
  <c r="S11" i="37" s="1"/>
  <c r="S11" i="38" s="1"/>
  <c r="S11" i="39" s="1"/>
  <c r="S11" i="41" s="1"/>
  <c r="S11" i="42" s="1"/>
  <c r="P11" i="35"/>
  <c r="P11" i="37" s="1"/>
  <c r="P11" i="38" s="1"/>
  <c r="P11" i="39" s="1"/>
  <c r="P11" i="41" s="1"/>
  <c r="P11" i="42" s="1"/>
  <c r="M11" i="35"/>
  <c r="M11" i="37" s="1"/>
  <c r="M11" i="38" s="1"/>
  <c r="M11" i="39" s="1"/>
  <c r="M11" i="41" s="1"/>
  <c r="M11" i="42" s="1"/>
  <c r="J11" i="35"/>
  <c r="J11" i="37" s="1"/>
  <c r="J11" i="38" s="1"/>
  <c r="J11" i="39" s="1"/>
  <c r="J11" i="41" s="1"/>
  <c r="J11" i="42" s="1"/>
  <c r="G11" i="35"/>
  <c r="G11" i="37" s="1"/>
  <c r="C11" i="35"/>
  <c r="B11" i="35"/>
  <c r="BQ10" i="35"/>
  <c r="BQ10" i="37" s="1"/>
  <c r="BQ10" i="38" s="1"/>
  <c r="BQ10" i="39" s="1"/>
  <c r="BQ10" i="41" s="1"/>
  <c r="BQ10" i="42" s="1"/>
  <c r="BN10" i="35"/>
  <c r="BN10" i="37" s="1"/>
  <c r="BN10" i="38" s="1"/>
  <c r="BN10" i="39" s="1"/>
  <c r="BN10" i="41" s="1"/>
  <c r="BN10" i="42" s="1"/>
  <c r="BL10" i="35"/>
  <c r="BL10" i="37" s="1"/>
  <c r="BL10" i="38" s="1"/>
  <c r="BL10" i="39" s="1"/>
  <c r="BL10" i="41" s="1"/>
  <c r="BL10" i="42" s="1"/>
  <c r="BJ10" i="35"/>
  <c r="BJ10" i="37" s="1"/>
  <c r="BJ10" i="38" s="1"/>
  <c r="BJ10" i="39" s="1"/>
  <c r="BJ10" i="41" s="1"/>
  <c r="BJ10" i="42" s="1"/>
  <c r="BH10" i="35"/>
  <c r="BH10" i="37" s="1"/>
  <c r="BH10" i="38" s="1"/>
  <c r="BH10" i="39" s="1"/>
  <c r="BH10" i="41" s="1"/>
  <c r="BH10" i="42" s="1"/>
  <c r="BH10" i="81" s="1"/>
  <c r="BH10" i="48" s="1"/>
  <c r="BH10" i="49" s="1"/>
  <c r="BH10" i="50" s="1"/>
  <c r="BH10" i="51" s="1"/>
  <c r="BH10" i="52" s="1"/>
  <c r="BH10" i="53" s="1"/>
  <c r="BH10" i="54" s="1"/>
  <c r="BH10" i="55" s="1"/>
  <c r="BH10" i="56" s="1"/>
  <c r="BH10" i="57" s="1"/>
  <c r="BH10" i="58" s="1"/>
  <c r="BH10" i="61" s="1"/>
  <c r="BH10" i="62" s="1"/>
  <c r="BH10" i="63" s="1"/>
  <c r="BH10" i="64" s="1"/>
  <c r="BH10" i="65" s="1"/>
  <c r="BH10" i="66" s="1"/>
  <c r="BH10" i="67" s="1"/>
  <c r="BH10" i="68" s="1"/>
  <c r="BH10" i="69" s="1"/>
  <c r="BH10" i="70" s="1"/>
  <c r="BH10" i="71" s="1"/>
  <c r="BH10" i="73" s="1"/>
  <c r="BH10" i="74" s="1"/>
  <c r="BH10" i="76" s="1"/>
  <c r="BH10" i="77" s="1"/>
  <c r="BH10" i="78" s="1"/>
  <c r="BH10" i="79" s="1"/>
  <c r="BF10" i="35"/>
  <c r="BF10" i="37" s="1"/>
  <c r="BC10" i="35"/>
  <c r="BB10" i="35"/>
  <c r="BB10" i="37" s="1"/>
  <c r="BB10" i="38" s="1"/>
  <c r="BB10" i="39" s="1"/>
  <c r="BB10" i="41" s="1"/>
  <c r="BB10" i="42" s="1"/>
  <c r="AZ10" i="35"/>
  <c r="AZ10" i="37" s="1"/>
  <c r="AZ10" i="38" s="1"/>
  <c r="AZ10" i="39" s="1"/>
  <c r="AZ10" i="41" s="1"/>
  <c r="AZ10" i="42" s="1"/>
  <c r="AX10" i="35"/>
  <c r="AX10" i="37" s="1"/>
  <c r="AX10" i="38" s="1"/>
  <c r="AX10" i="39" s="1"/>
  <c r="AX10" i="41" s="1"/>
  <c r="AX10" i="42" s="1"/>
  <c r="AV10" i="35"/>
  <c r="AV10" i="37" s="1"/>
  <c r="AV10" i="38" s="1"/>
  <c r="AV10" i="39" s="1"/>
  <c r="AV10" i="41" s="1"/>
  <c r="AV10" i="42" s="1"/>
  <c r="AT10" i="35"/>
  <c r="AT10" i="37" s="1"/>
  <c r="AQ10" i="35"/>
  <c r="AO10" i="35"/>
  <c r="AO10" i="37" s="1"/>
  <c r="AO10" i="38" s="1"/>
  <c r="AO10" i="39" s="1"/>
  <c r="AO10" i="41" s="1"/>
  <c r="AO10" i="42" s="1"/>
  <c r="AM10" i="35"/>
  <c r="AM10" i="37" s="1"/>
  <c r="AM10" i="38" s="1"/>
  <c r="AM10" i="39" s="1"/>
  <c r="AM10" i="41" s="1"/>
  <c r="AM10" i="42" s="1"/>
  <c r="AK10" i="35"/>
  <c r="AK10" i="37" s="1"/>
  <c r="AK10" i="38" s="1"/>
  <c r="AK10" i="39" s="1"/>
  <c r="AK10" i="41" s="1"/>
  <c r="AK10" i="42" s="1"/>
  <c r="AI10" i="35"/>
  <c r="AI10" i="37" s="1"/>
  <c r="AF10" i="35"/>
  <c r="AE10" i="35"/>
  <c r="AE10" i="37" s="1"/>
  <c r="AE10" i="38" s="1"/>
  <c r="AE10" i="39" s="1"/>
  <c r="AE10" i="41" s="1"/>
  <c r="AE10" i="42" s="1"/>
  <c r="AB10" i="35"/>
  <c r="AB10" i="37" s="1"/>
  <c r="AB10" i="38" s="1"/>
  <c r="AB10" i="39" s="1"/>
  <c r="AB10" i="41" s="1"/>
  <c r="AB10" i="42" s="1"/>
  <c r="Y10" i="35"/>
  <c r="Y10" i="37" s="1"/>
  <c r="Y10" i="38" s="1"/>
  <c r="Y10" i="39" s="1"/>
  <c r="Y10" i="41" s="1"/>
  <c r="Y10" i="42" s="1"/>
  <c r="V10" i="35"/>
  <c r="V10" i="37" s="1"/>
  <c r="V10" i="38" s="1"/>
  <c r="V10" i="39" s="1"/>
  <c r="V10" i="41" s="1"/>
  <c r="V10" i="42" s="1"/>
  <c r="S10" i="35"/>
  <c r="S10" i="37" s="1"/>
  <c r="S10" i="38" s="1"/>
  <c r="S10" i="39" s="1"/>
  <c r="S10" i="41" s="1"/>
  <c r="S10" i="42" s="1"/>
  <c r="P10" i="35"/>
  <c r="P10" i="37" s="1"/>
  <c r="P10" i="38" s="1"/>
  <c r="P10" i="39" s="1"/>
  <c r="P10" i="41" s="1"/>
  <c r="P10" i="42" s="1"/>
  <c r="M10" i="35"/>
  <c r="M10" i="37" s="1"/>
  <c r="M10" i="38" s="1"/>
  <c r="M10" i="39" s="1"/>
  <c r="M10" i="41" s="1"/>
  <c r="M10" i="42" s="1"/>
  <c r="J10" i="35"/>
  <c r="J10" i="37" s="1"/>
  <c r="J10" i="38" s="1"/>
  <c r="J10" i="39" s="1"/>
  <c r="J10" i="41" s="1"/>
  <c r="J10" i="42" s="1"/>
  <c r="G10" i="35"/>
  <c r="G10" i="37" s="1"/>
  <c r="C10" i="35"/>
  <c r="B10" i="35"/>
  <c r="BQ9" i="35"/>
  <c r="BQ9" i="37" s="1"/>
  <c r="BQ9" i="38" s="1"/>
  <c r="BQ9" i="39" s="1"/>
  <c r="BQ9" i="41" s="1"/>
  <c r="BQ9" i="42" s="1"/>
  <c r="BN9" i="35"/>
  <c r="BN9" i="37" s="1"/>
  <c r="BL9" i="35"/>
  <c r="BL9" i="37" s="1"/>
  <c r="BJ9" i="35"/>
  <c r="BJ9" i="37" s="1"/>
  <c r="BJ9" i="38" s="1"/>
  <c r="BJ9" i="39" s="1"/>
  <c r="BJ9" i="41" s="1"/>
  <c r="BJ9" i="42" s="1"/>
  <c r="BH9" i="35"/>
  <c r="BH9" i="37" s="1"/>
  <c r="BF9" i="35"/>
  <c r="BF9" i="37" s="1"/>
  <c r="BC9" i="35"/>
  <c r="BB9" i="35"/>
  <c r="BB9" i="37" s="1"/>
  <c r="BB9" i="38" s="1"/>
  <c r="AZ9" i="35"/>
  <c r="AZ9" i="37" s="1"/>
  <c r="AZ9" i="38" s="1"/>
  <c r="AZ9" i="39" s="1"/>
  <c r="AZ9" i="41" s="1"/>
  <c r="AZ9" i="42" s="1"/>
  <c r="AX9" i="35"/>
  <c r="AX9" i="37" s="1"/>
  <c r="AX9" i="38" s="1"/>
  <c r="AX9" i="39" s="1"/>
  <c r="AX9" i="41" s="1"/>
  <c r="AX9" i="42" s="1"/>
  <c r="AV9" i="35"/>
  <c r="AV9" i="37" s="1"/>
  <c r="AV9" i="38" s="1"/>
  <c r="AV9" i="39" s="1"/>
  <c r="AT9" i="35"/>
  <c r="AT9" i="37" s="1"/>
  <c r="AQ9" i="35"/>
  <c r="AO9" i="35"/>
  <c r="AO9" i="37" s="1"/>
  <c r="AO9" i="38" s="1"/>
  <c r="AO9" i="39" s="1"/>
  <c r="AO9" i="41" s="1"/>
  <c r="AO9" i="42" s="1"/>
  <c r="AM9" i="35"/>
  <c r="AM9" i="37" s="1"/>
  <c r="AM9" i="38" s="1"/>
  <c r="AK9" i="35"/>
  <c r="AK9" i="37" s="1"/>
  <c r="AK9" i="38" s="1"/>
  <c r="AK9" i="39" s="1"/>
  <c r="AK9" i="41" s="1"/>
  <c r="AI9" i="35"/>
  <c r="AI9" i="37" s="1"/>
  <c r="AF9" i="35"/>
  <c r="AE9" i="35"/>
  <c r="AE9" i="37" s="1"/>
  <c r="AE9" i="38" s="1"/>
  <c r="AE9" i="39" s="1"/>
  <c r="AB9" i="35"/>
  <c r="AB9" i="37" s="1"/>
  <c r="AB9" i="38" s="1"/>
  <c r="AB9" i="39" s="1"/>
  <c r="AB9" i="41" s="1"/>
  <c r="AB9" i="42" s="1"/>
  <c r="Y9" i="35"/>
  <c r="Y9" i="37" s="1"/>
  <c r="Y9" i="38" s="1"/>
  <c r="Y9" i="39" s="1"/>
  <c r="Y9" i="41" s="1"/>
  <c r="V9" i="35"/>
  <c r="V9" i="37" s="1"/>
  <c r="V9" i="38" s="1"/>
  <c r="V9" i="39" s="1"/>
  <c r="V9" i="41" s="1"/>
  <c r="S9" i="35"/>
  <c r="S9" i="37" s="1"/>
  <c r="P9" i="35"/>
  <c r="P9" i="37" s="1"/>
  <c r="P9" i="38" s="1"/>
  <c r="P9" i="39" s="1"/>
  <c r="P9" i="41" s="1"/>
  <c r="P9" i="42" s="1"/>
  <c r="M9" i="35"/>
  <c r="M9" i="37" s="1"/>
  <c r="M9" i="38" s="1"/>
  <c r="M9" i="39" s="1"/>
  <c r="J9" i="35"/>
  <c r="J9" i="37" s="1"/>
  <c r="J9" i="38" s="1"/>
  <c r="J9" i="39" s="1"/>
  <c r="J9" i="41" s="1"/>
  <c r="J9" i="42" s="1"/>
  <c r="G9" i="35"/>
  <c r="G9" i="37" s="1"/>
  <c r="C9" i="35"/>
  <c r="B9" i="35"/>
  <c r="BQ8" i="35"/>
  <c r="BL8" i="35"/>
  <c r="BJ8" i="35"/>
  <c r="BH8" i="35"/>
  <c r="BF8" i="35"/>
  <c r="BC8" i="35"/>
  <c r="BB8" i="35"/>
  <c r="AZ8" i="35"/>
  <c r="AX8" i="35"/>
  <c r="AV8" i="35"/>
  <c r="AT8" i="35"/>
  <c r="AQ8" i="35"/>
  <c r="AO8" i="35"/>
  <c r="AM8" i="35"/>
  <c r="AK8" i="35"/>
  <c r="AI8" i="35"/>
  <c r="AF8" i="35"/>
  <c r="AE8" i="35"/>
  <c r="AB8" i="35"/>
  <c r="Y8" i="35"/>
  <c r="V8" i="35"/>
  <c r="S8" i="35"/>
  <c r="P8" i="35"/>
  <c r="M8" i="35"/>
  <c r="J8" i="35"/>
  <c r="G8" i="35"/>
  <c r="C8" i="35"/>
  <c r="B8" i="35"/>
  <c r="BP23" i="81"/>
  <c r="BO23" i="81"/>
  <c r="BM23" i="81"/>
  <c r="BK23" i="81"/>
  <c r="BI23" i="81"/>
  <c r="BG23" i="81"/>
  <c r="BE23" i="81"/>
  <c r="BA23" i="81"/>
  <c r="AY23" i="81"/>
  <c r="AW23" i="81"/>
  <c r="AU23" i="81"/>
  <c r="AS23" i="81"/>
  <c r="AN23" i="81"/>
  <c r="AL23" i="81"/>
  <c r="AJ23" i="81"/>
  <c r="AH23" i="81"/>
  <c r="AD23" i="81"/>
  <c r="AC23" i="81"/>
  <c r="AA23" i="81"/>
  <c r="Z23" i="81"/>
  <c r="X23" i="81"/>
  <c r="W23" i="81"/>
  <c r="U23" i="81"/>
  <c r="T23" i="81"/>
  <c r="R23" i="81"/>
  <c r="Q23" i="81"/>
  <c r="O23" i="81"/>
  <c r="N23" i="81"/>
  <c r="L23" i="81"/>
  <c r="K23" i="81"/>
  <c r="I23" i="81"/>
  <c r="H23" i="81"/>
  <c r="F23" i="81"/>
  <c r="E23" i="8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BQ8" i="81"/>
  <c r="BL8" i="81"/>
  <c r="BJ8" i="81"/>
  <c r="BH8" i="81"/>
  <c r="BF8" i="81"/>
  <c r="BC8" i="81"/>
  <c r="BC23" i="81" s="1"/>
  <c r="BB8" i="81"/>
  <c r="AZ8" i="81"/>
  <c r="AX8" i="81"/>
  <c r="AV8" i="81"/>
  <c r="AT8" i="81"/>
  <c r="AQ8" i="81"/>
  <c r="AQ23" i="81" s="1"/>
  <c r="AO8" i="81"/>
  <c r="AM8" i="81"/>
  <c r="AK8" i="81"/>
  <c r="AI8" i="81"/>
  <c r="AF8" i="81"/>
  <c r="AF23" i="81" s="1"/>
  <c r="AE8" i="81"/>
  <c r="AB8" i="81"/>
  <c r="Y8" i="81"/>
  <c r="V8" i="81"/>
  <c r="S8" i="81"/>
  <c r="P8" i="81"/>
  <c r="M8" i="81"/>
  <c r="J8" i="81"/>
  <c r="G8" i="81"/>
  <c r="C8" i="81"/>
  <c r="B8" i="81"/>
  <c r="BJ22" i="81"/>
  <c r="BJ22" i="48" s="1"/>
  <c r="BJ22" i="49" s="1"/>
  <c r="BJ22" i="50" s="1"/>
  <c r="BJ22" i="51" s="1"/>
  <c r="BJ22" i="52" s="1"/>
  <c r="BJ22" i="53" s="1"/>
  <c r="BJ22" i="54" s="1"/>
  <c r="BJ22" i="55" s="1"/>
  <c r="BJ22" i="56" s="1"/>
  <c r="BJ22" i="57" s="1"/>
  <c r="BJ22" i="58" s="1"/>
  <c r="BJ22" i="61" s="1"/>
  <c r="BJ22" i="62" s="1"/>
  <c r="BJ22" i="63" s="1"/>
  <c r="BJ22" i="64" s="1"/>
  <c r="BJ22" i="65" s="1"/>
  <c r="BJ22" i="66" s="1"/>
  <c r="BJ22" i="67" s="1"/>
  <c r="BJ22" i="68" s="1"/>
  <c r="BJ22" i="69" s="1"/>
  <c r="BJ22" i="70" s="1"/>
  <c r="BJ22" i="71" s="1"/>
  <c r="BJ22" i="73" s="1"/>
  <c r="BJ22" i="74" s="1"/>
  <c r="BJ22" i="76" s="1"/>
  <c r="BJ22" i="77" s="1"/>
  <c r="BJ22" i="78" s="1"/>
  <c r="BJ22" i="79" s="1"/>
  <c r="AO22" i="81"/>
  <c r="AO22" i="48" s="1"/>
  <c r="AO22" i="49" s="1"/>
  <c r="AO22" i="50" s="1"/>
  <c r="AO22" i="51" s="1"/>
  <c r="AO22" i="52" s="1"/>
  <c r="AO22" i="53" s="1"/>
  <c r="AO22" i="54" s="1"/>
  <c r="AO22" i="55" s="1"/>
  <c r="AO22" i="56" s="1"/>
  <c r="AO22" i="57" s="1"/>
  <c r="AO22" i="58" s="1"/>
  <c r="AO22" i="61" s="1"/>
  <c r="AO22" i="62" s="1"/>
  <c r="AO22" i="63" s="1"/>
  <c r="AO22" i="64" s="1"/>
  <c r="AO22" i="65" s="1"/>
  <c r="AO22" i="66" s="1"/>
  <c r="AO22" i="67" s="1"/>
  <c r="AO22" i="68" s="1"/>
  <c r="AO22" i="69" s="1"/>
  <c r="AO22" i="70" s="1"/>
  <c r="AO22" i="71" s="1"/>
  <c r="AO22" i="73" s="1"/>
  <c r="AO22" i="74" s="1"/>
  <c r="AO22" i="76" s="1"/>
  <c r="AO22" i="77" s="1"/>
  <c r="AO22" i="78" s="1"/>
  <c r="AO22" i="79" s="1"/>
  <c r="AM22" i="81"/>
  <c r="AM22" i="48" s="1"/>
  <c r="AM22" i="49" s="1"/>
  <c r="AM22" i="50" s="1"/>
  <c r="AM22" i="51" s="1"/>
  <c r="AM22" i="52" s="1"/>
  <c r="AM22" i="53" s="1"/>
  <c r="AM22" i="54" s="1"/>
  <c r="AM22" i="55" s="1"/>
  <c r="AM22" i="56" s="1"/>
  <c r="AM22" i="57" s="1"/>
  <c r="AM22" i="58" s="1"/>
  <c r="AM22" i="61" s="1"/>
  <c r="AM22" i="62" s="1"/>
  <c r="AM22" i="63" s="1"/>
  <c r="AM22" i="64" s="1"/>
  <c r="AM22" i="65" s="1"/>
  <c r="AM22" i="66" s="1"/>
  <c r="AM22" i="67" s="1"/>
  <c r="AM22" i="68" s="1"/>
  <c r="AM22" i="69" s="1"/>
  <c r="AM22" i="70" s="1"/>
  <c r="AM22" i="71" s="1"/>
  <c r="AM22" i="73" s="1"/>
  <c r="AM22" i="74" s="1"/>
  <c r="AM22" i="76" s="1"/>
  <c r="AM22" i="77" s="1"/>
  <c r="AM22" i="78" s="1"/>
  <c r="AM22" i="79" s="1"/>
  <c r="AK22" i="81"/>
  <c r="AK22" i="48" s="1"/>
  <c r="AK22" i="49" s="1"/>
  <c r="AK22" i="50" s="1"/>
  <c r="AK22" i="51" s="1"/>
  <c r="AK22" i="52" s="1"/>
  <c r="AK22" i="53" s="1"/>
  <c r="AK22" i="54" s="1"/>
  <c r="AK22" i="55" s="1"/>
  <c r="AK22" i="56" s="1"/>
  <c r="AK22" i="57" s="1"/>
  <c r="AK22" i="58" s="1"/>
  <c r="AK22" i="61" s="1"/>
  <c r="AK22" i="62" s="1"/>
  <c r="AK22" i="63" s="1"/>
  <c r="AK22" i="64" s="1"/>
  <c r="AK22" i="65" s="1"/>
  <c r="AK22" i="66" s="1"/>
  <c r="AK22" i="67" s="1"/>
  <c r="AK22" i="68" s="1"/>
  <c r="AK22" i="69" s="1"/>
  <c r="AK22" i="70" s="1"/>
  <c r="AK22" i="71" s="1"/>
  <c r="AK22" i="73" s="1"/>
  <c r="AK22" i="74" s="1"/>
  <c r="AK22" i="76" s="1"/>
  <c r="AK22" i="77" s="1"/>
  <c r="AK22" i="78" s="1"/>
  <c r="AK22" i="79" s="1"/>
  <c r="AB22" i="81"/>
  <c r="AB22" i="48" s="1"/>
  <c r="AB22" i="49" s="1"/>
  <c r="AB22" i="50" s="1"/>
  <c r="AB22" i="51" s="1"/>
  <c r="AB22" i="52" s="1"/>
  <c r="AB22" i="53" s="1"/>
  <c r="AB22" i="54" s="1"/>
  <c r="AB22" i="55" s="1"/>
  <c r="AB22" i="56" s="1"/>
  <c r="AB22" i="57" s="1"/>
  <c r="AB22" i="58" s="1"/>
  <c r="AB22" i="61" s="1"/>
  <c r="AB22" i="62" s="1"/>
  <c r="AB22" i="63" s="1"/>
  <c r="AB22" i="64" s="1"/>
  <c r="AB22" i="65" s="1"/>
  <c r="AB22" i="66" s="1"/>
  <c r="AB22" i="67" s="1"/>
  <c r="AB22" i="68" s="1"/>
  <c r="AB22" i="69" s="1"/>
  <c r="AB22" i="70" s="1"/>
  <c r="AB22" i="71" s="1"/>
  <c r="AB22" i="73" s="1"/>
  <c r="AB22" i="74" s="1"/>
  <c r="AB22" i="76" s="1"/>
  <c r="AB22" i="77" s="1"/>
  <c r="AB22" i="78" s="1"/>
  <c r="AB22" i="79" s="1"/>
  <c r="S22" i="81"/>
  <c r="S22" i="48" s="1"/>
  <c r="S22" i="49" s="1"/>
  <c r="S22" i="50" s="1"/>
  <c r="S22" i="51" s="1"/>
  <c r="S22" i="52" s="1"/>
  <c r="S22" i="53" s="1"/>
  <c r="S22" i="54" s="1"/>
  <c r="S22" i="55" s="1"/>
  <c r="S22" i="56" s="1"/>
  <c r="S22" i="57" s="1"/>
  <c r="S22" i="58" s="1"/>
  <c r="S22" i="61" s="1"/>
  <c r="S22" i="62" s="1"/>
  <c r="S22" i="63" s="1"/>
  <c r="S22" i="64" s="1"/>
  <c r="S22" i="65" s="1"/>
  <c r="S22" i="66" s="1"/>
  <c r="S22" i="67" s="1"/>
  <c r="S22" i="68" s="1"/>
  <c r="S22" i="69" s="1"/>
  <c r="S22" i="70" s="1"/>
  <c r="S22" i="71" s="1"/>
  <c r="S22" i="73" s="1"/>
  <c r="S22" i="74" s="1"/>
  <c r="S22" i="76" s="1"/>
  <c r="S22" i="77" s="1"/>
  <c r="S22" i="78" s="1"/>
  <c r="S22" i="79" s="1"/>
  <c r="BL21" i="81"/>
  <c r="BL21" i="48" s="1"/>
  <c r="BL21" i="49" s="1"/>
  <c r="BL21" i="50" s="1"/>
  <c r="BL21" i="51" s="1"/>
  <c r="BL21" i="52" s="1"/>
  <c r="BL21" i="53" s="1"/>
  <c r="BL21" i="54" s="1"/>
  <c r="BL21" i="55" s="1"/>
  <c r="BL21" i="56" s="1"/>
  <c r="BL21" i="57" s="1"/>
  <c r="BL21" i="58" s="1"/>
  <c r="BL21" i="61" s="1"/>
  <c r="BL21" i="62" s="1"/>
  <c r="BL21" i="63" s="1"/>
  <c r="BL21" i="64" s="1"/>
  <c r="BL21" i="65" s="1"/>
  <c r="BL21" i="66" s="1"/>
  <c r="BL21" i="67" s="1"/>
  <c r="BL21" i="68" s="1"/>
  <c r="BL21" i="69" s="1"/>
  <c r="BL21" i="70" s="1"/>
  <c r="BL21" i="71" s="1"/>
  <c r="BL21" i="73" s="1"/>
  <c r="BL21" i="74" s="1"/>
  <c r="BL21" i="76" s="1"/>
  <c r="BL21" i="77" s="1"/>
  <c r="BL21" i="78" s="1"/>
  <c r="BL21" i="79" s="1"/>
  <c r="AM21" i="81"/>
  <c r="AM21" i="48" s="1"/>
  <c r="AM21" i="49" s="1"/>
  <c r="AM21" i="50" s="1"/>
  <c r="AM21" i="51" s="1"/>
  <c r="AM21" i="52" s="1"/>
  <c r="AM21" i="53" s="1"/>
  <c r="AM21" i="54" s="1"/>
  <c r="AM21" i="55" s="1"/>
  <c r="AM21" i="56" s="1"/>
  <c r="AM21" i="57" s="1"/>
  <c r="AM21" i="58" s="1"/>
  <c r="AM21" i="61" s="1"/>
  <c r="AM21" i="62" s="1"/>
  <c r="AM21" i="63" s="1"/>
  <c r="AM21" i="64" s="1"/>
  <c r="AM21" i="65" s="1"/>
  <c r="AM21" i="66" s="1"/>
  <c r="AM21" i="67" s="1"/>
  <c r="AM21" i="68" s="1"/>
  <c r="AM21" i="69" s="1"/>
  <c r="AM21" i="70" s="1"/>
  <c r="AM21" i="71" s="1"/>
  <c r="AM21" i="73" s="1"/>
  <c r="AM21" i="74" s="1"/>
  <c r="AM21" i="76" s="1"/>
  <c r="AM21" i="77" s="1"/>
  <c r="AM21" i="78" s="1"/>
  <c r="AM21" i="79" s="1"/>
  <c r="S21" i="81"/>
  <c r="S21" i="48" s="1"/>
  <c r="S21" i="49" s="1"/>
  <c r="S21" i="50" s="1"/>
  <c r="S21" i="51" s="1"/>
  <c r="S21" i="52" s="1"/>
  <c r="S21" i="53" s="1"/>
  <c r="S21" i="54" s="1"/>
  <c r="S21" i="55" s="1"/>
  <c r="S21" i="56" s="1"/>
  <c r="S21" i="57" s="1"/>
  <c r="S21" i="58" s="1"/>
  <c r="S21" i="61" s="1"/>
  <c r="S21" i="62" s="1"/>
  <c r="S21" i="63" s="1"/>
  <c r="S21" i="64" s="1"/>
  <c r="S21" i="65" s="1"/>
  <c r="S21" i="66" s="1"/>
  <c r="S21" i="67" s="1"/>
  <c r="S21" i="68" s="1"/>
  <c r="S21" i="69" s="1"/>
  <c r="S21" i="70" s="1"/>
  <c r="S21" i="71" s="1"/>
  <c r="S21" i="73" s="1"/>
  <c r="S21" i="74" s="1"/>
  <c r="S21" i="76" s="1"/>
  <c r="S21" i="77" s="1"/>
  <c r="S21" i="78" s="1"/>
  <c r="S21" i="79" s="1"/>
  <c r="BN20" i="81"/>
  <c r="BN20" i="48" s="1"/>
  <c r="BN20" i="49" s="1"/>
  <c r="BN20" i="50" s="1"/>
  <c r="BN20" i="51" s="1"/>
  <c r="BN20" i="52" s="1"/>
  <c r="BN20" i="53" s="1"/>
  <c r="BN20" i="54" s="1"/>
  <c r="BN20" i="55" s="1"/>
  <c r="BN20" i="56" s="1"/>
  <c r="BN20" i="57" s="1"/>
  <c r="BN20" i="58" s="1"/>
  <c r="BN20" i="61" s="1"/>
  <c r="BN20" i="62" s="1"/>
  <c r="BN20" i="63" s="1"/>
  <c r="BN20" i="64" s="1"/>
  <c r="BN20" i="65" s="1"/>
  <c r="BN20" i="66" s="1"/>
  <c r="BN20" i="67" s="1"/>
  <c r="BN20" i="68" s="1"/>
  <c r="BN20" i="69" s="1"/>
  <c r="BN20" i="70" s="1"/>
  <c r="BN20" i="71" s="1"/>
  <c r="BN20" i="73" s="1"/>
  <c r="BN20" i="74" s="1"/>
  <c r="BN20" i="76" s="1"/>
  <c r="BN20" i="77" s="1"/>
  <c r="BN20" i="78" s="1"/>
  <c r="BN20" i="79" s="1"/>
  <c r="AO20" i="81"/>
  <c r="AO20" i="48" s="1"/>
  <c r="AO20" i="49" s="1"/>
  <c r="AO20" i="50" s="1"/>
  <c r="AO20" i="51" s="1"/>
  <c r="AO20" i="52" s="1"/>
  <c r="AO20" i="53" s="1"/>
  <c r="AO20" i="54" s="1"/>
  <c r="AO20" i="55" s="1"/>
  <c r="AO20" i="56" s="1"/>
  <c r="AO20" i="57" s="1"/>
  <c r="AO20" i="58" s="1"/>
  <c r="AO20" i="61" s="1"/>
  <c r="AO20" i="62" s="1"/>
  <c r="AO20" i="63" s="1"/>
  <c r="AO20" i="64" s="1"/>
  <c r="AO20" i="65" s="1"/>
  <c r="AO20" i="66" s="1"/>
  <c r="AO20" i="67" s="1"/>
  <c r="AO20" i="68" s="1"/>
  <c r="AO20" i="69" s="1"/>
  <c r="AO20" i="70" s="1"/>
  <c r="AO20" i="71" s="1"/>
  <c r="AO20" i="73" s="1"/>
  <c r="AO20" i="74" s="1"/>
  <c r="AO20" i="76" s="1"/>
  <c r="AO20" i="77" s="1"/>
  <c r="AO20" i="78" s="1"/>
  <c r="AO20" i="79" s="1"/>
  <c r="V20" i="81"/>
  <c r="V20" i="48" s="1"/>
  <c r="V20" i="49" s="1"/>
  <c r="V20" i="50" s="1"/>
  <c r="V20" i="51" s="1"/>
  <c r="V20" i="52" s="1"/>
  <c r="V20" i="53" s="1"/>
  <c r="V20" i="54" s="1"/>
  <c r="V20" i="55" s="1"/>
  <c r="V20" i="56" s="1"/>
  <c r="V20" i="57" s="1"/>
  <c r="V20" i="58" s="1"/>
  <c r="V20" i="61" s="1"/>
  <c r="V20" i="62" s="1"/>
  <c r="V20" i="63" s="1"/>
  <c r="V20" i="64" s="1"/>
  <c r="V20" i="65" s="1"/>
  <c r="V20" i="66" s="1"/>
  <c r="V20" i="67" s="1"/>
  <c r="V20" i="68" s="1"/>
  <c r="V20" i="69" s="1"/>
  <c r="V20" i="70" s="1"/>
  <c r="V20" i="71" s="1"/>
  <c r="V20" i="73" s="1"/>
  <c r="V20" i="74" s="1"/>
  <c r="V20" i="76" s="1"/>
  <c r="V20" i="77" s="1"/>
  <c r="V20" i="78" s="1"/>
  <c r="V20" i="79" s="1"/>
  <c r="P20" i="81"/>
  <c r="P20" i="48" s="1"/>
  <c r="P20" i="49" s="1"/>
  <c r="P20" i="50" s="1"/>
  <c r="P20" i="51" s="1"/>
  <c r="P20" i="52" s="1"/>
  <c r="P20" i="53" s="1"/>
  <c r="P20" i="54" s="1"/>
  <c r="P20" i="55" s="1"/>
  <c r="P20" i="56" s="1"/>
  <c r="P20" i="57" s="1"/>
  <c r="P20" i="58" s="1"/>
  <c r="P20" i="61" s="1"/>
  <c r="P20" i="62" s="1"/>
  <c r="P20" i="63" s="1"/>
  <c r="P20" i="64" s="1"/>
  <c r="P20" i="65" s="1"/>
  <c r="P20" i="66" s="1"/>
  <c r="P20" i="67" s="1"/>
  <c r="P20" i="68" s="1"/>
  <c r="P20" i="69" s="1"/>
  <c r="P20" i="70" s="1"/>
  <c r="P20" i="71" s="1"/>
  <c r="P20" i="73" s="1"/>
  <c r="P20" i="74" s="1"/>
  <c r="P20" i="76" s="1"/>
  <c r="P20" i="77" s="1"/>
  <c r="P20" i="78" s="1"/>
  <c r="P20" i="79" s="1"/>
  <c r="BH19" i="81"/>
  <c r="BH19" i="48" s="1"/>
  <c r="BH19" i="49" s="1"/>
  <c r="BH19" i="50" s="1"/>
  <c r="BH19" i="51" s="1"/>
  <c r="BH19" i="52" s="1"/>
  <c r="BH19" i="53" s="1"/>
  <c r="BH19" i="54" s="1"/>
  <c r="BH19" i="55" s="1"/>
  <c r="BH19" i="56" s="1"/>
  <c r="BH19" i="57" s="1"/>
  <c r="BH19" i="58" s="1"/>
  <c r="BH19" i="61" s="1"/>
  <c r="BH19" i="62" s="1"/>
  <c r="BH19" i="63" s="1"/>
  <c r="BH19" i="64" s="1"/>
  <c r="BH19" i="65" s="1"/>
  <c r="BH19" i="66" s="1"/>
  <c r="BH19" i="67" s="1"/>
  <c r="BH19" i="68" s="1"/>
  <c r="BH19" i="69" s="1"/>
  <c r="BH19" i="70" s="1"/>
  <c r="BH19" i="71" s="1"/>
  <c r="BH19" i="73" s="1"/>
  <c r="BH19" i="74" s="1"/>
  <c r="BH19" i="76" s="1"/>
  <c r="BH19" i="77" s="1"/>
  <c r="BH19" i="78" s="1"/>
  <c r="BH19" i="79" s="1"/>
  <c r="AZ19" i="81"/>
  <c r="AZ19" i="48" s="1"/>
  <c r="AZ19" i="49" s="1"/>
  <c r="AZ19" i="50" s="1"/>
  <c r="AZ19" i="51" s="1"/>
  <c r="AZ19" i="52" s="1"/>
  <c r="AZ19" i="53" s="1"/>
  <c r="AZ19" i="54" s="1"/>
  <c r="AZ19" i="55" s="1"/>
  <c r="AZ19" i="56" s="1"/>
  <c r="AZ19" i="57" s="1"/>
  <c r="AZ19" i="58" s="1"/>
  <c r="AZ19" i="61" s="1"/>
  <c r="AZ19" i="62" s="1"/>
  <c r="AZ19" i="63" s="1"/>
  <c r="AZ19" i="64" s="1"/>
  <c r="AZ19" i="65" s="1"/>
  <c r="AZ19" i="66" s="1"/>
  <c r="AZ19" i="67" s="1"/>
  <c r="AZ19" i="68" s="1"/>
  <c r="AZ19" i="69" s="1"/>
  <c r="AZ19" i="70" s="1"/>
  <c r="AZ19" i="71" s="1"/>
  <c r="AZ19" i="73" s="1"/>
  <c r="AZ19" i="74" s="1"/>
  <c r="AZ19" i="76" s="1"/>
  <c r="AZ19" i="77" s="1"/>
  <c r="AZ19" i="78" s="1"/>
  <c r="AZ19" i="79" s="1"/>
  <c r="AE19" i="81"/>
  <c r="AE19" i="48" s="1"/>
  <c r="AE19" i="49" s="1"/>
  <c r="AE19" i="50" s="1"/>
  <c r="AE19" i="51" s="1"/>
  <c r="AE19" i="52" s="1"/>
  <c r="AE19" i="53" s="1"/>
  <c r="AE19" i="54" s="1"/>
  <c r="AE19" i="55" s="1"/>
  <c r="AE19" i="56" s="1"/>
  <c r="AE19" i="57" s="1"/>
  <c r="AE19" i="58" s="1"/>
  <c r="AE19" i="61" s="1"/>
  <c r="AE19" i="62" s="1"/>
  <c r="AE19" i="63" s="1"/>
  <c r="AE19" i="64" s="1"/>
  <c r="AE19" i="65" s="1"/>
  <c r="AE19" i="66" s="1"/>
  <c r="AE19" i="67" s="1"/>
  <c r="AE19" i="68" s="1"/>
  <c r="AE19" i="69" s="1"/>
  <c r="AE19" i="70" s="1"/>
  <c r="AE19" i="71" s="1"/>
  <c r="AE19" i="73" s="1"/>
  <c r="AE19" i="74" s="1"/>
  <c r="AE19" i="76" s="1"/>
  <c r="AE19" i="77" s="1"/>
  <c r="AE19" i="78" s="1"/>
  <c r="AE19" i="79" s="1"/>
  <c r="AB19" i="81"/>
  <c r="AB19" i="48" s="1"/>
  <c r="AB19" i="49" s="1"/>
  <c r="AB19" i="50" s="1"/>
  <c r="AB19" i="51" s="1"/>
  <c r="AB19" i="52" s="1"/>
  <c r="AB19" i="53" s="1"/>
  <c r="AB19" i="54" s="1"/>
  <c r="AB19" i="55" s="1"/>
  <c r="AB19" i="56" s="1"/>
  <c r="AB19" i="57" s="1"/>
  <c r="AB19" i="58" s="1"/>
  <c r="AB19" i="61" s="1"/>
  <c r="AB19" i="62" s="1"/>
  <c r="AB19" i="63" s="1"/>
  <c r="AB19" i="64" s="1"/>
  <c r="AB19" i="65" s="1"/>
  <c r="AB19" i="66" s="1"/>
  <c r="AB19" i="67" s="1"/>
  <c r="AB19" i="68" s="1"/>
  <c r="AB19" i="69" s="1"/>
  <c r="AB19" i="70" s="1"/>
  <c r="AB19" i="71" s="1"/>
  <c r="AB19" i="73" s="1"/>
  <c r="AB19" i="74" s="1"/>
  <c r="AB19" i="76" s="1"/>
  <c r="AB19" i="77" s="1"/>
  <c r="AB19" i="78" s="1"/>
  <c r="AB19" i="79" s="1"/>
  <c r="Y19" i="81"/>
  <c r="Y19" i="48" s="1"/>
  <c r="Y19" i="49" s="1"/>
  <c r="Y19" i="50" s="1"/>
  <c r="Y19" i="51" s="1"/>
  <c r="Y19" i="52" s="1"/>
  <c r="Y19" i="53" s="1"/>
  <c r="Y19" i="54" s="1"/>
  <c r="Y19" i="55" s="1"/>
  <c r="Y19" i="56" s="1"/>
  <c r="Y19" i="57" s="1"/>
  <c r="Y19" i="58" s="1"/>
  <c r="Y19" i="61" s="1"/>
  <c r="Y19" i="62" s="1"/>
  <c r="Y19" i="63" s="1"/>
  <c r="Y19" i="64" s="1"/>
  <c r="Y19" i="65" s="1"/>
  <c r="Y19" i="66" s="1"/>
  <c r="Y19" i="67" s="1"/>
  <c r="Y19" i="68" s="1"/>
  <c r="Y19" i="69" s="1"/>
  <c r="Y19" i="70" s="1"/>
  <c r="Y19" i="71" s="1"/>
  <c r="Y19" i="73" s="1"/>
  <c r="Y19" i="74" s="1"/>
  <c r="Y19" i="76" s="1"/>
  <c r="Y19" i="77" s="1"/>
  <c r="Y19" i="78" s="1"/>
  <c r="Y19" i="79" s="1"/>
  <c r="BJ18" i="81"/>
  <c r="BJ18" i="48" s="1"/>
  <c r="BJ18" i="49" s="1"/>
  <c r="BJ18" i="50" s="1"/>
  <c r="BJ18" i="51" s="1"/>
  <c r="BJ18" i="52" s="1"/>
  <c r="BJ18" i="53" s="1"/>
  <c r="BJ18" i="54" s="1"/>
  <c r="BJ18" i="55" s="1"/>
  <c r="BJ18" i="56" s="1"/>
  <c r="BJ18" i="57" s="1"/>
  <c r="BJ18" i="58" s="1"/>
  <c r="BJ18" i="61" s="1"/>
  <c r="BJ18" i="62" s="1"/>
  <c r="BJ18" i="63" s="1"/>
  <c r="BJ18" i="64" s="1"/>
  <c r="BJ18" i="65" s="1"/>
  <c r="BJ18" i="66" s="1"/>
  <c r="BJ18" i="67" s="1"/>
  <c r="BJ18" i="68" s="1"/>
  <c r="BJ18" i="69" s="1"/>
  <c r="BJ18" i="70" s="1"/>
  <c r="BJ18" i="71" s="1"/>
  <c r="BJ18" i="73" s="1"/>
  <c r="BJ18" i="74" s="1"/>
  <c r="BJ18" i="76" s="1"/>
  <c r="BJ18" i="77" s="1"/>
  <c r="BJ18" i="78" s="1"/>
  <c r="BJ18" i="79" s="1"/>
  <c r="AO18" i="81"/>
  <c r="AO18" i="48" s="1"/>
  <c r="AO18" i="49" s="1"/>
  <c r="AO18" i="50" s="1"/>
  <c r="AO18" i="51" s="1"/>
  <c r="AO18" i="52" s="1"/>
  <c r="AO18" i="53" s="1"/>
  <c r="AO18" i="54" s="1"/>
  <c r="AO18" i="55" s="1"/>
  <c r="AO18" i="56" s="1"/>
  <c r="AO18" i="57" s="1"/>
  <c r="AO18" i="58" s="1"/>
  <c r="AO18" i="61" s="1"/>
  <c r="AO18" i="62" s="1"/>
  <c r="AO18" i="63" s="1"/>
  <c r="AO18" i="64" s="1"/>
  <c r="AO18" i="65" s="1"/>
  <c r="AO18" i="66" s="1"/>
  <c r="AO18" i="67" s="1"/>
  <c r="AO18" i="68" s="1"/>
  <c r="AO18" i="69" s="1"/>
  <c r="AO18" i="70" s="1"/>
  <c r="AO18" i="71" s="1"/>
  <c r="AO18" i="73" s="1"/>
  <c r="AO18" i="74" s="1"/>
  <c r="AO18" i="76" s="1"/>
  <c r="AO18" i="77" s="1"/>
  <c r="AO18" i="78" s="1"/>
  <c r="AO18" i="79" s="1"/>
  <c r="AM18" i="81"/>
  <c r="AM18" i="48" s="1"/>
  <c r="AM18" i="49" s="1"/>
  <c r="AM18" i="50" s="1"/>
  <c r="AM18" i="51" s="1"/>
  <c r="AM18" i="52" s="1"/>
  <c r="AM18" i="53" s="1"/>
  <c r="AM18" i="54" s="1"/>
  <c r="AM18" i="55" s="1"/>
  <c r="AM18" i="56" s="1"/>
  <c r="AM18" i="57" s="1"/>
  <c r="AM18" i="58" s="1"/>
  <c r="AM18" i="61" s="1"/>
  <c r="AM18" i="62" s="1"/>
  <c r="AM18" i="63" s="1"/>
  <c r="AM18" i="64" s="1"/>
  <c r="AM18" i="65" s="1"/>
  <c r="AM18" i="66" s="1"/>
  <c r="AM18" i="67" s="1"/>
  <c r="AM18" i="68" s="1"/>
  <c r="AM18" i="69" s="1"/>
  <c r="AM18" i="70" s="1"/>
  <c r="AM18" i="71" s="1"/>
  <c r="AM18" i="73" s="1"/>
  <c r="AM18" i="74" s="1"/>
  <c r="AM18" i="76" s="1"/>
  <c r="AM18" i="77" s="1"/>
  <c r="AM18" i="78" s="1"/>
  <c r="AM18" i="79" s="1"/>
  <c r="BJ17" i="81"/>
  <c r="BJ17" i="48" s="1"/>
  <c r="BJ17" i="49" s="1"/>
  <c r="BJ17" i="50" s="1"/>
  <c r="BJ17" i="51" s="1"/>
  <c r="BJ17" i="52" s="1"/>
  <c r="BJ17" i="53" s="1"/>
  <c r="BJ17" i="54" s="1"/>
  <c r="BJ17" i="55" s="1"/>
  <c r="BJ17" i="56" s="1"/>
  <c r="BJ17" i="57" s="1"/>
  <c r="BJ17" i="58" s="1"/>
  <c r="BJ17" i="61" s="1"/>
  <c r="BJ17" i="62" s="1"/>
  <c r="BJ17" i="63" s="1"/>
  <c r="BJ17" i="64" s="1"/>
  <c r="BJ17" i="65" s="1"/>
  <c r="BJ17" i="66" s="1"/>
  <c r="BJ17" i="67" s="1"/>
  <c r="BJ17" i="68" s="1"/>
  <c r="BJ17" i="69" s="1"/>
  <c r="BJ17" i="70" s="1"/>
  <c r="BJ17" i="71" s="1"/>
  <c r="BJ17" i="73" s="1"/>
  <c r="BJ17" i="74" s="1"/>
  <c r="BJ17" i="76" s="1"/>
  <c r="BJ17" i="77" s="1"/>
  <c r="BJ17" i="78" s="1"/>
  <c r="BJ17" i="79" s="1"/>
  <c r="BB17" i="81"/>
  <c r="BB17" i="48" s="1"/>
  <c r="BB17" i="49" s="1"/>
  <c r="BB17" i="50" s="1"/>
  <c r="BB17" i="51" s="1"/>
  <c r="BB17" i="52" s="1"/>
  <c r="BB17" i="53" s="1"/>
  <c r="BB17" i="54" s="1"/>
  <c r="BB17" i="55" s="1"/>
  <c r="BB17" i="56" s="1"/>
  <c r="BB17" i="57" s="1"/>
  <c r="BB17" i="58" s="1"/>
  <c r="BB17" i="61" s="1"/>
  <c r="BB17" i="62" s="1"/>
  <c r="BB17" i="63" s="1"/>
  <c r="BB17" i="64" s="1"/>
  <c r="BB17" i="65" s="1"/>
  <c r="BB17" i="66" s="1"/>
  <c r="BB17" i="67" s="1"/>
  <c r="BB17" i="68" s="1"/>
  <c r="BB17" i="69" s="1"/>
  <c r="BB17" i="70" s="1"/>
  <c r="BB17" i="71" s="1"/>
  <c r="BB17" i="73" s="1"/>
  <c r="BB17" i="74" s="1"/>
  <c r="BB17" i="76" s="1"/>
  <c r="BB17" i="77" s="1"/>
  <c r="BB17" i="78" s="1"/>
  <c r="BB17" i="79" s="1"/>
  <c r="P17" i="81"/>
  <c r="P17" i="48" s="1"/>
  <c r="P17" i="49" s="1"/>
  <c r="P17" i="50" s="1"/>
  <c r="P17" i="51" s="1"/>
  <c r="P17" i="52" s="1"/>
  <c r="P17" i="53" s="1"/>
  <c r="P17" i="54" s="1"/>
  <c r="P17" i="55" s="1"/>
  <c r="P17" i="56" s="1"/>
  <c r="P17" i="57" s="1"/>
  <c r="P17" i="58" s="1"/>
  <c r="P17" i="61" s="1"/>
  <c r="P17" i="62" s="1"/>
  <c r="P17" i="63" s="1"/>
  <c r="P17" i="64" s="1"/>
  <c r="P17" i="65" s="1"/>
  <c r="P17" i="66" s="1"/>
  <c r="P17" i="67" s="1"/>
  <c r="P17" i="68" s="1"/>
  <c r="P17" i="69" s="1"/>
  <c r="P17" i="70" s="1"/>
  <c r="P17" i="71" s="1"/>
  <c r="P17" i="73" s="1"/>
  <c r="P17" i="74" s="1"/>
  <c r="P17" i="76" s="1"/>
  <c r="P17" i="77" s="1"/>
  <c r="P17" i="78" s="1"/>
  <c r="P17" i="79" s="1"/>
  <c r="BN16" i="81"/>
  <c r="BN16" i="48" s="1"/>
  <c r="BN16" i="49" s="1"/>
  <c r="BN16" i="50" s="1"/>
  <c r="BN16" i="51" s="1"/>
  <c r="BN16" i="52" s="1"/>
  <c r="BN16" i="53" s="1"/>
  <c r="BN16" i="54" s="1"/>
  <c r="BN16" i="55" s="1"/>
  <c r="BN16" i="56" s="1"/>
  <c r="BN16" i="57" s="1"/>
  <c r="BN16" i="58" s="1"/>
  <c r="BN16" i="61" s="1"/>
  <c r="BN16" i="62" s="1"/>
  <c r="BN16" i="63" s="1"/>
  <c r="BN16" i="64" s="1"/>
  <c r="BN16" i="65" s="1"/>
  <c r="BN16" i="66" s="1"/>
  <c r="BN16" i="67" s="1"/>
  <c r="BN16" i="68" s="1"/>
  <c r="BN16" i="69" s="1"/>
  <c r="BN16" i="70" s="1"/>
  <c r="BN16" i="71" s="1"/>
  <c r="BN16" i="73" s="1"/>
  <c r="BN16" i="74" s="1"/>
  <c r="BN16" i="76" s="1"/>
  <c r="BN16" i="77" s="1"/>
  <c r="BN16" i="78" s="1"/>
  <c r="BN16" i="79" s="1"/>
  <c r="BH16" i="81"/>
  <c r="BH16" i="48" s="1"/>
  <c r="BH16" i="49" s="1"/>
  <c r="BH16" i="50" s="1"/>
  <c r="BH16" i="51" s="1"/>
  <c r="BH16" i="52" s="1"/>
  <c r="BH16" i="53" s="1"/>
  <c r="BH16" i="54" s="1"/>
  <c r="BH16" i="55" s="1"/>
  <c r="BH16" i="56" s="1"/>
  <c r="BH16" i="57" s="1"/>
  <c r="BH16" i="58" s="1"/>
  <c r="BH16" i="61" s="1"/>
  <c r="BH16" i="62" s="1"/>
  <c r="BH16" i="63" s="1"/>
  <c r="BH16" i="64" s="1"/>
  <c r="BH16" i="65" s="1"/>
  <c r="BH16" i="66" s="1"/>
  <c r="BH16" i="67" s="1"/>
  <c r="BH16" i="68" s="1"/>
  <c r="BH16" i="69" s="1"/>
  <c r="BH16" i="70" s="1"/>
  <c r="BH16" i="71" s="1"/>
  <c r="BH16" i="73" s="1"/>
  <c r="BH16" i="74" s="1"/>
  <c r="BH16" i="76" s="1"/>
  <c r="BH16" i="77" s="1"/>
  <c r="BH16" i="78" s="1"/>
  <c r="BH16" i="79" s="1"/>
  <c r="AX16" i="81"/>
  <c r="AX16" i="48" s="1"/>
  <c r="AX16" i="49" s="1"/>
  <c r="AX16" i="50" s="1"/>
  <c r="AX16" i="51" s="1"/>
  <c r="AX16" i="52" s="1"/>
  <c r="AX16" i="53" s="1"/>
  <c r="AX16" i="54" s="1"/>
  <c r="AX16" i="55" s="1"/>
  <c r="AX16" i="56" s="1"/>
  <c r="AX16" i="57" s="1"/>
  <c r="AX16" i="58" s="1"/>
  <c r="AX16" i="61" s="1"/>
  <c r="AX16" i="62" s="1"/>
  <c r="AX16" i="63" s="1"/>
  <c r="AX16" i="64" s="1"/>
  <c r="AX16" i="65" s="1"/>
  <c r="AX16" i="66" s="1"/>
  <c r="AX16" i="67" s="1"/>
  <c r="AX16" i="68" s="1"/>
  <c r="AX16" i="69" s="1"/>
  <c r="AX16" i="70" s="1"/>
  <c r="AX16" i="71" s="1"/>
  <c r="AX16" i="73" s="1"/>
  <c r="AX16" i="74" s="1"/>
  <c r="AX16" i="76" s="1"/>
  <c r="AX16" i="77" s="1"/>
  <c r="AX16" i="78" s="1"/>
  <c r="AX16" i="79" s="1"/>
  <c r="AV16" i="81"/>
  <c r="AV16" i="48" s="1"/>
  <c r="AV16" i="49" s="1"/>
  <c r="AV16" i="50" s="1"/>
  <c r="AV16" i="51" s="1"/>
  <c r="AV16" i="52" s="1"/>
  <c r="AV16" i="53" s="1"/>
  <c r="AV16" i="54" s="1"/>
  <c r="AV16" i="55" s="1"/>
  <c r="AV16" i="56" s="1"/>
  <c r="AV16" i="57" s="1"/>
  <c r="AV16" i="58" s="1"/>
  <c r="AV16" i="61" s="1"/>
  <c r="AV16" i="62" s="1"/>
  <c r="AV16" i="63" s="1"/>
  <c r="AV16" i="64" s="1"/>
  <c r="AV16" i="65" s="1"/>
  <c r="AV16" i="66" s="1"/>
  <c r="AV16" i="67" s="1"/>
  <c r="AV16" i="68" s="1"/>
  <c r="AV16" i="69" s="1"/>
  <c r="AV16" i="70" s="1"/>
  <c r="AV16" i="71" s="1"/>
  <c r="AV16" i="73" s="1"/>
  <c r="AV16" i="74" s="1"/>
  <c r="AV16" i="76" s="1"/>
  <c r="AV16" i="77" s="1"/>
  <c r="AV16" i="78" s="1"/>
  <c r="AV16" i="79" s="1"/>
  <c r="AM16" i="81"/>
  <c r="AM16" i="48" s="1"/>
  <c r="AM16" i="49" s="1"/>
  <c r="AM16" i="50" s="1"/>
  <c r="AM16" i="51" s="1"/>
  <c r="AM16" i="52" s="1"/>
  <c r="AM16" i="53" s="1"/>
  <c r="AM16" i="54" s="1"/>
  <c r="AM16" i="55" s="1"/>
  <c r="AM16" i="56" s="1"/>
  <c r="AM16" i="57" s="1"/>
  <c r="AM16" i="58" s="1"/>
  <c r="AM16" i="61" s="1"/>
  <c r="AM16" i="62" s="1"/>
  <c r="AM16" i="63" s="1"/>
  <c r="AM16" i="64" s="1"/>
  <c r="AM16" i="65" s="1"/>
  <c r="AM16" i="66" s="1"/>
  <c r="AM16" i="67" s="1"/>
  <c r="AM16" i="68" s="1"/>
  <c r="AM16" i="69" s="1"/>
  <c r="AM16" i="70" s="1"/>
  <c r="AM16" i="71" s="1"/>
  <c r="AM16" i="73" s="1"/>
  <c r="AM16" i="74" s="1"/>
  <c r="AM16" i="76" s="1"/>
  <c r="AM16" i="77" s="1"/>
  <c r="AM16" i="78" s="1"/>
  <c r="AM16" i="79" s="1"/>
  <c r="AE16" i="81"/>
  <c r="AE16" i="48" s="1"/>
  <c r="AE16" i="49" s="1"/>
  <c r="AE16" i="50" s="1"/>
  <c r="AE16" i="51" s="1"/>
  <c r="AE16" i="52" s="1"/>
  <c r="AE16" i="53" s="1"/>
  <c r="AE16" i="54" s="1"/>
  <c r="AE16" i="55" s="1"/>
  <c r="AE16" i="56" s="1"/>
  <c r="AE16" i="57" s="1"/>
  <c r="AE16" i="58" s="1"/>
  <c r="AE16" i="61" s="1"/>
  <c r="AE16" i="62" s="1"/>
  <c r="AE16" i="63" s="1"/>
  <c r="AE16" i="64" s="1"/>
  <c r="AE16" i="65" s="1"/>
  <c r="AE16" i="66" s="1"/>
  <c r="AE16" i="67" s="1"/>
  <c r="AE16" i="68" s="1"/>
  <c r="AE16" i="69" s="1"/>
  <c r="AE16" i="70" s="1"/>
  <c r="AE16" i="71" s="1"/>
  <c r="AE16" i="73" s="1"/>
  <c r="AE16" i="74" s="1"/>
  <c r="AE16" i="76" s="1"/>
  <c r="AE16" i="77" s="1"/>
  <c r="AE16" i="78" s="1"/>
  <c r="AE16" i="79" s="1"/>
  <c r="S16" i="81"/>
  <c r="S16" i="48" s="1"/>
  <c r="S16" i="49" s="1"/>
  <c r="S16" i="50" s="1"/>
  <c r="S16" i="51" s="1"/>
  <c r="S16" i="52" s="1"/>
  <c r="S16" i="53" s="1"/>
  <c r="S16" i="54" s="1"/>
  <c r="S16" i="55" s="1"/>
  <c r="S16" i="56" s="1"/>
  <c r="S16" i="57" s="1"/>
  <c r="S16" i="58" s="1"/>
  <c r="S16" i="61" s="1"/>
  <c r="S16" i="62" s="1"/>
  <c r="S16" i="63" s="1"/>
  <c r="S16" i="64" s="1"/>
  <c r="S16" i="65" s="1"/>
  <c r="S16" i="66" s="1"/>
  <c r="S16" i="67" s="1"/>
  <c r="S16" i="68" s="1"/>
  <c r="S16" i="69" s="1"/>
  <c r="S16" i="70" s="1"/>
  <c r="S16" i="71" s="1"/>
  <c r="S16" i="73" s="1"/>
  <c r="S16" i="74" s="1"/>
  <c r="S16" i="76" s="1"/>
  <c r="S16" i="77" s="1"/>
  <c r="S16" i="78" s="1"/>
  <c r="S16" i="79" s="1"/>
  <c r="BL15" i="81"/>
  <c r="BL15" i="48" s="1"/>
  <c r="BL15" i="49" s="1"/>
  <c r="BL15" i="50" s="1"/>
  <c r="BL15" i="51" s="1"/>
  <c r="BL15" i="52" s="1"/>
  <c r="BL15" i="53" s="1"/>
  <c r="BL15" i="54" s="1"/>
  <c r="BL15" i="55" s="1"/>
  <c r="BL15" i="56" s="1"/>
  <c r="BL15" i="57" s="1"/>
  <c r="BL15" i="58" s="1"/>
  <c r="BL15" i="61" s="1"/>
  <c r="BL15" i="62" s="1"/>
  <c r="BL15" i="63" s="1"/>
  <c r="BL15" i="64" s="1"/>
  <c r="BL15" i="65" s="1"/>
  <c r="BL15" i="66" s="1"/>
  <c r="BL15" i="67" s="1"/>
  <c r="BL15" i="68" s="1"/>
  <c r="BL15" i="69" s="1"/>
  <c r="BL15" i="70" s="1"/>
  <c r="BL15" i="71" s="1"/>
  <c r="BL15" i="73" s="1"/>
  <c r="BL15" i="74" s="1"/>
  <c r="BL15" i="76" s="1"/>
  <c r="BL15" i="77" s="1"/>
  <c r="BL15" i="78" s="1"/>
  <c r="BL15" i="79" s="1"/>
  <c r="AO15" i="81"/>
  <c r="AO15" i="48" s="1"/>
  <c r="AO15" i="49" s="1"/>
  <c r="AO15" i="50" s="1"/>
  <c r="AO15" i="51" s="1"/>
  <c r="AO15" i="52" s="1"/>
  <c r="AO15" i="53" s="1"/>
  <c r="AO15" i="54" s="1"/>
  <c r="AO15" i="55" s="1"/>
  <c r="AO15" i="56" s="1"/>
  <c r="AO15" i="57" s="1"/>
  <c r="AO15" i="58" s="1"/>
  <c r="AO15" i="61" s="1"/>
  <c r="AO15" i="62" s="1"/>
  <c r="AO15" i="63" s="1"/>
  <c r="AO15" i="64" s="1"/>
  <c r="AO15" i="65" s="1"/>
  <c r="AO15" i="66" s="1"/>
  <c r="AO15" i="67" s="1"/>
  <c r="AO15" i="68" s="1"/>
  <c r="AO15" i="69" s="1"/>
  <c r="AO15" i="70" s="1"/>
  <c r="AO15" i="71" s="1"/>
  <c r="AO15" i="73" s="1"/>
  <c r="AO15" i="74" s="1"/>
  <c r="AO15" i="76" s="1"/>
  <c r="AO15" i="77" s="1"/>
  <c r="AO15" i="78" s="1"/>
  <c r="AO15" i="79" s="1"/>
  <c r="AE15" i="81"/>
  <c r="AE15" i="48" s="1"/>
  <c r="AE15" i="49" s="1"/>
  <c r="AE15" i="50" s="1"/>
  <c r="AE15" i="51" s="1"/>
  <c r="AE15" i="52" s="1"/>
  <c r="AE15" i="53" s="1"/>
  <c r="AE15" i="54" s="1"/>
  <c r="AE15" i="55" s="1"/>
  <c r="AE15" i="56" s="1"/>
  <c r="AE15" i="57" s="1"/>
  <c r="AE15" i="58" s="1"/>
  <c r="AE15" i="61" s="1"/>
  <c r="AE15" i="62" s="1"/>
  <c r="AE15" i="63" s="1"/>
  <c r="AE15" i="64" s="1"/>
  <c r="AE15" i="65" s="1"/>
  <c r="AE15" i="66" s="1"/>
  <c r="AE15" i="67" s="1"/>
  <c r="AE15" i="68" s="1"/>
  <c r="AE15" i="69" s="1"/>
  <c r="AE15" i="70" s="1"/>
  <c r="AE15" i="71" s="1"/>
  <c r="AE15" i="73" s="1"/>
  <c r="AE15" i="74" s="1"/>
  <c r="AE15" i="76" s="1"/>
  <c r="AE15" i="77" s="1"/>
  <c r="AE15" i="78" s="1"/>
  <c r="AE15" i="79" s="1"/>
  <c r="V15" i="81"/>
  <c r="V15" i="48" s="1"/>
  <c r="V15" i="49" s="1"/>
  <c r="V15" i="50" s="1"/>
  <c r="V15" i="51" s="1"/>
  <c r="V15" i="52" s="1"/>
  <c r="V15" i="53" s="1"/>
  <c r="V15" i="54" s="1"/>
  <c r="V15" i="55" s="1"/>
  <c r="V15" i="56" s="1"/>
  <c r="V15" i="57" s="1"/>
  <c r="V15" i="58" s="1"/>
  <c r="V15" i="61" s="1"/>
  <c r="V15" i="62" s="1"/>
  <c r="V15" i="63" s="1"/>
  <c r="V15" i="64" s="1"/>
  <c r="V15" i="65" s="1"/>
  <c r="V15" i="66" s="1"/>
  <c r="V15" i="67" s="1"/>
  <c r="V15" i="68" s="1"/>
  <c r="V15" i="69" s="1"/>
  <c r="V15" i="70" s="1"/>
  <c r="V15" i="71" s="1"/>
  <c r="V15" i="73" s="1"/>
  <c r="V15" i="74" s="1"/>
  <c r="V15" i="76" s="1"/>
  <c r="V15" i="77" s="1"/>
  <c r="V15" i="78" s="1"/>
  <c r="V15" i="79" s="1"/>
  <c r="S15" i="81"/>
  <c r="S15" i="48" s="1"/>
  <c r="S15" i="49" s="1"/>
  <c r="S15" i="50" s="1"/>
  <c r="S15" i="51" s="1"/>
  <c r="S15" i="52" s="1"/>
  <c r="S15" i="53" s="1"/>
  <c r="S15" i="54" s="1"/>
  <c r="S15" i="55" s="1"/>
  <c r="S15" i="56" s="1"/>
  <c r="S15" i="57" s="1"/>
  <c r="S15" i="58" s="1"/>
  <c r="S15" i="61" s="1"/>
  <c r="S15" i="62" s="1"/>
  <c r="S15" i="63" s="1"/>
  <c r="S15" i="64" s="1"/>
  <c r="S15" i="65" s="1"/>
  <c r="S15" i="66" s="1"/>
  <c r="S15" i="67" s="1"/>
  <c r="S15" i="68" s="1"/>
  <c r="S15" i="69" s="1"/>
  <c r="S15" i="70" s="1"/>
  <c r="S15" i="71" s="1"/>
  <c r="S15" i="73" s="1"/>
  <c r="S15" i="74" s="1"/>
  <c r="S15" i="76" s="1"/>
  <c r="S15" i="77" s="1"/>
  <c r="S15" i="78" s="1"/>
  <c r="S15" i="79" s="1"/>
  <c r="M15" i="81"/>
  <c r="M15" i="48" s="1"/>
  <c r="M15" i="49" s="1"/>
  <c r="M15" i="50" s="1"/>
  <c r="M15" i="51" s="1"/>
  <c r="M15" i="52" s="1"/>
  <c r="M15" i="53" s="1"/>
  <c r="M15" i="54" s="1"/>
  <c r="M15" i="55" s="1"/>
  <c r="M15" i="56" s="1"/>
  <c r="M15" i="57" s="1"/>
  <c r="M15" i="58" s="1"/>
  <c r="M15" i="61" s="1"/>
  <c r="M15" i="62" s="1"/>
  <c r="M15" i="63" s="1"/>
  <c r="M15" i="64" s="1"/>
  <c r="M15" i="65" s="1"/>
  <c r="M15" i="66" s="1"/>
  <c r="M15" i="67" s="1"/>
  <c r="M15" i="68" s="1"/>
  <c r="M15" i="69" s="1"/>
  <c r="M15" i="70" s="1"/>
  <c r="M15" i="71" s="1"/>
  <c r="M15" i="73" s="1"/>
  <c r="M15" i="74" s="1"/>
  <c r="M15" i="76" s="1"/>
  <c r="M15" i="77" s="1"/>
  <c r="M15" i="78" s="1"/>
  <c r="M15" i="79" s="1"/>
  <c r="BH14" i="81"/>
  <c r="BH14" i="48" s="1"/>
  <c r="BH14" i="49" s="1"/>
  <c r="BH14" i="50" s="1"/>
  <c r="BH14" i="51" s="1"/>
  <c r="BH14" i="52" s="1"/>
  <c r="BH14" i="53" s="1"/>
  <c r="BH14" i="54" s="1"/>
  <c r="BH14" i="55" s="1"/>
  <c r="BH14" i="56" s="1"/>
  <c r="BH14" i="57" s="1"/>
  <c r="BH14" i="58" s="1"/>
  <c r="BH14" i="61" s="1"/>
  <c r="BH14" i="62" s="1"/>
  <c r="BH14" i="63" s="1"/>
  <c r="BH14" i="64" s="1"/>
  <c r="BH14" i="65" s="1"/>
  <c r="BH14" i="66" s="1"/>
  <c r="BH14" i="67" s="1"/>
  <c r="BH14" i="68" s="1"/>
  <c r="BH14" i="69" s="1"/>
  <c r="BH14" i="70" s="1"/>
  <c r="BH14" i="71" s="1"/>
  <c r="BH14" i="73" s="1"/>
  <c r="BH14" i="74" s="1"/>
  <c r="BH14" i="76" s="1"/>
  <c r="BH14" i="77" s="1"/>
  <c r="BH14" i="78" s="1"/>
  <c r="BH14" i="79" s="1"/>
  <c r="AO14" i="81"/>
  <c r="AO14" i="48" s="1"/>
  <c r="AO14" i="49" s="1"/>
  <c r="AO14" i="50" s="1"/>
  <c r="AO14" i="51" s="1"/>
  <c r="AO14" i="52" s="1"/>
  <c r="AO14" i="53" s="1"/>
  <c r="AO14" i="54" s="1"/>
  <c r="AO14" i="55" s="1"/>
  <c r="AO14" i="56" s="1"/>
  <c r="AO14" i="57" s="1"/>
  <c r="AO14" i="58" s="1"/>
  <c r="AO14" i="61" s="1"/>
  <c r="AO14" i="62" s="1"/>
  <c r="AO14" i="63" s="1"/>
  <c r="AO14" i="64" s="1"/>
  <c r="AO14" i="65" s="1"/>
  <c r="AO14" i="66" s="1"/>
  <c r="AO14" i="67" s="1"/>
  <c r="AO14" i="68" s="1"/>
  <c r="AO14" i="69" s="1"/>
  <c r="AO14" i="70" s="1"/>
  <c r="AO14" i="71" s="1"/>
  <c r="AO14" i="73" s="1"/>
  <c r="AO14" i="74" s="1"/>
  <c r="AO14" i="76" s="1"/>
  <c r="AO14" i="77" s="1"/>
  <c r="AO14" i="78" s="1"/>
  <c r="AO14" i="79" s="1"/>
  <c r="S14" i="81"/>
  <c r="S14" i="48" s="1"/>
  <c r="S14" i="49" s="1"/>
  <c r="S14" i="50" s="1"/>
  <c r="S14" i="51" s="1"/>
  <c r="S14" i="52" s="1"/>
  <c r="S14" i="53" s="1"/>
  <c r="S14" i="54" s="1"/>
  <c r="S14" i="55" s="1"/>
  <c r="S14" i="56" s="1"/>
  <c r="S14" i="57" s="1"/>
  <c r="S14" i="58" s="1"/>
  <c r="S14" i="61" s="1"/>
  <c r="S14" i="62" s="1"/>
  <c r="S14" i="63" s="1"/>
  <c r="S14" i="64" s="1"/>
  <c r="S14" i="65" s="1"/>
  <c r="S14" i="66" s="1"/>
  <c r="S14" i="67" s="1"/>
  <c r="S14" i="68" s="1"/>
  <c r="S14" i="69" s="1"/>
  <c r="S14" i="70" s="1"/>
  <c r="S14" i="71" s="1"/>
  <c r="S14" i="73" s="1"/>
  <c r="S14" i="74" s="1"/>
  <c r="S14" i="76" s="1"/>
  <c r="S14" i="77" s="1"/>
  <c r="S14" i="78" s="1"/>
  <c r="S14" i="79" s="1"/>
  <c r="AO13" i="81"/>
  <c r="AO13" i="48" s="1"/>
  <c r="AO13" i="49" s="1"/>
  <c r="AO13" i="50" s="1"/>
  <c r="AO13" i="51" s="1"/>
  <c r="AO13" i="52" s="1"/>
  <c r="AO13" i="53" s="1"/>
  <c r="AO13" i="54" s="1"/>
  <c r="AO13" i="55" s="1"/>
  <c r="AO13" i="56" s="1"/>
  <c r="AO13" i="57" s="1"/>
  <c r="AO13" i="58" s="1"/>
  <c r="AO13" i="61" s="1"/>
  <c r="AO13" i="62" s="1"/>
  <c r="AO13" i="63" s="1"/>
  <c r="AO13" i="64" s="1"/>
  <c r="AO13" i="65" s="1"/>
  <c r="AO13" i="66" s="1"/>
  <c r="AO13" i="67" s="1"/>
  <c r="AO13" i="68" s="1"/>
  <c r="AO13" i="69" s="1"/>
  <c r="AO13" i="70" s="1"/>
  <c r="AO13" i="71" s="1"/>
  <c r="AO13" i="73" s="1"/>
  <c r="AO13" i="74" s="1"/>
  <c r="AO13" i="76" s="1"/>
  <c r="AO13" i="77" s="1"/>
  <c r="AO13" i="78" s="1"/>
  <c r="AO13" i="79" s="1"/>
  <c r="AK13" i="81"/>
  <c r="AK13" i="48" s="1"/>
  <c r="AK13" i="49" s="1"/>
  <c r="AK13" i="50" s="1"/>
  <c r="AK13" i="51" s="1"/>
  <c r="AK13" i="52" s="1"/>
  <c r="AK13" i="53" s="1"/>
  <c r="AK13" i="54" s="1"/>
  <c r="AK13" i="55" s="1"/>
  <c r="AK13" i="56" s="1"/>
  <c r="AK13" i="57" s="1"/>
  <c r="AK13" i="58" s="1"/>
  <c r="AK13" i="61" s="1"/>
  <c r="AK13" i="62" s="1"/>
  <c r="AK13" i="63" s="1"/>
  <c r="AK13" i="64" s="1"/>
  <c r="AK13" i="65" s="1"/>
  <c r="AK13" i="66" s="1"/>
  <c r="AK13" i="67" s="1"/>
  <c r="AK13" i="68" s="1"/>
  <c r="AK13" i="69" s="1"/>
  <c r="AK13" i="70" s="1"/>
  <c r="AK13" i="71" s="1"/>
  <c r="AK13" i="73" s="1"/>
  <c r="AK13" i="74" s="1"/>
  <c r="AK13" i="76" s="1"/>
  <c r="AK13" i="77" s="1"/>
  <c r="AK13" i="78" s="1"/>
  <c r="AK13" i="79" s="1"/>
  <c r="P13" i="81"/>
  <c r="P13" i="48" s="1"/>
  <c r="P13" i="49" s="1"/>
  <c r="P13" i="50" s="1"/>
  <c r="P13" i="51" s="1"/>
  <c r="P13" i="52" s="1"/>
  <c r="P13" i="53" s="1"/>
  <c r="P13" i="54" s="1"/>
  <c r="P13" i="55" s="1"/>
  <c r="P13" i="56" s="1"/>
  <c r="P13" i="57" s="1"/>
  <c r="P13" i="58" s="1"/>
  <c r="P13" i="61" s="1"/>
  <c r="P13" i="62" s="1"/>
  <c r="P13" i="63" s="1"/>
  <c r="P13" i="64" s="1"/>
  <c r="P13" i="65" s="1"/>
  <c r="P13" i="66" s="1"/>
  <c r="P13" i="67" s="1"/>
  <c r="P13" i="68" s="1"/>
  <c r="P13" i="69" s="1"/>
  <c r="P13" i="70" s="1"/>
  <c r="P13" i="71" s="1"/>
  <c r="P13" i="73" s="1"/>
  <c r="P13" i="74" s="1"/>
  <c r="P13" i="76" s="1"/>
  <c r="P13" i="77" s="1"/>
  <c r="P13" i="78" s="1"/>
  <c r="P13" i="79" s="1"/>
  <c r="M13" i="81"/>
  <c r="M13" i="48" s="1"/>
  <c r="M13" i="49" s="1"/>
  <c r="M13" i="50" s="1"/>
  <c r="M13" i="51" s="1"/>
  <c r="M13" i="52" s="1"/>
  <c r="M13" i="53" s="1"/>
  <c r="M13" i="54" s="1"/>
  <c r="M13" i="55" s="1"/>
  <c r="M13" i="56" s="1"/>
  <c r="M13" i="57" s="1"/>
  <c r="M13" i="58" s="1"/>
  <c r="M13" i="61" s="1"/>
  <c r="M13" i="62" s="1"/>
  <c r="M13" i="63" s="1"/>
  <c r="M13" i="64" s="1"/>
  <c r="M13" i="65" s="1"/>
  <c r="M13" i="66" s="1"/>
  <c r="M13" i="67" s="1"/>
  <c r="M13" i="68" s="1"/>
  <c r="M13" i="69" s="1"/>
  <c r="M13" i="70" s="1"/>
  <c r="M13" i="71" s="1"/>
  <c r="M13" i="73" s="1"/>
  <c r="M13" i="74" s="1"/>
  <c r="M13" i="76" s="1"/>
  <c r="M13" i="77" s="1"/>
  <c r="M13" i="78" s="1"/>
  <c r="M13" i="79" s="1"/>
  <c r="BL12" i="81"/>
  <c r="BL12" i="48" s="1"/>
  <c r="BL12" i="49" s="1"/>
  <c r="BL12" i="50" s="1"/>
  <c r="BL12" i="51" s="1"/>
  <c r="BL12" i="52" s="1"/>
  <c r="BL12" i="53" s="1"/>
  <c r="BL12" i="54" s="1"/>
  <c r="BL12" i="55" s="1"/>
  <c r="BL12" i="56" s="1"/>
  <c r="BL12" i="57" s="1"/>
  <c r="BL12" i="58" s="1"/>
  <c r="BL12" i="61" s="1"/>
  <c r="BL12" i="62" s="1"/>
  <c r="BL12" i="63" s="1"/>
  <c r="BL12" i="64" s="1"/>
  <c r="BL12" i="65" s="1"/>
  <c r="BL12" i="66" s="1"/>
  <c r="BL12" i="67" s="1"/>
  <c r="BL12" i="68" s="1"/>
  <c r="BL12" i="69" s="1"/>
  <c r="BL12" i="70" s="1"/>
  <c r="BL12" i="71" s="1"/>
  <c r="BL12" i="73" s="1"/>
  <c r="BL12" i="74" s="1"/>
  <c r="BL12" i="76" s="1"/>
  <c r="BL12" i="77" s="1"/>
  <c r="BL12" i="78" s="1"/>
  <c r="BL12" i="79" s="1"/>
  <c r="BJ12" i="81"/>
  <c r="BJ12" i="48" s="1"/>
  <c r="BJ12" i="49" s="1"/>
  <c r="BJ12" i="50" s="1"/>
  <c r="BJ12" i="51" s="1"/>
  <c r="BJ12" i="52" s="1"/>
  <c r="BJ12" i="53" s="1"/>
  <c r="BJ12" i="54" s="1"/>
  <c r="BJ12" i="55" s="1"/>
  <c r="BJ12" i="56" s="1"/>
  <c r="BJ12" i="57" s="1"/>
  <c r="BJ12" i="58" s="1"/>
  <c r="BJ12" i="61" s="1"/>
  <c r="BJ12" i="62" s="1"/>
  <c r="BJ12" i="63" s="1"/>
  <c r="BJ12" i="64" s="1"/>
  <c r="BJ12" i="65" s="1"/>
  <c r="BJ12" i="66" s="1"/>
  <c r="BJ12" i="67" s="1"/>
  <c r="BJ12" i="68" s="1"/>
  <c r="BJ12" i="69" s="1"/>
  <c r="BJ12" i="70" s="1"/>
  <c r="BJ12" i="71" s="1"/>
  <c r="BJ12" i="73" s="1"/>
  <c r="BJ12" i="74" s="1"/>
  <c r="BJ12" i="76" s="1"/>
  <c r="BJ12" i="77" s="1"/>
  <c r="BJ12" i="78" s="1"/>
  <c r="BJ12" i="79" s="1"/>
  <c r="AV12" i="81"/>
  <c r="AV12" i="48" s="1"/>
  <c r="AV12" i="49" s="1"/>
  <c r="AV12" i="50" s="1"/>
  <c r="AV12" i="51" s="1"/>
  <c r="AV12" i="52" s="1"/>
  <c r="AV12" i="53" s="1"/>
  <c r="AV12" i="54" s="1"/>
  <c r="AV12" i="55" s="1"/>
  <c r="AV12" i="56" s="1"/>
  <c r="AV12" i="57" s="1"/>
  <c r="AV12" i="58" s="1"/>
  <c r="AV12" i="61" s="1"/>
  <c r="AV12" i="62" s="1"/>
  <c r="AV12" i="63" s="1"/>
  <c r="AV12" i="64" s="1"/>
  <c r="AV12" i="65" s="1"/>
  <c r="AV12" i="66" s="1"/>
  <c r="AV12" i="67" s="1"/>
  <c r="AV12" i="68" s="1"/>
  <c r="AV12" i="69" s="1"/>
  <c r="AV12" i="70" s="1"/>
  <c r="AV12" i="71" s="1"/>
  <c r="AV12" i="73" s="1"/>
  <c r="AV12" i="74" s="1"/>
  <c r="AV12" i="76" s="1"/>
  <c r="AV12" i="77" s="1"/>
  <c r="AV12" i="78" s="1"/>
  <c r="AV12" i="79" s="1"/>
  <c r="AE12" i="81"/>
  <c r="AE12" i="48" s="1"/>
  <c r="AE12" i="49" s="1"/>
  <c r="AE12" i="50" s="1"/>
  <c r="AE12" i="51" s="1"/>
  <c r="AE12" i="52" s="1"/>
  <c r="AE12" i="53" s="1"/>
  <c r="AE12" i="54" s="1"/>
  <c r="AE12" i="55" s="1"/>
  <c r="AE12" i="56" s="1"/>
  <c r="AE12" i="57" s="1"/>
  <c r="AE12" i="58" s="1"/>
  <c r="AE12" i="61" s="1"/>
  <c r="AE12" i="62" s="1"/>
  <c r="AE12" i="63" s="1"/>
  <c r="AE12" i="64" s="1"/>
  <c r="AE12" i="65" s="1"/>
  <c r="AE12" i="66" s="1"/>
  <c r="AE12" i="67" s="1"/>
  <c r="AE12" i="68" s="1"/>
  <c r="AE12" i="69" s="1"/>
  <c r="AE12" i="70" s="1"/>
  <c r="AE12" i="71" s="1"/>
  <c r="AE12" i="73" s="1"/>
  <c r="AE12" i="74" s="1"/>
  <c r="AE12" i="76" s="1"/>
  <c r="AE12" i="77" s="1"/>
  <c r="AE12" i="78" s="1"/>
  <c r="AE12" i="79" s="1"/>
  <c r="S12" i="81"/>
  <c r="S12" i="48" s="1"/>
  <c r="S12" i="49" s="1"/>
  <c r="S12" i="50" s="1"/>
  <c r="S12" i="51" s="1"/>
  <c r="S12" i="52" s="1"/>
  <c r="S12" i="53" s="1"/>
  <c r="S12" i="54" s="1"/>
  <c r="S12" i="55" s="1"/>
  <c r="S12" i="56" s="1"/>
  <c r="S12" i="57" s="1"/>
  <c r="S12" i="58" s="1"/>
  <c r="S12" i="61" s="1"/>
  <c r="S12" i="62" s="1"/>
  <c r="S12" i="63" s="1"/>
  <c r="S12" i="64" s="1"/>
  <c r="S12" i="65" s="1"/>
  <c r="S12" i="66" s="1"/>
  <c r="S12" i="67" s="1"/>
  <c r="S12" i="68" s="1"/>
  <c r="S12" i="69" s="1"/>
  <c r="S12" i="70" s="1"/>
  <c r="S12" i="71" s="1"/>
  <c r="S12" i="73" s="1"/>
  <c r="S12" i="74" s="1"/>
  <c r="S12" i="76" s="1"/>
  <c r="S12" i="77" s="1"/>
  <c r="S12" i="78" s="1"/>
  <c r="S12" i="79" s="1"/>
  <c r="BJ11" i="81"/>
  <c r="BJ11" i="48" s="1"/>
  <c r="BJ11" i="49" s="1"/>
  <c r="BJ11" i="50" s="1"/>
  <c r="BJ11" i="51" s="1"/>
  <c r="BJ11" i="52" s="1"/>
  <c r="BJ11" i="53" s="1"/>
  <c r="BJ11" i="54" s="1"/>
  <c r="BJ11" i="55" s="1"/>
  <c r="BJ11" i="56" s="1"/>
  <c r="BJ11" i="57" s="1"/>
  <c r="BJ11" i="58" s="1"/>
  <c r="BJ11" i="61" s="1"/>
  <c r="BJ11" i="62" s="1"/>
  <c r="BJ11" i="63" s="1"/>
  <c r="BJ11" i="64" s="1"/>
  <c r="BJ11" i="65" s="1"/>
  <c r="BJ11" i="66" s="1"/>
  <c r="BJ11" i="67" s="1"/>
  <c r="BJ11" i="68" s="1"/>
  <c r="BJ11" i="69" s="1"/>
  <c r="BJ11" i="70" s="1"/>
  <c r="BJ11" i="71" s="1"/>
  <c r="BJ11" i="73" s="1"/>
  <c r="BJ11" i="74" s="1"/>
  <c r="BJ11" i="76" s="1"/>
  <c r="BJ11" i="77" s="1"/>
  <c r="BJ11" i="78" s="1"/>
  <c r="BJ11" i="79" s="1"/>
  <c r="AX11" i="81"/>
  <c r="AX11" i="48" s="1"/>
  <c r="AX11" i="49" s="1"/>
  <c r="AX11" i="50" s="1"/>
  <c r="AX11" i="51" s="1"/>
  <c r="AX11" i="52" s="1"/>
  <c r="AX11" i="53" s="1"/>
  <c r="AX11" i="54" s="1"/>
  <c r="AX11" i="55" s="1"/>
  <c r="AX11" i="56" s="1"/>
  <c r="AX11" i="57" s="1"/>
  <c r="AX11" i="58" s="1"/>
  <c r="AX11" i="61" s="1"/>
  <c r="AX11" i="62" s="1"/>
  <c r="AX11" i="63" s="1"/>
  <c r="AX11" i="64" s="1"/>
  <c r="AX11" i="65" s="1"/>
  <c r="AX11" i="66" s="1"/>
  <c r="AX11" i="67" s="1"/>
  <c r="AX11" i="68" s="1"/>
  <c r="AX11" i="69" s="1"/>
  <c r="AX11" i="70" s="1"/>
  <c r="AX11" i="71" s="1"/>
  <c r="AX11" i="73" s="1"/>
  <c r="AX11" i="74" s="1"/>
  <c r="AX11" i="76" s="1"/>
  <c r="AX11" i="77" s="1"/>
  <c r="AX11" i="78" s="1"/>
  <c r="AX11" i="79" s="1"/>
  <c r="AM11" i="81"/>
  <c r="AM11" i="48" s="1"/>
  <c r="AM11" i="49" s="1"/>
  <c r="AM11" i="50" s="1"/>
  <c r="AM11" i="51" s="1"/>
  <c r="AM11" i="52" s="1"/>
  <c r="AM11" i="53" s="1"/>
  <c r="AM11" i="54" s="1"/>
  <c r="AM11" i="55" s="1"/>
  <c r="AM11" i="56" s="1"/>
  <c r="AM11" i="57" s="1"/>
  <c r="AM11" i="58" s="1"/>
  <c r="AM11" i="61" s="1"/>
  <c r="AM11" i="62" s="1"/>
  <c r="AM11" i="63" s="1"/>
  <c r="AM11" i="64" s="1"/>
  <c r="AM11" i="65" s="1"/>
  <c r="AM11" i="66" s="1"/>
  <c r="AM11" i="67" s="1"/>
  <c r="AM11" i="68" s="1"/>
  <c r="AM11" i="69" s="1"/>
  <c r="AM11" i="70" s="1"/>
  <c r="AM11" i="71" s="1"/>
  <c r="AM11" i="73" s="1"/>
  <c r="AM11" i="74" s="1"/>
  <c r="AM11" i="76" s="1"/>
  <c r="AM11" i="77" s="1"/>
  <c r="AM11" i="78" s="1"/>
  <c r="AM11" i="79" s="1"/>
  <c r="AK11" i="81"/>
  <c r="AK11" i="48" s="1"/>
  <c r="AK11" i="49" s="1"/>
  <c r="AK11" i="50" s="1"/>
  <c r="AK11" i="51" s="1"/>
  <c r="AK11" i="52" s="1"/>
  <c r="AK11" i="53" s="1"/>
  <c r="AK11" i="54" s="1"/>
  <c r="AK11" i="55" s="1"/>
  <c r="AK11" i="56" s="1"/>
  <c r="AK11" i="57" s="1"/>
  <c r="AK11" i="58" s="1"/>
  <c r="AK11" i="61" s="1"/>
  <c r="AK11" i="62" s="1"/>
  <c r="AK11" i="63" s="1"/>
  <c r="AK11" i="64" s="1"/>
  <c r="AK11" i="65" s="1"/>
  <c r="AK11" i="66" s="1"/>
  <c r="AK11" i="67" s="1"/>
  <c r="AK11" i="68" s="1"/>
  <c r="AK11" i="69" s="1"/>
  <c r="AK11" i="70" s="1"/>
  <c r="AK11" i="71" s="1"/>
  <c r="AK11" i="73" s="1"/>
  <c r="AK11" i="74" s="1"/>
  <c r="AK11" i="76" s="1"/>
  <c r="AK11" i="77" s="1"/>
  <c r="AK11" i="78" s="1"/>
  <c r="AK11" i="79" s="1"/>
  <c r="S11" i="81"/>
  <c r="S11" i="48" s="1"/>
  <c r="S11" i="49" s="1"/>
  <c r="S11" i="50" s="1"/>
  <c r="S11" i="51" s="1"/>
  <c r="S11" i="52" s="1"/>
  <c r="S11" i="53" s="1"/>
  <c r="S11" i="54" s="1"/>
  <c r="S11" i="55" s="1"/>
  <c r="S11" i="56" s="1"/>
  <c r="S11" i="57" s="1"/>
  <c r="S11" i="58" s="1"/>
  <c r="S11" i="61" s="1"/>
  <c r="S11" i="62" s="1"/>
  <c r="S11" i="63" s="1"/>
  <c r="S11" i="64" s="1"/>
  <c r="S11" i="65" s="1"/>
  <c r="S11" i="66" s="1"/>
  <c r="S11" i="67" s="1"/>
  <c r="S11" i="68" s="1"/>
  <c r="S11" i="69" s="1"/>
  <c r="S11" i="70" s="1"/>
  <c r="S11" i="71" s="1"/>
  <c r="S11" i="73" s="1"/>
  <c r="S11" i="74" s="1"/>
  <c r="S11" i="76" s="1"/>
  <c r="S11" i="77" s="1"/>
  <c r="S11" i="78" s="1"/>
  <c r="S11" i="79" s="1"/>
  <c r="P11" i="81"/>
  <c r="P11" i="48" s="1"/>
  <c r="P11" i="49" s="1"/>
  <c r="P11" i="50" s="1"/>
  <c r="P11" i="51" s="1"/>
  <c r="P11" i="52" s="1"/>
  <c r="P11" i="53" s="1"/>
  <c r="P11" i="54" s="1"/>
  <c r="P11" i="55" s="1"/>
  <c r="P11" i="56" s="1"/>
  <c r="P11" i="57" s="1"/>
  <c r="P11" i="58" s="1"/>
  <c r="P11" i="61" s="1"/>
  <c r="P11" i="62" s="1"/>
  <c r="P11" i="63" s="1"/>
  <c r="P11" i="64" s="1"/>
  <c r="P11" i="65" s="1"/>
  <c r="P11" i="66" s="1"/>
  <c r="P11" i="67" s="1"/>
  <c r="P11" i="68" s="1"/>
  <c r="P11" i="69" s="1"/>
  <c r="P11" i="70" s="1"/>
  <c r="P11" i="71" s="1"/>
  <c r="P11" i="73" s="1"/>
  <c r="P11" i="74" s="1"/>
  <c r="P11" i="76" s="1"/>
  <c r="P11" i="77" s="1"/>
  <c r="P11" i="78" s="1"/>
  <c r="P11" i="79" s="1"/>
  <c r="BN10" i="81"/>
  <c r="BN10" i="48" s="1"/>
  <c r="BN10" i="49" s="1"/>
  <c r="BN10" i="50" s="1"/>
  <c r="BN10" i="51" s="1"/>
  <c r="BN10" i="52" s="1"/>
  <c r="BN10" i="53" s="1"/>
  <c r="BN10" i="54" s="1"/>
  <c r="BN10" i="55" s="1"/>
  <c r="BN10" i="56" s="1"/>
  <c r="BN10" i="57" s="1"/>
  <c r="BN10" i="58" s="1"/>
  <c r="BN10" i="61" s="1"/>
  <c r="BN10" i="62" s="1"/>
  <c r="BN10" i="63" s="1"/>
  <c r="BN10" i="64" s="1"/>
  <c r="BN10" i="65" s="1"/>
  <c r="BN10" i="66" s="1"/>
  <c r="BN10" i="67" s="1"/>
  <c r="BN10" i="68" s="1"/>
  <c r="BN10" i="69" s="1"/>
  <c r="BN10" i="70" s="1"/>
  <c r="BN10" i="71" s="1"/>
  <c r="BN10" i="73" s="1"/>
  <c r="BN10" i="74" s="1"/>
  <c r="BN10" i="76" s="1"/>
  <c r="BN10" i="77" s="1"/>
  <c r="BN10" i="78" s="1"/>
  <c r="BN10" i="79" s="1"/>
  <c r="AX10" i="81"/>
  <c r="AX10" i="48" s="1"/>
  <c r="AX10" i="49" s="1"/>
  <c r="AX10" i="50" s="1"/>
  <c r="AX10" i="51" s="1"/>
  <c r="AX10" i="52" s="1"/>
  <c r="AX10" i="53" s="1"/>
  <c r="AX10" i="54" s="1"/>
  <c r="AX10" i="55" s="1"/>
  <c r="AX10" i="56" s="1"/>
  <c r="AX10" i="57" s="1"/>
  <c r="AX10" i="58" s="1"/>
  <c r="AX10" i="61" s="1"/>
  <c r="AX10" i="62" s="1"/>
  <c r="AX10" i="63" s="1"/>
  <c r="AX10" i="64" s="1"/>
  <c r="AX10" i="65" s="1"/>
  <c r="AX10" i="66" s="1"/>
  <c r="AX10" i="67" s="1"/>
  <c r="AX10" i="68" s="1"/>
  <c r="AX10" i="69" s="1"/>
  <c r="AX10" i="70" s="1"/>
  <c r="AX10" i="71" s="1"/>
  <c r="AX10" i="73" s="1"/>
  <c r="AX10" i="74" s="1"/>
  <c r="AX10" i="76" s="1"/>
  <c r="AX10" i="77" s="1"/>
  <c r="AX10" i="78" s="1"/>
  <c r="AX10" i="79" s="1"/>
  <c r="AV10" i="81"/>
  <c r="AV10" i="48" s="1"/>
  <c r="AV10" i="49" s="1"/>
  <c r="AV10" i="50" s="1"/>
  <c r="AV10" i="51" s="1"/>
  <c r="AV10" i="52" s="1"/>
  <c r="AV10" i="53" s="1"/>
  <c r="AV10" i="54" s="1"/>
  <c r="AV10" i="55" s="1"/>
  <c r="AV10" i="56" s="1"/>
  <c r="AV10" i="57" s="1"/>
  <c r="AV10" i="58" s="1"/>
  <c r="AV10" i="61" s="1"/>
  <c r="AV10" i="62" s="1"/>
  <c r="AV10" i="63" s="1"/>
  <c r="AV10" i="64" s="1"/>
  <c r="AV10" i="65" s="1"/>
  <c r="AV10" i="66" s="1"/>
  <c r="AV10" i="67" s="1"/>
  <c r="AV10" i="68" s="1"/>
  <c r="AV10" i="69" s="1"/>
  <c r="AV10" i="70" s="1"/>
  <c r="AV10" i="71" s="1"/>
  <c r="AV10" i="73" s="1"/>
  <c r="AV10" i="74" s="1"/>
  <c r="AV10" i="76" s="1"/>
  <c r="AV10" i="77" s="1"/>
  <c r="AV10" i="78" s="1"/>
  <c r="AV10" i="79" s="1"/>
  <c r="J10" i="81"/>
  <c r="J10" i="48" s="1"/>
  <c r="J10" i="49" s="1"/>
  <c r="J10" i="50" s="1"/>
  <c r="J10" i="51" s="1"/>
  <c r="J10" i="52" s="1"/>
  <c r="J10" i="53" s="1"/>
  <c r="J10" i="54" s="1"/>
  <c r="J10" i="55" s="1"/>
  <c r="J10" i="56" s="1"/>
  <c r="J10" i="57" s="1"/>
  <c r="J10" i="58" s="1"/>
  <c r="J10" i="61" s="1"/>
  <c r="J10" i="62" s="1"/>
  <c r="J10" i="63" s="1"/>
  <c r="J10" i="64" s="1"/>
  <c r="J10" i="65" s="1"/>
  <c r="J10" i="66" s="1"/>
  <c r="J10" i="67" s="1"/>
  <c r="J10" i="68" s="1"/>
  <c r="J10" i="69" s="1"/>
  <c r="J10" i="70" s="1"/>
  <c r="J10" i="71" s="1"/>
  <c r="J10" i="73" s="1"/>
  <c r="J10" i="74" s="1"/>
  <c r="J10" i="76" s="1"/>
  <c r="J10" i="77" s="1"/>
  <c r="J10" i="78" s="1"/>
  <c r="J10" i="79" s="1"/>
  <c r="BP23" i="110"/>
  <c r="BO23" i="110"/>
  <c r="BM23" i="110"/>
  <c r="BK23" i="110"/>
  <c r="BI23" i="110"/>
  <c r="BG23" i="110"/>
  <c r="BE23" i="110"/>
  <c r="BA23" i="110"/>
  <c r="AY23" i="110"/>
  <c r="AW23" i="110"/>
  <c r="AU23" i="110"/>
  <c r="AS23" i="110"/>
  <c r="AN23" i="110"/>
  <c r="AL23" i="110"/>
  <c r="AJ23" i="110"/>
  <c r="AH23" i="110"/>
  <c r="AD23" i="110"/>
  <c r="AC23" i="110"/>
  <c r="AA23" i="110"/>
  <c r="Z23" i="110"/>
  <c r="X23" i="110"/>
  <c r="W23" i="110"/>
  <c r="U23" i="110"/>
  <c r="T23" i="110"/>
  <c r="R23" i="110"/>
  <c r="Q23" i="110"/>
  <c r="O23" i="110"/>
  <c r="N23" i="110"/>
  <c r="L23" i="110"/>
  <c r="K23" i="110"/>
  <c r="I23" i="110"/>
  <c r="H23" i="110"/>
  <c r="F23" i="110"/>
  <c r="E23" i="110"/>
  <c r="BC22" i="110"/>
  <c r="AQ22" i="110"/>
  <c r="AF22" i="110"/>
  <c r="C22" i="110"/>
  <c r="B22" i="110"/>
  <c r="BC21" i="110"/>
  <c r="AQ21" i="110"/>
  <c r="AF21" i="110"/>
  <c r="C21" i="110"/>
  <c r="B21" i="110"/>
  <c r="BC20" i="110"/>
  <c r="AQ20" i="110"/>
  <c r="AF20" i="110"/>
  <c r="C20" i="110"/>
  <c r="B20" i="110"/>
  <c r="BC19" i="110"/>
  <c r="AQ19" i="110"/>
  <c r="AF19" i="110"/>
  <c r="C19" i="110"/>
  <c r="B19" i="110"/>
  <c r="BC18" i="110"/>
  <c r="AQ18" i="110"/>
  <c r="AF18" i="110"/>
  <c r="C18" i="110"/>
  <c r="B18" i="110"/>
  <c r="BC17" i="110"/>
  <c r="AQ17" i="110"/>
  <c r="AF17" i="110"/>
  <c r="C17" i="110"/>
  <c r="B17" i="110"/>
  <c r="BC16" i="110"/>
  <c r="AQ16" i="110"/>
  <c r="AF16" i="110"/>
  <c r="C16" i="110"/>
  <c r="B16" i="110"/>
  <c r="BC15" i="110"/>
  <c r="AQ15" i="110"/>
  <c r="AF15" i="110"/>
  <c r="C15" i="110"/>
  <c r="B15" i="110"/>
  <c r="BC14" i="110"/>
  <c r="AQ14" i="110"/>
  <c r="AF14" i="110"/>
  <c r="C14" i="110"/>
  <c r="B14" i="110"/>
  <c r="BC13" i="110"/>
  <c r="AQ13" i="110"/>
  <c r="AF13" i="110"/>
  <c r="C13" i="110"/>
  <c r="B13" i="110"/>
  <c r="BC12" i="110"/>
  <c r="AQ12" i="110"/>
  <c r="AF12" i="110"/>
  <c r="C12" i="110"/>
  <c r="B12" i="110"/>
  <c r="BC11" i="110"/>
  <c r="AQ11" i="110"/>
  <c r="AF11" i="110"/>
  <c r="C11" i="110"/>
  <c r="B11" i="110"/>
  <c r="BC10" i="110"/>
  <c r="AQ10" i="110"/>
  <c r="AF10" i="110"/>
  <c r="C10" i="110"/>
  <c r="B10" i="110"/>
  <c r="BC9" i="110"/>
  <c r="AQ9" i="110"/>
  <c r="AF9" i="110"/>
  <c r="C9" i="110"/>
  <c r="B9" i="110"/>
  <c r="BQ8" i="110"/>
  <c r="BL8" i="110"/>
  <c r="BJ8" i="110"/>
  <c r="BH8" i="110"/>
  <c r="BF8" i="110"/>
  <c r="BC8" i="110"/>
  <c r="BB8" i="110"/>
  <c r="AZ8" i="110"/>
  <c r="AX8" i="110"/>
  <c r="AV8" i="110"/>
  <c r="AT8" i="110"/>
  <c r="AQ8" i="110"/>
  <c r="AO8" i="110"/>
  <c r="AM8" i="110"/>
  <c r="AK8" i="110"/>
  <c r="AI8" i="110"/>
  <c r="AF8" i="110"/>
  <c r="AE8" i="110"/>
  <c r="AB8" i="110"/>
  <c r="Y8" i="110"/>
  <c r="V8" i="110"/>
  <c r="S8" i="110"/>
  <c r="P8" i="110"/>
  <c r="M8" i="110"/>
  <c r="J8" i="110"/>
  <c r="G8" i="110"/>
  <c r="C8" i="110"/>
  <c r="B8" i="110"/>
  <c r="BD8" i="97" l="1"/>
  <c r="B23" i="87"/>
  <c r="BD8" i="95"/>
  <c r="AG17" i="85"/>
  <c r="BQ23" i="55"/>
  <c r="BQ23" i="110"/>
  <c r="BD8" i="73"/>
  <c r="BH11" i="81"/>
  <c r="BH11" i="48" s="1"/>
  <c r="BH11" i="49" s="1"/>
  <c r="BH11" i="50" s="1"/>
  <c r="BH11" i="51" s="1"/>
  <c r="BH11" i="52" s="1"/>
  <c r="BH11" i="53" s="1"/>
  <c r="BH11" i="54" s="1"/>
  <c r="BH11" i="55" s="1"/>
  <c r="BH11" i="56" s="1"/>
  <c r="BH11" i="57" s="1"/>
  <c r="BH11" i="58" s="1"/>
  <c r="BH11" i="61" s="1"/>
  <c r="BH11" i="62" s="1"/>
  <c r="BH11" i="63" s="1"/>
  <c r="BH11" i="64" s="1"/>
  <c r="BH11" i="65" s="1"/>
  <c r="BH11" i="66" s="1"/>
  <c r="BH11" i="67" s="1"/>
  <c r="BH11" i="68" s="1"/>
  <c r="BH11" i="69" s="1"/>
  <c r="BH11" i="70" s="1"/>
  <c r="BH11" i="71" s="1"/>
  <c r="BH11" i="73" s="1"/>
  <c r="BH11" i="74" s="1"/>
  <c r="BH11" i="76" s="1"/>
  <c r="BH11" i="77" s="1"/>
  <c r="BH11" i="78" s="1"/>
  <c r="BH11" i="79" s="1"/>
  <c r="AB14" i="81"/>
  <c r="AB14" i="48" s="1"/>
  <c r="AB14" i="49" s="1"/>
  <c r="AB14" i="50" s="1"/>
  <c r="AB14" i="51" s="1"/>
  <c r="AB14" i="52" s="1"/>
  <c r="AB14" i="53" s="1"/>
  <c r="AB14" i="54" s="1"/>
  <c r="AB14" i="55" s="1"/>
  <c r="AB14" i="56" s="1"/>
  <c r="AB14" i="57" s="1"/>
  <c r="AB14" i="58" s="1"/>
  <c r="AB14" i="61" s="1"/>
  <c r="AB14" i="62" s="1"/>
  <c r="AB14" i="63" s="1"/>
  <c r="AB14" i="64" s="1"/>
  <c r="AB14" i="65" s="1"/>
  <c r="AB14" i="66" s="1"/>
  <c r="AB14" i="67" s="1"/>
  <c r="AB14" i="68" s="1"/>
  <c r="AB14" i="69" s="1"/>
  <c r="AB14" i="70" s="1"/>
  <c r="AB14" i="71" s="1"/>
  <c r="AB14" i="73" s="1"/>
  <c r="AB14" i="74" s="1"/>
  <c r="AB14" i="76" s="1"/>
  <c r="AB14" i="77" s="1"/>
  <c r="AB14" i="78" s="1"/>
  <c r="AB14" i="79" s="1"/>
  <c r="M17" i="81"/>
  <c r="M17" i="48" s="1"/>
  <c r="M17" i="49" s="1"/>
  <c r="M17" i="50" s="1"/>
  <c r="M17" i="51" s="1"/>
  <c r="M17" i="52" s="1"/>
  <c r="M17" i="53" s="1"/>
  <c r="M17" i="54" s="1"/>
  <c r="M17" i="55" s="1"/>
  <c r="M17" i="56" s="1"/>
  <c r="M17" i="57" s="1"/>
  <c r="M17" i="58" s="1"/>
  <c r="M17" i="61" s="1"/>
  <c r="M17" i="62" s="1"/>
  <c r="M17" i="63" s="1"/>
  <c r="M17" i="64" s="1"/>
  <c r="M17" i="65" s="1"/>
  <c r="M17" i="66" s="1"/>
  <c r="M17" i="67" s="1"/>
  <c r="M17" i="68" s="1"/>
  <c r="M17" i="69" s="1"/>
  <c r="M17" i="70" s="1"/>
  <c r="M17" i="71" s="1"/>
  <c r="M17" i="73" s="1"/>
  <c r="M17" i="74" s="1"/>
  <c r="M17" i="76" s="1"/>
  <c r="M17" i="77" s="1"/>
  <c r="M17" i="78" s="1"/>
  <c r="M17" i="79" s="1"/>
  <c r="BH18" i="81"/>
  <c r="BH18" i="48" s="1"/>
  <c r="BH18" i="49" s="1"/>
  <c r="BH18" i="50" s="1"/>
  <c r="BH18" i="51" s="1"/>
  <c r="BH18" i="52" s="1"/>
  <c r="BH18" i="53" s="1"/>
  <c r="BH18" i="54" s="1"/>
  <c r="BH18" i="55" s="1"/>
  <c r="BH18" i="56" s="1"/>
  <c r="BH18" i="57" s="1"/>
  <c r="BH18" i="58" s="1"/>
  <c r="BH18" i="61" s="1"/>
  <c r="BH18" i="62" s="1"/>
  <c r="BH18" i="63" s="1"/>
  <c r="BH18" i="64" s="1"/>
  <c r="BH18" i="65" s="1"/>
  <c r="BH18" i="66" s="1"/>
  <c r="BH18" i="67" s="1"/>
  <c r="BH18" i="68" s="1"/>
  <c r="BH18" i="69" s="1"/>
  <c r="BH18" i="70" s="1"/>
  <c r="BH18" i="71" s="1"/>
  <c r="BH18" i="73" s="1"/>
  <c r="BH18" i="74" s="1"/>
  <c r="BH18" i="76" s="1"/>
  <c r="BH18" i="77" s="1"/>
  <c r="BH18" i="78" s="1"/>
  <c r="BH18" i="79" s="1"/>
  <c r="AM20" i="81"/>
  <c r="AM20" i="48" s="1"/>
  <c r="AM20" i="49" s="1"/>
  <c r="AM20" i="50" s="1"/>
  <c r="AM20" i="51" s="1"/>
  <c r="AM20" i="52" s="1"/>
  <c r="AM20" i="53" s="1"/>
  <c r="AM20" i="54" s="1"/>
  <c r="AM20" i="55" s="1"/>
  <c r="AM20" i="56" s="1"/>
  <c r="AM20" i="57" s="1"/>
  <c r="AM20" i="58" s="1"/>
  <c r="AM20" i="61" s="1"/>
  <c r="AM20" i="62" s="1"/>
  <c r="AM20" i="63" s="1"/>
  <c r="AM20" i="64" s="1"/>
  <c r="AM20" i="65" s="1"/>
  <c r="AM20" i="66" s="1"/>
  <c r="AM20" i="67" s="1"/>
  <c r="AM20" i="68" s="1"/>
  <c r="AM20" i="69" s="1"/>
  <c r="AM20" i="70" s="1"/>
  <c r="AM20" i="71" s="1"/>
  <c r="AM20" i="73" s="1"/>
  <c r="AM20" i="74" s="1"/>
  <c r="AM20" i="76" s="1"/>
  <c r="AM20" i="77" s="1"/>
  <c r="AM20" i="78" s="1"/>
  <c r="AM20" i="79" s="1"/>
  <c r="M14" i="103"/>
  <c r="M14" i="109" s="1"/>
  <c r="M14" i="110" s="1"/>
  <c r="M14" i="111" s="1"/>
  <c r="M14" i="112" s="1"/>
  <c r="M14" i="114" s="1"/>
  <c r="M14" i="115" s="1"/>
  <c r="M14" i="116" s="1"/>
  <c r="M14" i="117" s="1"/>
  <c r="M14" i="118" s="1"/>
  <c r="M14" i="119" s="1"/>
  <c r="M14" i="120" s="1"/>
  <c r="AV16" i="103"/>
  <c r="AV16" i="109" s="1"/>
  <c r="AV16" i="110" s="1"/>
  <c r="AV16" i="111" s="1"/>
  <c r="AV16" i="112" s="1"/>
  <c r="AV16" i="114" s="1"/>
  <c r="AV16" i="115" s="1"/>
  <c r="AV16" i="116" s="1"/>
  <c r="AV16" i="117" s="1"/>
  <c r="AV16" i="118" s="1"/>
  <c r="AV16" i="119" s="1"/>
  <c r="AV16" i="120" s="1"/>
  <c r="BH18" i="103"/>
  <c r="BH18" i="109" s="1"/>
  <c r="BH18" i="110" s="1"/>
  <c r="BH18" i="111" s="1"/>
  <c r="BH18" i="112" s="1"/>
  <c r="BH18" i="114" s="1"/>
  <c r="BH18" i="115" s="1"/>
  <c r="BH18" i="116" s="1"/>
  <c r="BH18" i="117" s="1"/>
  <c r="BH18" i="118" s="1"/>
  <c r="BH18" i="119" s="1"/>
  <c r="BH18" i="120" s="1"/>
  <c r="M22" i="103"/>
  <c r="S10" i="81"/>
  <c r="S10" i="48" s="1"/>
  <c r="S10" i="49" s="1"/>
  <c r="S10" i="50" s="1"/>
  <c r="S10" i="51" s="1"/>
  <c r="S10" i="52" s="1"/>
  <c r="S10" i="53" s="1"/>
  <c r="S10" i="54" s="1"/>
  <c r="S10" i="55" s="1"/>
  <c r="S10" i="56" s="1"/>
  <c r="S10" i="57" s="1"/>
  <c r="S10" i="58" s="1"/>
  <c r="S10" i="61" s="1"/>
  <c r="S10" i="62" s="1"/>
  <c r="S10" i="63" s="1"/>
  <c r="S10" i="64" s="1"/>
  <c r="S10" i="65" s="1"/>
  <c r="S10" i="66" s="1"/>
  <c r="S10" i="67" s="1"/>
  <c r="S10" i="68" s="1"/>
  <c r="S10" i="69" s="1"/>
  <c r="S10" i="70" s="1"/>
  <c r="S10" i="71" s="1"/>
  <c r="S10" i="73" s="1"/>
  <c r="S10" i="74" s="1"/>
  <c r="S10" i="76" s="1"/>
  <c r="S10" i="77" s="1"/>
  <c r="S10" i="78" s="1"/>
  <c r="S10" i="79" s="1"/>
  <c r="AB11" i="81"/>
  <c r="AB11" i="48" s="1"/>
  <c r="AB11" i="49" s="1"/>
  <c r="AB11" i="50" s="1"/>
  <c r="AB11" i="51" s="1"/>
  <c r="AB11" i="52" s="1"/>
  <c r="AB11" i="53" s="1"/>
  <c r="AB11" i="54" s="1"/>
  <c r="AB11" i="55" s="1"/>
  <c r="AB11" i="56" s="1"/>
  <c r="AB11" i="57" s="1"/>
  <c r="AB11" i="58" s="1"/>
  <c r="AB11" i="61" s="1"/>
  <c r="AB11" i="62" s="1"/>
  <c r="AB11" i="63" s="1"/>
  <c r="AB11" i="64" s="1"/>
  <c r="AB11" i="65" s="1"/>
  <c r="AB11" i="66" s="1"/>
  <c r="AB11" i="67" s="1"/>
  <c r="AB11" i="68" s="1"/>
  <c r="AB11" i="69" s="1"/>
  <c r="AB11" i="70" s="1"/>
  <c r="AB11" i="71" s="1"/>
  <c r="AB11" i="73" s="1"/>
  <c r="AB11" i="74" s="1"/>
  <c r="AB11" i="76" s="1"/>
  <c r="AB11" i="77" s="1"/>
  <c r="AB11" i="78" s="1"/>
  <c r="AB11" i="79" s="1"/>
  <c r="AK12" i="81"/>
  <c r="AK12" i="48" s="1"/>
  <c r="AK12" i="49" s="1"/>
  <c r="AK12" i="50" s="1"/>
  <c r="AK12" i="51" s="1"/>
  <c r="AK12" i="52" s="1"/>
  <c r="AK12" i="53" s="1"/>
  <c r="AK12" i="54" s="1"/>
  <c r="AK12" i="55" s="1"/>
  <c r="AK12" i="56" s="1"/>
  <c r="AK12" i="57" s="1"/>
  <c r="AK12" i="58" s="1"/>
  <c r="AK12" i="61" s="1"/>
  <c r="AK12" i="62" s="1"/>
  <c r="AK12" i="63" s="1"/>
  <c r="AK12" i="64" s="1"/>
  <c r="AK12" i="65" s="1"/>
  <c r="AK12" i="66" s="1"/>
  <c r="AK12" i="67" s="1"/>
  <c r="AK12" i="68" s="1"/>
  <c r="AK12" i="69" s="1"/>
  <c r="AK12" i="70" s="1"/>
  <c r="AK12" i="71" s="1"/>
  <c r="AK12" i="73" s="1"/>
  <c r="AK12" i="74" s="1"/>
  <c r="AK12" i="76" s="1"/>
  <c r="AK12" i="77" s="1"/>
  <c r="AK12" i="78" s="1"/>
  <c r="AK12" i="79" s="1"/>
  <c r="Y13" i="81"/>
  <c r="Y13" i="48" s="1"/>
  <c r="Y13" i="49" s="1"/>
  <c r="Y13" i="50" s="1"/>
  <c r="Y13" i="51" s="1"/>
  <c r="Y13" i="52" s="1"/>
  <c r="Y13" i="53" s="1"/>
  <c r="Y13" i="54" s="1"/>
  <c r="Y13" i="55" s="1"/>
  <c r="Y13" i="56" s="1"/>
  <c r="Y13" i="57" s="1"/>
  <c r="Y13" i="58" s="1"/>
  <c r="Y13" i="61" s="1"/>
  <c r="Y13" i="62" s="1"/>
  <c r="Y13" i="63" s="1"/>
  <c r="Y13" i="64" s="1"/>
  <c r="Y13" i="65" s="1"/>
  <c r="Y13" i="66" s="1"/>
  <c r="Y13" i="67" s="1"/>
  <c r="Y13" i="68" s="1"/>
  <c r="Y13" i="69" s="1"/>
  <c r="Y13" i="70" s="1"/>
  <c r="Y13" i="71" s="1"/>
  <c r="Y13" i="73" s="1"/>
  <c r="Y13" i="74" s="1"/>
  <c r="Y13" i="76" s="1"/>
  <c r="Y13" i="77" s="1"/>
  <c r="Y13" i="78" s="1"/>
  <c r="Y13" i="79" s="1"/>
  <c r="BH13" i="81"/>
  <c r="BH13" i="48" s="1"/>
  <c r="BH13" i="49" s="1"/>
  <c r="BH13" i="50" s="1"/>
  <c r="BH13" i="51" s="1"/>
  <c r="BH13" i="52" s="1"/>
  <c r="BH13" i="53" s="1"/>
  <c r="BH13" i="54" s="1"/>
  <c r="BH13" i="55" s="1"/>
  <c r="BH13" i="56" s="1"/>
  <c r="BH13" i="57" s="1"/>
  <c r="BH13" i="58" s="1"/>
  <c r="BH13" i="61" s="1"/>
  <c r="BH13" i="62" s="1"/>
  <c r="BH13" i="63" s="1"/>
  <c r="BH13" i="64" s="1"/>
  <c r="BH13" i="65" s="1"/>
  <c r="BH13" i="66" s="1"/>
  <c r="BH13" i="67" s="1"/>
  <c r="BH13" i="68" s="1"/>
  <c r="BH13" i="69" s="1"/>
  <c r="BH13" i="70" s="1"/>
  <c r="BH13" i="71" s="1"/>
  <c r="BH13" i="73" s="1"/>
  <c r="BH13" i="74" s="1"/>
  <c r="BH13" i="76" s="1"/>
  <c r="BH13" i="77" s="1"/>
  <c r="BH13" i="78" s="1"/>
  <c r="BH13" i="79" s="1"/>
  <c r="AZ14" i="81"/>
  <c r="AZ14" i="48" s="1"/>
  <c r="AZ14" i="49" s="1"/>
  <c r="AZ14" i="50" s="1"/>
  <c r="AZ14" i="51" s="1"/>
  <c r="AZ14" i="52" s="1"/>
  <c r="AZ14" i="53" s="1"/>
  <c r="AZ14" i="54" s="1"/>
  <c r="AZ14" i="55" s="1"/>
  <c r="AZ14" i="56" s="1"/>
  <c r="AZ14" i="57" s="1"/>
  <c r="AZ14" i="58" s="1"/>
  <c r="AZ14" i="61" s="1"/>
  <c r="AZ14" i="62" s="1"/>
  <c r="AZ14" i="63" s="1"/>
  <c r="AZ14" i="64" s="1"/>
  <c r="AZ14" i="65" s="1"/>
  <c r="AZ14" i="66" s="1"/>
  <c r="AZ14" i="67" s="1"/>
  <c r="AZ14" i="68" s="1"/>
  <c r="AZ14" i="69" s="1"/>
  <c r="AZ14" i="70" s="1"/>
  <c r="AZ14" i="71" s="1"/>
  <c r="AZ14" i="73" s="1"/>
  <c r="AZ14" i="74" s="1"/>
  <c r="AZ14" i="76" s="1"/>
  <c r="AZ14" i="77" s="1"/>
  <c r="AZ14" i="78" s="1"/>
  <c r="AZ14" i="79" s="1"/>
  <c r="AM17" i="81"/>
  <c r="AM17" i="48" s="1"/>
  <c r="AM17" i="49" s="1"/>
  <c r="AM17" i="50" s="1"/>
  <c r="AM17" i="51" s="1"/>
  <c r="AM17" i="52" s="1"/>
  <c r="AM17" i="53" s="1"/>
  <c r="AM17" i="54" s="1"/>
  <c r="AM17" i="55" s="1"/>
  <c r="AM17" i="56" s="1"/>
  <c r="AM17" i="57" s="1"/>
  <c r="AM17" i="58" s="1"/>
  <c r="AM17" i="61" s="1"/>
  <c r="AM17" i="62" s="1"/>
  <c r="AM17" i="63" s="1"/>
  <c r="AM17" i="64" s="1"/>
  <c r="AM17" i="65" s="1"/>
  <c r="AM17" i="66" s="1"/>
  <c r="AM17" i="67" s="1"/>
  <c r="AM17" i="68" s="1"/>
  <c r="AM17" i="69" s="1"/>
  <c r="AM17" i="70" s="1"/>
  <c r="AM17" i="71" s="1"/>
  <c r="AM17" i="73" s="1"/>
  <c r="AM17" i="74" s="1"/>
  <c r="AM17" i="76" s="1"/>
  <c r="AM17" i="77" s="1"/>
  <c r="AM17" i="78" s="1"/>
  <c r="AM17" i="79" s="1"/>
  <c r="BL18" i="81"/>
  <c r="BL18" i="48" s="1"/>
  <c r="BL18" i="49" s="1"/>
  <c r="BL18" i="50" s="1"/>
  <c r="BL18" i="51" s="1"/>
  <c r="BL18" i="52" s="1"/>
  <c r="BL18" i="53" s="1"/>
  <c r="BL18" i="54" s="1"/>
  <c r="BL18" i="55" s="1"/>
  <c r="BL18" i="56" s="1"/>
  <c r="BL18" i="57" s="1"/>
  <c r="BL18" i="58" s="1"/>
  <c r="BL18" i="61" s="1"/>
  <c r="BL18" i="62" s="1"/>
  <c r="BL18" i="63" s="1"/>
  <c r="BL18" i="64" s="1"/>
  <c r="BL18" i="65" s="1"/>
  <c r="BL18" i="66" s="1"/>
  <c r="BL18" i="67" s="1"/>
  <c r="BL18" i="68" s="1"/>
  <c r="BL18" i="69" s="1"/>
  <c r="BL18" i="70" s="1"/>
  <c r="BL18" i="71" s="1"/>
  <c r="BL18" i="73" s="1"/>
  <c r="BL18" i="74" s="1"/>
  <c r="BL18" i="76" s="1"/>
  <c r="BL18" i="77" s="1"/>
  <c r="BL18" i="78" s="1"/>
  <c r="BL18" i="79" s="1"/>
  <c r="P19" i="81"/>
  <c r="P19" i="48" s="1"/>
  <c r="P19" i="49" s="1"/>
  <c r="P19" i="50" s="1"/>
  <c r="P19" i="51" s="1"/>
  <c r="P19" i="52" s="1"/>
  <c r="P19" i="53" s="1"/>
  <c r="P19" i="54" s="1"/>
  <c r="P19" i="55" s="1"/>
  <c r="P19" i="56" s="1"/>
  <c r="P19" i="57" s="1"/>
  <c r="P19" i="58" s="1"/>
  <c r="P19" i="61" s="1"/>
  <c r="P19" i="62" s="1"/>
  <c r="P19" i="63" s="1"/>
  <c r="P19" i="64" s="1"/>
  <c r="P19" i="65" s="1"/>
  <c r="P19" i="66" s="1"/>
  <c r="P19" i="67" s="1"/>
  <c r="P19" i="68" s="1"/>
  <c r="P19" i="69" s="1"/>
  <c r="P19" i="70" s="1"/>
  <c r="P19" i="71" s="1"/>
  <c r="P19" i="73" s="1"/>
  <c r="P19" i="74" s="1"/>
  <c r="P19" i="76" s="1"/>
  <c r="P19" i="77" s="1"/>
  <c r="P19" i="78" s="1"/>
  <c r="P19" i="79" s="1"/>
  <c r="BB19" i="81"/>
  <c r="BB19" i="48" s="1"/>
  <c r="BB19" i="49" s="1"/>
  <c r="BB19" i="50" s="1"/>
  <c r="BB19" i="51" s="1"/>
  <c r="BB19" i="52" s="1"/>
  <c r="BB19" i="53" s="1"/>
  <c r="BB19" i="54" s="1"/>
  <c r="BB19" i="55" s="1"/>
  <c r="BB19" i="56" s="1"/>
  <c r="BB19" i="57" s="1"/>
  <c r="BB19" i="58" s="1"/>
  <c r="BB19" i="61" s="1"/>
  <c r="BB19" i="62" s="1"/>
  <c r="BB19" i="63" s="1"/>
  <c r="BB19" i="64" s="1"/>
  <c r="BB19" i="65" s="1"/>
  <c r="BB19" i="66" s="1"/>
  <c r="BB19" i="67" s="1"/>
  <c r="BB19" i="68" s="1"/>
  <c r="BB19" i="69" s="1"/>
  <c r="BB19" i="70" s="1"/>
  <c r="BB19" i="71" s="1"/>
  <c r="BB19" i="73" s="1"/>
  <c r="BB19" i="74" s="1"/>
  <c r="BB19" i="76" s="1"/>
  <c r="BB19" i="77" s="1"/>
  <c r="BB19" i="78" s="1"/>
  <c r="BB19" i="79" s="1"/>
  <c r="BN21" i="81"/>
  <c r="BN21" i="48" s="1"/>
  <c r="BN21" i="49" s="1"/>
  <c r="BN21" i="50" s="1"/>
  <c r="BN21" i="51" s="1"/>
  <c r="BN21" i="52" s="1"/>
  <c r="BN21" i="53" s="1"/>
  <c r="BN21" i="54" s="1"/>
  <c r="BN21" i="55" s="1"/>
  <c r="BN21" i="56" s="1"/>
  <c r="BN21" i="57" s="1"/>
  <c r="BN21" i="58" s="1"/>
  <c r="BN21" i="61" s="1"/>
  <c r="BN21" i="62" s="1"/>
  <c r="BN21" i="63" s="1"/>
  <c r="BN21" i="64" s="1"/>
  <c r="BN21" i="65" s="1"/>
  <c r="BN21" i="66" s="1"/>
  <c r="BN21" i="67" s="1"/>
  <c r="BN21" i="68" s="1"/>
  <c r="BN21" i="69" s="1"/>
  <c r="BN21" i="70" s="1"/>
  <c r="BN21" i="71" s="1"/>
  <c r="BN21" i="73" s="1"/>
  <c r="BN21" i="74" s="1"/>
  <c r="BN21" i="76" s="1"/>
  <c r="BN21" i="77" s="1"/>
  <c r="BN21" i="78" s="1"/>
  <c r="BN21" i="79" s="1"/>
  <c r="V10" i="81"/>
  <c r="V10" i="48" s="1"/>
  <c r="V10" i="49" s="1"/>
  <c r="V10" i="50" s="1"/>
  <c r="V10" i="51" s="1"/>
  <c r="V10" i="52" s="1"/>
  <c r="V10" i="53" s="1"/>
  <c r="V10" i="54" s="1"/>
  <c r="V10" i="55" s="1"/>
  <c r="V10" i="56" s="1"/>
  <c r="V10" i="57" s="1"/>
  <c r="V10" i="58" s="1"/>
  <c r="V10" i="61" s="1"/>
  <c r="V10" i="62" s="1"/>
  <c r="V10" i="63" s="1"/>
  <c r="V10" i="64" s="1"/>
  <c r="V10" i="65" s="1"/>
  <c r="V10" i="66" s="1"/>
  <c r="V10" i="67" s="1"/>
  <c r="V10" i="68" s="1"/>
  <c r="V10" i="69" s="1"/>
  <c r="V10" i="70" s="1"/>
  <c r="V10" i="71" s="1"/>
  <c r="V10" i="73" s="1"/>
  <c r="V10" i="74" s="1"/>
  <c r="V10" i="76" s="1"/>
  <c r="V10" i="77" s="1"/>
  <c r="V10" i="78" s="1"/>
  <c r="V10" i="79" s="1"/>
  <c r="AO10" i="81"/>
  <c r="AO10" i="48" s="1"/>
  <c r="AO10" i="49" s="1"/>
  <c r="AO10" i="50" s="1"/>
  <c r="AO10" i="51" s="1"/>
  <c r="AO10" i="52" s="1"/>
  <c r="AO10" i="53" s="1"/>
  <c r="AO10" i="54" s="1"/>
  <c r="AO10" i="55" s="1"/>
  <c r="AO10" i="56" s="1"/>
  <c r="AO10" i="57" s="1"/>
  <c r="AO10" i="58" s="1"/>
  <c r="AO10" i="61" s="1"/>
  <c r="AO10" i="62" s="1"/>
  <c r="AO10" i="63" s="1"/>
  <c r="AO10" i="64" s="1"/>
  <c r="AO10" i="65" s="1"/>
  <c r="AO10" i="66" s="1"/>
  <c r="AO10" i="67" s="1"/>
  <c r="AO10" i="68" s="1"/>
  <c r="AO10" i="69" s="1"/>
  <c r="AO10" i="70" s="1"/>
  <c r="AO10" i="71" s="1"/>
  <c r="AO10" i="73" s="1"/>
  <c r="AO10" i="74" s="1"/>
  <c r="AO10" i="76" s="1"/>
  <c r="AO10" i="77" s="1"/>
  <c r="AO10" i="78" s="1"/>
  <c r="AO10" i="79" s="1"/>
  <c r="AV11" i="81"/>
  <c r="AV11" i="48" s="1"/>
  <c r="AV11" i="49" s="1"/>
  <c r="AV11" i="50" s="1"/>
  <c r="AV11" i="51" s="1"/>
  <c r="AV11" i="52" s="1"/>
  <c r="AV11" i="53" s="1"/>
  <c r="AV11" i="54" s="1"/>
  <c r="AV11" i="55" s="1"/>
  <c r="AV11" i="56" s="1"/>
  <c r="AV11" i="57" s="1"/>
  <c r="AV11" i="58" s="1"/>
  <c r="AV11" i="61" s="1"/>
  <c r="AV11" i="62" s="1"/>
  <c r="AV11" i="63" s="1"/>
  <c r="AV11" i="64" s="1"/>
  <c r="AV11" i="65" s="1"/>
  <c r="AV11" i="66" s="1"/>
  <c r="AV11" i="67" s="1"/>
  <c r="AV11" i="68" s="1"/>
  <c r="AV11" i="69" s="1"/>
  <c r="AV11" i="70" s="1"/>
  <c r="AV11" i="71" s="1"/>
  <c r="AV11" i="73" s="1"/>
  <c r="AV11" i="74" s="1"/>
  <c r="AV11" i="76" s="1"/>
  <c r="AV11" i="77" s="1"/>
  <c r="AV11" i="78" s="1"/>
  <c r="AV11" i="79" s="1"/>
  <c r="BN11" i="81"/>
  <c r="BN11" i="48" s="1"/>
  <c r="BN11" i="49" s="1"/>
  <c r="BN11" i="50" s="1"/>
  <c r="BN11" i="51" s="1"/>
  <c r="BN11" i="52" s="1"/>
  <c r="BN11" i="53" s="1"/>
  <c r="BN11" i="54" s="1"/>
  <c r="BN11" i="55" s="1"/>
  <c r="BN11" i="56" s="1"/>
  <c r="BN11" i="57" s="1"/>
  <c r="BN11" i="58" s="1"/>
  <c r="BN11" i="61" s="1"/>
  <c r="BN11" i="62" s="1"/>
  <c r="BN11" i="63" s="1"/>
  <c r="BN11" i="64" s="1"/>
  <c r="BN11" i="65" s="1"/>
  <c r="BN11" i="66" s="1"/>
  <c r="BN11" i="67" s="1"/>
  <c r="BN11" i="68" s="1"/>
  <c r="BN11" i="69" s="1"/>
  <c r="BN11" i="70" s="1"/>
  <c r="BN11" i="71" s="1"/>
  <c r="BN11" i="73" s="1"/>
  <c r="BN11" i="74" s="1"/>
  <c r="BN11" i="76" s="1"/>
  <c r="BN11" i="77" s="1"/>
  <c r="BN11" i="78" s="1"/>
  <c r="BN11" i="79" s="1"/>
  <c r="AM12" i="81"/>
  <c r="AM12" i="48" s="1"/>
  <c r="AM12" i="49" s="1"/>
  <c r="AM12" i="50" s="1"/>
  <c r="AM12" i="51" s="1"/>
  <c r="AM12" i="52" s="1"/>
  <c r="AM12" i="53" s="1"/>
  <c r="AM12" i="54" s="1"/>
  <c r="AM12" i="55" s="1"/>
  <c r="AM12" i="56" s="1"/>
  <c r="AM12" i="57" s="1"/>
  <c r="AM12" i="58" s="1"/>
  <c r="AM12" i="61" s="1"/>
  <c r="AM12" i="62" s="1"/>
  <c r="AM12" i="63" s="1"/>
  <c r="AM12" i="64" s="1"/>
  <c r="AM12" i="65" s="1"/>
  <c r="AM12" i="66" s="1"/>
  <c r="AM12" i="67" s="1"/>
  <c r="AM12" i="68" s="1"/>
  <c r="AM12" i="69" s="1"/>
  <c r="AM12" i="70" s="1"/>
  <c r="AM12" i="71" s="1"/>
  <c r="AM12" i="73" s="1"/>
  <c r="AM12" i="74" s="1"/>
  <c r="AM12" i="76" s="1"/>
  <c r="AM12" i="77" s="1"/>
  <c r="AM12" i="78" s="1"/>
  <c r="AM12" i="79" s="1"/>
  <c r="BJ15" i="81"/>
  <c r="BJ15" i="48" s="1"/>
  <c r="BJ15" i="49" s="1"/>
  <c r="BJ15" i="50" s="1"/>
  <c r="BJ15" i="51" s="1"/>
  <c r="BJ15" i="52" s="1"/>
  <c r="BJ15" i="53" s="1"/>
  <c r="BJ15" i="54" s="1"/>
  <c r="BJ15" i="55" s="1"/>
  <c r="BJ15" i="56" s="1"/>
  <c r="BJ15" i="57" s="1"/>
  <c r="BJ15" i="58" s="1"/>
  <c r="BJ15" i="61" s="1"/>
  <c r="BJ15" i="62" s="1"/>
  <c r="BJ15" i="63" s="1"/>
  <c r="BJ15" i="64" s="1"/>
  <c r="BJ15" i="65" s="1"/>
  <c r="BJ15" i="66" s="1"/>
  <c r="BJ15" i="67" s="1"/>
  <c r="BJ15" i="68" s="1"/>
  <c r="BJ15" i="69" s="1"/>
  <c r="BJ15" i="70" s="1"/>
  <c r="BJ15" i="71" s="1"/>
  <c r="BJ15" i="73" s="1"/>
  <c r="BJ15" i="74" s="1"/>
  <c r="BJ15" i="76" s="1"/>
  <c r="BJ15" i="77" s="1"/>
  <c r="BJ15" i="78" s="1"/>
  <c r="BJ15" i="79" s="1"/>
  <c r="AZ16" i="81"/>
  <c r="AZ16" i="48" s="1"/>
  <c r="AZ16" i="49" s="1"/>
  <c r="AZ16" i="50" s="1"/>
  <c r="AZ16" i="51" s="1"/>
  <c r="AZ16" i="52" s="1"/>
  <c r="AZ16" i="53" s="1"/>
  <c r="AZ16" i="54" s="1"/>
  <c r="AZ16" i="55" s="1"/>
  <c r="AZ16" i="56" s="1"/>
  <c r="AZ16" i="57" s="1"/>
  <c r="AZ16" i="58" s="1"/>
  <c r="AZ16" i="61" s="1"/>
  <c r="AZ16" i="62" s="1"/>
  <c r="AZ16" i="63" s="1"/>
  <c r="AZ16" i="64" s="1"/>
  <c r="AZ16" i="65" s="1"/>
  <c r="AZ16" i="66" s="1"/>
  <c r="AZ16" i="67" s="1"/>
  <c r="AZ16" i="68" s="1"/>
  <c r="AZ16" i="69" s="1"/>
  <c r="AZ16" i="70" s="1"/>
  <c r="AZ16" i="71" s="1"/>
  <c r="AZ16" i="73" s="1"/>
  <c r="AZ16" i="74" s="1"/>
  <c r="AZ16" i="76" s="1"/>
  <c r="AZ16" i="77" s="1"/>
  <c r="AZ16" i="78" s="1"/>
  <c r="AZ16" i="79" s="1"/>
  <c r="BQ16" i="81"/>
  <c r="BQ16" i="48" s="1"/>
  <c r="BQ16" i="49" s="1"/>
  <c r="BQ16" i="50" s="1"/>
  <c r="BQ16" i="51" s="1"/>
  <c r="BQ16" i="52" s="1"/>
  <c r="BQ16" i="53" s="1"/>
  <c r="BQ16" i="54" s="1"/>
  <c r="BQ16" i="55" s="1"/>
  <c r="BQ16" i="56" s="1"/>
  <c r="BQ16" i="57" s="1"/>
  <c r="BQ16" i="58" s="1"/>
  <c r="BQ16" i="61" s="1"/>
  <c r="BQ16" i="62" s="1"/>
  <c r="BQ16" i="63" s="1"/>
  <c r="BQ16" i="64" s="1"/>
  <c r="BQ16" i="65" s="1"/>
  <c r="BQ16" i="66" s="1"/>
  <c r="BQ16" i="67" s="1"/>
  <c r="BQ16" i="68" s="1"/>
  <c r="BQ16" i="69" s="1"/>
  <c r="BQ16" i="70" s="1"/>
  <c r="BQ16" i="71" s="1"/>
  <c r="BQ16" i="73" s="1"/>
  <c r="BQ16" i="74" s="1"/>
  <c r="BQ16" i="76" s="1"/>
  <c r="BQ16" i="77" s="1"/>
  <c r="BQ16" i="78" s="1"/>
  <c r="BQ16" i="79" s="1"/>
  <c r="AO17" i="81"/>
  <c r="AO17" i="48" s="1"/>
  <c r="AO17" i="49" s="1"/>
  <c r="AO17" i="50" s="1"/>
  <c r="AO17" i="51" s="1"/>
  <c r="AO17" i="52" s="1"/>
  <c r="AO17" i="53" s="1"/>
  <c r="AO17" i="54" s="1"/>
  <c r="AO17" i="55" s="1"/>
  <c r="AO17" i="56" s="1"/>
  <c r="AO17" i="57" s="1"/>
  <c r="AO17" i="58" s="1"/>
  <c r="AO17" i="61" s="1"/>
  <c r="AO17" i="62" s="1"/>
  <c r="AO17" i="63" s="1"/>
  <c r="AO17" i="64" s="1"/>
  <c r="AO17" i="65" s="1"/>
  <c r="AO17" i="66" s="1"/>
  <c r="AO17" i="67" s="1"/>
  <c r="AO17" i="68" s="1"/>
  <c r="AO17" i="69" s="1"/>
  <c r="AO17" i="70" s="1"/>
  <c r="AO17" i="71" s="1"/>
  <c r="AO17" i="73" s="1"/>
  <c r="AO17" i="74" s="1"/>
  <c r="AO17" i="76" s="1"/>
  <c r="AO17" i="77" s="1"/>
  <c r="AO17" i="78" s="1"/>
  <c r="AO17" i="79" s="1"/>
  <c r="BJ20" i="81"/>
  <c r="BJ20" i="48" s="1"/>
  <c r="BJ20" i="49" s="1"/>
  <c r="BJ20" i="50" s="1"/>
  <c r="BJ20" i="51" s="1"/>
  <c r="BJ20" i="52" s="1"/>
  <c r="BJ20" i="53" s="1"/>
  <c r="BJ20" i="54" s="1"/>
  <c r="BJ20" i="55" s="1"/>
  <c r="BJ20" i="56" s="1"/>
  <c r="BJ20" i="57" s="1"/>
  <c r="BJ20" i="58" s="1"/>
  <c r="BJ20" i="61" s="1"/>
  <c r="BJ20" i="62" s="1"/>
  <c r="BJ20" i="63" s="1"/>
  <c r="BJ20" i="64" s="1"/>
  <c r="BJ20" i="65" s="1"/>
  <c r="BJ20" i="66" s="1"/>
  <c r="BJ20" i="67" s="1"/>
  <c r="BJ20" i="68" s="1"/>
  <c r="BJ20" i="69" s="1"/>
  <c r="BJ20" i="70" s="1"/>
  <c r="BJ20" i="71" s="1"/>
  <c r="BJ20" i="73" s="1"/>
  <c r="BJ20" i="74" s="1"/>
  <c r="BJ20" i="76" s="1"/>
  <c r="BJ20" i="77" s="1"/>
  <c r="BJ20" i="78" s="1"/>
  <c r="BJ20" i="79" s="1"/>
  <c r="M21" i="81"/>
  <c r="M21" i="48" s="1"/>
  <c r="M21" i="49" s="1"/>
  <c r="M21" i="50" s="1"/>
  <c r="M21" i="51" s="1"/>
  <c r="M21" i="52" s="1"/>
  <c r="M21" i="53" s="1"/>
  <c r="M21" i="54" s="1"/>
  <c r="M21" i="55" s="1"/>
  <c r="M21" i="56" s="1"/>
  <c r="M21" i="57" s="1"/>
  <c r="M21" i="58" s="1"/>
  <c r="M21" i="61" s="1"/>
  <c r="M21" i="62" s="1"/>
  <c r="M21" i="63" s="1"/>
  <c r="M21" i="64" s="1"/>
  <c r="M21" i="65" s="1"/>
  <c r="M21" i="66" s="1"/>
  <c r="M21" i="67" s="1"/>
  <c r="M21" i="68" s="1"/>
  <c r="M21" i="69" s="1"/>
  <c r="M21" i="70" s="1"/>
  <c r="M21" i="71" s="1"/>
  <c r="M21" i="73" s="1"/>
  <c r="M21" i="74" s="1"/>
  <c r="M21" i="76" s="1"/>
  <c r="M21" i="77" s="1"/>
  <c r="M21" i="78" s="1"/>
  <c r="M21" i="79" s="1"/>
  <c r="AZ21" i="81"/>
  <c r="AZ21" i="48" s="1"/>
  <c r="AZ21" i="49" s="1"/>
  <c r="AZ21" i="50" s="1"/>
  <c r="AZ21" i="51" s="1"/>
  <c r="AZ21" i="52" s="1"/>
  <c r="AZ21" i="53" s="1"/>
  <c r="AZ21" i="54" s="1"/>
  <c r="AZ21" i="55" s="1"/>
  <c r="AZ21" i="56" s="1"/>
  <c r="AZ21" i="57" s="1"/>
  <c r="AZ21" i="58" s="1"/>
  <c r="AZ21" i="61" s="1"/>
  <c r="AZ21" i="62" s="1"/>
  <c r="AZ21" i="63" s="1"/>
  <c r="AZ21" i="64" s="1"/>
  <c r="AZ21" i="65" s="1"/>
  <c r="AZ21" i="66" s="1"/>
  <c r="AZ21" i="67" s="1"/>
  <c r="AZ21" i="68" s="1"/>
  <c r="AZ21" i="69" s="1"/>
  <c r="AZ21" i="70" s="1"/>
  <c r="AZ21" i="71" s="1"/>
  <c r="AZ21" i="73" s="1"/>
  <c r="AZ21" i="74" s="1"/>
  <c r="AZ21" i="76" s="1"/>
  <c r="AZ21" i="77" s="1"/>
  <c r="AZ21" i="78" s="1"/>
  <c r="AZ21" i="79" s="1"/>
  <c r="BQ21" i="81"/>
  <c r="BQ21" i="48" s="1"/>
  <c r="BQ21" i="49" s="1"/>
  <c r="BQ21" i="50" s="1"/>
  <c r="BQ21" i="51" s="1"/>
  <c r="BQ21" i="52" s="1"/>
  <c r="BQ21" i="53" s="1"/>
  <c r="BQ21" i="54" s="1"/>
  <c r="BQ21" i="55" s="1"/>
  <c r="BQ21" i="56" s="1"/>
  <c r="BQ21" i="57" s="1"/>
  <c r="BQ21" i="58" s="1"/>
  <c r="BQ21" i="61" s="1"/>
  <c r="BQ21" i="62" s="1"/>
  <c r="BQ21" i="63" s="1"/>
  <c r="BQ21" i="64" s="1"/>
  <c r="BQ21" i="65" s="1"/>
  <c r="BQ21" i="66" s="1"/>
  <c r="BQ21" i="67" s="1"/>
  <c r="BQ21" i="68" s="1"/>
  <c r="BQ21" i="69" s="1"/>
  <c r="BQ21" i="70" s="1"/>
  <c r="BQ21" i="71" s="1"/>
  <c r="BQ21" i="73" s="1"/>
  <c r="BQ21" i="74" s="1"/>
  <c r="BQ21" i="76" s="1"/>
  <c r="BQ21" i="77" s="1"/>
  <c r="BQ21" i="78" s="1"/>
  <c r="BQ21" i="79" s="1"/>
  <c r="AG8" i="71"/>
  <c r="S10" i="109"/>
  <c r="S10" i="110" s="1"/>
  <c r="S10" i="111" s="1"/>
  <c r="S10" i="112" s="1"/>
  <c r="S10" i="114" s="1"/>
  <c r="S10" i="115" s="1"/>
  <c r="S10" i="116" s="1"/>
  <c r="S10" i="117" s="1"/>
  <c r="S10" i="118" s="1"/>
  <c r="S10" i="119" s="1"/>
  <c r="S10" i="120" s="1"/>
  <c r="S11" i="103"/>
  <c r="S11" i="109" s="1"/>
  <c r="S11" i="110" s="1"/>
  <c r="S11" i="111" s="1"/>
  <c r="S11" i="112" s="1"/>
  <c r="S11" i="114" s="1"/>
  <c r="S11" i="115" s="1"/>
  <c r="S11" i="116" s="1"/>
  <c r="S11" i="117" s="1"/>
  <c r="S11" i="118" s="1"/>
  <c r="S11" i="119" s="1"/>
  <c r="S11" i="120" s="1"/>
  <c r="AM10" i="109"/>
  <c r="AM10" i="110" s="1"/>
  <c r="AM10" i="111" s="1"/>
  <c r="AM10" i="112" s="1"/>
  <c r="AM10" i="114" s="1"/>
  <c r="AM10" i="115" s="1"/>
  <c r="AM10" i="116" s="1"/>
  <c r="AM10" i="117" s="1"/>
  <c r="AM10" i="118" s="1"/>
  <c r="AM10" i="119" s="1"/>
  <c r="AM10" i="120" s="1"/>
  <c r="AM11" i="103"/>
  <c r="AM11" i="109" s="1"/>
  <c r="AM11" i="110" s="1"/>
  <c r="AM11" i="111" s="1"/>
  <c r="AM11" i="112" s="1"/>
  <c r="AM11" i="114" s="1"/>
  <c r="AM11" i="115" s="1"/>
  <c r="AM11" i="116" s="1"/>
  <c r="AM11" i="117" s="1"/>
  <c r="AM11" i="118" s="1"/>
  <c r="AM11" i="119" s="1"/>
  <c r="AM11" i="120" s="1"/>
  <c r="AB12" i="103"/>
  <c r="AB12" i="109" s="1"/>
  <c r="AB12" i="110" s="1"/>
  <c r="AB12" i="111" s="1"/>
  <c r="AB12" i="112" s="1"/>
  <c r="AB12" i="114" s="1"/>
  <c r="AB12" i="115" s="1"/>
  <c r="AB12" i="116" s="1"/>
  <c r="AB12" i="117" s="1"/>
  <c r="AB12" i="118" s="1"/>
  <c r="AB12" i="119" s="1"/>
  <c r="AB12" i="120" s="1"/>
  <c r="BJ12" i="103"/>
  <c r="BJ12" i="109" s="1"/>
  <c r="BJ12" i="110" s="1"/>
  <c r="BJ12" i="111" s="1"/>
  <c r="BJ12" i="112" s="1"/>
  <c r="BJ12" i="114" s="1"/>
  <c r="BJ12" i="115" s="1"/>
  <c r="BJ12" i="116" s="1"/>
  <c r="BJ12" i="117" s="1"/>
  <c r="BJ12" i="118" s="1"/>
  <c r="BJ12" i="119" s="1"/>
  <c r="BJ12" i="120" s="1"/>
  <c r="M13" i="103"/>
  <c r="M13" i="109" s="1"/>
  <c r="M13" i="110" s="1"/>
  <c r="M13" i="111" s="1"/>
  <c r="M13" i="112" s="1"/>
  <c r="M13" i="114" s="1"/>
  <c r="M13" i="115" s="1"/>
  <c r="M13" i="116" s="1"/>
  <c r="M13" i="117" s="1"/>
  <c r="M13" i="118" s="1"/>
  <c r="M13" i="119" s="1"/>
  <c r="M13" i="120" s="1"/>
  <c r="AZ12" i="109"/>
  <c r="AZ12" i="110" s="1"/>
  <c r="AZ12" i="111" s="1"/>
  <c r="AZ12" i="112" s="1"/>
  <c r="AZ12" i="114" s="1"/>
  <c r="AZ12" i="115" s="1"/>
  <c r="AZ12" i="116" s="1"/>
  <c r="AZ12" i="117" s="1"/>
  <c r="AZ12" i="118" s="1"/>
  <c r="AZ12" i="119" s="1"/>
  <c r="AZ12" i="120" s="1"/>
  <c r="AZ13" i="103"/>
  <c r="AZ13" i="109" s="1"/>
  <c r="AZ13" i="110" s="1"/>
  <c r="AZ13" i="111" s="1"/>
  <c r="AZ13" i="112" s="1"/>
  <c r="AZ13" i="114" s="1"/>
  <c r="AZ13" i="115" s="1"/>
  <c r="AZ13" i="116" s="1"/>
  <c r="AZ13" i="117" s="1"/>
  <c r="AZ13" i="118" s="1"/>
  <c r="AZ13" i="119" s="1"/>
  <c r="AZ13" i="120" s="1"/>
  <c r="BQ13" i="103"/>
  <c r="V14" i="103"/>
  <c r="AO14" i="103"/>
  <c r="AE15" i="103"/>
  <c r="AE15" i="109" s="1"/>
  <c r="AE15" i="110" s="1"/>
  <c r="AE15" i="111" s="1"/>
  <c r="AE15" i="112" s="1"/>
  <c r="AE15" i="114" s="1"/>
  <c r="AE15" i="115" s="1"/>
  <c r="AE15" i="116" s="1"/>
  <c r="AE15" i="117" s="1"/>
  <c r="AE15" i="118" s="1"/>
  <c r="AE15" i="119" s="1"/>
  <c r="AE15" i="120" s="1"/>
  <c r="AV15" i="103"/>
  <c r="AV15" i="109" s="1"/>
  <c r="AV15" i="110" s="1"/>
  <c r="AV15" i="111" s="1"/>
  <c r="AV15" i="112" s="1"/>
  <c r="AV15" i="114" s="1"/>
  <c r="AV15" i="115" s="1"/>
  <c r="AV15" i="116" s="1"/>
  <c r="AV15" i="117" s="1"/>
  <c r="AV15" i="118" s="1"/>
  <c r="AV15" i="119" s="1"/>
  <c r="AV15" i="120" s="1"/>
  <c r="BL15" i="103"/>
  <c r="BL15" i="109" s="1"/>
  <c r="BL15" i="110" s="1"/>
  <c r="BL15" i="111" s="1"/>
  <c r="BL15" i="112" s="1"/>
  <c r="BL15" i="114" s="1"/>
  <c r="BL15" i="115" s="1"/>
  <c r="BL15" i="116" s="1"/>
  <c r="BL15" i="117" s="1"/>
  <c r="BL15" i="118" s="1"/>
  <c r="BL15" i="119" s="1"/>
  <c r="BL15" i="120" s="1"/>
  <c r="P16" i="103"/>
  <c r="P16" i="109" s="1"/>
  <c r="P16" i="110" s="1"/>
  <c r="P16" i="111" s="1"/>
  <c r="P16" i="112" s="1"/>
  <c r="P16" i="114" s="1"/>
  <c r="P16" i="115" s="1"/>
  <c r="P16" i="116" s="1"/>
  <c r="P16" i="117" s="1"/>
  <c r="P16" i="118" s="1"/>
  <c r="P16" i="119" s="1"/>
  <c r="P16" i="120" s="1"/>
  <c r="BB16" i="103"/>
  <c r="BB16" i="109" s="1"/>
  <c r="BB16" i="110" s="1"/>
  <c r="BB16" i="111" s="1"/>
  <c r="BB16" i="112" s="1"/>
  <c r="BB16" i="114" s="1"/>
  <c r="BB16" i="115" s="1"/>
  <c r="BB16" i="116" s="1"/>
  <c r="BB16" i="117" s="1"/>
  <c r="BB16" i="118" s="1"/>
  <c r="BB16" i="119" s="1"/>
  <c r="BB16" i="120" s="1"/>
  <c r="Y17" i="103"/>
  <c r="Y17" i="109" s="1"/>
  <c r="Y17" i="110" s="1"/>
  <c r="Y17" i="111" s="1"/>
  <c r="Y17" i="112" s="1"/>
  <c r="Y17" i="114" s="1"/>
  <c r="Y17" i="115" s="1"/>
  <c r="Y17" i="116" s="1"/>
  <c r="Y17" i="117" s="1"/>
  <c r="Y17" i="118" s="1"/>
  <c r="Y17" i="119" s="1"/>
  <c r="Y17" i="120" s="1"/>
  <c r="BH17" i="103"/>
  <c r="BH17" i="109" s="1"/>
  <c r="BH17" i="110" s="1"/>
  <c r="BH17" i="111" s="1"/>
  <c r="BH17" i="112" s="1"/>
  <c r="BH17" i="114" s="1"/>
  <c r="BH17" i="115" s="1"/>
  <c r="BH17" i="116" s="1"/>
  <c r="BH17" i="117" s="1"/>
  <c r="BH17" i="118" s="1"/>
  <c r="BH17" i="119" s="1"/>
  <c r="BH17" i="120" s="1"/>
  <c r="J18" i="103"/>
  <c r="J18" i="109" s="1"/>
  <c r="J18" i="110" s="1"/>
  <c r="J18" i="111" s="1"/>
  <c r="J18" i="112" s="1"/>
  <c r="J18" i="114" s="1"/>
  <c r="J18" i="115" s="1"/>
  <c r="J18" i="116" s="1"/>
  <c r="J18" i="117" s="1"/>
  <c r="J18" i="118" s="1"/>
  <c r="J18" i="119" s="1"/>
  <c r="J18" i="120" s="1"/>
  <c r="AX18" i="103"/>
  <c r="AX18" i="109" s="1"/>
  <c r="AX18" i="110" s="1"/>
  <c r="AX18" i="111" s="1"/>
  <c r="AX18" i="112" s="1"/>
  <c r="AX18" i="114" s="1"/>
  <c r="AX18" i="115" s="1"/>
  <c r="AX18" i="116" s="1"/>
  <c r="AX18" i="117" s="1"/>
  <c r="AX18" i="118" s="1"/>
  <c r="AX18" i="119" s="1"/>
  <c r="AX18" i="120" s="1"/>
  <c r="BN18" i="103"/>
  <c r="BN18" i="109" s="1"/>
  <c r="BN18" i="110" s="1"/>
  <c r="BN18" i="111" s="1"/>
  <c r="BN18" i="112" s="1"/>
  <c r="BN18" i="114" s="1"/>
  <c r="BN18" i="115" s="1"/>
  <c r="BN18" i="116" s="1"/>
  <c r="BN18" i="117" s="1"/>
  <c r="BN18" i="118" s="1"/>
  <c r="BN18" i="119" s="1"/>
  <c r="BN18" i="120" s="1"/>
  <c r="S19" i="103"/>
  <c r="S19" i="109" s="1"/>
  <c r="S19" i="110" s="1"/>
  <c r="S19" i="111" s="1"/>
  <c r="S19" i="112" s="1"/>
  <c r="S19" i="114" s="1"/>
  <c r="S19" i="115" s="1"/>
  <c r="S19" i="116" s="1"/>
  <c r="S19" i="117" s="1"/>
  <c r="S19" i="118" s="1"/>
  <c r="S19" i="119" s="1"/>
  <c r="S19" i="120" s="1"/>
  <c r="AM19" i="103"/>
  <c r="AM19" i="109" s="1"/>
  <c r="AM19" i="110" s="1"/>
  <c r="AM19" i="111" s="1"/>
  <c r="AM19" i="112" s="1"/>
  <c r="AM19" i="114" s="1"/>
  <c r="AM19" i="115" s="1"/>
  <c r="AM19" i="116" s="1"/>
  <c r="AM19" i="117" s="1"/>
  <c r="AM19" i="118" s="1"/>
  <c r="AM19" i="119" s="1"/>
  <c r="AM19" i="120" s="1"/>
  <c r="AB20" i="103"/>
  <c r="BJ20" i="103"/>
  <c r="M21" i="103"/>
  <c r="M21" i="109" s="1"/>
  <c r="M21" i="110" s="1"/>
  <c r="M21" i="111" s="1"/>
  <c r="M21" i="112" s="1"/>
  <c r="M21" i="114" s="1"/>
  <c r="M21" i="115" s="1"/>
  <c r="M21" i="116" s="1"/>
  <c r="M21" i="117" s="1"/>
  <c r="M21" i="118" s="1"/>
  <c r="M21" i="119" s="1"/>
  <c r="M21" i="120" s="1"/>
  <c r="AZ21" i="103"/>
  <c r="AZ21" i="109" s="1"/>
  <c r="AZ21" i="110" s="1"/>
  <c r="AZ21" i="111" s="1"/>
  <c r="AZ21" i="112" s="1"/>
  <c r="AZ21" i="114" s="1"/>
  <c r="AZ21" i="115" s="1"/>
  <c r="AZ21" i="116" s="1"/>
  <c r="AZ21" i="117" s="1"/>
  <c r="AZ21" i="118" s="1"/>
  <c r="AZ21" i="119" s="1"/>
  <c r="AZ21" i="120" s="1"/>
  <c r="BQ21" i="103"/>
  <c r="BQ21" i="109" s="1"/>
  <c r="BQ21" i="110" s="1"/>
  <c r="BQ21" i="111" s="1"/>
  <c r="BQ21" i="112" s="1"/>
  <c r="BQ21" i="114" s="1"/>
  <c r="BQ21" i="115" s="1"/>
  <c r="BQ21" i="116" s="1"/>
  <c r="BQ21" i="117" s="1"/>
  <c r="BQ21" i="118" s="1"/>
  <c r="BQ21" i="119" s="1"/>
  <c r="BQ21" i="120" s="1"/>
  <c r="V22" i="103"/>
  <c r="AO22" i="103"/>
  <c r="BH16" i="103"/>
  <c r="BH16" i="109" s="1"/>
  <c r="BH16" i="110" s="1"/>
  <c r="BH16" i="111" s="1"/>
  <c r="BH16" i="112" s="1"/>
  <c r="BH16" i="114" s="1"/>
  <c r="BH16" i="115" s="1"/>
  <c r="BH16" i="116" s="1"/>
  <c r="BH16" i="117" s="1"/>
  <c r="BH16" i="118" s="1"/>
  <c r="BH16" i="119" s="1"/>
  <c r="BH16" i="120" s="1"/>
  <c r="AX12" i="81"/>
  <c r="AX12" i="48" s="1"/>
  <c r="AX12" i="49" s="1"/>
  <c r="AX12" i="50" s="1"/>
  <c r="AX12" i="51" s="1"/>
  <c r="AX12" i="52" s="1"/>
  <c r="AX12" i="53" s="1"/>
  <c r="AX12" i="54" s="1"/>
  <c r="AX12" i="55" s="1"/>
  <c r="AX12" i="56" s="1"/>
  <c r="AX12" i="57" s="1"/>
  <c r="AX12" i="58" s="1"/>
  <c r="AX12" i="61" s="1"/>
  <c r="AX12" i="62" s="1"/>
  <c r="AX12" i="63" s="1"/>
  <c r="AX12" i="64" s="1"/>
  <c r="AX12" i="65" s="1"/>
  <c r="AX12" i="66" s="1"/>
  <c r="AX12" i="67" s="1"/>
  <c r="AX12" i="68" s="1"/>
  <c r="AX12" i="69" s="1"/>
  <c r="AX12" i="70" s="1"/>
  <c r="AX12" i="71" s="1"/>
  <c r="AX12" i="73" s="1"/>
  <c r="AX12" i="74" s="1"/>
  <c r="AX12" i="76" s="1"/>
  <c r="AX12" i="77" s="1"/>
  <c r="AX12" i="78" s="1"/>
  <c r="AX12" i="79" s="1"/>
  <c r="AB13" i="103"/>
  <c r="AB13" i="109" s="1"/>
  <c r="AB13" i="110" s="1"/>
  <c r="AB13" i="111" s="1"/>
  <c r="AB13" i="112" s="1"/>
  <c r="AB13" i="114" s="1"/>
  <c r="AB13" i="115" s="1"/>
  <c r="AB13" i="116" s="1"/>
  <c r="AB13" i="117" s="1"/>
  <c r="AB13" i="118" s="1"/>
  <c r="AB13" i="119" s="1"/>
  <c r="AB13" i="120" s="1"/>
  <c r="AO14" i="109"/>
  <c r="AO14" i="110" s="1"/>
  <c r="AO14" i="111" s="1"/>
  <c r="AO14" i="112" s="1"/>
  <c r="AO14" i="114" s="1"/>
  <c r="AO14" i="115" s="1"/>
  <c r="AO14" i="116" s="1"/>
  <c r="AO14" i="117" s="1"/>
  <c r="AO14" i="118" s="1"/>
  <c r="AO14" i="119" s="1"/>
  <c r="AO14" i="120" s="1"/>
  <c r="AO15" i="103"/>
  <c r="AO15" i="109" s="1"/>
  <c r="AO15" i="110" s="1"/>
  <c r="AO15" i="111" s="1"/>
  <c r="AO15" i="112" s="1"/>
  <c r="AO15" i="114" s="1"/>
  <c r="AO15" i="115" s="1"/>
  <c r="AO15" i="116" s="1"/>
  <c r="AO15" i="117" s="1"/>
  <c r="AO15" i="118" s="1"/>
  <c r="AO15" i="119" s="1"/>
  <c r="AO15" i="120" s="1"/>
  <c r="S20" i="103"/>
  <c r="S20" i="109" s="1"/>
  <c r="S20" i="110" s="1"/>
  <c r="S20" i="111" s="1"/>
  <c r="S20" i="112" s="1"/>
  <c r="S20" i="114" s="1"/>
  <c r="S20" i="115" s="1"/>
  <c r="S20" i="116" s="1"/>
  <c r="S20" i="117" s="1"/>
  <c r="S20" i="118" s="1"/>
  <c r="S20" i="119" s="1"/>
  <c r="S20" i="120" s="1"/>
  <c r="BQ9" i="109"/>
  <c r="BQ9" i="110" s="1"/>
  <c r="BQ9" i="111" s="1"/>
  <c r="BQ9" i="112" s="1"/>
  <c r="BQ9" i="114" s="1"/>
  <c r="BQ9" i="115" s="1"/>
  <c r="BQ9" i="116" s="1"/>
  <c r="BQ9" i="117" s="1"/>
  <c r="BQ9" i="118" s="1"/>
  <c r="BQ9" i="119" s="1"/>
  <c r="BQ9" i="120" s="1"/>
  <c r="BQ10" i="103"/>
  <c r="BQ10" i="109" s="1"/>
  <c r="BQ10" i="110" s="1"/>
  <c r="BQ10" i="111" s="1"/>
  <c r="BQ10" i="112" s="1"/>
  <c r="BQ10" i="114" s="1"/>
  <c r="BQ10" i="115" s="1"/>
  <c r="BQ10" i="116" s="1"/>
  <c r="BQ10" i="117" s="1"/>
  <c r="BQ10" i="118" s="1"/>
  <c r="BQ10" i="119" s="1"/>
  <c r="BQ10" i="120" s="1"/>
  <c r="V10" i="109"/>
  <c r="V10" i="110" s="1"/>
  <c r="V10" i="111" s="1"/>
  <c r="V10" i="112" s="1"/>
  <c r="V10" i="114" s="1"/>
  <c r="V10" i="115" s="1"/>
  <c r="V10" i="116" s="1"/>
  <c r="V10" i="117" s="1"/>
  <c r="V10" i="118" s="1"/>
  <c r="V10" i="119" s="1"/>
  <c r="V10" i="120" s="1"/>
  <c r="V11" i="103"/>
  <c r="AO10" i="109"/>
  <c r="AO10" i="110" s="1"/>
  <c r="AO10" i="111" s="1"/>
  <c r="AO10" i="112" s="1"/>
  <c r="AO10" i="114" s="1"/>
  <c r="AO10" i="115" s="1"/>
  <c r="AO10" i="116" s="1"/>
  <c r="AO10" i="117" s="1"/>
  <c r="AO10" i="118" s="1"/>
  <c r="AO10" i="119" s="1"/>
  <c r="AO10" i="120" s="1"/>
  <c r="AO11" i="103"/>
  <c r="AO11" i="109" s="1"/>
  <c r="AO11" i="110" s="1"/>
  <c r="AO11" i="111" s="1"/>
  <c r="AO11" i="112" s="1"/>
  <c r="AO11" i="114" s="1"/>
  <c r="AO11" i="115" s="1"/>
  <c r="AO11" i="116" s="1"/>
  <c r="AO11" i="117" s="1"/>
  <c r="AO11" i="118" s="1"/>
  <c r="AO11" i="119" s="1"/>
  <c r="AO11" i="120" s="1"/>
  <c r="AE12" i="103"/>
  <c r="AV12" i="103"/>
  <c r="BL12" i="103"/>
  <c r="BL12" i="109" s="1"/>
  <c r="BL12" i="110" s="1"/>
  <c r="BL12" i="111" s="1"/>
  <c r="BL12" i="112" s="1"/>
  <c r="BL12" i="114" s="1"/>
  <c r="BL12" i="115" s="1"/>
  <c r="BL12" i="116" s="1"/>
  <c r="BL12" i="117" s="1"/>
  <c r="BL12" i="118" s="1"/>
  <c r="BL12" i="119" s="1"/>
  <c r="BL12" i="120" s="1"/>
  <c r="P13" i="103"/>
  <c r="P13" i="109" s="1"/>
  <c r="P13" i="110" s="1"/>
  <c r="P13" i="111" s="1"/>
  <c r="P13" i="112" s="1"/>
  <c r="P13" i="114" s="1"/>
  <c r="P13" i="115" s="1"/>
  <c r="P13" i="116" s="1"/>
  <c r="P13" i="117" s="1"/>
  <c r="P13" i="118" s="1"/>
  <c r="P13" i="119" s="1"/>
  <c r="P13" i="120" s="1"/>
  <c r="AK13" i="103"/>
  <c r="AK13" i="109" s="1"/>
  <c r="AK13" i="110" s="1"/>
  <c r="AK13" i="111" s="1"/>
  <c r="AK13" i="112" s="1"/>
  <c r="AK13" i="114" s="1"/>
  <c r="AK13" i="115" s="1"/>
  <c r="AK13" i="116" s="1"/>
  <c r="AK13" i="117" s="1"/>
  <c r="AK13" i="118" s="1"/>
  <c r="AK13" i="119" s="1"/>
  <c r="AK13" i="120" s="1"/>
  <c r="BB13" i="103"/>
  <c r="BB13" i="109" s="1"/>
  <c r="BB13" i="110" s="1"/>
  <c r="BB13" i="111" s="1"/>
  <c r="BB13" i="112" s="1"/>
  <c r="BB13" i="114" s="1"/>
  <c r="BB13" i="115" s="1"/>
  <c r="BB13" i="116" s="1"/>
  <c r="BB13" i="117" s="1"/>
  <c r="BB13" i="118" s="1"/>
  <c r="BB13" i="119" s="1"/>
  <c r="BB13" i="120" s="1"/>
  <c r="Y14" i="103"/>
  <c r="Y14" i="109" s="1"/>
  <c r="Y14" i="110" s="1"/>
  <c r="Y14" i="111" s="1"/>
  <c r="Y14" i="112" s="1"/>
  <c r="Y14" i="114" s="1"/>
  <c r="Y14" i="115" s="1"/>
  <c r="Y14" i="116" s="1"/>
  <c r="Y14" i="117" s="1"/>
  <c r="Y14" i="118" s="1"/>
  <c r="Y14" i="119" s="1"/>
  <c r="Y14" i="120" s="1"/>
  <c r="BH14" i="103"/>
  <c r="AX15" i="103"/>
  <c r="AX15" i="109" s="1"/>
  <c r="AX15" i="110" s="1"/>
  <c r="AX15" i="111" s="1"/>
  <c r="AX15" i="112" s="1"/>
  <c r="AX15" i="114" s="1"/>
  <c r="AX15" i="115" s="1"/>
  <c r="AX15" i="116" s="1"/>
  <c r="AX15" i="117" s="1"/>
  <c r="AX15" i="118" s="1"/>
  <c r="AX15" i="119" s="1"/>
  <c r="AX15" i="120" s="1"/>
  <c r="BN15" i="103"/>
  <c r="BN15" i="109" s="1"/>
  <c r="BN15" i="110" s="1"/>
  <c r="BN15" i="111" s="1"/>
  <c r="BN15" i="112" s="1"/>
  <c r="BN15" i="114" s="1"/>
  <c r="BN15" i="115" s="1"/>
  <c r="BN15" i="116" s="1"/>
  <c r="BN15" i="117" s="1"/>
  <c r="BN15" i="118" s="1"/>
  <c r="BN15" i="119" s="1"/>
  <c r="BN15" i="120" s="1"/>
  <c r="S16" i="103"/>
  <c r="S16" i="109" s="1"/>
  <c r="S16" i="110" s="1"/>
  <c r="S16" i="111" s="1"/>
  <c r="S16" i="112" s="1"/>
  <c r="S16" i="114" s="1"/>
  <c r="S16" i="115" s="1"/>
  <c r="S16" i="116" s="1"/>
  <c r="S16" i="117" s="1"/>
  <c r="S16" i="118" s="1"/>
  <c r="S16" i="119" s="1"/>
  <c r="S16" i="120" s="1"/>
  <c r="AM16" i="103"/>
  <c r="AM16" i="109" s="1"/>
  <c r="AM16" i="110" s="1"/>
  <c r="AM16" i="111" s="1"/>
  <c r="AM16" i="112" s="1"/>
  <c r="AM16" i="114" s="1"/>
  <c r="AM16" i="115" s="1"/>
  <c r="AM16" i="116" s="1"/>
  <c r="AM16" i="117" s="1"/>
  <c r="AM16" i="118" s="1"/>
  <c r="AM16" i="119" s="1"/>
  <c r="AM16" i="120" s="1"/>
  <c r="AB17" i="103"/>
  <c r="BJ17" i="103"/>
  <c r="M18" i="103"/>
  <c r="M18" i="109" s="1"/>
  <c r="M18" i="110" s="1"/>
  <c r="M18" i="111" s="1"/>
  <c r="M18" i="112" s="1"/>
  <c r="M18" i="114" s="1"/>
  <c r="M18" i="115" s="1"/>
  <c r="M18" i="116" s="1"/>
  <c r="M18" i="117" s="1"/>
  <c r="M18" i="118" s="1"/>
  <c r="M18" i="119" s="1"/>
  <c r="M18" i="120" s="1"/>
  <c r="AZ18" i="103"/>
  <c r="AZ18" i="109" s="1"/>
  <c r="AZ18" i="110" s="1"/>
  <c r="AZ18" i="111" s="1"/>
  <c r="AZ18" i="112" s="1"/>
  <c r="AZ18" i="114" s="1"/>
  <c r="AZ18" i="115" s="1"/>
  <c r="AZ18" i="116" s="1"/>
  <c r="AZ18" i="117" s="1"/>
  <c r="AZ18" i="118" s="1"/>
  <c r="AZ18" i="119" s="1"/>
  <c r="AZ18" i="120" s="1"/>
  <c r="BQ18" i="103"/>
  <c r="AO19" i="103"/>
  <c r="AO19" i="109" s="1"/>
  <c r="AO19" i="110" s="1"/>
  <c r="AO19" i="111" s="1"/>
  <c r="AO19" i="112" s="1"/>
  <c r="AO19" i="114" s="1"/>
  <c r="AO19" i="115" s="1"/>
  <c r="AO19" i="116" s="1"/>
  <c r="AO19" i="117" s="1"/>
  <c r="AO19" i="118" s="1"/>
  <c r="AO19" i="119" s="1"/>
  <c r="AO19" i="120" s="1"/>
  <c r="AE20" i="103"/>
  <c r="AE20" i="109" s="1"/>
  <c r="AE20" i="110" s="1"/>
  <c r="AE20" i="111" s="1"/>
  <c r="AE20" i="112" s="1"/>
  <c r="AE20" i="114" s="1"/>
  <c r="AE20" i="115" s="1"/>
  <c r="AE20" i="116" s="1"/>
  <c r="AE20" i="117" s="1"/>
  <c r="P21" i="103"/>
  <c r="P21" i="109" s="1"/>
  <c r="P21" i="110" s="1"/>
  <c r="P21" i="111" s="1"/>
  <c r="P21" i="112" s="1"/>
  <c r="P21" i="114" s="1"/>
  <c r="P21" i="115" s="1"/>
  <c r="P21" i="116" s="1"/>
  <c r="P21" i="117" s="1"/>
  <c r="P21" i="118" s="1"/>
  <c r="P21" i="119" s="1"/>
  <c r="P21" i="120" s="1"/>
  <c r="AK21" i="103"/>
  <c r="AK21" i="109" s="1"/>
  <c r="AK21" i="110" s="1"/>
  <c r="AK21" i="111" s="1"/>
  <c r="AK21" i="112" s="1"/>
  <c r="AK21" i="114" s="1"/>
  <c r="AK21" i="115" s="1"/>
  <c r="AK21" i="116" s="1"/>
  <c r="AK21" i="117" s="1"/>
  <c r="AK21" i="118" s="1"/>
  <c r="AK21" i="119" s="1"/>
  <c r="AK21" i="120" s="1"/>
  <c r="BB21" i="103"/>
  <c r="BB21" i="109" s="1"/>
  <c r="BB21" i="110" s="1"/>
  <c r="BB21" i="111" s="1"/>
  <c r="BB21" i="112" s="1"/>
  <c r="BB21" i="114" s="1"/>
  <c r="BB21" i="115" s="1"/>
  <c r="BB21" i="116" s="1"/>
  <c r="BB21" i="117" s="1"/>
  <c r="BB21" i="118" s="1"/>
  <c r="BB21" i="119" s="1"/>
  <c r="BB21" i="120" s="1"/>
  <c r="Y22" i="103"/>
  <c r="BH22" i="103"/>
  <c r="D8" i="102"/>
  <c r="J8" i="103"/>
  <c r="D8" i="103" s="1"/>
  <c r="AZ10" i="81"/>
  <c r="AZ10" i="48" s="1"/>
  <c r="AZ10" i="49" s="1"/>
  <c r="AZ10" i="50" s="1"/>
  <c r="AZ10" i="51" s="1"/>
  <c r="AZ10" i="52" s="1"/>
  <c r="AZ10" i="53" s="1"/>
  <c r="AZ10" i="54" s="1"/>
  <c r="AZ10" i="55" s="1"/>
  <c r="AZ10" i="56" s="1"/>
  <c r="AZ10" i="57" s="1"/>
  <c r="AZ10" i="58" s="1"/>
  <c r="AZ10" i="61" s="1"/>
  <c r="AZ10" i="62" s="1"/>
  <c r="AZ10" i="63" s="1"/>
  <c r="AZ10" i="64" s="1"/>
  <c r="AZ10" i="65" s="1"/>
  <c r="AZ10" i="66" s="1"/>
  <c r="AZ10" i="67" s="1"/>
  <c r="AZ10" i="68" s="1"/>
  <c r="AZ10" i="69" s="1"/>
  <c r="AZ10" i="70" s="1"/>
  <c r="AZ10" i="71" s="1"/>
  <c r="AZ10" i="73" s="1"/>
  <c r="AZ10" i="74" s="1"/>
  <c r="AZ10" i="76" s="1"/>
  <c r="AZ10" i="77" s="1"/>
  <c r="AZ10" i="78" s="1"/>
  <c r="AZ10" i="79" s="1"/>
  <c r="J12" i="81"/>
  <c r="J12" i="48" s="1"/>
  <c r="J12" i="49" s="1"/>
  <c r="J12" i="50" s="1"/>
  <c r="J12" i="51" s="1"/>
  <c r="J12" i="52" s="1"/>
  <c r="J12" i="53" s="1"/>
  <c r="J12" i="54" s="1"/>
  <c r="J12" i="55" s="1"/>
  <c r="J12" i="56" s="1"/>
  <c r="J12" i="57" s="1"/>
  <c r="J12" i="58" s="1"/>
  <c r="J12" i="61" s="1"/>
  <c r="J12" i="62" s="1"/>
  <c r="J12" i="63" s="1"/>
  <c r="J12" i="64" s="1"/>
  <c r="J12" i="65" s="1"/>
  <c r="J12" i="66" s="1"/>
  <c r="J12" i="67" s="1"/>
  <c r="J12" i="68" s="1"/>
  <c r="J12" i="69" s="1"/>
  <c r="J12" i="70" s="1"/>
  <c r="J12" i="71" s="1"/>
  <c r="J12" i="73" s="1"/>
  <c r="J12" i="74" s="1"/>
  <c r="J12" i="76" s="1"/>
  <c r="J12" i="77" s="1"/>
  <c r="J12" i="78" s="1"/>
  <c r="J12" i="79" s="1"/>
  <c r="BL14" i="81"/>
  <c r="BL14" i="48" s="1"/>
  <c r="BL14" i="49" s="1"/>
  <c r="BL14" i="50" s="1"/>
  <c r="BL14" i="51" s="1"/>
  <c r="BL14" i="52" s="1"/>
  <c r="BL14" i="53" s="1"/>
  <c r="BL14" i="54" s="1"/>
  <c r="BL14" i="55" s="1"/>
  <c r="BL14" i="56" s="1"/>
  <c r="BL14" i="57" s="1"/>
  <c r="BL14" i="58" s="1"/>
  <c r="BL14" i="61" s="1"/>
  <c r="BL14" i="62" s="1"/>
  <c r="BL14" i="63" s="1"/>
  <c r="BL14" i="64" s="1"/>
  <c r="BL14" i="65" s="1"/>
  <c r="BL14" i="66" s="1"/>
  <c r="BL14" i="67" s="1"/>
  <c r="BL14" i="68" s="1"/>
  <c r="BL14" i="69" s="1"/>
  <c r="BL14" i="70" s="1"/>
  <c r="BL14" i="71" s="1"/>
  <c r="BL14" i="73" s="1"/>
  <c r="BL14" i="74" s="1"/>
  <c r="BL14" i="76" s="1"/>
  <c r="BL14" i="77" s="1"/>
  <c r="BL14" i="78" s="1"/>
  <c r="BL14" i="79" s="1"/>
  <c r="BN19" i="81"/>
  <c r="BN19" i="48" s="1"/>
  <c r="BN19" i="49" s="1"/>
  <c r="BN19" i="50" s="1"/>
  <c r="BN19" i="51" s="1"/>
  <c r="BN19" i="52" s="1"/>
  <c r="BN19" i="53" s="1"/>
  <c r="BN19" i="54" s="1"/>
  <c r="BN19" i="55" s="1"/>
  <c r="BN19" i="56" s="1"/>
  <c r="BN19" i="57" s="1"/>
  <c r="BN19" i="58" s="1"/>
  <c r="BN19" i="61" s="1"/>
  <c r="BN19" i="62" s="1"/>
  <c r="BN19" i="63" s="1"/>
  <c r="BN19" i="64" s="1"/>
  <c r="BN19" i="65" s="1"/>
  <c r="BN19" i="66" s="1"/>
  <c r="BN19" i="67" s="1"/>
  <c r="BN19" i="68" s="1"/>
  <c r="BN19" i="69" s="1"/>
  <c r="BN19" i="70" s="1"/>
  <c r="BN19" i="71" s="1"/>
  <c r="BN19" i="73" s="1"/>
  <c r="BN19" i="74" s="1"/>
  <c r="BN19" i="76" s="1"/>
  <c r="BN19" i="77" s="1"/>
  <c r="BN19" i="78" s="1"/>
  <c r="BN19" i="79" s="1"/>
  <c r="M22" i="81"/>
  <c r="M22" i="48" s="1"/>
  <c r="M22" i="49" s="1"/>
  <c r="M22" i="50" s="1"/>
  <c r="M22" i="51" s="1"/>
  <c r="M22" i="52" s="1"/>
  <c r="M22" i="53" s="1"/>
  <c r="M22" i="54" s="1"/>
  <c r="M22" i="55" s="1"/>
  <c r="M22" i="56" s="1"/>
  <c r="M22" i="57" s="1"/>
  <c r="M22" i="58" s="1"/>
  <c r="M22" i="61" s="1"/>
  <c r="M22" i="62" s="1"/>
  <c r="M22" i="63" s="1"/>
  <c r="M22" i="64" s="1"/>
  <c r="M22" i="65" s="1"/>
  <c r="M22" i="66" s="1"/>
  <c r="M22" i="67" s="1"/>
  <c r="M22" i="68" s="1"/>
  <c r="M22" i="69" s="1"/>
  <c r="M22" i="70" s="1"/>
  <c r="M22" i="71" s="1"/>
  <c r="M22" i="73" s="1"/>
  <c r="M22" i="74" s="1"/>
  <c r="M22" i="76" s="1"/>
  <c r="M22" i="77" s="1"/>
  <c r="M22" i="78" s="1"/>
  <c r="M22" i="79" s="1"/>
  <c r="AM12" i="103"/>
  <c r="AM12" i="109" s="1"/>
  <c r="AM12" i="110" s="1"/>
  <c r="AM12" i="111" s="1"/>
  <c r="AM12" i="112" s="1"/>
  <c r="AM12" i="114" s="1"/>
  <c r="AM12" i="115" s="1"/>
  <c r="AM12" i="116" s="1"/>
  <c r="AM12" i="117" s="1"/>
  <c r="AM12" i="118" s="1"/>
  <c r="AM12" i="119" s="1"/>
  <c r="AM12" i="120" s="1"/>
  <c r="BQ13" i="109"/>
  <c r="BQ13" i="110" s="1"/>
  <c r="BQ13" i="111" s="1"/>
  <c r="BQ13" i="112" s="1"/>
  <c r="BQ13" i="114" s="1"/>
  <c r="BQ13" i="115" s="1"/>
  <c r="BQ13" i="116" s="1"/>
  <c r="BQ13" i="117" s="1"/>
  <c r="BQ13" i="118" s="1"/>
  <c r="BQ13" i="119" s="1"/>
  <c r="BQ13" i="120" s="1"/>
  <c r="BQ14" i="103"/>
  <c r="P17" i="103"/>
  <c r="P17" i="109" s="1"/>
  <c r="P17" i="110" s="1"/>
  <c r="P17" i="111" s="1"/>
  <c r="P17" i="112" s="1"/>
  <c r="P17" i="114" s="1"/>
  <c r="P17" i="115" s="1"/>
  <c r="P17" i="116" s="1"/>
  <c r="P17" i="117" s="1"/>
  <c r="P17" i="118" s="1"/>
  <c r="P17" i="119" s="1"/>
  <c r="P17" i="120" s="1"/>
  <c r="AX19" i="103"/>
  <c r="AX19" i="109" s="1"/>
  <c r="AX19" i="110" s="1"/>
  <c r="AX19" i="111" s="1"/>
  <c r="AX19" i="112" s="1"/>
  <c r="AX19" i="114" s="1"/>
  <c r="AX19" i="115" s="1"/>
  <c r="AX19" i="116" s="1"/>
  <c r="AX19" i="117" s="1"/>
  <c r="AX19" i="118" s="1"/>
  <c r="AX19" i="119" s="1"/>
  <c r="AX19" i="120" s="1"/>
  <c r="AZ22" i="103"/>
  <c r="BD8" i="102"/>
  <c r="BF8" i="103"/>
  <c r="BD8" i="103" s="1"/>
  <c r="Y17" i="81"/>
  <c r="Y17" i="48" s="1"/>
  <c r="Y17" i="49" s="1"/>
  <c r="Y17" i="50" s="1"/>
  <c r="Y17" i="51" s="1"/>
  <c r="Y17" i="52" s="1"/>
  <c r="Y17" i="53" s="1"/>
  <c r="Y17" i="54" s="1"/>
  <c r="Y17" i="55" s="1"/>
  <c r="Y17" i="56" s="1"/>
  <c r="Y17" i="57" s="1"/>
  <c r="Y17" i="58" s="1"/>
  <c r="Y17" i="61" s="1"/>
  <c r="Y17" i="62" s="1"/>
  <c r="Y17" i="63" s="1"/>
  <c r="Y17" i="64" s="1"/>
  <c r="Y17" i="65" s="1"/>
  <c r="Y17" i="66" s="1"/>
  <c r="Y17" i="67" s="1"/>
  <c r="Y17" i="68" s="1"/>
  <c r="Y17" i="69" s="1"/>
  <c r="Y17" i="70" s="1"/>
  <c r="Y17" i="71" s="1"/>
  <c r="Y17" i="73" s="1"/>
  <c r="Y17" i="74" s="1"/>
  <c r="Y17" i="76" s="1"/>
  <c r="Y17" i="77" s="1"/>
  <c r="Y17" i="78" s="1"/>
  <c r="Y17" i="79" s="1"/>
  <c r="BH17" i="81"/>
  <c r="BH17" i="48" s="1"/>
  <c r="BH17" i="49" s="1"/>
  <c r="BH17" i="50" s="1"/>
  <c r="BH17" i="51" s="1"/>
  <c r="BH17" i="52" s="1"/>
  <c r="BH17" i="53" s="1"/>
  <c r="BH17" i="54" s="1"/>
  <c r="BH17" i="55" s="1"/>
  <c r="BH17" i="56" s="1"/>
  <c r="BH17" i="57" s="1"/>
  <c r="BH17" i="58" s="1"/>
  <c r="BH17" i="61" s="1"/>
  <c r="BH17" i="62" s="1"/>
  <c r="BH17" i="63" s="1"/>
  <c r="BH17" i="64" s="1"/>
  <c r="BH17" i="65" s="1"/>
  <c r="BH17" i="66" s="1"/>
  <c r="BH17" i="67" s="1"/>
  <c r="BH17" i="68" s="1"/>
  <c r="BH17" i="69" s="1"/>
  <c r="BH17" i="70" s="1"/>
  <c r="BH17" i="71" s="1"/>
  <c r="BH17" i="73" s="1"/>
  <c r="BH17" i="74" s="1"/>
  <c r="BH17" i="76" s="1"/>
  <c r="BH17" i="77" s="1"/>
  <c r="BH17" i="78" s="1"/>
  <c r="BH17" i="79" s="1"/>
  <c r="J18" i="81"/>
  <c r="J18" i="48" s="1"/>
  <c r="J18" i="49" s="1"/>
  <c r="J18" i="50" s="1"/>
  <c r="J18" i="51" s="1"/>
  <c r="J18" i="52" s="1"/>
  <c r="J18" i="53" s="1"/>
  <c r="J18" i="54" s="1"/>
  <c r="J18" i="55" s="1"/>
  <c r="J18" i="56" s="1"/>
  <c r="J18" i="57" s="1"/>
  <c r="J18" i="58" s="1"/>
  <c r="J18" i="61" s="1"/>
  <c r="J18" i="62" s="1"/>
  <c r="J18" i="63" s="1"/>
  <c r="J18" i="64" s="1"/>
  <c r="J18" i="65" s="1"/>
  <c r="J18" i="66" s="1"/>
  <c r="J18" i="67" s="1"/>
  <c r="J18" i="68" s="1"/>
  <c r="J18" i="69" s="1"/>
  <c r="J18" i="70" s="1"/>
  <c r="J18" i="71" s="1"/>
  <c r="J18" i="73" s="1"/>
  <c r="J18" i="74" s="1"/>
  <c r="J18" i="76" s="1"/>
  <c r="J18" i="77" s="1"/>
  <c r="J18" i="78" s="1"/>
  <c r="J18" i="79" s="1"/>
  <c r="AZ18" i="81"/>
  <c r="AZ18" i="48" s="1"/>
  <c r="AZ18" i="49" s="1"/>
  <c r="AZ18" i="50" s="1"/>
  <c r="AZ18" i="51" s="1"/>
  <c r="AZ18" i="52" s="1"/>
  <c r="AZ18" i="53" s="1"/>
  <c r="AZ18" i="54" s="1"/>
  <c r="AZ18" i="55" s="1"/>
  <c r="AZ18" i="56" s="1"/>
  <c r="AZ18" i="57" s="1"/>
  <c r="AZ18" i="58" s="1"/>
  <c r="AZ18" i="61" s="1"/>
  <c r="AZ18" i="62" s="1"/>
  <c r="AZ18" i="63" s="1"/>
  <c r="AZ18" i="64" s="1"/>
  <c r="AZ18" i="65" s="1"/>
  <c r="AZ18" i="66" s="1"/>
  <c r="AZ18" i="67" s="1"/>
  <c r="AZ18" i="68" s="1"/>
  <c r="AZ18" i="69" s="1"/>
  <c r="AZ18" i="70" s="1"/>
  <c r="AZ18" i="71" s="1"/>
  <c r="AZ18" i="73" s="1"/>
  <c r="AZ18" i="74" s="1"/>
  <c r="AZ18" i="76" s="1"/>
  <c r="AZ18" i="77" s="1"/>
  <c r="AZ18" i="78" s="1"/>
  <c r="AZ18" i="79" s="1"/>
  <c r="V19" i="81"/>
  <c r="V19" i="48" s="1"/>
  <c r="V19" i="49" s="1"/>
  <c r="V19" i="50" s="1"/>
  <c r="V19" i="51" s="1"/>
  <c r="V19" i="52" s="1"/>
  <c r="V19" i="53" s="1"/>
  <c r="V19" i="54" s="1"/>
  <c r="V19" i="55" s="1"/>
  <c r="V19" i="56" s="1"/>
  <c r="V19" i="57" s="1"/>
  <c r="V19" i="58" s="1"/>
  <c r="V19" i="61" s="1"/>
  <c r="V19" i="62" s="1"/>
  <c r="V19" i="63" s="1"/>
  <c r="V19" i="64" s="1"/>
  <c r="V19" i="65" s="1"/>
  <c r="V19" i="66" s="1"/>
  <c r="V19" i="67" s="1"/>
  <c r="V19" i="68" s="1"/>
  <c r="V19" i="69" s="1"/>
  <c r="V19" i="70" s="1"/>
  <c r="V19" i="71" s="1"/>
  <c r="V19" i="73" s="1"/>
  <c r="V19" i="74" s="1"/>
  <c r="V19" i="76" s="1"/>
  <c r="V19" i="77" s="1"/>
  <c r="V19" i="78" s="1"/>
  <c r="V19" i="79" s="1"/>
  <c r="AO19" i="81"/>
  <c r="AO19" i="48" s="1"/>
  <c r="AO19" i="49" s="1"/>
  <c r="AO19" i="50" s="1"/>
  <c r="AO19" i="51" s="1"/>
  <c r="AO19" i="52" s="1"/>
  <c r="AO19" i="53" s="1"/>
  <c r="AO19" i="54" s="1"/>
  <c r="AO19" i="55" s="1"/>
  <c r="AO19" i="56" s="1"/>
  <c r="AO19" i="57" s="1"/>
  <c r="AO19" i="58" s="1"/>
  <c r="AO19" i="61" s="1"/>
  <c r="AO19" i="62" s="1"/>
  <c r="AO19" i="63" s="1"/>
  <c r="AO19" i="64" s="1"/>
  <c r="AO19" i="65" s="1"/>
  <c r="AO19" i="66" s="1"/>
  <c r="AO19" i="67" s="1"/>
  <c r="AO19" i="68" s="1"/>
  <c r="AO19" i="69" s="1"/>
  <c r="AO19" i="70" s="1"/>
  <c r="AO19" i="71" s="1"/>
  <c r="AO19" i="73" s="1"/>
  <c r="AO19" i="74" s="1"/>
  <c r="AO19" i="76" s="1"/>
  <c r="AO19" i="77" s="1"/>
  <c r="AO19" i="78" s="1"/>
  <c r="AO19" i="79" s="1"/>
  <c r="AE20" i="81"/>
  <c r="AE20" i="48" s="1"/>
  <c r="AE20" i="49" s="1"/>
  <c r="AE20" i="50" s="1"/>
  <c r="AE20" i="51" s="1"/>
  <c r="AE20" i="52" s="1"/>
  <c r="AE20" i="53" s="1"/>
  <c r="AE20" i="54" s="1"/>
  <c r="AE20" i="55" s="1"/>
  <c r="AE20" i="56" s="1"/>
  <c r="AE20" i="57" s="1"/>
  <c r="AE20" i="58" s="1"/>
  <c r="AE20" i="61" s="1"/>
  <c r="AE20" i="62" s="1"/>
  <c r="AE20" i="63" s="1"/>
  <c r="AE20" i="64" s="1"/>
  <c r="AE20" i="65" s="1"/>
  <c r="AE20" i="66" s="1"/>
  <c r="AE20" i="67" s="1"/>
  <c r="AE20" i="68" s="1"/>
  <c r="AE20" i="69" s="1"/>
  <c r="AE20" i="70" s="1"/>
  <c r="AE20" i="71" s="1"/>
  <c r="AE20" i="73" s="1"/>
  <c r="AE20" i="74" s="1"/>
  <c r="AE20" i="76" s="1"/>
  <c r="AE20" i="77" s="1"/>
  <c r="AE20" i="78" s="1"/>
  <c r="AE20" i="79" s="1"/>
  <c r="AV20" i="81"/>
  <c r="AV20" i="48" s="1"/>
  <c r="AV20" i="49" s="1"/>
  <c r="AV20" i="50" s="1"/>
  <c r="AV20" i="51" s="1"/>
  <c r="AV20" i="52" s="1"/>
  <c r="AV20" i="53" s="1"/>
  <c r="AV20" i="54" s="1"/>
  <c r="AV20" i="55" s="1"/>
  <c r="AV20" i="56" s="1"/>
  <c r="AV20" i="57" s="1"/>
  <c r="AV20" i="58" s="1"/>
  <c r="AV20" i="61" s="1"/>
  <c r="AV20" i="62" s="1"/>
  <c r="AV20" i="63" s="1"/>
  <c r="AV20" i="64" s="1"/>
  <c r="AV20" i="65" s="1"/>
  <c r="AV20" i="66" s="1"/>
  <c r="AV20" i="67" s="1"/>
  <c r="AV20" i="68" s="1"/>
  <c r="AV20" i="69" s="1"/>
  <c r="AV20" i="70" s="1"/>
  <c r="AV20" i="71" s="1"/>
  <c r="AV20" i="73" s="1"/>
  <c r="AV20" i="74" s="1"/>
  <c r="AV20" i="76" s="1"/>
  <c r="AV20" i="77" s="1"/>
  <c r="AV20" i="78" s="1"/>
  <c r="AV20" i="79" s="1"/>
  <c r="BL20" i="81"/>
  <c r="BL20" i="48" s="1"/>
  <c r="BL20" i="49" s="1"/>
  <c r="BL20" i="50" s="1"/>
  <c r="BL20" i="51" s="1"/>
  <c r="BL20" i="52" s="1"/>
  <c r="BL20" i="53" s="1"/>
  <c r="BL20" i="54" s="1"/>
  <c r="BL20" i="55" s="1"/>
  <c r="BL20" i="56" s="1"/>
  <c r="BL20" i="57" s="1"/>
  <c r="BL20" i="58" s="1"/>
  <c r="BL20" i="61" s="1"/>
  <c r="BL20" i="62" s="1"/>
  <c r="BL20" i="63" s="1"/>
  <c r="BL20" i="64" s="1"/>
  <c r="BL20" i="65" s="1"/>
  <c r="BL20" i="66" s="1"/>
  <c r="BL20" i="67" s="1"/>
  <c r="BL20" i="68" s="1"/>
  <c r="BL20" i="69" s="1"/>
  <c r="BL20" i="70" s="1"/>
  <c r="BL20" i="71" s="1"/>
  <c r="BL20" i="73" s="1"/>
  <c r="BL20" i="74" s="1"/>
  <c r="BL20" i="76" s="1"/>
  <c r="BL20" i="77" s="1"/>
  <c r="BL20" i="78" s="1"/>
  <c r="BL20" i="79" s="1"/>
  <c r="P21" i="81"/>
  <c r="P21" i="48" s="1"/>
  <c r="P21" i="49" s="1"/>
  <c r="P21" i="50" s="1"/>
  <c r="P21" i="51" s="1"/>
  <c r="P21" i="52" s="1"/>
  <c r="P21" i="53" s="1"/>
  <c r="P21" i="54" s="1"/>
  <c r="P21" i="55" s="1"/>
  <c r="P21" i="56" s="1"/>
  <c r="P21" i="57" s="1"/>
  <c r="P21" i="58" s="1"/>
  <c r="P21" i="61" s="1"/>
  <c r="P21" i="62" s="1"/>
  <c r="P21" i="63" s="1"/>
  <c r="P21" i="64" s="1"/>
  <c r="P21" i="65" s="1"/>
  <c r="P21" i="66" s="1"/>
  <c r="P21" i="67" s="1"/>
  <c r="P21" i="68" s="1"/>
  <c r="P21" i="69" s="1"/>
  <c r="P21" i="70" s="1"/>
  <c r="P21" i="71" s="1"/>
  <c r="P21" i="73" s="1"/>
  <c r="P21" i="74" s="1"/>
  <c r="P21" i="76" s="1"/>
  <c r="P21" i="77" s="1"/>
  <c r="P21" i="78" s="1"/>
  <c r="P21" i="79" s="1"/>
  <c r="AK21" i="81"/>
  <c r="AK21" i="48" s="1"/>
  <c r="AK21" i="49" s="1"/>
  <c r="AK21" i="50" s="1"/>
  <c r="AK21" i="51" s="1"/>
  <c r="AK21" i="52" s="1"/>
  <c r="AK21" i="53" s="1"/>
  <c r="AK21" i="54" s="1"/>
  <c r="AK21" i="55" s="1"/>
  <c r="AK21" i="56" s="1"/>
  <c r="AK21" i="57" s="1"/>
  <c r="AK21" i="58" s="1"/>
  <c r="AK21" i="61" s="1"/>
  <c r="AK21" i="62" s="1"/>
  <c r="AK21" i="63" s="1"/>
  <c r="AK21" i="64" s="1"/>
  <c r="AK21" i="65" s="1"/>
  <c r="AK21" i="66" s="1"/>
  <c r="AK21" i="67" s="1"/>
  <c r="AK21" i="68" s="1"/>
  <c r="AK21" i="69" s="1"/>
  <c r="AK21" i="70" s="1"/>
  <c r="AK21" i="71" s="1"/>
  <c r="AK21" i="73" s="1"/>
  <c r="AK21" i="74" s="1"/>
  <c r="AK21" i="76" s="1"/>
  <c r="AK21" i="77" s="1"/>
  <c r="AK21" i="78" s="1"/>
  <c r="AK21" i="79" s="1"/>
  <c r="BB21" i="81"/>
  <c r="BB21" i="48" s="1"/>
  <c r="BB21" i="49" s="1"/>
  <c r="BB21" i="50" s="1"/>
  <c r="BB21" i="51" s="1"/>
  <c r="BB21" i="52" s="1"/>
  <c r="BB21" i="53" s="1"/>
  <c r="BB21" i="54" s="1"/>
  <c r="BB21" i="55" s="1"/>
  <c r="BB21" i="56" s="1"/>
  <c r="BB21" i="57" s="1"/>
  <c r="BB21" i="58" s="1"/>
  <c r="BB21" i="61" s="1"/>
  <c r="BB21" i="62" s="1"/>
  <c r="BB21" i="63" s="1"/>
  <c r="BB21" i="64" s="1"/>
  <c r="BB21" i="65" s="1"/>
  <c r="BB21" i="66" s="1"/>
  <c r="BB21" i="67" s="1"/>
  <c r="BB21" i="68" s="1"/>
  <c r="BB21" i="69" s="1"/>
  <c r="BB21" i="70" s="1"/>
  <c r="BB21" i="71" s="1"/>
  <c r="BB21" i="73" s="1"/>
  <c r="BB21" i="74" s="1"/>
  <c r="BB21" i="76" s="1"/>
  <c r="BB21" i="77" s="1"/>
  <c r="BB21" i="78" s="1"/>
  <c r="BB21" i="79" s="1"/>
  <c r="Y22" i="81"/>
  <c r="Y22" i="48" s="1"/>
  <c r="Y22" i="49" s="1"/>
  <c r="Y22" i="50" s="1"/>
  <c r="Y22" i="51" s="1"/>
  <c r="Y22" i="52" s="1"/>
  <c r="Y22" i="53" s="1"/>
  <c r="Y22" i="54" s="1"/>
  <c r="Y22" i="55" s="1"/>
  <c r="Y22" i="56" s="1"/>
  <c r="Y22" i="57" s="1"/>
  <c r="Y22" i="58" s="1"/>
  <c r="Y22" i="61" s="1"/>
  <c r="Y22" i="62" s="1"/>
  <c r="Y22" i="63" s="1"/>
  <c r="Y22" i="64" s="1"/>
  <c r="Y22" i="65" s="1"/>
  <c r="Y22" i="66" s="1"/>
  <c r="Y22" i="67" s="1"/>
  <c r="Y22" i="68" s="1"/>
  <c r="Y22" i="69" s="1"/>
  <c r="Y22" i="70" s="1"/>
  <c r="Y22" i="71" s="1"/>
  <c r="Y22" i="73" s="1"/>
  <c r="Y22" i="74" s="1"/>
  <c r="Y22" i="76" s="1"/>
  <c r="Y22" i="77" s="1"/>
  <c r="Y22" i="78" s="1"/>
  <c r="Y22" i="79" s="1"/>
  <c r="BH22" i="81"/>
  <c r="BH22" i="48" s="1"/>
  <c r="BH22" i="49" s="1"/>
  <c r="BH22" i="50" s="1"/>
  <c r="BH22" i="51" s="1"/>
  <c r="BH22" i="52" s="1"/>
  <c r="BH22" i="53" s="1"/>
  <c r="BH22" i="54" s="1"/>
  <c r="BH22" i="55" s="1"/>
  <c r="BH22" i="56" s="1"/>
  <c r="BH22" i="57" s="1"/>
  <c r="BH22" i="58" s="1"/>
  <c r="BH22" i="61" s="1"/>
  <c r="BH22" i="62" s="1"/>
  <c r="BH22" i="63" s="1"/>
  <c r="BH22" i="64" s="1"/>
  <c r="BH22" i="65" s="1"/>
  <c r="BH22" i="66" s="1"/>
  <c r="BH22" i="67" s="1"/>
  <c r="BH22" i="68" s="1"/>
  <c r="BH22" i="69" s="1"/>
  <c r="BH22" i="70" s="1"/>
  <c r="BH22" i="71" s="1"/>
  <c r="BH22" i="73" s="1"/>
  <c r="BH22" i="74" s="1"/>
  <c r="BH22" i="76" s="1"/>
  <c r="BH22" i="77" s="1"/>
  <c r="BH22" i="78" s="1"/>
  <c r="BH22" i="79" s="1"/>
  <c r="BL11" i="81"/>
  <c r="BL11" i="48" s="1"/>
  <c r="BL11" i="49" s="1"/>
  <c r="BL11" i="50" s="1"/>
  <c r="BL11" i="51" s="1"/>
  <c r="BL11" i="52" s="1"/>
  <c r="BL11" i="53" s="1"/>
  <c r="BL11" i="54" s="1"/>
  <c r="BL11" i="55" s="1"/>
  <c r="BL11" i="56" s="1"/>
  <c r="BL11" i="57" s="1"/>
  <c r="BL11" i="58" s="1"/>
  <c r="BL11" i="61" s="1"/>
  <c r="BL11" i="62" s="1"/>
  <c r="BL11" i="63" s="1"/>
  <c r="BL11" i="64" s="1"/>
  <c r="BL11" i="65" s="1"/>
  <c r="BL11" i="66" s="1"/>
  <c r="BL11" i="67" s="1"/>
  <c r="BL11" i="68" s="1"/>
  <c r="BL11" i="69" s="1"/>
  <c r="BL11" i="70" s="1"/>
  <c r="BL11" i="71" s="1"/>
  <c r="BL11" i="73" s="1"/>
  <c r="BL11" i="74" s="1"/>
  <c r="BL11" i="76" s="1"/>
  <c r="BL11" i="77" s="1"/>
  <c r="BL11" i="78" s="1"/>
  <c r="BL11" i="79" s="1"/>
  <c r="AV15" i="81"/>
  <c r="AV15" i="48" s="1"/>
  <c r="AV15" i="49" s="1"/>
  <c r="AV15" i="50" s="1"/>
  <c r="AV15" i="51" s="1"/>
  <c r="AV15" i="52" s="1"/>
  <c r="AV15" i="53" s="1"/>
  <c r="AV15" i="54" s="1"/>
  <c r="AV15" i="55" s="1"/>
  <c r="AV15" i="56" s="1"/>
  <c r="AV15" i="57" s="1"/>
  <c r="AV15" i="58" s="1"/>
  <c r="AV15" i="61" s="1"/>
  <c r="AV15" i="62" s="1"/>
  <c r="AV15" i="63" s="1"/>
  <c r="AV15" i="64" s="1"/>
  <c r="AV15" i="65" s="1"/>
  <c r="AV15" i="66" s="1"/>
  <c r="AV15" i="67" s="1"/>
  <c r="AV15" i="68" s="1"/>
  <c r="AV15" i="69" s="1"/>
  <c r="AV15" i="70" s="1"/>
  <c r="AV15" i="71" s="1"/>
  <c r="AV15" i="73" s="1"/>
  <c r="AV15" i="74" s="1"/>
  <c r="AV15" i="76" s="1"/>
  <c r="AV15" i="77" s="1"/>
  <c r="AV15" i="78" s="1"/>
  <c r="AV15" i="79" s="1"/>
  <c r="P16" i="81"/>
  <c r="P16" i="48" s="1"/>
  <c r="P16" i="49" s="1"/>
  <c r="P16" i="50" s="1"/>
  <c r="P16" i="51" s="1"/>
  <c r="P16" i="52" s="1"/>
  <c r="P16" i="53" s="1"/>
  <c r="P16" i="54" s="1"/>
  <c r="P16" i="55" s="1"/>
  <c r="P16" i="56" s="1"/>
  <c r="P16" i="57" s="1"/>
  <c r="P16" i="58" s="1"/>
  <c r="P16" i="61" s="1"/>
  <c r="P16" i="62" s="1"/>
  <c r="P16" i="63" s="1"/>
  <c r="P16" i="64" s="1"/>
  <c r="P16" i="65" s="1"/>
  <c r="P16" i="66" s="1"/>
  <c r="P16" i="67" s="1"/>
  <c r="P16" i="68" s="1"/>
  <c r="P16" i="69" s="1"/>
  <c r="P16" i="70" s="1"/>
  <c r="P16" i="71" s="1"/>
  <c r="P16" i="73" s="1"/>
  <c r="P16" i="74" s="1"/>
  <c r="P16" i="76" s="1"/>
  <c r="P16" i="77" s="1"/>
  <c r="P16" i="78" s="1"/>
  <c r="P16" i="79" s="1"/>
  <c r="BH20" i="81"/>
  <c r="BH20" i="48" s="1"/>
  <c r="BH20" i="49" s="1"/>
  <c r="BH20" i="50" s="1"/>
  <c r="BH20" i="51" s="1"/>
  <c r="BH20" i="52" s="1"/>
  <c r="BH20" i="53" s="1"/>
  <c r="BH20" i="54" s="1"/>
  <c r="BH20" i="55" s="1"/>
  <c r="BH20" i="56" s="1"/>
  <c r="BH20" i="57" s="1"/>
  <c r="BH20" i="58" s="1"/>
  <c r="BH20" i="61" s="1"/>
  <c r="BH20" i="62" s="1"/>
  <c r="BH20" i="63" s="1"/>
  <c r="BH20" i="64" s="1"/>
  <c r="BH20" i="65" s="1"/>
  <c r="BH20" i="66" s="1"/>
  <c r="BH20" i="67" s="1"/>
  <c r="BH20" i="68" s="1"/>
  <c r="BH20" i="69" s="1"/>
  <c r="BH20" i="70" s="1"/>
  <c r="BH20" i="71" s="1"/>
  <c r="BH20" i="73" s="1"/>
  <c r="BH20" i="74" s="1"/>
  <c r="BH20" i="76" s="1"/>
  <c r="BH20" i="77" s="1"/>
  <c r="BH20" i="78" s="1"/>
  <c r="BH20" i="79" s="1"/>
  <c r="AB10" i="81"/>
  <c r="AB10" i="48" s="1"/>
  <c r="AB10" i="49" s="1"/>
  <c r="AB10" i="50" s="1"/>
  <c r="AB10" i="51" s="1"/>
  <c r="AB10" i="52" s="1"/>
  <c r="AB10" i="53" s="1"/>
  <c r="AB10" i="54" s="1"/>
  <c r="AB10" i="55" s="1"/>
  <c r="AB10" i="56" s="1"/>
  <c r="AB10" i="57" s="1"/>
  <c r="AB10" i="58" s="1"/>
  <c r="AB10" i="61" s="1"/>
  <c r="AB10" i="62" s="1"/>
  <c r="AB10" i="63" s="1"/>
  <c r="AB10" i="64" s="1"/>
  <c r="AB10" i="65" s="1"/>
  <c r="AB10" i="66" s="1"/>
  <c r="AB10" i="67" s="1"/>
  <c r="AB10" i="68" s="1"/>
  <c r="AB10" i="69" s="1"/>
  <c r="AB10" i="70" s="1"/>
  <c r="AB10" i="71" s="1"/>
  <c r="AB10" i="73" s="1"/>
  <c r="AB10" i="74" s="1"/>
  <c r="AB10" i="76" s="1"/>
  <c r="AB10" i="77" s="1"/>
  <c r="AB10" i="78" s="1"/>
  <c r="AB10" i="79" s="1"/>
  <c r="BJ10" i="81"/>
  <c r="BJ10" i="48" s="1"/>
  <c r="BJ10" i="49" s="1"/>
  <c r="BJ10" i="50" s="1"/>
  <c r="BJ10" i="51" s="1"/>
  <c r="BJ10" i="52" s="1"/>
  <c r="BJ10" i="53" s="1"/>
  <c r="BJ10" i="54" s="1"/>
  <c r="BJ10" i="55" s="1"/>
  <c r="BJ10" i="56" s="1"/>
  <c r="BJ10" i="57" s="1"/>
  <c r="BJ10" i="58" s="1"/>
  <c r="BJ10" i="61" s="1"/>
  <c r="BJ10" i="62" s="1"/>
  <c r="BJ10" i="63" s="1"/>
  <c r="BJ10" i="64" s="1"/>
  <c r="BJ10" i="65" s="1"/>
  <c r="BJ10" i="66" s="1"/>
  <c r="BJ10" i="67" s="1"/>
  <c r="BJ10" i="68" s="1"/>
  <c r="BJ10" i="69" s="1"/>
  <c r="BJ10" i="70" s="1"/>
  <c r="BJ10" i="71" s="1"/>
  <c r="BJ10" i="73" s="1"/>
  <c r="BJ10" i="74" s="1"/>
  <c r="BJ10" i="76" s="1"/>
  <c r="BJ10" i="77" s="1"/>
  <c r="BJ10" i="78" s="1"/>
  <c r="BJ10" i="79" s="1"/>
  <c r="M11" i="81"/>
  <c r="M11" i="48" s="1"/>
  <c r="M11" i="49" s="1"/>
  <c r="M11" i="50" s="1"/>
  <c r="M11" i="51" s="1"/>
  <c r="M11" i="52" s="1"/>
  <c r="M11" i="53" s="1"/>
  <c r="M11" i="54" s="1"/>
  <c r="M11" i="55" s="1"/>
  <c r="M11" i="56" s="1"/>
  <c r="M11" i="57" s="1"/>
  <c r="M11" i="58" s="1"/>
  <c r="M11" i="61" s="1"/>
  <c r="M11" i="62" s="1"/>
  <c r="M11" i="63" s="1"/>
  <c r="M11" i="64" s="1"/>
  <c r="M11" i="65" s="1"/>
  <c r="M11" i="66" s="1"/>
  <c r="M11" i="67" s="1"/>
  <c r="M11" i="68" s="1"/>
  <c r="M11" i="69" s="1"/>
  <c r="M11" i="70" s="1"/>
  <c r="M11" i="71" s="1"/>
  <c r="M11" i="73" s="1"/>
  <c r="M11" i="74" s="1"/>
  <c r="M11" i="76" s="1"/>
  <c r="M11" i="77" s="1"/>
  <c r="M11" i="78" s="1"/>
  <c r="M11" i="79" s="1"/>
  <c r="BB11" i="81"/>
  <c r="BB11" i="48" s="1"/>
  <c r="BB11" i="49" s="1"/>
  <c r="BB11" i="50" s="1"/>
  <c r="BB11" i="51" s="1"/>
  <c r="BB11" i="52" s="1"/>
  <c r="BB11" i="53" s="1"/>
  <c r="BB11" i="54" s="1"/>
  <c r="BB11" i="55" s="1"/>
  <c r="BB11" i="56" s="1"/>
  <c r="BB11" i="57" s="1"/>
  <c r="BB11" i="58" s="1"/>
  <c r="BB11" i="61" s="1"/>
  <c r="BB11" i="62" s="1"/>
  <c r="BB11" i="63" s="1"/>
  <c r="BB11" i="64" s="1"/>
  <c r="BB11" i="65" s="1"/>
  <c r="BB11" i="66" s="1"/>
  <c r="BB11" i="67" s="1"/>
  <c r="BB11" i="68" s="1"/>
  <c r="BB11" i="69" s="1"/>
  <c r="BB11" i="70" s="1"/>
  <c r="BB11" i="71" s="1"/>
  <c r="BB11" i="73" s="1"/>
  <c r="BB11" i="74" s="1"/>
  <c r="BB11" i="76" s="1"/>
  <c r="BB11" i="77" s="1"/>
  <c r="BB11" i="78" s="1"/>
  <c r="BB11" i="79" s="1"/>
  <c r="Y12" i="81"/>
  <c r="Y12" i="48" s="1"/>
  <c r="Y12" i="49" s="1"/>
  <c r="Y12" i="50" s="1"/>
  <c r="Y12" i="51" s="1"/>
  <c r="Y12" i="52" s="1"/>
  <c r="Y12" i="53" s="1"/>
  <c r="Y12" i="54" s="1"/>
  <c r="Y12" i="55" s="1"/>
  <c r="Y12" i="56" s="1"/>
  <c r="Y12" i="57" s="1"/>
  <c r="Y12" i="58" s="1"/>
  <c r="Y12" i="61" s="1"/>
  <c r="Y12" i="62" s="1"/>
  <c r="Y12" i="63" s="1"/>
  <c r="Y12" i="64" s="1"/>
  <c r="Y12" i="65" s="1"/>
  <c r="Y12" i="66" s="1"/>
  <c r="Y12" i="67" s="1"/>
  <c r="Y12" i="68" s="1"/>
  <c r="Y12" i="69" s="1"/>
  <c r="Y12" i="70" s="1"/>
  <c r="Y12" i="71" s="1"/>
  <c r="Y12" i="73" s="1"/>
  <c r="Y12" i="74" s="1"/>
  <c r="Y12" i="76" s="1"/>
  <c r="Y12" i="77" s="1"/>
  <c r="Y12" i="78" s="1"/>
  <c r="Y12" i="79" s="1"/>
  <c r="BH12" i="81"/>
  <c r="BH12" i="48" s="1"/>
  <c r="BH12" i="49" s="1"/>
  <c r="BH12" i="50" s="1"/>
  <c r="BH12" i="51" s="1"/>
  <c r="BH12" i="52" s="1"/>
  <c r="BH12" i="53" s="1"/>
  <c r="BH12" i="54" s="1"/>
  <c r="BH12" i="55" s="1"/>
  <c r="BH12" i="56" s="1"/>
  <c r="BH12" i="57" s="1"/>
  <c r="BH12" i="58" s="1"/>
  <c r="BH12" i="61" s="1"/>
  <c r="BH12" i="62" s="1"/>
  <c r="BH12" i="63" s="1"/>
  <c r="BH12" i="64" s="1"/>
  <c r="BH12" i="65" s="1"/>
  <c r="BH12" i="66" s="1"/>
  <c r="BH12" i="67" s="1"/>
  <c r="BH12" i="68" s="1"/>
  <c r="BH12" i="69" s="1"/>
  <c r="BH12" i="70" s="1"/>
  <c r="BH12" i="71" s="1"/>
  <c r="BH12" i="73" s="1"/>
  <c r="BH12" i="74" s="1"/>
  <c r="BH12" i="76" s="1"/>
  <c r="BH12" i="77" s="1"/>
  <c r="BH12" i="78" s="1"/>
  <c r="BH12" i="79" s="1"/>
  <c r="J13" i="81"/>
  <c r="J13" i="48" s="1"/>
  <c r="J13" i="49" s="1"/>
  <c r="J13" i="50" s="1"/>
  <c r="J13" i="51" s="1"/>
  <c r="J13" i="52" s="1"/>
  <c r="J13" i="53" s="1"/>
  <c r="J13" i="54" s="1"/>
  <c r="J13" i="55" s="1"/>
  <c r="J13" i="56" s="1"/>
  <c r="J13" i="57" s="1"/>
  <c r="J13" i="58" s="1"/>
  <c r="J13" i="61" s="1"/>
  <c r="J13" i="62" s="1"/>
  <c r="J13" i="63" s="1"/>
  <c r="J13" i="64" s="1"/>
  <c r="J13" i="65" s="1"/>
  <c r="J13" i="66" s="1"/>
  <c r="J13" i="67" s="1"/>
  <c r="J13" i="68" s="1"/>
  <c r="J13" i="69" s="1"/>
  <c r="J13" i="70" s="1"/>
  <c r="J13" i="71" s="1"/>
  <c r="J13" i="73" s="1"/>
  <c r="J13" i="74" s="1"/>
  <c r="J13" i="76" s="1"/>
  <c r="J13" i="77" s="1"/>
  <c r="J13" i="78" s="1"/>
  <c r="J13" i="79" s="1"/>
  <c r="AX13" i="81"/>
  <c r="AX13" i="48" s="1"/>
  <c r="AX13" i="49" s="1"/>
  <c r="AX13" i="50" s="1"/>
  <c r="AX13" i="51" s="1"/>
  <c r="AX13" i="52" s="1"/>
  <c r="AX13" i="53" s="1"/>
  <c r="AX13" i="54" s="1"/>
  <c r="AX13" i="55" s="1"/>
  <c r="AX13" i="56" s="1"/>
  <c r="AX13" i="57" s="1"/>
  <c r="AX13" i="58" s="1"/>
  <c r="AX13" i="61" s="1"/>
  <c r="AX13" i="62" s="1"/>
  <c r="AX13" i="63" s="1"/>
  <c r="AX13" i="64" s="1"/>
  <c r="AX13" i="65" s="1"/>
  <c r="AX13" i="66" s="1"/>
  <c r="AX13" i="67" s="1"/>
  <c r="AX13" i="68" s="1"/>
  <c r="AX13" i="69" s="1"/>
  <c r="AX13" i="70" s="1"/>
  <c r="AX13" i="71" s="1"/>
  <c r="AX13" i="73" s="1"/>
  <c r="AX13" i="74" s="1"/>
  <c r="AX13" i="76" s="1"/>
  <c r="AX13" i="77" s="1"/>
  <c r="AX13" i="78" s="1"/>
  <c r="AX13" i="79" s="1"/>
  <c r="BN13" i="81"/>
  <c r="BN13" i="48" s="1"/>
  <c r="BN13" i="49" s="1"/>
  <c r="BN13" i="50" s="1"/>
  <c r="BN13" i="51" s="1"/>
  <c r="BN13" i="52" s="1"/>
  <c r="BN13" i="53" s="1"/>
  <c r="BN13" i="54" s="1"/>
  <c r="BN13" i="55" s="1"/>
  <c r="BN13" i="56" s="1"/>
  <c r="BN13" i="57" s="1"/>
  <c r="BN13" i="58" s="1"/>
  <c r="BN13" i="61" s="1"/>
  <c r="BN13" i="62" s="1"/>
  <c r="BN13" i="63" s="1"/>
  <c r="BN13" i="64" s="1"/>
  <c r="BN13" i="65" s="1"/>
  <c r="BN13" i="66" s="1"/>
  <c r="BN13" i="67" s="1"/>
  <c r="BN13" i="68" s="1"/>
  <c r="BN13" i="69" s="1"/>
  <c r="BN13" i="70" s="1"/>
  <c r="BN13" i="71" s="1"/>
  <c r="BN13" i="73" s="1"/>
  <c r="BN13" i="74" s="1"/>
  <c r="BN13" i="76" s="1"/>
  <c r="BN13" i="77" s="1"/>
  <c r="BN13" i="78" s="1"/>
  <c r="BN13" i="79" s="1"/>
  <c r="AM14" i="81"/>
  <c r="AM14" i="48" s="1"/>
  <c r="AM14" i="49" s="1"/>
  <c r="AM14" i="50" s="1"/>
  <c r="AM14" i="51" s="1"/>
  <c r="AM14" i="52" s="1"/>
  <c r="AM14" i="53" s="1"/>
  <c r="AM14" i="54" s="1"/>
  <c r="AM14" i="55" s="1"/>
  <c r="AM14" i="56" s="1"/>
  <c r="AM14" i="57" s="1"/>
  <c r="AM14" i="58" s="1"/>
  <c r="AM14" i="61" s="1"/>
  <c r="AM14" i="62" s="1"/>
  <c r="AM14" i="63" s="1"/>
  <c r="AM14" i="64" s="1"/>
  <c r="AM14" i="65" s="1"/>
  <c r="AM14" i="66" s="1"/>
  <c r="AM14" i="67" s="1"/>
  <c r="AM14" i="68" s="1"/>
  <c r="AM14" i="69" s="1"/>
  <c r="AM14" i="70" s="1"/>
  <c r="AM14" i="71" s="1"/>
  <c r="AM14" i="73" s="1"/>
  <c r="AM14" i="74" s="1"/>
  <c r="AM14" i="76" s="1"/>
  <c r="AM14" i="77" s="1"/>
  <c r="AM14" i="78" s="1"/>
  <c r="AM14" i="79" s="1"/>
  <c r="AX15" i="81"/>
  <c r="AX15" i="48" s="1"/>
  <c r="AX15" i="49" s="1"/>
  <c r="AX15" i="50" s="1"/>
  <c r="AX15" i="51" s="1"/>
  <c r="AX15" i="52" s="1"/>
  <c r="AX15" i="53" s="1"/>
  <c r="AX15" i="54" s="1"/>
  <c r="AX15" i="55" s="1"/>
  <c r="AX15" i="56" s="1"/>
  <c r="AX15" i="57" s="1"/>
  <c r="AX15" i="58" s="1"/>
  <c r="AX15" i="61" s="1"/>
  <c r="AX15" i="62" s="1"/>
  <c r="AX15" i="63" s="1"/>
  <c r="AX15" i="64" s="1"/>
  <c r="AX15" i="65" s="1"/>
  <c r="AX15" i="66" s="1"/>
  <c r="AX15" i="67" s="1"/>
  <c r="AX15" i="68" s="1"/>
  <c r="AX15" i="69" s="1"/>
  <c r="AX15" i="70" s="1"/>
  <c r="AX15" i="71" s="1"/>
  <c r="AX15" i="73" s="1"/>
  <c r="AX15" i="74" s="1"/>
  <c r="AX15" i="76" s="1"/>
  <c r="AX15" i="77" s="1"/>
  <c r="AX15" i="78" s="1"/>
  <c r="AX15" i="79" s="1"/>
  <c r="BN15" i="81"/>
  <c r="BN15" i="48" s="1"/>
  <c r="BN15" i="49" s="1"/>
  <c r="BN15" i="50" s="1"/>
  <c r="BN15" i="51" s="1"/>
  <c r="BN15" i="52" s="1"/>
  <c r="BN15" i="53" s="1"/>
  <c r="BN15" i="54" s="1"/>
  <c r="BN15" i="55" s="1"/>
  <c r="BN15" i="56" s="1"/>
  <c r="BN15" i="57" s="1"/>
  <c r="BN15" i="58" s="1"/>
  <c r="BN15" i="61" s="1"/>
  <c r="BN15" i="62" s="1"/>
  <c r="BN15" i="63" s="1"/>
  <c r="BN15" i="64" s="1"/>
  <c r="BN15" i="65" s="1"/>
  <c r="BN15" i="66" s="1"/>
  <c r="BN15" i="67" s="1"/>
  <c r="BN15" i="68" s="1"/>
  <c r="BN15" i="69" s="1"/>
  <c r="BN15" i="70" s="1"/>
  <c r="BN15" i="71" s="1"/>
  <c r="BN15" i="73" s="1"/>
  <c r="BN15" i="74" s="1"/>
  <c r="BN15" i="76" s="1"/>
  <c r="BN15" i="77" s="1"/>
  <c r="BN15" i="78" s="1"/>
  <c r="BN15" i="79" s="1"/>
  <c r="AB17" i="81"/>
  <c r="AB17" i="48" s="1"/>
  <c r="AB17" i="49" s="1"/>
  <c r="AB17" i="50" s="1"/>
  <c r="AB17" i="51" s="1"/>
  <c r="AB17" i="52" s="1"/>
  <c r="AB17" i="53" s="1"/>
  <c r="AB17" i="54" s="1"/>
  <c r="AB17" i="55" s="1"/>
  <c r="AB17" i="56" s="1"/>
  <c r="AB17" i="57" s="1"/>
  <c r="AB17" i="58" s="1"/>
  <c r="AB17" i="61" s="1"/>
  <c r="AB17" i="62" s="1"/>
  <c r="AB17" i="63" s="1"/>
  <c r="AB17" i="64" s="1"/>
  <c r="AB17" i="65" s="1"/>
  <c r="AB17" i="66" s="1"/>
  <c r="AB17" i="67" s="1"/>
  <c r="AB17" i="68" s="1"/>
  <c r="AB17" i="69" s="1"/>
  <c r="AB17" i="70" s="1"/>
  <c r="AB17" i="71" s="1"/>
  <c r="AB17" i="73" s="1"/>
  <c r="AB17" i="74" s="1"/>
  <c r="AB17" i="76" s="1"/>
  <c r="AB17" i="77" s="1"/>
  <c r="AB17" i="78" s="1"/>
  <c r="AB17" i="79" s="1"/>
  <c r="M18" i="81"/>
  <c r="M18" i="48" s="1"/>
  <c r="M18" i="49" s="1"/>
  <c r="M18" i="50" s="1"/>
  <c r="M18" i="51" s="1"/>
  <c r="M18" i="52" s="1"/>
  <c r="M18" i="53" s="1"/>
  <c r="M18" i="54" s="1"/>
  <c r="M18" i="55" s="1"/>
  <c r="M18" i="56" s="1"/>
  <c r="M18" i="57" s="1"/>
  <c r="M18" i="58" s="1"/>
  <c r="M18" i="61" s="1"/>
  <c r="M18" i="62" s="1"/>
  <c r="M18" i="63" s="1"/>
  <c r="M18" i="64" s="1"/>
  <c r="M18" i="65" s="1"/>
  <c r="M18" i="66" s="1"/>
  <c r="M18" i="67" s="1"/>
  <c r="M18" i="68" s="1"/>
  <c r="M18" i="69" s="1"/>
  <c r="M18" i="70" s="1"/>
  <c r="M18" i="71" s="1"/>
  <c r="M18" i="73" s="1"/>
  <c r="M18" i="74" s="1"/>
  <c r="M18" i="76" s="1"/>
  <c r="M18" i="77" s="1"/>
  <c r="M18" i="78" s="1"/>
  <c r="M18" i="79" s="1"/>
  <c r="BB18" i="81"/>
  <c r="BB18" i="48" s="1"/>
  <c r="BB18" i="49" s="1"/>
  <c r="BB18" i="50" s="1"/>
  <c r="BB18" i="51" s="1"/>
  <c r="BB18" i="52" s="1"/>
  <c r="BB18" i="53" s="1"/>
  <c r="BB18" i="54" s="1"/>
  <c r="BB18" i="55" s="1"/>
  <c r="BB18" i="56" s="1"/>
  <c r="BB18" i="57" s="1"/>
  <c r="BB18" i="58" s="1"/>
  <c r="BB18" i="61" s="1"/>
  <c r="BB18" i="62" s="1"/>
  <c r="BB18" i="63" s="1"/>
  <c r="BB18" i="64" s="1"/>
  <c r="BB18" i="65" s="1"/>
  <c r="BB18" i="66" s="1"/>
  <c r="BB18" i="67" s="1"/>
  <c r="BB18" i="68" s="1"/>
  <c r="BB18" i="69" s="1"/>
  <c r="BB18" i="70" s="1"/>
  <c r="BB18" i="71" s="1"/>
  <c r="BB18" i="73" s="1"/>
  <c r="BB18" i="74" s="1"/>
  <c r="BB18" i="76" s="1"/>
  <c r="BB18" i="77" s="1"/>
  <c r="BB18" i="78" s="1"/>
  <c r="BB18" i="79" s="1"/>
  <c r="J20" i="81"/>
  <c r="J20" i="48" s="1"/>
  <c r="J20" i="49" s="1"/>
  <c r="J20" i="50" s="1"/>
  <c r="J20" i="51" s="1"/>
  <c r="J20" i="52" s="1"/>
  <c r="J20" i="53" s="1"/>
  <c r="J20" i="54" s="1"/>
  <c r="J20" i="55" s="1"/>
  <c r="J20" i="56" s="1"/>
  <c r="J20" i="57" s="1"/>
  <c r="J20" i="58" s="1"/>
  <c r="J20" i="61" s="1"/>
  <c r="J20" i="62" s="1"/>
  <c r="J20" i="63" s="1"/>
  <c r="J20" i="64" s="1"/>
  <c r="J20" i="65" s="1"/>
  <c r="J20" i="66" s="1"/>
  <c r="J20" i="67" s="1"/>
  <c r="J20" i="68" s="1"/>
  <c r="J20" i="69" s="1"/>
  <c r="J20" i="70" s="1"/>
  <c r="J20" i="71" s="1"/>
  <c r="J20" i="73" s="1"/>
  <c r="J20" i="74" s="1"/>
  <c r="J20" i="76" s="1"/>
  <c r="J20" i="77" s="1"/>
  <c r="J20" i="78" s="1"/>
  <c r="J20" i="79" s="1"/>
  <c r="Y10" i="109"/>
  <c r="Y10" i="110" s="1"/>
  <c r="Y10" i="111" s="1"/>
  <c r="Y10" i="112" s="1"/>
  <c r="Y10" i="114" s="1"/>
  <c r="Y10" i="115" s="1"/>
  <c r="Y10" i="116" s="1"/>
  <c r="Y10" i="117" s="1"/>
  <c r="Y10" i="118" s="1"/>
  <c r="Y10" i="119" s="1"/>
  <c r="Y10" i="120" s="1"/>
  <c r="Y11" i="103"/>
  <c r="Y11" i="109" s="1"/>
  <c r="Y11" i="110" s="1"/>
  <c r="Y11" i="111" s="1"/>
  <c r="Y11" i="112" s="1"/>
  <c r="Y11" i="114" s="1"/>
  <c r="Y11" i="115" s="1"/>
  <c r="Y11" i="116" s="1"/>
  <c r="Y11" i="117" s="1"/>
  <c r="Y11" i="118" s="1"/>
  <c r="Y11" i="119" s="1"/>
  <c r="Y11" i="120" s="1"/>
  <c r="BH10" i="109"/>
  <c r="BH10" i="110" s="1"/>
  <c r="BH10" i="111" s="1"/>
  <c r="BH10" i="112" s="1"/>
  <c r="BH10" i="114" s="1"/>
  <c r="BH10" i="115" s="1"/>
  <c r="BH10" i="116" s="1"/>
  <c r="BH10" i="117" s="1"/>
  <c r="BH10" i="118" s="1"/>
  <c r="BH10" i="119" s="1"/>
  <c r="BH10" i="120" s="1"/>
  <c r="BH11" i="103"/>
  <c r="J11" i="109"/>
  <c r="J11" i="110" s="1"/>
  <c r="J11" i="111" s="1"/>
  <c r="J11" i="112" s="1"/>
  <c r="J11" i="114" s="1"/>
  <c r="J11" i="115" s="1"/>
  <c r="J11" i="116" s="1"/>
  <c r="J11" i="117" s="1"/>
  <c r="J11" i="118" s="1"/>
  <c r="J11" i="119" s="1"/>
  <c r="J11" i="120" s="1"/>
  <c r="J12" i="103"/>
  <c r="AX12" i="103"/>
  <c r="AX12" i="109" s="1"/>
  <c r="AX12" i="110" s="1"/>
  <c r="AX12" i="111" s="1"/>
  <c r="AX12" i="112" s="1"/>
  <c r="AX12" i="114" s="1"/>
  <c r="AX12" i="115" s="1"/>
  <c r="AX12" i="116" s="1"/>
  <c r="AX12" i="117" s="1"/>
  <c r="AX12" i="118" s="1"/>
  <c r="AX12" i="119" s="1"/>
  <c r="AX12" i="120" s="1"/>
  <c r="BN12" i="103"/>
  <c r="S13" i="103"/>
  <c r="AM13" i="103"/>
  <c r="AB14" i="103"/>
  <c r="AB14" i="109" s="1"/>
  <c r="AB14" i="110" s="1"/>
  <c r="AB14" i="111" s="1"/>
  <c r="AB14" i="112" s="1"/>
  <c r="AB14" i="114" s="1"/>
  <c r="AB14" i="115" s="1"/>
  <c r="AB14" i="116" s="1"/>
  <c r="AB14" i="117" s="1"/>
  <c r="AB14" i="118" s="1"/>
  <c r="AB14" i="119" s="1"/>
  <c r="AB14" i="120" s="1"/>
  <c r="BJ14" i="103"/>
  <c r="BJ14" i="109" s="1"/>
  <c r="BJ14" i="110" s="1"/>
  <c r="BJ14" i="111" s="1"/>
  <c r="BJ14" i="112" s="1"/>
  <c r="BJ14" i="114" s="1"/>
  <c r="BJ14" i="115" s="1"/>
  <c r="BJ14" i="116" s="1"/>
  <c r="BJ14" i="117" s="1"/>
  <c r="BJ14" i="118" s="1"/>
  <c r="BJ14" i="119" s="1"/>
  <c r="BJ14" i="120" s="1"/>
  <c r="M15" i="103"/>
  <c r="M15" i="109" s="1"/>
  <c r="M15" i="110" s="1"/>
  <c r="M15" i="111" s="1"/>
  <c r="M15" i="112" s="1"/>
  <c r="M15" i="114" s="1"/>
  <c r="M15" i="115" s="1"/>
  <c r="M15" i="116" s="1"/>
  <c r="M15" i="117" s="1"/>
  <c r="BQ15" i="89"/>
  <c r="BQ15" i="90" s="1"/>
  <c r="BQ15" i="91" s="1"/>
  <c r="BQ15" i="92" s="1"/>
  <c r="BQ15" i="93" s="1"/>
  <c r="V16" i="103"/>
  <c r="AO16" i="103"/>
  <c r="AO16" i="109" s="1"/>
  <c r="AO16" i="110" s="1"/>
  <c r="AO16" i="111" s="1"/>
  <c r="AO16" i="112" s="1"/>
  <c r="AO16" i="114" s="1"/>
  <c r="AO16" i="115" s="1"/>
  <c r="AO16" i="116" s="1"/>
  <c r="AO16" i="117" s="1"/>
  <c r="AO16" i="118" s="1"/>
  <c r="AO16" i="119" s="1"/>
  <c r="AO16" i="120" s="1"/>
  <c r="AE17" i="103"/>
  <c r="AE17" i="109" s="1"/>
  <c r="AE17" i="110" s="1"/>
  <c r="AE17" i="111" s="1"/>
  <c r="AE17" i="112" s="1"/>
  <c r="AE17" i="114" s="1"/>
  <c r="AE17" i="115" s="1"/>
  <c r="AE17" i="116" s="1"/>
  <c r="AE17" i="117" s="1"/>
  <c r="AE17" i="118" s="1"/>
  <c r="AE17" i="119" s="1"/>
  <c r="AE17" i="120" s="1"/>
  <c r="AV17" i="103"/>
  <c r="AV17" i="109" s="1"/>
  <c r="AV17" i="110" s="1"/>
  <c r="AV17" i="111" s="1"/>
  <c r="AV17" i="112" s="1"/>
  <c r="AV17" i="114" s="1"/>
  <c r="AV17" i="115" s="1"/>
  <c r="AV17" i="116" s="1"/>
  <c r="AV17" i="117" s="1"/>
  <c r="AV17" i="118" s="1"/>
  <c r="AV17" i="119" s="1"/>
  <c r="AV17" i="120" s="1"/>
  <c r="BL17" i="103"/>
  <c r="BL17" i="109" s="1"/>
  <c r="BL17" i="110" s="1"/>
  <c r="BL17" i="111" s="1"/>
  <c r="BL17" i="112" s="1"/>
  <c r="BL17" i="114" s="1"/>
  <c r="BL17" i="115" s="1"/>
  <c r="BL17" i="116" s="1"/>
  <c r="BL17" i="117" s="1"/>
  <c r="BL17" i="118" s="1"/>
  <c r="BL17" i="119" s="1"/>
  <c r="BL17" i="120" s="1"/>
  <c r="P18" i="103"/>
  <c r="P18" i="109" s="1"/>
  <c r="P18" i="110" s="1"/>
  <c r="P18" i="111" s="1"/>
  <c r="P18" i="112" s="1"/>
  <c r="P18" i="114" s="1"/>
  <c r="P18" i="115" s="1"/>
  <c r="P18" i="116" s="1"/>
  <c r="P18" i="117" s="1"/>
  <c r="P18" i="118" s="1"/>
  <c r="P18" i="119" s="1"/>
  <c r="P18" i="120" s="1"/>
  <c r="AK18" i="103"/>
  <c r="AK18" i="109" s="1"/>
  <c r="AK18" i="110" s="1"/>
  <c r="AK18" i="111" s="1"/>
  <c r="AK18" i="112" s="1"/>
  <c r="AK18" i="114" s="1"/>
  <c r="AK18" i="115" s="1"/>
  <c r="AK18" i="116" s="1"/>
  <c r="AK18" i="117" s="1"/>
  <c r="AK18" i="118" s="1"/>
  <c r="AK18" i="119" s="1"/>
  <c r="AK18" i="120" s="1"/>
  <c r="BB18" i="103"/>
  <c r="BB18" i="109" s="1"/>
  <c r="BB18" i="110" s="1"/>
  <c r="BB18" i="111" s="1"/>
  <c r="BB18" i="112" s="1"/>
  <c r="BB18" i="114" s="1"/>
  <c r="BB18" i="115" s="1"/>
  <c r="BB18" i="116" s="1"/>
  <c r="BB18" i="117" s="1"/>
  <c r="BB18" i="118" s="1"/>
  <c r="BB18" i="119" s="1"/>
  <c r="BB18" i="120" s="1"/>
  <c r="Y19" i="103"/>
  <c r="BH19" i="103"/>
  <c r="J20" i="103"/>
  <c r="J20" i="109" s="1"/>
  <c r="J20" i="110" s="1"/>
  <c r="J20" i="111" s="1"/>
  <c r="J20" i="112" s="1"/>
  <c r="J20" i="114" s="1"/>
  <c r="J20" i="115" s="1"/>
  <c r="J20" i="116" s="1"/>
  <c r="J20" i="117" s="1"/>
  <c r="J20" i="118" s="1"/>
  <c r="J20" i="119" s="1"/>
  <c r="J20" i="120" s="1"/>
  <c r="AX20" i="103"/>
  <c r="AX20" i="109" s="1"/>
  <c r="AX20" i="110" s="1"/>
  <c r="AX20" i="111" s="1"/>
  <c r="AX20" i="112" s="1"/>
  <c r="AX20" i="114" s="1"/>
  <c r="AX20" i="115" s="1"/>
  <c r="AX20" i="116" s="1"/>
  <c r="AX20" i="117" s="1"/>
  <c r="AX20" i="118" s="1"/>
  <c r="AX20" i="119" s="1"/>
  <c r="AX20" i="120" s="1"/>
  <c r="BN20" i="103"/>
  <c r="BN20" i="109" s="1"/>
  <c r="BN20" i="110" s="1"/>
  <c r="BN20" i="111" s="1"/>
  <c r="BN20" i="112" s="1"/>
  <c r="BN20" i="114" s="1"/>
  <c r="BN20" i="115" s="1"/>
  <c r="BN20" i="116" s="1"/>
  <c r="BN20" i="117" s="1"/>
  <c r="BN20" i="118" s="1"/>
  <c r="BN20" i="119" s="1"/>
  <c r="BN20" i="120" s="1"/>
  <c r="S21" i="103"/>
  <c r="S21" i="109" s="1"/>
  <c r="S21" i="110" s="1"/>
  <c r="S21" i="111" s="1"/>
  <c r="S21" i="112" s="1"/>
  <c r="S21" i="114" s="1"/>
  <c r="S21" i="115" s="1"/>
  <c r="S21" i="116" s="1"/>
  <c r="S21" i="117" s="1"/>
  <c r="S21" i="118" s="1"/>
  <c r="S21" i="119" s="1"/>
  <c r="S21" i="120" s="1"/>
  <c r="AM21" i="103"/>
  <c r="AM21" i="109" s="1"/>
  <c r="AM21" i="110" s="1"/>
  <c r="AM21" i="111" s="1"/>
  <c r="AM21" i="112" s="1"/>
  <c r="AM21" i="114" s="1"/>
  <c r="AM21" i="115" s="1"/>
  <c r="AM21" i="116" s="1"/>
  <c r="AM21" i="117" s="1"/>
  <c r="AM21" i="118" s="1"/>
  <c r="AM21" i="119" s="1"/>
  <c r="AM21" i="120" s="1"/>
  <c r="AB22" i="103"/>
  <c r="BJ22" i="103"/>
  <c r="AB9" i="81"/>
  <c r="AB9" i="48" s="1"/>
  <c r="AB9" i="49" s="1"/>
  <c r="AB9" i="50" s="1"/>
  <c r="AB9" i="51" s="1"/>
  <c r="AB9" i="52" s="1"/>
  <c r="AB9" i="53" s="1"/>
  <c r="AB9" i="54" s="1"/>
  <c r="AB9" i="55" s="1"/>
  <c r="AB9" i="56" s="1"/>
  <c r="AB9" i="57" s="1"/>
  <c r="AB9" i="58" s="1"/>
  <c r="AB9" i="61" s="1"/>
  <c r="AB9" i="62" s="1"/>
  <c r="AB9" i="63" s="1"/>
  <c r="AB9" i="64" s="1"/>
  <c r="AB9" i="65" s="1"/>
  <c r="AB9" i="66" s="1"/>
  <c r="AB9" i="67" s="1"/>
  <c r="AB9" i="68" s="1"/>
  <c r="AB9" i="69" s="1"/>
  <c r="AO11" i="81"/>
  <c r="AO11" i="48" s="1"/>
  <c r="AO11" i="49" s="1"/>
  <c r="AO11" i="50" s="1"/>
  <c r="AO11" i="51" s="1"/>
  <c r="AO11" i="52" s="1"/>
  <c r="AO11" i="53" s="1"/>
  <c r="AO11" i="54" s="1"/>
  <c r="AO11" i="55" s="1"/>
  <c r="AO11" i="56" s="1"/>
  <c r="AO11" i="57" s="1"/>
  <c r="AO11" i="58" s="1"/>
  <c r="AO11" i="61" s="1"/>
  <c r="AO11" i="62" s="1"/>
  <c r="AO11" i="63" s="1"/>
  <c r="AO11" i="64" s="1"/>
  <c r="AO11" i="65" s="1"/>
  <c r="AO11" i="66" s="1"/>
  <c r="AO11" i="67" s="1"/>
  <c r="AO11" i="68" s="1"/>
  <c r="AO11" i="69" s="1"/>
  <c r="AO11" i="70" s="1"/>
  <c r="AO11" i="71" s="1"/>
  <c r="AO11" i="73" s="1"/>
  <c r="AO11" i="74" s="1"/>
  <c r="AO11" i="76" s="1"/>
  <c r="AO11" i="77" s="1"/>
  <c r="AO11" i="78" s="1"/>
  <c r="AO11" i="79" s="1"/>
  <c r="V18" i="81"/>
  <c r="V18" i="48" s="1"/>
  <c r="V18" i="49" s="1"/>
  <c r="V18" i="50" s="1"/>
  <c r="V18" i="51" s="1"/>
  <c r="V18" i="52" s="1"/>
  <c r="V18" i="53" s="1"/>
  <c r="V18" i="54" s="1"/>
  <c r="V18" i="55" s="1"/>
  <c r="V18" i="56" s="1"/>
  <c r="V18" i="57" s="1"/>
  <c r="V18" i="58" s="1"/>
  <c r="V18" i="61" s="1"/>
  <c r="V18" i="62" s="1"/>
  <c r="V18" i="63" s="1"/>
  <c r="V18" i="64" s="1"/>
  <c r="V18" i="65" s="1"/>
  <c r="V18" i="66" s="1"/>
  <c r="V18" i="67" s="1"/>
  <c r="V18" i="68" s="1"/>
  <c r="V18" i="69" s="1"/>
  <c r="V18" i="70" s="1"/>
  <c r="V18" i="71" s="1"/>
  <c r="V18" i="73" s="1"/>
  <c r="V18" i="74" s="1"/>
  <c r="V18" i="76" s="1"/>
  <c r="V18" i="77" s="1"/>
  <c r="V18" i="78" s="1"/>
  <c r="V18" i="79" s="1"/>
  <c r="AZ22" i="81"/>
  <c r="AZ22" i="48" s="1"/>
  <c r="AZ22" i="49" s="1"/>
  <c r="AZ22" i="50" s="1"/>
  <c r="AZ22" i="51" s="1"/>
  <c r="AZ22" i="52" s="1"/>
  <c r="AZ22" i="53" s="1"/>
  <c r="AZ22" i="54" s="1"/>
  <c r="AZ22" i="55" s="1"/>
  <c r="AZ22" i="56" s="1"/>
  <c r="AZ22" i="57" s="1"/>
  <c r="AZ22" i="58" s="1"/>
  <c r="AZ22" i="61" s="1"/>
  <c r="AZ22" i="62" s="1"/>
  <c r="AZ22" i="63" s="1"/>
  <c r="AZ22" i="64" s="1"/>
  <c r="AZ22" i="65" s="1"/>
  <c r="AZ22" i="66" s="1"/>
  <c r="AZ22" i="67" s="1"/>
  <c r="AZ22" i="68" s="1"/>
  <c r="AZ22" i="69" s="1"/>
  <c r="AZ22" i="70" s="1"/>
  <c r="AZ22" i="71" s="1"/>
  <c r="AZ22" i="73" s="1"/>
  <c r="AZ22" i="74" s="1"/>
  <c r="AZ22" i="76" s="1"/>
  <c r="AZ22" i="77" s="1"/>
  <c r="AZ22" i="78" s="1"/>
  <c r="AZ22" i="79" s="1"/>
  <c r="AZ14" i="103"/>
  <c r="BB17" i="103"/>
  <c r="BB17" i="109" s="1"/>
  <c r="BB17" i="110" s="1"/>
  <c r="BB17" i="111" s="1"/>
  <c r="BB17" i="112" s="1"/>
  <c r="BB17" i="114" s="1"/>
  <c r="BB17" i="115" s="1"/>
  <c r="BB17" i="116" s="1"/>
  <c r="BB17" i="117" s="1"/>
  <c r="BB17" i="118" s="1"/>
  <c r="BB17" i="119" s="1"/>
  <c r="BB17" i="120" s="1"/>
  <c r="AM20" i="103"/>
  <c r="AM20" i="109" s="1"/>
  <c r="AM20" i="110" s="1"/>
  <c r="AM20" i="111" s="1"/>
  <c r="AM20" i="112" s="1"/>
  <c r="AM20" i="114" s="1"/>
  <c r="AM20" i="115" s="1"/>
  <c r="AM20" i="116" s="1"/>
  <c r="AM20" i="117" s="1"/>
  <c r="AM20" i="118" s="1"/>
  <c r="AM20" i="119" s="1"/>
  <c r="AM20" i="120" s="1"/>
  <c r="BB16" i="81"/>
  <c r="BB16" i="48" s="1"/>
  <c r="BB16" i="49" s="1"/>
  <c r="BB16" i="50" s="1"/>
  <c r="BB16" i="51" s="1"/>
  <c r="BB16" i="52" s="1"/>
  <c r="BB16" i="53" s="1"/>
  <c r="BB16" i="54" s="1"/>
  <c r="BB16" i="55" s="1"/>
  <c r="BB16" i="56" s="1"/>
  <c r="BB16" i="57" s="1"/>
  <c r="BB16" i="58" s="1"/>
  <c r="BB16" i="61" s="1"/>
  <c r="BB16" i="62" s="1"/>
  <c r="BB16" i="63" s="1"/>
  <c r="BB16" i="64" s="1"/>
  <c r="BB16" i="65" s="1"/>
  <c r="BB16" i="66" s="1"/>
  <c r="BB16" i="67" s="1"/>
  <c r="BB16" i="68" s="1"/>
  <c r="BB16" i="69" s="1"/>
  <c r="BB16" i="70" s="1"/>
  <c r="BB16" i="71" s="1"/>
  <c r="BB16" i="73" s="1"/>
  <c r="BB16" i="74" s="1"/>
  <c r="BB16" i="76" s="1"/>
  <c r="BB16" i="77" s="1"/>
  <c r="BB16" i="78" s="1"/>
  <c r="BB16" i="79" s="1"/>
  <c r="AZ15" i="81"/>
  <c r="AZ15" i="48" s="1"/>
  <c r="AZ15" i="49" s="1"/>
  <c r="AZ15" i="50" s="1"/>
  <c r="AZ15" i="51" s="1"/>
  <c r="AZ15" i="52" s="1"/>
  <c r="AZ15" i="53" s="1"/>
  <c r="AZ15" i="54" s="1"/>
  <c r="AZ15" i="55" s="1"/>
  <c r="AZ15" i="56" s="1"/>
  <c r="AZ15" i="57" s="1"/>
  <c r="AZ15" i="58" s="1"/>
  <c r="AZ15" i="61" s="1"/>
  <c r="AZ15" i="62" s="1"/>
  <c r="AZ15" i="63" s="1"/>
  <c r="AZ15" i="64" s="1"/>
  <c r="AZ15" i="65" s="1"/>
  <c r="AZ15" i="66" s="1"/>
  <c r="AZ15" i="67" s="1"/>
  <c r="AZ15" i="68" s="1"/>
  <c r="AZ15" i="69" s="1"/>
  <c r="AZ15" i="70" s="1"/>
  <c r="AZ15" i="71" s="1"/>
  <c r="AZ15" i="73" s="1"/>
  <c r="AZ15" i="74" s="1"/>
  <c r="AZ15" i="76" s="1"/>
  <c r="AZ15" i="77" s="1"/>
  <c r="AZ15" i="78" s="1"/>
  <c r="AZ15" i="79" s="1"/>
  <c r="V16" i="81"/>
  <c r="V16" i="48" s="1"/>
  <c r="V16" i="49" s="1"/>
  <c r="V16" i="50" s="1"/>
  <c r="V16" i="51" s="1"/>
  <c r="V16" i="52" s="1"/>
  <c r="V16" i="53" s="1"/>
  <c r="V16" i="54" s="1"/>
  <c r="V16" i="55" s="1"/>
  <c r="V16" i="56" s="1"/>
  <c r="V16" i="57" s="1"/>
  <c r="V16" i="58" s="1"/>
  <c r="V16" i="61" s="1"/>
  <c r="V16" i="62" s="1"/>
  <c r="V16" i="63" s="1"/>
  <c r="V16" i="64" s="1"/>
  <c r="V16" i="65" s="1"/>
  <c r="V16" i="66" s="1"/>
  <c r="V16" i="67" s="1"/>
  <c r="V16" i="68" s="1"/>
  <c r="V16" i="69" s="1"/>
  <c r="V16" i="70" s="1"/>
  <c r="V16" i="71" s="1"/>
  <c r="V16" i="73" s="1"/>
  <c r="V16" i="74" s="1"/>
  <c r="V16" i="76" s="1"/>
  <c r="V16" i="77" s="1"/>
  <c r="V16" i="78" s="1"/>
  <c r="V16" i="79" s="1"/>
  <c r="AV17" i="81"/>
  <c r="AV17" i="48" s="1"/>
  <c r="AV17" i="49" s="1"/>
  <c r="AV17" i="50" s="1"/>
  <c r="AV17" i="51" s="1"/>
  <c r="AV17" i="52" s="1"/>
  <c r="AV17" i="53" s="1"/>
  <c r="AV17" i="54" s="1"/>
  <c r="AV17" i="55" s="1"/>
  <c r="AV17" i="56" s="1"/>
  <c r="AV17" i="57" s="1"/>
  <c r="AV17" i="58" s="1"/>
  <c r="AV17" i="61" s="1"/>
  <c r="AV17" i="62" s="1"/>
  <c r="AV17" i="63" s="1"/>
  <c r="AV17" i="64" s="1"/>
  <c r="AV17" i="65" s="1"/>
  <c r="AV17" i="66" s="1"/>
  <c r="AV17" i="67" s="1"/>
  <c r="AV17" i="68" s="1"/>
  <c r="AV17" i="69" s="1"/>
  <c r="AV17" i="70" s="1"/>
  <c r="AV17" i="71" s="1"/>
  <c r="AV17" i="73" s="1"/>
  <c r="AV17" i="74" s="1"/>
  <c r="AV17" i="76" s="1"/>
  <c r="AV17" i="77" s="1"/>
  <c r="AV17" i="78" s="1"/>
  <c r="AV17" i="79" s="1"/>
  <c r="AK18" i="81"/>
  <c r="AK18" i="48" s="1"/>
  <c r="AK18" i="49" s="1"/>
  <c r="AK18" i="50" s="1"/>
  <c r="AK18" i="51" s="1"/>
  <c r="AK18" i="52" s="1"/>
  <c r="AK18" i="53" s="1"/>
  <c r="AK18" i="54" s="1"/>
  <c r="AK18" i="55" s="1"/>
  <c r="AK18" i="56" s="1"/>
  <c r="AK18" i="57" s="1"/>
  <c r="AK18" i="58" s="1"/>
  <c r="AK18" i="61" s="1"/>
  <c r="AK18" i="62" s="1"/>
  <c r="AK18" i="63" s="1"/>
  <c r="AK18" i="64" s="1"/>
  <c r="AK18" i="65" s="1"/>
  <c r="AK18" i="66" s="1"/>
  <c r="AK18" i="67" s="1"/>
  <c r="AK18" i="68" s="1"/>
  <c r="AK18" i="69" s="1"/>
  <c r="AK18" i="70" s="1"/>
  <c r="AK18" i="71" s="1"/>
  <c r="AK18" i="73" s="1"/>
  <c r="AK18" i="74" s="1"/>
  <c r="AK18" i="76" s="1"/>
  <c r="AK18" i="77" s="1"/>
  <c r="AK18" i="78" s="1"/>
  <c r="AK18" i="79" s="1"/>
  <c r="BJ19" i="81"/>
  <c r="BJ19" i="48" s="1"/>
  <c r="BJ19" i="49" s="1"/>
  <c r="BJ19" i="50" s="1"/>
  <c r="BJ19" i="51" s="1"/>
  <c r="BJ19" i="52" s="1"/>
  <c r="BJ19" i="53" s="1"/>
  <c r="BJ19" i="54" s="1"/>
  <c r="BJ19" i="55" s="1"/>
  <c r="BJ19" i="56" s="1"/>
  <c r="BJ19" i="57" s="1"/>
  <c r="BJ19" i="58" s="1"/>
  <c r="BJ19" i="61" s="1"/>
  <c r="BJ19" i="62" s="1"/>
  <c r="BJ19" i="63" s="1"/>
  <c r="BJ19" i="64" s="1"/>
  <c r="BJ19" i="65" s="1"/>
  <c r="BJ19" i="66" s="1"/>
  <c r="BJ19" i="67" s="1"/>
  <c r="BJ19" i="68" s="1"/>
  <c r="BJ19" i="69" s="1"/>
  <c r="BJ19" i="70" s="1"/>
  <c r="BJ19" i="71" s="1"/>
  <c r="BJ19" i="73" s="1"/>
  <c r="BJ19" i="74" s="1"/>
  <c r="BJ19" i="76" s="1"/>
  <c r="BJ19" i="77" s="1"/>
  <c r="BJ19" i="78" s="1"/>
  <c r="BJ19" i="79" s="1"/>
  <c r="AZ20" i="81"/>
  <c r="AZ20" i="48" s="1"/>
  <c r="AZ20" i="49" s="1"/>
  <c r="AZ20" i="50" s="1"/>
  <c r="AZ20" i="51" s="1"/>
  <c r="AZ20" i="52" s="1"/>
  <c r="AZ20" i="53" s="1"/>
  <c r="AZ20" i="54" s="1"/>
  <c r="AZ20" i="55" s="1"/>
  <c r="AZ20" i="56" s="1"/>
  <c r="AZ20" i="57" s="1"/>
  <c r="AZ20" i="58" s="1"/>
  <c r="AZ20" i="61" s="1"/>
  <c r="AZ20" i="62" s="1"/>
  <c r="AZ20" i="63" s="1"/>
  <c r="AZ20" i="64" s="1"/>
  <c r="AZ20" i="65" s="1"/>
  <c r="AZ20" i="66" s="1"/>
  <c r="AZ20" i="67" s="1"/>
  <c r="AZ20" i="68" s="1"/>
  <c r="AZ20" i="69" s="1"/>
  <c r="AZ20" i="70" s="1"/>
  <c r="AZ20" i="71" s="1"/>
  <c r="AZ20" i="73" s="1"/>
  <c r="AZ20" i="74" s="1"/>
  <c r="AZ20" i="76" s="1"/>
  <c r="AZ20" i="77" s="1"/>
  <c r="AZ20" i="78" s="1"/>
  <c r="AZ20" i="79" s="1"/>
  <c r="AO21" i="81"/>
  <c r="AO21" i="48" s="1"/>
  <c r="AO21" i="49" s="1"/>
  <c r="AO21" i="50" s="1"/>
  <c r="AO21" i="51" s="1"/>
  <c r="AO21" i="52" s="1"/>
  <c r="AO21" i="53" s="1"/>
  <c r="AO21" i="54" s="1"/>
  <c r="AO21" i="55" s="1"/>
  <c r="AO21" i="56" s="1"/>
  <c r="AO21" i="57" s="1"/>
  <c r="AO21" i="58" s="1"/>
  <c r="AO21" i="61" s="1"/>
  <c r="AO21" i="62" s="1"/>
  <c r="AO21" i="63" s="1"/>
  <c r="AO21" i="64" s="1"/>
  <c r="AO21" i="65" s="1"/>
  <c r="AO21" i="66" s="1"/>
  <c r="AO21" i="67" s="1"/>
  <c r="AO21" i="68" s="1"/>
  <c r="AO21" i="69" s="1"/>
  <c r="AO21" i="70" s="1"/>
  <c r="AO21" i="71" s="1"/>
  <c r="AO21" i="73" s="1"/>
  <c r="AO21" i="74" s="1"/>
  <c r="AO21" i="76" s="1"/>
  <c r="AO21" i="77" s="1"/>
  <c r="AO21" i="78" s="1"/>
  <c r="AO21" i="79" s="1"/>
  <c r="AV22" i="81"/>
  <c r="AV22" i="48" s="1"/>
  <c r="AV22" i="49" s="1"/>
  <c r="AV22" i="50" s="1"/>
  <c r="AV22" i="51" s="1"/>
  <c r="AV22" i="52" s="1"/>
  <c r="AV22" i="53" s="1"/>
  <c r="AV22" i="54" s="1"/>
  <c r="AV22" i="55" s="1"/>
  <c r="AV22" i="56" s="1"/>
  <c r="AV22" i="57" s="1"/>
  <c r="AV22" i="58" s="1"/>
  <c r="AV22" i="61" s="1"/>
  <c r="AV22" i="62" s="1"/>
  <c r="AV22" i="63" s="1"/>
  <c r="AV22" i="64" s="1"/>
  <c r="AV22" i="65" s="1"/>
  <c r="AV22" i="66" s="1"/>
  <c r="AV22" i="67" s="1"/>
  <c r="AV22" i="68" s="1"/>
  <c r="AV22" i="69" s="1"/>
  <c r="AV22" i="70" s="1"/>
  <c r="AV22" i="71" s="1"/>
  <c r="AV22" i="73" s="1"/>
  <c r="AV22" i="74" s="1"/>
  <c r="AV22" i="76" s="1"/>
  <c r="AV22" i="77" s="1"/>
  <c r="AV22" i="78" s="1"/>
  <c r="AV22" i="79" s="1"/>
  <c r="BD8" i="65"/>
  <c r="BD8" i="67"/>
  <c r="AB11" i="103"/>
  <c r="AB11" i="109" s="1"/>
  <c r="AB11" i="110" s="1"/>
  <c r="AB11" i="111" s="1"/>
  <c r="AB11" i="112" s="1"/>
  <c r="AB11" i="114" s="1"/>
  <c r="AB11" i="115" s="1"/>
  <c r="AB11" i="116" s="1"/>
  <c r="AB11" i="117" s="1"/>
  <c r="AB11" i="118" s="1"/>
  <c r="AB11" i="119" s="1"/>
  <c r="AB11" i="120" s="1"/>
  <c r="M12" i="103"/>
  <c r="M12" i="109" s="1"/>
  <c r="M12" i="110" s="1"/>
  <c r="M12" i="111" s="1"/>
  <c r="M12" i="112" s="1"/>
  <c r="M12" i="114" s="1"/>
  <c r="M12" i="115" s="1"/>
  <c r="M12" i="116" s="1"/>
  <c r="M12" i="117" s="1"/>
  <c r="M12" i="118" s="1"/>
  <c r="M12" i="119" s="1"/>
  <c r="M12" i="120" s="1"/>
  <c r="BQ12" i="103"/>
  <c r="BQ12" i="109" s="1"/>
  <c r="BQ12" i="110" s="1"/>
  <c r="BQ12" i="111" s="1"/>
  <c r="BQ12" i="112" s="1"/>
  <c r="BQ12" i="114" s="1"/>
  <c r="BQ12" i="115" s="1"/>
  <c r="BQ12" i="116" s="1"/>
  <c r="BQ12" i="117" s="1"/>
  <c r="BQ12" i="118" s="1"/>
  <c r="BQ12" i="119" s="1"/>
  <c r="BQ12" i="120" s="1"/>
  <c r="AO13" i="103"/>
  <c r="AO13" i="109" s="1"/>
  <c r="AO13" i="110" s="1"/>
  <c r="AO13" i="111" s="1"/>
  <c r="AO13" i="112" s="1"/>
  <c r="AO13" i="114" s="1"/>
  <c r="AO13" i="115" s="1"/>
  <c r="AO13" i="116" s="1"/>
  <c r="AO13" i="117" s="1"/>
  <c r="AO13" i="118" s="1"/>
  <c r="AO13" i="119" s="1"/>
  <c r="AO13" i="120" s="1"/>
  <c r="AE14" i="103"/>
  <c r="AE14" i="109" s="1"/>
  <c r="AE14" i="110" s="1"/>
  <c r="AE14" i="111" s="1"/>
  <c r="AE14" i="112" s="1"/>
  <c r="AE14" i="114" s="1"/>
  <c r="AE14" i="115" s="1"/>
  <c r="AE14" i="116" s="1"/>
  <c r="AE14" i="117" s="1"/>
  <c r="AE14" i="118" s="1"/>
  <c r="AE14" i="119" s="1"/>
  <c r="AE14" i="120" s="1"/>
  <c r="BL14" i="103"/>
  <c r="BL14" i="109" s="1"/>
  <c r="BL14" i="110" s="1"/>
  <c r="BL14" i="111" s="1"/>
  <c r="BL14" i="112" s="1"/>
  <c r="BL14" i="114" s="1"/>
  <c r="BL14" i="115" s="1"/>
  <c r="BL14" i="116" s="1"/>
  <c r="BL14" i="117" s="1"/>
  <c r="BL14" i="118" s="1"/>
  <c r="BL14" i="119" s="1"/>
  <c r="BL14" i="120" s="1"/>
  <c r="P15" i="103"/>
  <c r="P15" i="109" s="1"/>
  <c r="P15" i="110" s="1"/>
  <c r="P15" i="111" s="1"/>
  <c r="P15" i="112" s="1"/>
  <c r="P15" i="114" s="1"/>
  <c r="P15" i="115" s="1"/>
  <c r="P15" i="116" s="1"/>
  <c r="P15" i="117" s="1"/>
  <c r="P15" i="118" s="1"/>
  <c r="P15" i="119" s="1"/>
  <c r="P15" i="120" s="1"/>
  <c r="BB15" i="103"/>
  <c r="BB15" i="109" s="1"/>
  <c r="BB15" i="110" s="1"/>
  <c r="BB15" i="111" s="1"/>
  <c r="BB15" i="112" s="1"/>
  <c r="BB15" i="114" s="1"/>
  <c r="BB15" i="115" s="1"/>
  <c r="BB15" i="116" s="1"/>
  <c r="BB15" i="117" s="1"/>
  <c r="BB15" i="118" s="1"/>
  <c r="BB15" i="119" s="1"/>
  <c r="BB15" i="120" s="1"/>
  <c r="J17" i="103"/>
  <c r="J17" i="109" s="1"/>
  <c r="J17" i="110" s="1"/>
  <c r="J17" i="111" s="1"/>
  <c r="J17" i="112" s="1"/>
  <c r="J17" i="114" s="1"/>
  <c r="J17" i="115" s="1"/>
  <c r="J17" i="116" s="1"/>
  <c r="J17" i="117" s="1"/>
  <c r="J17" i="118" s="1"/>
  <c r="J17" i="119" s="1"/>
  <c r="J17" i="120" s="1"/>
  <c r="AX17" i="103"/>
  <c r="AX17" i="109" s="1"/>
  <c r="AX17" i="110" s="1"/>
  <c r="AX17" i="111" s="1"/>
  <c r="AX17" i="112" s="1"/>
  <c r="AX17" i="114" s="1"/>
  <c r="AX17" i="115" s="1"/>
  <c r="AX17" i="116" s="1"/>
  <c r="AX17" i="117" s="1"/>
  <c r="AX17" i="118" s="1"/>
  <c r="AX17" i="119" s="1"/>
  <c r="AX17" i="120" s="1"/>
  <c r="BN17" i="103"/>
  <c r="BN17" i="109" s="1"/>
  <c r="BN17" i="110" s="1"/>
  <c r="BN17" i="111" s="1"/>
  <c r="BN17" i="112" s="1"/>
  <c r="BN17" i="114" s="1"/>
  <c r="BN17" i="115" s="1"/>
  <c r="BN17" i="116" s="1"/>
  <c r="BN17" i="117" s="1"/>
  <c r="BN17" i="118" s="1"/>
  <c r="BN17" i="119" s="1"/>
  <c r="BN17" i="120" s="1"/>
  <c r="S18" i="103"/>
  <c r="S18" i="109" s="1"/>
  <c r="S18" i="110" s="1"/>
  <c r="S18" i="111" s="1"/>
  <c r="S18" i="112" s="1"/>
  <c r="S18" i="114" s="1"/>
  <c r="S18" i="115" s="1"/>
  <c r="S18" i="116" s="1"/>
  <c r="S18" i="117" s="1"/>
  <c r="S18" i="118" s="1"/>
  <c r="S18" i="119" s="1"/>
  <c r="S18" i="120" s="1"/>
  <c r="AM18" i="103"/>
  <c r="AM18" i="109" s="1"/>
  <c r="AM18" i="110" s="1"/>
  <c r="AM18" i="111" s="1"/>
  <c r="AM18" i="112" s="1"/>
  <c r="AM18" i="114" s="1"/>
  <c r="AM18" i="115" s="1"/>
  <c r="AM18" i="116" s="1"/>
  <c r="AM18" i="117" s="1"/>
  <c r="AM18" i="118" s="1"/>
  <c r="AM18" i="119" s="1"/>
  <c r="AM18" i="120" s="1"/>
  <c r="AB19" i="103"/>
  <c r="AB19" i="109" s="1"/>
  <c r="AB19" i="110" s="1"/>
  <c r="AB19" i="111" s="1"/>
  <c r="AB19" i="112" s="1"/>
  <c r="AB19" i="114" s="1"/>
  <c r="AB19" i="115" s="1"/>
  <c r="AB19" i="116" s="1"/>
  <c r="AB19" i="117" s="1"/>
  <c r="AB19" i="118" s="1"/>
  <c r="AB19" i="119" s="1"/>
  <c r="AB19" i="120" s="1"/>
  <c r="BJ19" i="103"/>
  <c r="BJ19" i="109" s="1"/>
  <c r="BJ19" i="110" s="1"/>
  <c r="BJ19" i="111" s="1"/>
  <c r="BJ19" i="112" s="1"/>
  <c r="BJ19" i="114" s="1"/>
  <c r="BJ19" i="115" s="1"/>
  <c r="BJ19" i="116" s="1"/>
  <c r="BJ19" i="117" s="1"/>
  <c r="BJ19" i="118" s="1"/>
  <c r="BJ19" i="119" s="1"/>
  <c r="BJ19" i="120" s="1"/>
  <c r="M20" i="103"/>
  <c r="M20" i="109" s="1"/>
  <c r="M20" i="110" s="1"/>
  <c r="M20" i="111" s="1"/>
  <c r="M20" i="112" s="1"/>
  <c r="M20" i="114" s="1"/>
  <c r="M20" i="115" s="1"/>
  <c r="M20" i="116" s="1"/>
  <c r="M20" i="117" s="1"/>
  <c r="M20" i="118" s="1"/>
  <c r="M20" i="119" s="1"/>
  <c r="M20" i="120" s="1"/>
  <c r="AZ20" i="103"/>
  <c r="AZ20" i="109" s="1"/>
  <c r="AZ20" i="110" s="1"/>
  <c r="AZ20" i="111" s="1"/>
  <c r="AZ20" i="112" s="1"/>
  <c r="AZ20" i="114" s="1"/>
  <c r="AZ20" i="115" s="1"/>
  <c r="AZ20" i="116" s="1"/>
  <c r="AZ20" i="117" s="1"/>
  <c r="AZ20" i="118" s="1"/>
  <c r="AZ20" i="119" s="1"/>
  <c r="AZ20" i="120" s="1"/>
  <c r="BQ20" i="103"/>
  <c r="BQ20" i="109" s="1"/>
  <c r="BQ20" i="110" s="1"/>
  <c r="BQ20" i="111" s="1"/>
  <c r="BQ20" i="112" s="1"/>
  <c r="BQ20" i="114" s="1"/>
  <c r="BQ20" i="115" s="1"/>
  <c r="BQ20" i="116" s="1"/>
  <c r="BQ20" i="117" s="1"/>
  <c r="BQ20" i="118" s="1"/>
  <c r="BQ20" i="119" s="1"/>
  <c r="BQ20" i="120" s="1"/>
  <c r="V21" i="103"/>
  <c r="V21" i="109" s="1"/>
  <c r="V21" i="110" s="1"/>
  <c r="V21" i="111" s="1"/>
  <c r="V21" i="112" s="1"/>
  <c r="V21" i="114" s="1"/>
  <c r="V21" i="115" s="1"/>
  <c r="V21" i="116" s="1"/>
  <c r="V21" i="117" s="1"/>
  <c r="V21" i="118" s="1"/>
  <c r="V21" i="119" s="1"/>
  <c r="V21" i="120" s="1"/>
  <c r="AE22" i="103"/>
  <c r="BL22" i="103"/>
  <c r="AG8" i="102"/>
  <c r="AK8" i="103"/>
  <c r="AG8" i="103" s="1"/>
  <c r="AR8" i="102"/>
  <c r="BB8" i="103"/>
  <c r="AR8" i="103" s="1"/>
  <c r="AK15" i="81"/>
  <c r="AK15" i="48" s="1"/>
  <c r="AK15" i="49" s="1"/>
  <c r="AK15" i="50" s="1"/>
  <c r="AK15" i="51" s="1"/>
  <c r="AK15" i="52" s="1"/>
  <c r="AK15" i="53" s="1"/>
  <c r="AK15" i="54" s="1"/>
  <c r="AK15" i="55" s="1"/>
  <c r="AK15" i="56" s="1"/>
  <c r="AK15" i="57" s="1"/>
  <c r="AK15" i="58" s="1"/>
  <c r="AK15" i="61" s="1"/>
  <c r="AK15" i="62" s="1"/>
  <c r="AK15" i="63" s="1"/>
  <c r="AK15" i="64" s="1"/>
  <c r="AK15" i="65" s="1"/>
  <c r="AK15" i="66" s="1"/>
  <c r="AK15" i="67" s="1"/>
  <c r="AK15" i="68" s="1"/>
  <c r="AK15" i="69" s="1"/>
  <c r="AK15" i="70" s="1"/>
  <c r="AK15" i="71" s="1"/>
  <c r="AK15" i="73" s="1"/>
  <c r="AK15" i="74" s="1"/>
  <c r="AK15" i="76" s="1"/>
  <c r="AK15" i="77" s="1"/>
  <c r="AK15" i="78" s="1"/>
  <c r="AK15" i="79" s="1"/>
  <c r="BD8" i="41"/>
  <c r="BQ10" i="81"/>
  <c r="BQ10" i="48" s="1"/>
  <c r="BQ10" i="49" s="1"/>
  <c r="BQ10" i="50" s="1"/>
  <c r="BQ10" i="51" s="1"/>
  <c r="BQ10" i="52" s="1"/>
  <c r="BQ10" i="53" s="1"/>
  <c r="BQ10" i="54" s="1"/>
  <c r="BQ10" i="55" s="1"/>
  <c r="BQ10" i="56" s="1"/>
  <c r="BQ10" i="57" s="1"/>
  <c r="BQ10" i="58" s="1"/>
  <c r="BQ10" i="61" s="1"/>
  <c r="BQ10" i="62" s="1"/>
  <c r="BQ10" i="63" s="1"/>
  <c r="BQ10" i="64" s="1"/>
  <c r="BQ10" i="65" s="1"/>
  <c r="BQ10" i="66" s="1"/>
  <c r="BQ10" i="67" s="1"/>
  <c r="BQ10" i="68" s="1"/>
  <c r="BQ10" i="69" s="1"/>
  <c r="BQ10" i="70" s="1"/>
  <c r="BQ10" i="71" s="1"/>
  <c r="BQ10" i="73" s="1"/>
  <c r="BQ10" i="74" s="1"/>
  <c r="BQ10" i="76" s="1"/>
  <c r="BQ10" i="77" s="1"/>
  <c r="BQ10" i="78" s="1"/>
  <c r="BQ10" i="79" s="1"/>
  <c r="S13" i="81"/>
  <c r="S13" i="48" s="1"/>
  <c r="S13" i="49" s="1"/>
  <c r="S13" i="50" s="1"/>
  <c r="S13" i="51" s="1"/>
  <c r="S13" i="52" s="1"/>
  <c r="S13" i="53" s="1"/>
  <c r="S13" i="54" s="1"/>
  <c r="S13" i="55" s="1"/>
  <c r="S13" i="56" s="1"/>
  <c r="S13" i="57" s="1"/>
  <c r="S13" i="58" s="1"/>
  <c r="S13" i="61" s="1"/>
  <c r="S13" i="62" s="1"/>
  <c r="S13" i="63" s="1"/>
  <c r="S13" i="64" s="1"/>
  <c r="S13" i="65" s="1"/>
  <c r="S13" i="66" s="1"/>
  <c r="S13" i="67" s="1"/>
  <c r="S13" i="68" s="1"/>
  <c r="S13" i="69" s="1"/>
  <c r="S13" i="70" s="1"/>
  <c r="S13" i="71" s="1"/>
  <c r="S13" i="73" s="1"/>
  <c r="S13" i="74" s="1"/>
  <c r="S13" i="76" s="1"/>
  <c r="S13" i="77" s="1"/>
  <c r="S13" i="78" s="1"/>
  <c r="S13" i="79" s="1"/>
  <c r="AX10" i="109"/>
  <c r="AX10" i="110" s="1"/>
  <c r="AX10" i="111" s="1"/>
  <c r="AX10" i="112" s="1"/>
  <c r="AX10" i="114" s="1"/>
  <c r="AX10" i="115" s="1"/>
  <c r="AX10" i="116" s="1"/>
  <c r="AX10" i="117" s="1"/>
  <c r="AX10" i="118" s="1"/>
  <c r="AX10" i="119" s="1"/>
  <c r="AX11" i="103"/>
  <c r="AX11" i="109" s="1"/>
  <c r="AX11" i="110" s="1"/>
  <c r="AX11" i="111" s="1"/>
  <c r="AX11" i="112" s="1"/>
  <c r="AX11" i="114" s="1"/>
  <c r="AX11" i="115" s="1"/>
  <c r="AX11" i="116" s="1"/>
  <c r="AX11" i="117" s="1"/>
  <c r="AX11" i="118" s="1"/>
  <c r="AX11" i="119" s="1"/>
  <c r="AX11" i="120" s="1"/>
  <c r="BJ13" i="103"/>
  <c r="BJ13" i="109" s="1"/>
  <c r="BJ13" i="110" s="1"/>
  <c r="BJ13" i="111" s="1"/>
  <c r="BJ13" i="112" s="1"/>
  <c r="BJ13" i="114" s="1"/>
  <c r="BJ13" i="115" s="1"/>
  <c r="BJ13" i="116" s="1"/>
  <c r="BJ13" i="117" s="1"/>
  <c r="BJ13" i="118" s="1"/>
  <c r="BJ13" i="119" s="1"/>
  <c r="BJ13" i="120" s="1"/>
  <c r="BL16" i="103"/>
  <c r="BL16" i="109" s="1"/>
  <c r="BL16" i="110" s="1"/>
  <c r="BL16" i="111" s="1"/>
  <c r="BL16" i="112" s="1"/>
  <c r="BL16" i="114" s="1"/>
  <c r="BL16" i="115" s="1"/>
  <c r="BL16" i="116" s="1"/>
  <c r="BL16" i="117" s="1"/>
  <c r="BL16" i="118" s="1"/>
  <c r="BL16" i="119" s="1"/>
  <c r="BL16" i="120" s="1"/>
  <c r="J19" i="103"/>
  <c r="J19" i="109" s="1"/>
  <c r="J19" i="110" s="1"/>
  <c r="J19" i="111" s="1"/>
  <c r="J19" i="112" s="1"/>
  <c r="J19" i="114" s="1"/>
  <c r="J19" i="115" s="1"/>
  <c r="J19" i="116" s="1"/>
  <c r="J19" i="117" s="1"/>
  <c r="J19" i="118" s="1"/>
  <c r="J19" i="119" s="1"/>
  <c r="J19" i="120" s="1"/>
  <c r="AB20" i="109"/>
  <c r="AB20" i="110" s="1"/>
  <c r="AB20" i="111" s="1"/>
  <c r="AB20" i="112" s="1"/>
  <c r="AB20" i="114" s="1"/>
  <c r="AB20" i="115" s="1"/>
  <c r="AB20" i="116" s="1"/>
  <c r="AB20" i="117" s="1"/>
  <c r="AB20" i="118" s="1"/>
  <c r="AB20" i="119" s="1"/>
  <c r="AB20" i="120" s="1"/>
  <c r="AB21" i="103"/>
  <c r="AB21" i="109" s="1"/>
  <c r="AB21" i="110" s="1"/>
  <c r="AB21" i="111" s="1"/>
  <c r="AB21" i="112" s="1"/>
  <c r="AB21" i="114" s="1"/>
  <c r="AB21" i="115" s="1"/>
  <c r="AB21" i="116" s="1"/>
  <c r="AB21" i="117" s="1"/>
  <c r="AB21" i="118" s="1"/>
  <c r="AB21" i="119" s="1"/>
  <c r="AB21" i="120" s="1"/>
  <c r="AB15" i="81"/>
  <c r="AB15" i="48" s="1"/>
  <c r="AB15" i="49" s="1"/>
  <c r="AB15" i="50" s="1"/>
  <c r="AB15" i="51" s="1"/>
  <c r="AB15" i="52" s="1"/>
  <c r="AB15" i="53" s="1"/>
  <c r="AB15" i="54" s="1"/>
  <c r="AB15" i="55" s="1"/>
  <c r="AB15" i="56" s="1"/>
  <c r="AB15" i="57" s="1"/>
  <c r="AB15" i="58" s="1"/>
  <c r="AB15" i="61" s="1"/>
  <c r="AB15" i="62" s="1"/>
  <c r="AB15" i="63" s="1"/>
  <c r="AB15" i="64" s="1"/>
  <c r="AB15" i="65" s="1"/>
  <c r="AB15" i="66" s="1"/>
  <c r="AB15" i="67" s="1"/>
  <c r="AB15" i="68" s="1"/>
  <c r="AB15" i="69" s="1"/>
  <c r="AB15" i="70" s="1"/>
  <c r="AB15" i="71" s="1"/>
  <c r="AB15" i="73" s="1"/>
  <c r="AB15" i="74" s="1"/>
  <c r="AB15" i="76" s="1"/>
  <c r="AB15" i="77" s="1"/>
  <c r="AB15" i="78" s="1"/>
  <c r="AB15" i="79" s="1"/>
  <c r="AK16" i="81"/>
  <c r="AK16" i="48" s="1"/>
  <c r="AK16" i="49" s="1"/>
  <c r="AK16" i="50" s="1"/>
  <c r="AK16" i="51" s="1"/>
  <c r="AK16" i="52" s="1"/>
  <c r="AK16" i="53" s="1"/>
  <c r="AK16" i="54" s="1"/>
  <c r="AK16" i="55" s="1"/>
  <c r="AK16" i="56" s="1"/>
  <c r="AK16" i="57" s="1"/>
  <c r="AK16" i="58" s="1"/>
  <c r="AK16" i="61" s="1"/>
  <c r="AK16" i="62" s="1"/>
  <c r="AK16" i="63" s="1"/>
  <c r="AK16" i="64" s="1"/>
  <c r="AK16" i="65" s="1"/>
  <c r="AK16" i="66" s="1"/>
  <c r="AK16" i="67" s="1"/>
  <c r="AK16" i="68" s="1"/>
  <c r="AK16" i="69" s="1"/>
  <c r="AK16" i="70" s="1"/>
  <c r="AK16" i="71" s="1"/>
  <c r="AK16" i="73" s="1"/>
  <c r="AK16" i="74" s="1"/>
  <c r="AK16" i="76" s="1"/>
  <c r="AK16" i="77" s="1"/>
  <c r="AK16" i="78" s="1"/>
  <c r="AK16" i="79" s="1"/>
  <c r="BQ18" i="81"/>
  <c r="BQ18" i="48" s="1"/>
  <c r="BQ18" i="49" s="1"/>
  <c r="BQ18" i="50" s="1"/>
  <c r="BQ18" i="51" s="1"/>
  <c r="BQ18" i="52" s="1"/>
  <c r="BQ18" i="53" s="1"/>
  <c r="BQ18" i="54" s="1"/>
  <c r="BQ18" i="55" s="1"/>
  <c r="BQ18" i="56" s="1"/>
  <c r="BQ18" i="57" s="1"/>
  <c r="BQ18" i="58" s="1"/>
  <c r="BQ18" i="61" s="1"/>
  <c r="BQ18" i="62" s="1"/>
  <c r="BQ18" i="63" s="1"/>
  <c r="BQ18" i="64" s="1"/>
  <c r="BQ18" i="65" s="1"/>
  <c r="BQ18" i="66" s="1"/>
  <c r="BQ18" i="67" s="1"/>
  <c r="BQ18" i="68" s="1"/>
  <c r="BQ18" i="69" s="1"/>
  <c r="BQ18" i="70" s="1"/>
  <c r="BQ18" i="71" s="1"/>
  <c r="BQ18" i="73" s="1"/>
  <c r="BQ18" i="74" s="1"/>
  <c r="BQ18" i="76" s="1"/>
  <c r="BQ18" i="77" s="1"/>
  <c r="BQ18" i="78" s="1"/>
  <c r="BQ18" i="79" s="1"/>
  <c r="Y10" i="81"/>
  <c r="Y10" i="48" s="1"/>
  <c r="Y10" i="49" s="1"/>
  <c r="Y10" i="50" s="1"/>
  <c r="Y10" i="51" s="1"/>
  <c r="Y10" i="52" s="1"/>
  <c r="Y10" i="53" s="1"/>
  <c r="Y10" i="54" s="1"/>
  <c r="Y10" i="55" s="1"/>
  <c r="Y10" i="56" s="1"/>
  <c r="Y10" i="57" s="1"/>
  <c r="Y10" i="58" s="1"/>
  <c r="Y10" i="61" s="1"/>
  <c r="Y10" i="62" s="1"/>
  <c r="Y10" i="63" s="1"/>
  <c r="Y10" i="64" s="1"/>
  <c r="Y10" i="65" s="1"/>
  <c r="Y10" i="66" s="1"/>
  <c r="Y10" i="67" s="1"/>
  <c r="Y10" i="68" s="1"/>
  <c r="Y10" i="69" s="1"/>
  <c r="Y10" i="70" s="1"/>
  <c r="Y10" i="71" s="1"/>
  <c r="Y10" i="73" s="1"/>
  <c r="Y10" i="74" s="1"/>
  <c r="Y10" i="76" s="1"/>
  <c r="Y10" i="77" s="1"/>
  <c r="Y10" i="78" s="1"/>
  <c r="Y10" i="79" s="1"/>
  <c r="BQ11" i="81"/>
  <c r="BQ11" i="48" s="1"/>
  <c r="BQ11" i="49" s="1"/>
  <c r="BQ11" i="50" s="1"/>
  <c r="BQ11" i="51" s="1"/>
  <c r="BQ11" i="52" s="1"/>
  <c r="BQ11" i="53" s="1"/>
  <c r="BQ11" i="54" s="1"/>
  <c r="BQ11" i="55" s="1"/>
  <c r="BQ11" i="56" s="1"/>
  <c r="BQ11" i="57" s="1"/>
  <c r="BQ11" i="58" s="1"/>
  <c r="BQ11" i="61" s="1"/>
  <c r="BQ11" i="62" s="1"/>
  <c r="BQ11" i="63" s="1"/>
  <c r="BQ11" i="64" s="1"/>
  <c r="BQ11" i="65" s="1"/>
  <c r="BQ11" i="66" s="1"/>
  <c r="BQ11" i="67" s="1"/>
  <c r="BQ11" i="68" s="1"/>
  <c r="BQ11" i="69" s="1"/>
  <c r="BQ11" i="70" s="1"/>
  <c r="BQ11" i="71" s="1"/>
  <c r="BQ11" i="73" s="1"/>
  <c r="BQ11" i="74" s="1"/>
  <c r="BQ11" i="76" s="1"/>
  <c r="BQ11" i="77" s="1"/>
  <c r="BQ11" i="78" s="1"/>
  <c r="BQ11" i="79" s="1"/>
  <c r="AO12" i="81"/>
  <c r="AO12" i="48" s="1"/>
  <c r="AO12" i="49" s="1"/>
  <c r="AO12" i="50" s="1"/>
  <c r="AO12" i="51" s="1"/>
  <c r="AO12" i="52" s="1"/>
  <c r="AO12" i="53" s="1"/>
  <c r="AO12" i="54" s="1"/>
  <c r="AO12" i="55" s="1"/>
  <c r="AO12" i="56" s="1"/>
  <c r="AO12" i="57" s="1"/>
  <c r="AO12" i="58" s="1"/>
  <c r="AO12" i="61" s="1"/>
  <c r="AO12" i="62" s="1"/>
  <c r="AO12" i="63" s="1"/>
  <c r="AO12" i="64" s="1"/>
  <c r="AO12" i="65" s="1"/>
  <c r="AO12" i="66" s="1"/>
  <c r="AO12" i="67" s="1"/>
  <c r="AO12" i="68" s="1"/>
  <c r="AO12" i="69" s="1"/>
  <c r="AO12" i="70" s="1"/>
  <c r="AO12" i="71" s="1"/>
  <c r="AO12" i="73" s="1"/>
  <c r="AO12" i="74" s="1"/>
  <c r="AO12" i="76" s="1"/>
  <c r="AO12" i="77" s="1"/>
  <c r="AO12" i="78" s="1"/>
  <c r="AO12" i="79" s="1"/>
  <c r="AV13" i="81"/>
  <c r="AV13" i="48" s="1"/>
  <c r="AV13" i="49" s="1"/>
  <c r="AV13" i="50" s="1"/>
  <c r="AV13" i="51" s="1"/>
  <c r="AV13" i="52" s="1"/>
  <c r="AV13" i="53" s="1"/>
  <c r="AV13" i="54" s="1"/>
  <c r="AV13" i="55" s="1"/>
  <c r="AV13" i="56" s="1"/>
  <c r="AV13" i="57" s="1"/>
  <c r="AV13" i="58" s="1"/>
  <c r="AV13" i="61" s="1"/>
  <c r="AV13" i="62" s="1"/>
  <c r="AV13" i="63" s="1"/>
  <c r="AV13" i="64" s="1"/>
  <c r="AV13" i="65" s="1"/>
  <c r="AV13" i="66" s="1"/>
  <c r="AV13" i="67" s="1"/>
  <c r="AV13" i="68" s="1"/>
  <c r="AV13" i="69" s="1"/>
  <c r="AV13" i="70" s="1"/>
  <c r="AV13" i="71" s="1"/>
  <c r="AV13" i="73" s="1"/>
  <c r="AV13" i="74" s="1"/>
  <c r="AV13" i="76" s="1"/>
  <c r="AV13" i="77" s="1"/>
  <c r="AV13" i="78" s="1"/>
  <c r="AV13" i="79" s="1"/>
  <c r="BL10" i="81"/>
  <c r="BL10" i="48" s="1"/>
  <c r="BL10" i="49" s="1"/>
  <c r="BL10" i="50" s="1"/>
  <c r="BL10" i="51" s="1"/>
  <c r="BL10" i="52" s="1"/>
  <c r="BL10" i="53" s="1"/>
  <c r="BL10" i="54" s="1"/>
  <c r="BL10" i="55" s="1"/>
  <c r="BL10" i="56" s="1"/>
  <c r="BL10" i="57" s="1"/>
  <c r="BL10" i="58" s="1"/>
  <c r="BL10" i="61" s="1"/>
  <c r="BL10" i="62" s="1"/>
  <c r="BL10" i="63" s="1"/>
  <c r="BL10" i="64" s="1"/>
  <c r="BL10" i="65" s="1"/>
  <c r="BL10" i="66" s="1"/>
  <c r="BL10" i="67" s="1"/>
  <c r="BL10" i="68" s="1"/>
  <c r="BL10" i="69" s="1"/>
  <c r="BL10" i="70" s="1"/>
  <c r="BL10" i="71" s="1"/>
  <c r="BL10" i="73" s="1"/>
  <c r="BL10" i="74" s="1"/>
  <c r="BL10" i="76" s="1"/>
  <c r="BL10" i="77" s="1"/>
  <c r="BL10" i="78" s="1"/>
  <c r="BL10" i="79" s="1"/>
  <c r="J15" i="81"/>
  <c r="J15" i="48" s="1"/>
  <c r="J15" i="49" s="1"/>
  <c r="J15" i="50" s="1"/>
  <c r="J15" i="51" s="1"/>
  <c r="J15" i="52" s="1"/>
  <c r="J15" i="53" s="1"/>
  <c r="J15" i="54" s="1"/>
  <c r="J15" i="55" s="1"/>
  <c r="J15" i="56" s="1"/>
  <c r="J15" i="57" s="1"/>
  <c r="J15" i="58" s="1"/>
  <c r="J15" i="61" s="1"/>
  <c r="J15" i="62" s="1"/>
  <c r="J15" i="63" s="1"/>
  <c r="J15" i="64" s="1"/>
  <c r="J15" i="65" s="1"/>
  <c r="J15" i="66" s="1"/>
  <c r="J15" i="67" s="1"/>
  <c r="J15" i="68" s="1"/>
  <c r="J15" i="69" s="1"/>
  <c r="J15" i="70" s="1"/>
  <c r="J15" i="71" s="1"/>
  <c r="J15" i="73" s="1"/>
  <c r="J15" i="74" s="1"/>
  <c r="J15" i="76" s="1"/>
  <c r="J15" i="77" s="1"/>
  <c r="J15" i="78" s="1"/>
  <c r="J15" i="79" s="1"/>
  <c r="BQ15" i="81"/>
  <c r="BQ15" i="48" s="1"/>
  <c r="BQ15" i="49" s="1"/>
  <c r="BQ15" i="50" s="1"/>
  <c r="BQ15" i="51" s="1"/>
  <c r="BQ15" i="52" s="1"/>
  <c r="BQ15" i="53" s="1"/>
  <c r="BQ15" i="54" s="1"/>
  <c r="BQ15" i="55" s="1"/>
  <c r="BQ15" i="56" s="1"/>
  <c r="BQ15" i="57" s="1"/>
  <c r="BQ15" i="58" s="1"/>
  <c r="BQ15" i="61" s="1"/>
  <c r="BQ15" i="62" s="1"/>
  <c r="BQ15" i="63" s="1"/>
  <c r="BQ15" i="64" s="1"/>
  <c r="BQ15" i="65" s="1"/>
  <c r="BQ15" i="66" s="1"/>
  <c r="BQ15" i="67" s="1"/>
  <c r="BQ15" i="68" s="1"/>
  <c r="BQ15" i="69" s="1"/>
  <c r="BQ15" i="70" s="1"/>
  <c r="BQ15" i="71" s="1"/>
  <c r="BQ15" i="73" s="1"/>
  <c r="BQ15" i="74" s="1"/>
  <c r="BQ15" i="76" s="1"/>
  <c r="BQ15" i="77" s="1"/>
  <c r="BQ15" i="78" s="1"/>
  <c r="BQ15" i="79" s="1"/>
  <c r="AO16" i="81"/>
  <c r="AO16" i="48" s="1"/>
  <c r="AO16" i="49" s="1"/>
  <c r="AO16" i="50" s="1"/>
  <c r="AO16" i="51" s="1"/>
  <c r="AO16" i="52" s="1"/>
  <c r="AO16" i="53" s="1"/>
  <c r="AO16" i="54" s="1"/>
  <c r="AO16" i="55" s="1"/>
  <c r="AO16" i="56" s="1"/>
  <c r="AO16" i="57" s="1"/>
  <c r="AO16" i="58" s="1"/>
  <c r="AO16" i="61" s="1"/>
  <c r="AO16" i="62" s="1"/>
  <c r="AO16" i="63" s="1"/>
  <c r="AO16" i="64" s="1"/>
  <c r="AO16" i="65" s="1"/>
  <c r="AO16" i="66" s="1"/>
  <c r="AO16" i="67" s="1"/>
  <c r="AO16" i="68" s="1"/>
  <c r="AO16" i="69" s="1"/>
  <c r="AO16" i="70" s="1"/>
  <c r="AO16" i="71" s="1"/>
  <c r="AO16" i="73" s="1"/>
  <c r="AO16" i="74" s="1"/>
  <c r="AO16" i="76" s="1"/>
  <c r="AO16" i="77" s="1"/>
  <c r="AO16" i="78" s="1"/>
  <c r="AO16" i="79" s="1"/>
  <c r="AE17" i="81"/>
  <c r="AE17" i="48" s="1"/>
  <c r="AE17" i="49" s="1"/>
  <c r="AE17" i="50" s="1"/>
  <c r="AE17" i="51" s="1"/>
  <c r="AE17" i="52" s="1"/>
  <c r="AE17" i="53" s="1"/>
  <c r="AE17" i="54" s="1"/>
  <c r="AE17" i="55" s="1"/>
  <c r="AE17" i="56" s="1"/>
  <c r="AE17" i="57" s="1"/>
  <c r="AE17" i="58" s="1"/>
  <c r="AE17" i="61" s="1"/>
  <c r="AE17" i="62" s="1"/>
  <c r="AE17" i="63" s="1"/>
  <c r="AE17" i="64" s="1"/>
  <c r="AE17" i="65" s="1"/>
  <c r="AE17" i="66" s="1"/>
  <c r="AE17" i="67" s="1"/>
  <c r="AE17" i="68" s="1"/>
  <c r="AE17" i="69" s="1"/>
  <c r="AE17" i="70" s="1"/>
  <c r="AE17" i="71" s="1"/>
  <c r="AE17" i="73" s="1"/>
  <c r="AE17" i="74" s="1"/>
  <c r="AE17" i="76" s="1"/>
  <c r="AE17" i="77" s="1"/>
  <c r="AE17" i="78" s="1"/>
  <c r="AE17" i="79" s="1"/>
  <c r="BL17" i="81"/>
  <c r="BL17" i="48" s="1"/>
  <c r="BL17" i="49" s="1"/>
  <c r="BL17" i="50" s="1"/>
  <c r="BL17" i="51" s="1"/>
  <c r="BL17" i="52" s="1"/>
  <c r="BL17" i="53" s="1"/>
  <c r="BL17" i="54" s="1"/>
  <c r="BL17" i="55" s="1"/>
  <c r="BL17" i="56" s="1"/>
  <c r="BL17" i="57" s="1"/>
  <c r="BL17" i="58" s="1"/>
  <c r="BL17" i="61" s="1"/>
  <c r="BL17" i="62" s="1"/>
  <c r="BL17" i="63" s="1"/>
  <c r="BL17" i="64" s="1"/>
  <c r="BL17" i="65" s="1"/>
  <c r="BL17" i="66" s="1"/>
  <c r="BL17" i="67" s="1"/>
  <c r="BL17" i="68" s="1"/>
  <c r="BL17" i="69" s="1"/>
  <c r="BL17" i="70" s="1"/>
  <c r="BL17" i="71" s="1"/>
  <c r="BL17" i="73" s="1"/>
  <c r="BL17" i="74" s="1"/>
  <c r="BL17" i="76" s="1"/>
  <c r="BL17" i="77" s="1"/>
  <c r="BL17" i="78" s="1"/>
  <c r="BL17" i="79" s="1"/>
  <c r="P18" i="81"/>
  <c r="P18" i="48" s="1"/>
  <c r="P18" i="49" s="1"/>
  <c r="P18" i="50" s="1"/>
  <c r="P18" i="51" s="1"/>
  <c r="P18" i="52" s="1"/>
  <c r="P18" i="53" s="1"/>
  <c r="P18" i="54" s="1"/>
  <c r="P18" i="55" s="1"/>
  <c r="P18" i="56" s="1"/>
  <c r="P18" i="57" s="1"/>
  <c r="P18" i="58" s="1"/>
  <c r="P18" i="61" s="1"/>
  <c r="P18" i="62" s="1"/>
  <c r="P18" i="63" s="1"/>
  <c r="P18" i="64" s="1"/>
  <c r="P18" i="65" s="1"/>
  <c r="P18" i="66" s="1"/>
  <c r="P18" i="67" s="1"/>
  <c r="P18" i="68" s="1"/>
  <c r="P18" i="69" s="1"/>
  <c r="P18" i="70" s="1"/>
  <c r="P18" i="71" s="1"/>
  <c r="P18" i="73" s="1"/>
  <c r="P18" i="74" s="1"/>
  <c r="P18" i="76" s="1"/>
  <c r="P18" i="77" s="1"/>
  <c r="P18" i="78" s="1"/>
  <c r="P18" i="79" s="1"/>
  <c r="M20" i="81"/>
  <c r="M20" i="48" s="1"/>
  <c r="M20" i="49" s="1"/>
  <c r="M20" i="50" s="1"/>
  <c r="M20" i="51" s="1"/>
  <c r="M20" i="52" s="1"/>
  <c r="M20" i="53" s="1"/>
  <c r="M20" i="54" s="1"/>
  <c r="M20" i="55" s="1"/>
  <c r="M20" i="56" s="1"/>
  <c r="M20" i="57" s="1"/>
  <c r="M20" i="58" s="1"/>
  <c r="M20" i="61" s="1"/>
  <c r="M20" i="62" s="1"/>
  <c r="M20" i="63" s="1"/>
  <c r="M20" i="64" s="1"/>
  <c r="M20" i="65" s="1"/>
  <c r="M20" i="66" s="1"/>
  <c r="M20" i="67" s="1"/>
  <c r="M20" i="68" s="1"/>
  <c r="M20" i="69" s="1"/>
  <c r="M20" i="70" s="1"/>
  <c r="M20" i="71" s="1"/>
  <c r="M20" i="73" s="1"/>
  <c r="M20" i="74" s="1"/>
  <c r="M20" i="76" s="1"/>
  <c r="M20" i="77" s="1"/>
  <c r="M20" i="78" s="1"/>
  <c r="M20" i="79" s="1"/>
  <c r="BQ20" i="81"/>
  <c r="BQ20" i="48" s="1"/>
  <c r="BQ20" i="49" s="1"/>
  <c r="BQ20" i="50" s="1"/>
  <c r="BQ20" i="51" s="1"/>
  <c r="BQ20" i="52" s="1"/>
  <c r="BQ20" i="53" s="1"/>
  <c r="BQ20" i="54" s="1"/>
  <c r="BQ20" i="55" s="1"/>
  <c r="BQ20" i="56" s="1"/>
  <c r="BQ20" i="57" s="1"/>
  <c r="BQ20" i="58" s="1"/>
  <c r="BQ20" i="61" s="1"/>
  <c r="BQ20" i="62" s="1"/>
  <c r="BQ20" i="63" s="1"/>
  <c r="BQ20" i="64" s="1"/>
  <c r="BQ20" i="65" s="1"/>
  <c r="BQ20" i="66" s="1"/>
  <c r="BQ20" i="67" s="1"/>
  <c r="BQ20" i="68" s="1"/>
  <c r="BQ20" i="69" s="1"/>
  <c r="BQ20" i="70" s="1"/>
  <c r="BQ20" i="71" s="1"/>
  <c r="BQ20" i="73" s="1"/>
  <c r="BQ20" i="74" s="1"/>
  <c r="BQ20" i="76" s="1"/>
  <c r="BQ20" i="77" s="1"/>
  <c r="BQ20" i="78" s="1"/>
  <c r="BQ20" i="79" s="1"/>
  <c r="V21" i="81"/>
  <c r="V21" i="48" s="1"/>
  <c r="V21" i="49" s="1"/>
  <c r="V21" i="50" s="1"/>
  <c r="V21" i="51" s="1"/>
  <c r="V21" i="52" s="1"/>
  <c r="V21" i="53" s="1"/>
  <c r="V21" i="54" s="1"/>
  <c r="V21" i="55" s="1"/>
  <c r="V21" i="56" s="1"/>
  <c r="V21" i="57" s="1"/>
  <c r="V21" i="58" s="1"/>
  <c r="V21" i="61" s="1"/>
  <c r="V21" i="62" s="1"/>
  <c r="V21" i="63" s="1"/>
  <c r="V21" i="64" s="1"/>
  <c r="V21" i="65" s="1"/>
  <c r="V21" i="66" s="1"/>
  <c r="V21" i="67" s="1"/>
  <c r="V21" i="68" s="1"/>
  <c r="V21" i="69" s="1"/>
  <c r="V21" i="70" s="1"/>
  <c r="V21" i="71" s="1"/>
  <c r="V21" i="73" s="1"/>
  <c r="V21" i="74" s="1"/>
  <c r="V21" i="76" s="1"/>
  <c r="V21" i="77" s="1"/>
  <c r="V21" i="78" s="1"/>
  <c r="V21" i="79" s="1"/>
  <c r="BL22" i="81"/>
  <c r="BL22" i="48" s="1"/>
  <c r="BL22" i="49" s="1"/>
  <c r="BL22" i="50" s="1"/>
  <c r="BL22" i="51" s="1"/>
  <c r="BL22" i="52" s="1"/>
  <c r="BL22" i="53" s="1"/>
  <c r="BL22" i="54" s="1"/>
  <c r="BL22" i="55" s="1"/>
  <c r="BL22" i="56" s="1"/>
  <c r="BL22" i="57" s="1"/>
  <c r="BL22" i="58" s="1"/>
  <c r="BL22" i="61" s="1"/>
  <c r="BL22" i="62" s="1"/>
  <c r="BL22" i="63" s="1"/>
  <c r="BL22" i="64" s="1"/>
  <c r="BL22" i="65" s="1"/>
  <c r="BL22" i="66" s="1"/>
  <c r="BL22" i="67" s="1"/>
  <c r="BL22" i="68" s="1"/>
  <c r="BL22" i="69" s="1"/>
  <c r="BL22" i="70" s="1"/>
  <c r="BL22" i="71" s="1"/>
  <c r="BL22" i="73" s="1"/>
  <c r="BL22" i="74" s="1"/>
  <c r="BL22" i="76" s="1"/>
  <c r="BL22" i="77" s="1"/>
  <c r="BL22" i="78" s="1"/>
  <c r="BL22" i="79" s="1"/>
  <c r="AE10" i="81"/>
  <c r="AE10" i="48" s="1"/>
  <c r="AE10" i="49" s="1"/>
  <c r="AE10" i="50" s="1"/>
  <c r="AE10" i="51" s="1"/>
  <c r="AE10" i="52" s="1"/>
  <c r="AE10" i="53" s="1"/>
  <c r="AE10" i="54" s="1"/>
  <c r="AE10" i="55" s="1"/>
  <c r="AE10" i="56" s="1"/>
  <c r="AE10" i="57" s="1"/>
  <c r="AE10" i="58" s="1"/>
  <c r="AE10" i="61" s="1"/>
  <c r="AE10" i="62" s="1"/>
  <c r="AE10" i="63" s="1"/>
  <c r="AE10" i="64" s="1"/>
  <c r="AE10" i="65" s="1"/>
  <c r="AE10" i="66" s="1"/>
  <c r="AE10" i="67" s="1"/>
  <c r="AE10" i="68" s="1"/>
  <c r="AE10" i="69" s="1"/>
  <c r="AE10" i="70" s="1"/>
  <c r="AE10" i="71" s="1"/>
  <c r="AE10" i="73" s="1"/>
  <c r="AE10" i="74" s="1"/>
  <c r="AE10" i="76" s="1"/>
  <c r="AE10" i="77" s="1"/>
  <c r="AE10" i="78" s="1"/>
  <c r="AE10" i="79" s="1"/>
  <c r="AZ13" i="81"/>
  <c r="AZ13" i="48" s="1"/>
  <c r="AZ13" i="49" s="1"/>
  <c r="AZ13" i="50" s="1"/>
  <c r="AZ13" i="51" s="1"/>
  <c r="AZ13" i="52" s="1"/>
  <c r="AZ13" i="53" s="1"/>
  <c r="AZ13" i="54" s="1"/>
  <c r="AZ13" i="55" s="1"/>
  <c r="AZ13" i="56" s="1"/>
  <c r="AZ13" i="57" s="1"/>
  <c r="AZ13" i="58" s="1"/>
  <c r="AZ13" i="61" s="1"/>
  <c r="AZ13" i="62" s="1"/>
  <c r="AZ13" i="63" s="1"/>
  <c r="AZ13" i="64" s="1"/>
  <c r="AZ13" i="65" s="1"/>
  <c r="AZ13" i="66" s="1"/>
  <c r="AZ13" i="67" s="1"/>
  <c r="AZ13" i="68" s="1"/>
  <c r="AZ13" i="69" s="1"/>
  <c r="AZ13" i="70" s="1"/>
  <c r="AZ13" i="71" s="1"/>
  <c r="AZ13" i="73" s="1"/>
  <c r="AZ13" i="74" s="1"/>
  <c r="AZ13" i="76" s="1"/>
  <c r="AZ13" i="77" s="1"/>
  <c r="AZ13" i="78" s="1"/>
  <c r="AZ13" i="79" s="1"/>
  <c r="P14" i="81"/>
  <c r="P14" i="48" s="1"/>
  <c r="P14" i="49" s="1"/>
  <c r="P14" i="50" s="1"/>
  <c r="P14" i="51" s="1"/>
  <c r="P14" i="52" s="1"/>
  <c r="P14" i="53" s="1"/>
  <c r="P14" i="54" s="1"/>
  <c r="P14" i="55" s="1"/>
  <c r="P14" i="56" s="1"/>
  <c r="P14" i="57" s="1"/>
  <c r="P14" i="58" s="1"/>
  <c r="P14" i="61" s="1"/>
  <c r="P14" i="62" s="1"/>
  <c r="P14" i="63" s="1"/>
  <c r="P14" i="64" s="1"/>
  <c r="P14" i="65" s="1"/>
  <c r="P14" i="66" s="1"/>
  <c r="P14" i="67" s="1"/>
  <c r="P14" i="68" s="1"/>
  <c r="P14" i="69" s="1"/>
  <c r="P14" i="70" s="1"/>
  <c r="P14" i="71" s="1"/>
  <c r="P14" i="73" s="1"/>
  <c r="P14" i="74" s="1"/>
  <c r="P14" i="76" s="1"/>
  <c r="P14" i="77" s="1"/>
  <c r="P14" i="78" s="1"/>
  <c r="P14" i="79" s="1"/>
  <c r="BH15" i="81"/>
  <c r="BH15" i="48" s="1"/>
  <c r="BH15" i="49" s="1"/>
  <c r="BH15" i="50" s="1"/>
  <c r="BH15" i="51" s="1"/>
  <c r="BH15" i="52" s="1"/>
  <c r="BH15" i="53" s="1"/>
  <c r="BH15" i="54" s="1"/>
  <c r="BH15" i="55" s="1"/>
  <c r="BH15" i="56" s="1"/>
  <c r="BH15" i="57" s="1"/>
  <c r="BH15" i="58" s="1"/>
  <c r="BH15" i="61" s="1"/>
  <c r="BH15" i="62" s="1"/>
  <c r="BH15" i="63" s="1"/>
  <c r="BH15" i="64" s="1"/>
  <c r="BH15" i="65" s="1"/>
  <c r="BH15" i="66" s="1"/>
  <c r="BH15" i="67" s="1"/>
  <c r="BH15" i="68" s="1"/>
  <c r="BH15" i="69" s="1"/>
  <c r="BH15" i="70" s="1"/>
  <c r="BH15" i="71" s="1"/>
  <c r="BH15" i="73" s="1"/>
  <c r="BH15" i="74" s="1"/>
  <c r="BH15" i="76" s="1"/>
  <c r="BH15" i="77" s="1"/>
  <c r="BH15" i="78" s="1"/>
  <c r="BH15" i="79" s="1"/>
  <c r="BJ16" i="81"/>
  <c r="BJ16" i="48" s="1"/>
  <c r="BJ16" i="49" s="1"/>
  <c r="BJ16" i="50" s="1"/>
  <c r="BJ16" i="51" s="1"/>
  <c r="BJ16" i="52" s="1"/>
  <c r="BJ16" i="53" s="1"/>
  <c r="BJ16" i="54" s="1"/>
  <c r="BJ16" i="55" s="1"/>
  <c r="BJ16" i="56" s="1"/>
  <c r="BJ16" i="57" s="1"/>
  <c r="BJ16" i="58" s="1"/>
  <c r="BJ16" i="61" s="1"/>
  <c r="BJ16" i="62" s="1"/>
  <c r="BJ16" i="63" s="1"/>
  <c r="BJ16" i="64" s="1"/>
  <c r="BJ16" i="65" s="1"/>
  <c r="BJ16" i="66" s="1"/>
  <c r="BJ16" i="67" s="1"/>
  <c r="BJ16" i="68" s="1"/>
  <c r="BJ16" i="69" s="1"/>
  <c r="BJ16" i="70" s="1"/>
  <c r="BJ16" i="71" s="1"/>
  <c r="BJ16" i="73" s="1"/>
  <c r="BJ16" i="74" s="1"/>
  <c r="BJ16" i="76" s="1"/>
  <c r="BJ16" i="77" s="1"/>
  <c r="BJ16" i="78" s="1"/>
  <c r="BJ16" i="79" s="1"/>
  <c r="AZ17" i="81"/>
  <c r="AZ17" i="48" s="1"/>
  <c r="AZ17" i="49" s="1"/>
  <c r="AZ17" i="50" s="1"/>
  <c r="AZ17" i="51" s="1"/>
  <c r="AZ17" i="52" s="1"/>
  <c r="AZ17" i="53" s="1"/>
  <c r="AZ17" i="54" s="1"/>
  <c r="AZ17" i="55" s="1"/>
  <c r="AZ17" i="56" s="1"/>
  <c r="AZ17" i="57" s="1"/>
  <c r="AZ17" i="58" s="1"/>
  <c r="AZ17" i="61" s="1"/>
  <c r="AZ17" i="62" s="1"/>
  <c r="AZ17" i="63" s="1"/>
  <c r="AZ17" i="64" s="1"/>
  <c r="AZ17" i="65" s="1"/>
  <c r="AZ17" i="66" s="1"/>
  <c r="AZ17" i="67" s="1"/>
  <c r="AZ17" i="68" s="1"/>
  <c r="AZ17" i="69" s="1"/>
  <c r="AZ17" i="70" s="1"/>
  <c r="AZ17" i="71" s="1"/>
  <c r="AZ17" i="73" s="1"/>
  <c r="AZ17" i="74" s="1"/>
  <c r="AZ17" i="76" s="1"/>
  <c r="AZ17" i="77" s="1"/>
  <c r="AZ17" i="78" s="1"/>
  <c r="AZ17" i="79" s="1"/>
  <c r="AX21" i="81"/>
  <c r="AX21" i="48" s="1"/>
  <c r="AX21" i="49" s="1"/>
  <c r="AX21" i="50" s="1"/>
  <c r="AX21" i="51" s="1"/>
  <c r="AX21" i="52" s="1"/>
  <c r="AX21" i="53" s="1"/>
  <c r="AX21" i="54" s="1"/>
  <c r="AX21" i="55" s="1"/>
  <c r="AX21" i="56" s="1"/>
  <c r="AX21" i="57" s="1"/>
  <c r="AX21" i="58" s="1"/>
  <c r="AX21" i="61" s="1"/>
  <c r="AX21" i="62" s="1"/>
  <c r="AX21" i="63" s="1"/>
  <c r="AX21" i="64" s="1"/>
  <c r="AX21" i="65" s="1"/>
  <c r="AX21" i="66" s="1"/>
  <c r="AX21" i="67" s="1"/>
  <c r="AX21" i="68" s="1"/>
  <c r="AX21" i="69" s="1"/>
  <c r="AX21" i="70" s="1"/>
  <c r="AX21" i="71" s="1"/>
  <c r="AX21" i="73" s="1"/>
  <c r="AX21" i="74" s="1"/>
  <c r="AX21" i="76" s="1"/>
  <c r="AX21" i="77" s="1"/>
  <c r="AX21" i="78" s="1"/>
  <c r="AX21" i="79" s="1"/>
  <c r="AE22" i="81"/>
  <c r="AE22" i="48" s="1"/>
  <c r="AE22" i="49" s="1"/>
  <c r="AE22" i="50" s="1"/>
  <c r="AE22" i="51" s="1"/>
  <c r="AE22" i="52" s="1"/>
  <c r="AE22" i="53" s="1"/>
  <c r="AE22" i="54" s="1"/>
  <c r="AE22" i="55" s="1"/>
  <c r="AE22" i="56" s="1"/>
  <c r="AE22" i="57" s="1"/>
  <c r="AE22" i="58" s="1"/>
  <c r="AE22" i="61" s="1"/>
  <c r="AE22" i="62" s="1"/>
  <c r="AE22" i="63" s="1"/>
  <c r="AE22" i="64" s="1"/>
  <c r="AE22" i="65" s="1"/>
  <c r="AE22" i="66" s="1"/>
  <c r="AE22" i="67" s="1"/>
  <c r="AE22" i="68" s="1"/>
  <c r="AE22" i="69" s="1"/>
  <c r="AE22" i="70" s="1"/>
  <c r="AE22" i="71" s="1"/>
  <c r="AE22" i="73" s="1"/>
  <c r="AE22" i="74" s="1"/>
  <c r="AE22" i="76" s="1"/>
  <c r="AE22" i="77" s="1"/>
  <c r="AE22" i="78" s="1"/>
  <c r="AE22" i="79" s="1"/>
  <c r="Y14" i="81"/>
  <c r="Y14" i="48" s="1"/>
  <c r="Y14" i="49" s="1"/>
  <c r="Y14" i="50" s="1"/>
  <c r="Y14" i="51" s="1"/>
  <c r="Y14" i="52" s="1"/>
  <c r="Y14" i="53" s="1"/>
  <c r="Y14" i="54" s="1"/>
  <c r="Y14" i="55" s="1"/>
  <c r="Y14" i="56" s="1"/>
  <c r="Y14" i="57" s="1"/>
  <c r="Y14" i="58" s="1"/>
  <c r="Y14" i="61" s="1"/>
  <c r="Y14" i="62" s="1"/>
  <c r="Y14" i="63" s="1"/>
  <c r="Y14" i="64" s="1"/>
  <c r="Y14" i="65" s="1"/>
  <c r="Y14" i="66" s="1"/>
  <c r="Y14" i="67" s="1"/>
  <c r="Y14" i="68" s="1"/>
  <c r="Y14" i="69" s="1"/>
  <c r="Y14" i="70" s="1"/>
  <c r="Y14" i="71" s="1"/>
  <c r="Y14" i="73" s="1"/>
  <c r="Y14" i="74" s="1"/>
  <c r="Y14" i="76" s="1"/>
  <c r="Y14" i="77" s="1"/>
  <c r="Y14" i="78" s="1"/>
  <c r="Y14" i="79" s="1"/>
  <c r="BJ14" i="81"/>
  <c r="BJ14" i="48" s="1"/>
  <c r="BJ14" i="49" s="1"/>
  <c r="BJ14" i="50" s="1"/>
  <c r="BJ14" i="51" s="1"/>
  <c r="BJ14" i="52" s="1"/>
  <c r="BJ14" i="53" s="1"/>
  <c r="BJ14" i="54" s="1"/>
  <c r="BJ14" i="55" s="1"/>
  <c r="BJ14" i="56" s="1"/>
  <c r="BJ14" i="57" s="1"/>
  <c r="BJ14" i="58" s="1"/>
  <c r="BJ14" i="61" s="1"/>
  <c r="BJ14" i="62" s="1"/>
  <c r="BJ14" i="63" s="1"/>
  <c r="BJ14" i="64" s="1"/>
  <c r="BJ14" i="65" s="1"/>
  <c r="BJ14" i="66" s="1"/>
  <c r="BJ14" i="67" s="1"/>
  <c r="BJ14" i="68" s="1"/>
  <c r="BJ14" i="69" s="1"/>
  <c r="BJ14" i="70" s="1"/>
  <c r="BJ14" i="71" s="1"/>
  <c r="BJ14" i="73" s="1"/>
  <c r="BJ14" i="74" s="1"/>
  <c r="BJ14" i="76" s="1"/>
  <c r="BJ14" i="77" s="1"/>
  <c r="BJ14" i="78" s="1"/>
  <c r="BJ14" i="79" s="1"/>
  <c r="BB15" i="81"/>
  <c r="BB15" i="48" s="1"/>
  <c r="BB15" i="49" s="1"/>
  <c r="BB15" i="50" s="1"/>
  <c r="BB15" i="51" s="1"/>
  <c r="BB15" i="52" s="1"/>
  <c r="BB15" i="53" s="1"/>
  <c r="BB15" i="54" s="1"/>
  <c r="BB15" i="55" s="1"/>
  <c r="BB15" i="56" s="1"/>
  <c r="BB15" i="57" s="1"/>
  <c r="BB15" i="58" s="1"/>
  <c r="BB15" i="61" s="1"/>
  <c r="BB15" i="62" s="1"/>
  <c r="BB15" i="63" s="1"/>
  <c r="BB15" i="64" s="1"/>
  <c r="BB15" i="65" s="1"/>
  <c r="BB15" i="66" s="1"/>
  <c r="BB15" i="67" s="1"/>
  <c r="BB15" i="68" s="1"/>
  <c r="BB15" i="69" s="1"/>
  <c r="BB15" i="70" s="1"/>
  <c r="BB15" i="71" s="1"/>
  <c r="BB15" i="73" s="1"/>
  <c r="BB15" i="74" s="1"/>
  <c r="BB15" i="76" s="1"/>
  <c r="BB15" i="77" s="1"/>
  <c r="BB15" i="78" s="1"/>
  <c r="BB15" i="79" s="1"/>
  <c r="Y16" i="81"/>
  <c r="Y16" i="48" s="1"/>
  <c r="Y16" i="49" s="1"/>
  <c r="Y16" i="50" s="1"/>
  <c r="Y16" i="51" s="1"/>
  <c r="Y16" i="52" s="1"/>
  <c r="Y16" i="53" s="1"/>
  <c r="Y16" i="54" s="1"/>
  <c r="Y16" i="55" s="1"/>
  <c r="Y16" i="56" s="1"/>
  <c r="Y16" i="57" s="1"/>
  <c r="Y16" i="58" s="1"/>
  <c r="Y16" i="61" s="1"/>
  <c r="Y16" i="62" s="1"/>
  <c r="Y16" i="63" s="1"/>
  <c r="Y16" i="64" s="1"/>
  <c r="Y16" i="65" s="1"/>
  <c r="Y16" i="66" s="1"/>
  <c r="Y16" i="67" s="1"/>
  <c r="Y16" i="68" s="1"/>
  <c r="Y16" i="69" s="1"/>
  <c r="Y16" i="70" s="1"/>
  <c r="Y16" i="71" s="1"/>
  <c r="Y16" i="73" s="1"/>
  <c r="Y16" i="74" s="1"/>
  <c r="Y16" i="76" s="1"/>
  <c r="Y16" i="77" s="1"/>
  <c r="Y16" i="78" s="1"/>
  <c r="Y16" i="79" s="1"/>
  <c r="J17" i="81"/>
  <c r="J17" i="48" s="1"/>
  <c r="J17" i="49" s="1"/>
  <c r="J17" i="50" s="1"/>
  <c r="J17" i="51" s="1"/>
  <c r="J17" i="52" s="1"/>
  <c r="J17" i="53" s="1"/>
  <c r="J17" i="54" s="1"/>
  <c r="J17" i="55" s="1"/>
  <c r="J17" i="56" s="1"/>
  <c r="J17" i="57" s="1"/>
  <c r="J17" i="58" s="1"/>
  <c r="J17" i="61" s="1"/>
  <c r="J17" i="62" s="1"/>
  <c r="J17" i="63" s="1"/>
  <c r="J17" i="64" s="1"/>
  <c r="J17" i="65" s="1"/>
  <c r="J17" i="66" s="1"/>
  <c r="J17" i="67" s="1"/>
  <c r="J17" i="68" s="1"/>
  <c r="J17" i="69" s="1"/>
  <c r="J17" i="70" s="1"/>
  <c r="J17" i="71" s="1"/>
  <c r="J17" i="73" s="1"/>
  <c r="J17" i="74" s="1"/>
  <c r="J17" i="76" s="1"/>
  <c r="J17" i="77" s="1"/>
  <c r="J17" i="78" s="1"/>
  <c r="J17" i="79" s="1"/>
  <c r="AX17" i="81"/>
  <c r="AX17" i="48" s="1"/>
  <c r="AX17" i="49" s="1"/>
  <c r="AX17" i="50" s="1"/>
  <c r="AX17" i="51" s="1"/>
  <c r="AX17" i="52" s="1"/>
  <c r="AX17" i="53" s="1"/>
  <c r="AX17" i="54" s="1"/>
  <c r="AX17" i="55" s="1"/>
  <c r="AX17" i="56" s="1"/>
  <c r="AX17" i="57" s="1"/>
  <c r="AX17" i="58" s="1"/>
  <c r="AX17" i="61" s="1"/>
  <c r="AX17" i="62" s="1"/>
  <c r="AX17" i="63" s="1"/>
  <c r="AX17" i="64" s="1"/>
  <c r="AX17" i="65" s="1"/>
  <c r="AX17" i="66" s="1"/>
  <c r="AX17" i="67" s="1"/>
  <c r="AX17" i="68" s="1"/>
  <c r="AX17" i="69" s="1"/>
  <c r="AX17" i="70" s="1"/>
  <c r="AX17" i="71" s="1"/>
  <c r="AX17" i="73" s="1"/>
  <c r="AX17" i="74" s="1"/>
  <c r="AX17" i="76" s="1"/>
  <c r="AX17" i="77" s="1"/>
  <c r="AX17" i="78" s="1"/>
  <c r="AX17" i="79" s="1"/>
  <c r="BN17" i="81"/>
  <c r="BN17" i="48" s="1"/>
  <c r="BN17" i="49" s="1"/>
  <c r="BN17" i="50" s="1"/>
  <c r="BN17" i="51" s="1"/>
  <c r="BN17" i="52" s="1"/>
  <c r="BN17" i="53" s="1"/>
  <c r="BN17" i="54" s="1"/>
  <c r="BN17" i="55" s="1"/>
  <c r="BN17" i="56" s="1"/>
  <c r="BN17" i="57" s="1"/>
  <c r="BN17" i="58" s="1"/>
  <c r="BN17" i="61" s="1"/>
  <c r="BN17" i="62" s="1"/>
  <c r="BN17" i="63" s="1"/>
  <c r="BN17" i="64" s="1"/>
  <c r="BN17" i="65" s="1"/>
  <c r="BN17" i="66" s="1"/>
  <c r="BN17" i="67" s="1"/>
  <c r="BN17" i="68" s="1"/>
  <c r="BN17" i="69" s="1"/>
  <c r="BN17" i="70" s="1"/>
  <c r="BN17" i="71" s="1"/>
  <c r="BN17" i="73" s="1"/>
  <c r="BN17" i="74" s="1"/>
  <c r="BN17" i="76" s="1"/>
  <c r="BN17" i="77" s="1"/>
  <c r="BN17" i="78" s="1"/>
  <c r="BN17" i="79" s="1"/>
  <c r="S18" i="81"/>
  <c r="S18" i="48" s="1"/>
  <c r="S18" i="49" s="1"/>
  <c r="S18" i="50" s="1"/>
  <c r="S18" i="51" s="1"/>
  <c r="S18" i="52" s="1"/>
  <c r="S18" i="53" s="1"/>
  <c r="S18" i="54" s="1"/>
  <c r="S18" i="55" s="1"/>
  <c r="S18" i="56" s="1"/>
  <c r="S18" i="57" s="1"/>
  <c r="S18" i="58" s="1"/>
  <c r="S18" i="61" s="1"/>
  <c r="S18" i="62" s="1"/>
  <c r="S18" i="63" s="1"/>
  <c r="S18" i="64" s="1"/>
  <c r="S18" i="65" s="1"/>
  <c r="S18" i="66" s="1"/>
  <c r="S18" i="67" s="1"/>
  <c r="S18" i="68" s="1"/>
  <c r="S18" i="69" s="1"/>
  <c r="S18" i="70" s="1"/>
  <c r="S18" i="71" s="1"/>
  <c r="S18" i="73" s="1"/>
  <c r="S18" i="74" s="1"/>
  <c r="S18" i="76" s="1"/>
  <c r="S18" i="77" s="1"/>
  <c r="S18" i="78" s="1"/>
  <c r="S18" i="79" s="1"/>
  <c r="AV19" i="81"/>
  <c r="AV19" i="48" s="1"/>
  <c r="AV19" i="49" s="1"/>
  <c r="AV19" i="50" s="1"/>
  <c r="AV19" i="51" s="1"/>
  <c r="AV19" i="52" s="1"/>
  <c r="AV19" i="53" s="1"/>
  <c r="AV19" i="54" s="1"/>
  <c r="AV19" i="55" s="1"/>
  <c r="AV19" i="56" s="1"/>
  <c r="AV19" i="57" s="1"/>
  <c r="AV19" i="58" s="1"/>
  <c r="AV19" i="61" s="1"/>
  <c r="AV19" i="62" s="1"/>
  <c r="AV19" i="63" s="1"/>
  <c r="AV19" i="64" s="1"/>
  <c r="AV19" i="65" s="1"/>
  <c r="AV19" i="66" s="1"/>
  <c r="AV19" i="67" s="1"/>
  <c r="AV19" i="68" s="1"/>
  <c r="AV19" i="69" s="1"/>
  <c r="AV19" i="70" s="1"/>
  <c r="AV19" i="71" s="1"/>
  <c r="AV19" i="73" s="1"/>
  <c r="AV19" i="74" s="1"/>
  <c r="AV19" i="76" s="1"/>
  <c r="AV19" i="77" s="1"/>
  <c r="AV19" i="78" s="1"/>
  <c r="AV19" i="79" s="1"/>
  <c r="BL19" i="81"/>
  <c r="BL19" i="48" s="1"/>
  <c r="BL19" i="49" s="1"/>
  <c r="BL19" i="50" s="1"/>
  <c r="BL19" i="51" s="1"/>
  <c r="BL19" i="52" s="1"/>
  <c r="BL19" i="53" s="1"/>
  <c r="BL19" i="54" s="1"/>
  <c r="BL19" i="55" s="1"/>
  <c r="BL19" i="56" s="1"/>
  <c r="BL19" i="57" s="1"/>
  <c r="BL19" i="58" s="1"/>
  <c r="BL19" i="61" s="1"/>
  <c r="BL19" i="62" s="1"/>
  <c r="BL19" i="63" s="1"/>
  <c r="BL19" i="64" s="1"/>
  <c r="BL19" i="65" s="1"/>
  <c r="BL19" i="66" s="1"/>
  <c r="BL19" i="67" s="1"/>
  <c r="BL19" i="68" s="1"/>
  <c r="BL19" i="69" s="1"/>
  <c r="BL19" i="70" s="1"/>
  <c r="BL19" i="71" s="1"/>
  <c r="BL19" i="73" s="1"/>
  <c r="BL19" i="74" s="1"/>
  <c r="BL19" i="76" s="1"/>
  <c r="BL19" i="77" s="1"/>
  <c r="BL19" i="78" s="1"/>
  <c r="BL19" i="79" s="1"/>
  <c r="AK20" i="81"/>
  <c r="AK20" i="48" s="1"/>
  <c r="AK20" i="49" s="1"/>
  <c r="AK20" i="50" s="1"/>
  <c r="AK20" i="51" s="1"/>
  <c r="AK20" i="52" s="1"/>
  <c r="AK20" i="53" s="1"/>
  <c r="AK20" i="54" s="1"/>
  <c r="AK20" i="55" s="1"/>
  <c r="AK20" i="56" s="1"/>
  <c r="AK20" i="57" s="1"/>
  <c r="AK20" i="58" s="1"/>
  <c r="AK20" i="61" s="1"/>
  <c r="AK20" i="62" s="1"/>
  <c r="AK20" i="63" s="1"/>
  <c r="AK20" i="64" s="1"/>
  <c r="AK20" i="65" s="1"/>
  <c r="AK20" i="66" s="1"/>
  <c r="AK20" i="67" s="1"/>
  <c r="AK20" i="68" s="1"/>
  <c r="AK20" i="69" s="1"/>
  <c r="AK20" i="70" s="1"/>
  <c r="AK20" i="71" s="1"/>
  <c r="AK20" i="73" s="1"/>
  <c r="AK20" i="74" s="1"/>
  <c r="AK20" i="76" s="1"/>
  <c r="AK20" i="77" s="1"/>
  <c r="AK20" i="78" s="1"/>
  <c r="AK20" i="79" s="1"/>
  <c r="BB20" i="81"/>
  <c r="BB20" i="48" s="1"/>
  <c r="BB20" i="49" s="1"/>
  <c r="BB20" i="50" s="1"/>
  <c r="BB20" i="51" s="1"/>
  <c r="BB20" i="52" s="1"/>
  <c r="BB20" i="53" s="1"/>
  <c r="BB20" i="54" s="1"/>
  <c r="BB20" i="55" s="1"/>
  <c r="BB20" i="56" s="1"/>
  <c r="BB20" i="57" s="1"/>
  <c r="BB20" i="58" s="1"/>
  <c r="BB20" i="61" s="1"/>
  <c r="BB20" i="62" s="1"/>
  <c r="BB20" i="63" s="1"/>
  <c r="BB20" i="64" s="1"/>
  <c r="BB20" i="65" s="1"/>
  <c r="BB20" i="66" s="1"/>
  <c r="BB20" i="67" s="1"/>
  <c r="BB20" i="68" s="1"/>
  <c r="BB20" i="69" s="1"/>
  <c r="BB20" i="70" s="1"/>
  <c r="BB20" i="71" s="1"/>
  <c r="BB20" i="73" s="1"/>
  <c r="BB20" i="74" s="1"/>
  <c r="BB20" i="76" s="1"/>
  <c r="BB20" i="77" s="1"/>
  <c r="BB20" i="78" s="1"/>
  <c r="BB20" i="79" s="1"/>
  <c r="Y21" i="81"/>
  <c r="Y21" i="48" s="1"/>
  <c r="Y21" i="49" s="1"/>
  <c r="Y21" i="50" s="1"/>
  <c r="Y21" i="51" s="1"/>
  <c r="Y21" i="52" s="1"/>
  <c r="Y21" i="53" s="1"/>
  <c r="Y21" i="54" s="1"/>
  <c r="Y21" i="55" s="1"/>
  <c r="Y21" i="56" s="1"/>
  <c r="Y21" i="57" s="1"/>
  <c r="Y21" i="58" s="1"/>
  <c r="Y21" i="61" s="1"/>
  <c r="Y21" i="62" s="1"/>
  <c r="Y21" i="63" s="1"/>
  <c r="Y21" i="64" s="1"/>
  <c r="Y21" i="65" s="1"/>
  <c r="Y21" i="66" s="1"/>
  <c r="Y21" i="67" s="1"/>
  <c r="Y21" i="68" s="1"/>
  <c r="Y21" i="69" s="1"/>
  <c r="Y21" i="70" s="1"/>
  <c r="Y21" i="71" s="1"/>
  <c r="Y21" i="73" s="1"/>
  <c r="Y21" i="74" s="1"/>
  <c r="Y21" i="76" s="1"/>
  <c r="Y21" i="77" s="1"/>
  <c r="Y21" i="78" s="1"/>
  <c r="Y21" i="79" s="1"/>
  <c r="BH21" i="81"/>
  <c r="BH21" i="48" s="1"/>
  <c r="BH21" i="49" s="1"/>
  <c r="BH21" i="50" s="1"/>
  <c r="BH21" i="51" s="1"/>
  <c r="BH21" i="52" s="1"/>
  <c r="BH21" i="53" s="1"/>
  <c r="BH21" i="54" s="1"/>
  <c r="BH21" i="55" s="1"/>
  <c r="BH21" i="56" s="1"/>
  <c r="BH21" i="57" s="1"/>
  <c r="BH21" i="58" s="1"/>
  <c r="BH21" i="61" s="1"/>
  <c r="BH21" i="62" s="1"/>
  <c r="BH21" i="63" s="1"/>
  <c r="BH21" i="64" s="1"/>
  <c r="BH21" i="65" s="1"/>
  <c r="BH21" i="66" s="1"/>
  <c r="BH21" i="67" s="1"/>
  <c r="BH21" i="68" s="1"/>
  <c r="BH21" i="69" s="1"/>
  <c r="BH21" i="70" s="1"/>
  <c r="BH21" i="71" s="1"/>
  <c r="BH21" i="73" s="1"/>
  <c r="BH21" i="74" s="1"/>
  <c r="BH21" i="76" s="1"/>
  <c r="BH21" i="77" s="1"/>
  <c r="BH21" i="78" s="1"/>
  <c r="BH21" i="79" s="1"/>
  <c r="AX22" i="81"/>
  <c r="AX22" i="48" s="1"/>
  <c r="AX22" i="49" s="1"/>
  <c r="AX22" i="50" s="1"/>
  <c r="AX22" i="51" s="1"/>
  <c r="AX22" i="52" s="1"/>
  <c r="AX22" i="53" s="1"/>
  <c r="AX22" i="54" s="1"/>
  <c r="AX22" i="55" s="1"/>
  <c r="AX22" i="56" s="1"/>
  <c r="AX22" i="57" s="1"/>
  <c r="AX22" i="58" s="1"/>
  <c r="AX22" i="61" s="1"/>
  <c r="AX22" i="62" s="1"/>
  <c r="AX22" i="63" s="1"/>
  <c r="AX22" i="64" s="1"/>
  <c r="AX22" i="65" s="1"/>
  <c r="AX22" i="66" s="1"/>
  <c r="AX22" i="67" s="1"/>
  <c r="AX22" i="68" s="1"/>
  <c r="AX22" i="69" s="1"/>
  <c r="AX22" i="70" s="1"/>
  <c r="AX22" i="71" s="1"/>
  <c r="AX22" i="73" s="1"/>
  <c r="AX22" i="74" s="1"/>
  <c r="AX22" i="76" s="1"/>
  <c r="AX22" i="77" s="1"/>
  <c r="AX22" i="78" s="1"/>
  <c r="AX22" i="79" s="1"/>
  <c r="BN22" i="81"/>
  <c r="BN22" i="48" s="1"/>
  <c r="BN22" i="49" s="1"/>
  <c r="BN22" i="50" s="1"/>
  <c r="BN22" i="51" s="1"/>
  <c r="BN22" i="52" s="1"/>
  <c r="BN22" i="53" s="1"/>
  <c r="BN22" i="54" s="1"/>
  <c r="BN22" i="55" s="1"/>
  <c r="BN22" i="56" s="1"/>
  <c r="BN22" i="57" s="1"/>
  <c r="BN22" i="58" s="1"/>
  <c r="BN22" i="61" s="1"/>
  <c r="BN22" i="62" s="1"/>
  <c r="BN22" i="63" s="1"/>
  <c r="BN22" i="64" s="1"/>
  <c r="BN22" i="65" s="1"/>
  <c r="BN22" i="66" s="1"/>
  <c r="BN22" i="67" s="1"/>
  <c r="BN22" i="68" s="1"/>
  <c r="BN22" i="69" s="1"/>
  <c r="BN22" i="70" s="1"/>
  <c r="BN22" i="71" s="1"/>
  <c r="BN22" i="73" s="1"/>
  <c r="BN22" i="74" s="1"/>
  <c r="BN22" i="76" s="1"/>
  <c r="BN22" i="77" s="1"/>
  <c r="BN22" i="78" s="1"/>
  <c r="BN22" i="79" s="1"/>
  <c r="AG8" i="54"/>
  <c r="AE10" i="109"/>
  <c r="AE10" i="110" s="1"/>
  <c r="AE10" i="111" s="1"/>
  <c r="AE10" i="112" s="1"/>
  <c r="AE10" i="114" s="1"/>
  <c r="AE10" i="115" s="1"/>
  <c r="AE10" i="116" s="1"/>
  <c r="AE10" i="117" s="1"/>
  <c r="AE10" i="118" s="1"/>
  <c r="AE10" i="119" s="1"/>
  <c r="AE10" i="120" s="1"/>
  <c r="AE11" i="103"/>
  <c r="AE11" i="109" s="1"/>
  <c r="AE11" i="110" s="1"/>
  <c r="AE11" i="111" s="1"/>
  <c r="AE11" i="112" s="1"/>
  <c r="AE11" i="114" s="1"/>
  <c r="AE11" i="115" s="1"/>
  <c r="AE11" i="116" s="1"/>
  <c r="AE11" i="117" s="1"/>
  <c r="AE11" i="118" s="1"/>
  <c r="AE11" i="119" s="1"/>
  <c r="AE11" i="120" s="1"/>
  <c r="AV10" i="109"/>
  <c r="AV10" i="110" s="1"/>
  <c r="AV10" i="111" s="1"/>
  <c r="AV10" i="112" s="1"/>
  <c r="AV10" i="114" s="1"/>
  <c r="AV11" i="103"/>
  <c r="AV11" i="109" s="1"/>
  <c r="AV11" i="110" s="1"/>
  <c r="AV11" i="111" s="1"/>
  <c r="AV11" i="112" s="1"/>
  <c r="AV11" i="114" s="1"/>
  <c r="AV11" i="115" s="1"/>
  <c r="AV11" i="116" s="1"/>
  <c r="AV11" i="117" s="1"/>
  <c r="AV11" i="118" s="1"/>
  <c r="AV11" i="119" s="1"/>
  <c r="AV11" i="120" s="1"/>
  <c r="BL10" i="109"/>
  <c r="BL10" i="110" s="1"/>
  <c r="BL10" i="111" s="1"/>
  <c r="BL10" i="112" s="1"/>
  <c r="BL10" i="114" s="1"/>
  <c r="BL10" i="115" s="1"/>
  <c r="BL10" i="116" s="1"/>
  <c r="BL10" i="117" s="1"/>
  <c r="BL10" i="118" s="1"/>
  <c r="BL10" i="119" s="1"/>
  <c r="BL10" i="120" s="1"/>
  <c r="BL11" i="103"/>
  <c r="BL11" i="109" s="1"/>
  <c r="BL11" i="110" s="1"/>
  <c r="BL11" i="111" s="1"/>
  <c r="BL11" i="112" s="1"/>
  <c r="BL11" i="114" s="1"/>
  <c r="BL11" i="115" s="1"/>
  <c r="BL11" i="116" s="1"/>
  <c r="BL11" i="117" s="1"/>
  <c r="BL11" i="118" s="1"/>
  <c r="BL11" i="119" s="1"/>
  <c r="BL11" i="120" s="1"/>
  <c r="P12" i="103"/>
  <c r="P12" i="109" s="1"/>
  <c r="P12" i="110" s="1"/>
  <c r="P12" i="111" s="1"/>
  <c r="P12" i="112" s="1"/>
  <c r="P12" i="114" s="1"/>
  <c r="P12" i="115" s="1"/>
  <c r="P12" i="116" s="1"/>
  <c r="P12" i="117" s="1"/>
  <c r="P12" i="118" s="1"/>
  <c r="P12" i="119" s="1"/>
  <c r="P12" i="120" s="1"/>
  <c r="AK12" i="103"/>
  <c r="AK12" i="109" s="1"/>
  <c r="AK12" i="110" s="1"/>
  <c r="AK12" i="111" s="1"/>
  <c r="AK12" i="112" s="1"/>
  <c r="AK12" i="114" s="1"/>
  <c r="AK12" i="115" s="1"/>
  <c r="AK12" i="116" s="1"/>
  <c r="AK12" i="117" s="1"/>
  <c r="AK12" i="118" s="1"/>
  <c r="AK12" i="119" s="1"/>
  <c r="AK12" i="120" s="1"/>
  <c r="BB12" i="103"/>
  <c r="BB12" i="109" s="1"/>
  <c r="BB12" i="110" s="1"/>
  <c r="BB12" i="111" s="1"/>
  <c r="BB12" i="112" s="1"/>
  <c r="BB12" i="114" s="1"/>
  <c r="BB12" i="115" s="1"/>
  <c r="BB12" i="116" s="1"/>
  <c r="BB12" i="117" s="1"/>
  <c r="BB12" i="118" s="1"/>
  <c r="BB12" i="119" s="1"/>
  <c r="BB12" i="120" s="1"/>
  <c r="Y13" i="103"/>
  <c r="Y13" i="109" s="1"/>
  <c r="Y13" i="110" s="1"/>
  <c r="Y13" i="111" s="1"/>
  <c r="Y13" i="112" s="1"/>
  <c r="Y13" i="114" s="1"/>
  <c r="Y13" i="115" s="1"/>
  <c r="Y13" i="116" s="1"/>
  <c r="Y13" i="117" s="1"/>
  <c r="Y13" i="118" s="1"/>
  <c r="Y13" i="119" s="1"/>
  <c r="Y13" i="120" s="1"/>
  <c r="BH13" i="103"/>
  <c r="BH13" i="109" s="1"/>
  <c r="BH13" i="110" s="1"/>
  <c r="BH13" i="111" s="1"/>
  <c r="BH13" i="112" s="1"/>
  <c r="BH13" i="114" s="1"/>
  <c r="BH13" i="115" s="1"/>
  <c r="BH13" i="116" s="1"/>
  <c r="BH13" i="117" s="1"/>
  <c r="BH13" i="118" s="1"/>
  <c r="BH13" i="119" s="1"/>
  <c r="BH13" i="120" s="1"/>
  <c r="J14" i="103"/>
  <c r="J14" i="109" s="1"/>
  <c r="J14" i="110" s="1"/>
  <c r="J14" i="111" s="1"/>
  <c r="J14" i="112" s="1"/>
  <c r="J14" i="114" s="1"/>
  <c r="J14" i="115" s="1"/>
  <c r="J14" i="116" s="1"/>
  <c r="J14" i="117" s="1"/>
  <c r="J14" i="118" s="1"/>
  <c r="J14" i="119" s="1"/>
  <c r="J14" i="120" s="1"/>
  <c r="AX14" i="103"/>
  <c r="AX14" i="109" s="1"/>
  <c r="AX14" i="110" s="1"/>
  <c r="AX14" i="111" s="1"/>
  <c r="AX14" i="112" s="1"/>
  <c r="AX14" i="114" s="1"/>
  <c r="AX14" i="115" s="1"/>
  <c r="AX14" i="116" s="1"/>
  <c r="AX14" i="117" s="1"/>
  <c r="AX14" i="118" s="1"/>
  <c r="AX14" i="119" s="1"/>
  <c r="AX14" i="120" s="1"/>
  <c r="BN14" i="103"/>
  <c r="BN14" i="109" s="1"/>
  <c r="BN14" i="110" s="1"/>
  <c r="BN14" i="111" s="1"/>
  <c r="BN14" i="112" s="1"/>
  <c r="BN14" i="114" s="1"/>
  <c r="BN14" i="115" s="1"/>
  <c r="BN14" i="116" s="1"/>
  <c r="BN14" i="117" s="1"/>
  <c r="BN14" i="118" s="1"/>
  <c r="BN14" i="119" s="1"/>
  <c r="BN14" i="120" s="1"/>
  <c r="S15" i="103"/>
  <c r="S15" i="109" s="1"/>
  <c r="S15" i="110" s="1"/>
  <c r="S15" i="111" s="1"/>
  <c r="S15" i="112" s="1"/>
  <c r="S15" i="114" s="1"/>
  <c r="S15" i="115" s="1"/>
  <c r="S15" i="116" s="1"/>
  <c r="S15" i="117" s="1"/>
  <c r="S15" i="118" s="1"/>
  <c r="S15" i="119" s="1"/>
  <c r="S15" i="120" s="1"/>
  <c r="AM15" i="103"/>
  <c r="AM15" i="109" s="1"/>
  <c r="AM15" i="110" s="1"/>
  <c r="AM15" i="111" s="1"/>
  <c r="AM15" i="112" s="1"/>
  <c r="AM15" i="114" s="1"/>
  <c r="AM15" i="115" s="1"/>
  <c r="AM15" i="116" s="1"/>
  <c r="AM15" i="117" s="1"/>
  <c r="AM15" i="118" s="1"/>
  <c r="AM15" i="119" s="1"/>
  <c r="AM15" i="120" s="1"/>
  <c r="AB16" i="103"/>
  <c r="AB16" i="109" s="1"/>
  <c r="AB16" i="110" s="1"/>
  <c r="AB16" i="111" s="1"/>
  <c r="AB16" i="112" s="1"/>
  <c r="AB16" i="114" s="1"/>
  <c r="AB16" i="115" s="1"/>
  <c r="AB16" i="116" s="1"/>
  <c r="AB16" i="117" s="1"/>
  <c r="AB16" i="118" s="1"/>
  <c r="AB16" i="119" s="1"/>
  <c r="AB16" i="120" s="1"/>
  <c r="BJ16" i="103"/>
  <c r="BJ16" i="109" s="1"/>
  <c r="BJ16" i="110" s="1"/>
  <c r="BJ16" i="111" s="1"/>
  <c r="BJ16" i="112" s="1"/>
  <c r="BJ16" i="114" s="1"/>
  <c r="BJ16" i="115" s="1"/>
  <c r="BJ16" i="116" s="1"/>
  <c r="BJ16" i="117" s="1"/>
  <c r="BJ16" i="118" s="1"/>
  <c r="BJ16" i="119" s="1"/>
  <c r="BJ16" i="120" s="1"/>
  <c r="M17" i="103"/>
  <c r="M17" i="109" s="1"/>
  <c r="M17" i="110" s="1"/>
  <c r="M17" i="111" s="1"/>
  <c r="M17" i="112" s="1"/>
  <c r="M17" i="114" s="1"/>
  <c r="M17" i="115" s="1"/>
  <c r="M17" i="116" s="1"/>
  <c r="M17" i="117" s="1"/>
  <c r="M17" i="118" s="1"/>
  <c r="M17" i="119" s="1"/>
  <c r="M17" i="120" s="1"/>
  <c r="AZ17" i="103"/>
  <c r="AZ17" i="109" s="1"/>
  <c r="AZ17" i="110" s="1"/>
  <c r="AZ17" i="111" s="1"/>
  <c r="AZ17" i="112" s="1"/>
  <c r="AZ17" i="114" s="1"/>
  <c r="AZ17" i="115" s="1"/>
  <c r="AZ17" i="116" s="1"/>
  <c r="AZ17" i="117" s="1"/>
  <c r="AZ17" i="118" s="1"/>
  <c r="AZ17" i="119" s="1"/>
  <c r="AZ17" i="120" s="1"/>
  <c r="BQ17" i="103"/>
  <c r="BQ17" i="109" s="1"/>
  <c r="BQ17" i="110" s="1"/>
  <c r="BQ17" i="111" s="1"/>
  <c r="BQ17" i="112" s="1"/>
  <c r="BQ17" i="114" s="1"/>
  <c r="BQ17" i="115" s="1"/>
  <c r="BQ17" i="116" s="1"/>
  <c r="BQ17" i="117" s="1"/>
  <c r="BQ17" i="118" s="1"/>
  <c r="BQ17" i="119" s="1"/>
  <c r="BQ17" i="120" s="1"/>
  <c r="V18" i="103"/>
  <c r="V18" i="109" s="1"/>
  <c r="V18" i="110" s="1"/>
  <c r="V18" i="111" s="1"/>
  <c r="V18" i="112" s="1"/>
  <c r="V18" i="114" s="1"/>
  <c r="V18" i="115" s="1"/>
  <c r="V18" i="116" s="1"/>
  <c r="V18" i="117" s="1"/>
  <c r="V18" i="118" s="1"/>
  <c r="V18" i="119" s="1"/>
  <c r="V18" i="120" s="1"/>
  <c r="AO18" i="103"/>
  <c r="AO18" i="109" s="1"/>
  <c r="AO18" i="110" s="1"/>
  <c r="AO18" i="111" s="1"/>
  <c r="AO18" i="112" s="1"/>
  <c r="AO18" i="114" s="1"/>
  <c r="AO18" i="115" s="1"/>
  <c r="AO18" i="116" s="1"/>
  <c r="AO18" i="117" s="1"/>
  <c r="AO18" i="118" s="1"/>
  <c r="AO18" i="119" s="1"/>
  <c r="AO18" i="120" s="1"/>
  <c r="AE19" i="103"/>
  <c r="AE19" i="109" s="1"/>
  <c r="AE19" i="110" s="1"/>
  <c r="AE19" i="111" s="1"/>
  <c r="AE19" i="112" s="1"/>
  <c r="AE19" i="114" s="1"/>
  <c r="AE19" i="115" s="1"/>
  <c r="AE19" i="116" s="1"/>
  <c r="AE19" i="117" s="1"/>
  <c r="AE19" i="118" s="1"/>
  <c r="AE19" i="119" s="1"/>
  <c r="AE19" i="120" s="1"/>
  <c r="BL19" i="103"/>
  <c r="P20" i="103"/>
  <c r="P20" i="109" s="1"/>
  <c r="P20" i="110" s="1"/>
  <c r="P20" i="111" s="1"/>
  <c r="P20" i="112" s="1"/>
  <c r="P20" i="114" s="1"/>
  <c r="P20" i="115" s="1"/>
  <c r="P20" i="116" s="1"/>
  <c r="P20" i="117" s="1"/>
  <c r="P20" i="118" s="1"/>
  <c r="P20" i="119" s="1"/>
  <c r="P20" i="120" s="1"/>
  <c r="AK20" i="103"/>
  <c r="AK20" i="109" s="1"/>
  <c r="AK20" i="110" s="1"/>
  <c r="AK20" i="111" s="1"/>
  <c r="AK20" i="112" s="1"/>
  <c r="AK20" i="114" s="1"/>
  <c r="AK20" i="115" s="1"/>
  <c r="AK20" i="116" s="1"/>
  <c r="AK20" i="117" s="1"/>
  <c r="AK20" i="118" s="1"/>
  <c r="AK20" i="119" s="1"/>
  <c r="AK20" i="120" s="1"/>
  <c r="BB20" i="103"/>
  <c r="BB20" i="109" s="1"/>
  <c r="BB20" i="110" s="1"/>
  <c r="BB20" i="111" s="1"/>
  <c r="BB20" i="112" s="1"/>
  <c r="BB20" i="114" s="1"/>
  <c r="BB20" i="115" s="1"/>
  <c r="BB20" i="116" s="1"/>
  <c r="BB20" i="117" s="1"/>
  <c r="BB20" i="118" s="1"/>
  <c r="BB20" i="119" s="1"/>
  <c r="BB20" i="120" s="1"/>
  <c r="Y21" i="103"/>
  <c r="Y21" i="109" s="1"/>
  <c r="Y21" i="110" s="1"/>
  <c r="Y21" i="111" s="1"/>
  <c r="Y21" i="112" s="1"/>
  <c r="Y21" i="114" s="1"/>
  <c r="Y21" i="115" s="1"/>
  <c r="Y21" i="116" s="1"/>
  <c r="Y21" i="117" s="1"/>
  <c r="Y21" i="118" s="1"/>
  <c r="Y21" i="119" s="1"/>
  <c r="Y21" i="120" s="1"/>
  <c r="BH21" i="103"/>
  <c r="BH21" i="109" s="1"/>
  <c r="BH21" i="110" s="1"/>
  <c r="BH21" i="111" s="1"/>
  <c r="BH21" i="112" s="1"/>
  <c r="BH21" i="114" s="1"/>
  <c r="BH21" i="115" s="1"/>
  <c r="BH21" i="116" s="1"/>
  <c r="BH21" i="117" s="1"/>
  <c r="BH21" i="118" s="1"/>
  <c r="BH21" i="119" s="1"/>
  <c r="BH21" i="120" s="1"/>
  <c r="J22" i="103"/>
  <c r="BN22" i="103"/>
  <c r="AV18" i="81"/>
  <c r="AV18" i="48" s="1"/>
  <c r="AV18" i="49" s="1"/>
  <c r="AV18" i="50" s="1"/>
  <c r="AV18" i="51" s="1"/>
  <c r="AV18" i="52" s="1"/>
  <c r="AV18" i="53" s="1"/>
  <c r="AV18" i="54" s="1"/>
  <c r="AV18" i="55" s="1"/>
  <c r="AV18" i="56" s="1"/>
  <c r="AV18" i="57" s="1"/>
  <c r="AV18" i="58" s="1"/>
  <c r="AV18" i="61" s="1"/>
  <c r="AV18" i="62" s="1"/>
  <c r="AV18" i="63" s="1"/>
  <c r="AV18" i="64" s="1"/>
  <c r="AV18" i="65" s="1"/>
  <c r="AV18" i="66" s="1"/>
  <c r="AV18" i="67" s="1"/>
  <c r="AV18" i="68" s="1"/>
  <c r="AV18" i="69" s="1"/>
  <c r="AV18" i="70" s="1"/>
  <c r="AV18" i="71" s="1"/>
  <c r="AV18" i="73" s="1"/>
  <c r="AV18" i="74" s="1"/>
  <c r="AV18" i="76" s="1"/>
  <c r="AV18" i="77" s="1"/>
  <c r="AV18" i="78" s="1"/>
  <c r="AV18" i="79" s="1"/>
  <c r="V11" i="81"/>
  <c r="V11" i="48" s="1"/>
  <c r="V11" i="49" s="1"/>
  <c r="V11" i="50" s="1"/>
  <c r="V11" i="51" s="1"/>
  <c r="V11" i="52" s="1"/>
  <c r="V11" i="53" s="1"/>
  <c r="V11" i="54" s="1"/>
  <c r="V11" i="55" s="1"/>
  <c r="V11" i="56" s="1"/>
  <c r="V11" i="57" s="1"/>
  <c r="V11" i="58" s="1"/>
  <c r="V11" i="61" s="1"/>
  <c r="V11" i="62" s="1"/>
  <c r="V11" i="63" s="1"/>
  <c r="V11" i="64" s="1"/>
  <c r="V11" i="65" s="1"/>
  <c r="V11" i="66" s="1"/>
  <c r="V11" i="67" s="1"/>
  <c r="V11" i="68" s="1"/>
  <c r="V11" i="69" s="1"/>
  <c r="V11" i="70" s="1"/>
  <c r="V11" i="71" s="1"/>
  <c r="V11" i="73" s="1"/>
  <c r="V11" i="74" s="1"/>
  <c r="V11" i="76" s="1"/>
  <c r="V11" i="77" s="1"/>
  <c r="V11" i="78" s="1"/>
  <c r="V11" i="79" s="1"/>
  <c r="AM13" i="81"/>
  <c r="AM13" i="48" s="1"/>
  <c r="AM13" i="49" s="1"/>
  <c r="AM13" i="50" s="1"/>
  <c r="AM13" i="51" s="1"/>
  <c r="AM13" i="52" s="1"/>
  <c r="AM13" i="53" s="1"/>
  <c r="AM13" i="54" s="1"/>
  <c r="AM13" i="55" s="1"/>
  <c r="AM13" i="56" s="1"/>
  <c r="AM13" i="57" s="1"/>
  <c r="AM13" i="58" s="1"/>
  <c r="AM13" i="61" s="1"/>
  <c r="AM13" i="62" s="1"/>
  <c r="AM13" i="63" s="1"/>
  <c r="AM13" i="64" s="1"/>
  <c r="AM13" i="65" s="1"/>
  <c r="AM13" i="66" s="1"/>
  <c r="AM13" i="67" s="1"/>
  <c r="AM13" i="68" s="1"/>
  <c r="AM13" i="69" s="1"/>
  <c r="AM13" i="70" s="1"/>
  <c r="AM13" i="71" s="1"/>
  <c r="AM13" i="73" s="1"/>
  <c r="AM13" i="74" s="1"/>
  <c r="AM13" i="76" s="1"/>
  <c r="AM13" i="77" s="1"/>
  <c r="AM13" i="78" s="1"/>
  <c r="AM13" i="79" s="1"/>
  <c r="BQ17" i="81"/>
  <c r="BQ17" i="48" s="1"/>
  <c r="BQ17" i="49" s="1"/>
  <c r="BQ17" i="50" s="1"/>
  <c r="BQ17" i="51" s="1"/>
  <c r="BQ17" i="52" s="1"/>
  <c r="BQ17" i="53" s="1"/>
  <c r="BQ17" i="54" s="1"/>
  <c r="BQ17" i="55" s="1"/>
  <c r="BQ17" i="56" s="1"/>
  <c r="BQ17" i="57" s="1"/>
  <c r="BQ17" i="58" s="1"/>
  <c r="BQ17" i="61" s="1"/>
  <c r="BQ17" i="62" s="1"/>
  <c r="BQ17" i="63" s="1"/>
  <c r="BQ17" i="64" s="1"/>
  <c r="BQ17" i="65" s="1"/>
  <c r="BQ17" i="66" s="1"/>
  <c r="BQ17" i="67" s="1"/>
  <c r="BQ17" i="68" s="1"/>
  <c r="BQ17" i="69" s="1"/>
  <c r="BQ17" i="70" s="1"/>
  <c r="BQ17" i="71" s="1"/>
  <c r="BQ17" i="73" s="1"/>
  <c r="BQ17" i="74" s="1"/>
  <c r="BQ17" i="76" s="1"/>
  <c r="BQ17" i="77" s="1"/>
  <c r="BQ17" i="78" s="1"/>
  <c r="BQ17" i="79" s="1"/>
  <c r="AX19" i="81"/>
  <c r="AX19" i="48" s="1"/>
  <c r="AX19" i="49" s="1"/>
  <c r="AX19" i="50" s="1"/>
  <c r="AX19" i="51" s="1"/>
  <c r="AX19" i="52" s="1"/>
  <c r="AX19" i="53" s="1"/>
  <c r="AX19" i="54" s="1"/>
  <c r="AX19" i="55" s="1"/>
  <c r="AX19" i="56" s="1"/>
  <c r="AX19" i="57" s="1"/>
  <c r="AX19" i="58" s="1"/>
  <c r="AX19" i="61" s="1"/>
  <c r="AX19" i="62" s="1"/>
  <c r="AX19" i="63" s="1"/>
  <c r="AX19" i="64" s="1"/>
  <c r="AX19" i="65" s="1"/>
  <c r="AX19" i="66" s="1"/>
  <c r="AX19" i="67" s="1"/>
  <c r="AX19" i="68" s="1"/>
  <c r="AX19" i="69" s="1"/>
  <c r="AX19" i="70" s="1"/>
  <c r="AX19" i="71" s="1"/>
  <c r="AX19" i="73" s="1"/>
  <c r="AX19" i="74" s="1"/>
  <c r="AX19" i="76" s="1"/>
  <c r="AX19" i="77" s="1"/>
  <c r="AX19" i="78" s="1"/>
  <c r="AX19" i="79" s="1"/>
  <c r="BN10" i="109"/>
  <c r="BN10" i="110" s="1"/>
  <c r="BN10" i="111" s="1"/>
  <c r="BN10" i="112" s="1"/>
  <c r="BN10" i="114" s="1"/>
  <c r="BN10" i="115" s="1"/>
  <c r="BN10" i="116" s="1"/>
  <c r="BN10" i="117" s="1"/>
  <c r="BN11" i="103"/>
  <c r="BN11" i="109" s="1"/>
  <c r="BN11" i="110" s="1"/>
  <c r="BN11" i="111" s="1"/>
  <c r="BN11" i="112" s="1"/>
  <c r="BN11" i="114" s="1"/>
  <c r="BN11" i="115" s="1"/>
  <c r="BN11" i="116" s="1"/>
  <c r="BN11" i="117" s="1"/>
  <c r="BN11" i="118" s="1"/>
  <c r="BN11" i="119" s="1"/>
  <c r="BN11" i="120" s="1"/>
  <c r="V14" i="109"/>
  <c r="V14" i="110" s="1"/>
  <c r="V14" i="111" s="1"/>
  <c r="V14" i="112" s="1"/>
  <c r="V14" i="114" s="1"/>
  <c r="V14" i="115" s="1"/>
  <c r="V14" i="116" s="1"/>
  <c r="V14" i="117" s="1"/>
  <c r="V14" i="118" s="1"/>
  <c r="V14" i="119" s="1"/>
  <c r="V14" i="120" s="1"/>
  <c r="V15" i="103"/>
  <c r="V15" i="109" s="1"/>
  <c r="V15" i="110" s="1"/>
  <c r="V15" i="111" s="1"/>
  <c r="V15" i="112" s="1"/>
  <c r="V15" i="114" s="1"/>
  <c r="V15" i="115" s="1"/>
  <c r="V15" i="116" s="1"/>
  <c r="V15" i="117" s="1"/>
  <c r="V15" i="118" s="1"/>
  <c r="V15" i="119" s="1"/>
  <c r="V15" i="120" s="1"/>
  <c r="Y18" i="103"/>
  <c r="Y18" i="109" s="1"/>
  <c r="Y18" i="110" s="1"/>
  <c r="Y18" i="111" s="1"/>
  <c r="Y18" i="112" s="1"/>
  <c r="Y18" i="114" s="1"/>
  <c r="Y18" i="115" s="1"/>
  <c r="Y18" i="116" s="1"/>
  <c r="Y18" i="117" s="1"/>
  <c r="Y18" i="118" s="1"/>
  <c r="Y18" i="119" s="1"/>
  <c r="Y18" i="120" s="1"/>
  <c r="BN19" i="103"/>
  <c r="BN19" i="109" s="1"/>
  <c r="BN19" i="110" s="1"/>
  <c r="BN19" i="111" s="1"/>
  <c r="BN19" i="112" s="1"/>
  <c r="BN19" i="114" s="1"/>
  <c r="BN19" i="115" s="1"/>
  <c r="BN19" i="116" s="1"/>
  <c r="BN19" i="117" s="1"/>
  <c r="BN19" i="118" s="1"/>
  <c r="BN19" i="119" s="1"/>
  <c r="BN19" i="120" s="1"/>
  <c r="V19" i="103"/>
  <c r="V19" i="109" s="1"/>
  <c r="V19" i="110" s="1"/>
  <c r="V19" i="111" s="1"/>
  <c r="V19" i="112" s="1"/>
  <c r="V19" i="114" s="1"/>
  <c r="V19" i="115" s="1"/>
  <c r="V19" i="116" s="1"/>
  <c r="V19" i="117" s="1"/>
  <c r="V19" i="118" s="1"/>
  <c r="V19" i="119" s="1"/>
  <c r="V19" i="120" s="1"/>
  <c r="AX9" i="81"/>
  <c r="AX9" i="48" s="1"/>
  <c r="AX9" i="49" s="1"/>
  <c r="AX9" i="50" s="1"/>
  <c r="AX9" i="51" s="1"/>
  <c r="AX9" i="52" s="1"/>
  <c r="AX9" i="53" s="1"/>
  <c r="AX9" i="54" s="1"/>
  <c r="AX9" i="55" s="1"/>
  <c r="AX9" i="56" s="1"/>
  <c r="AX9" i="57" s="1"/>
  <c r="J11" i="81"/>
  <c r="J11" i="48" s="1"/>
  <c r="J11" i="49" s="1"/>
  <c r="J11" i="50" s="1"/>
  <c r="J11" i="51" s="1"/>
  <c r="J11" i="52" s="1"/>
  <c r="J11" i="53" s="1"/>
  <c r="J11" i="54" s="1"/>
  <c r="J11" i="55" s="1"/>
  <c r="J11" i="56" s="1"/>
  <c r="J11" i="57" s="1"/>
  <c r="J11" i="58" s="1"/>
  <c r="J11" i="61" s="1"/>
  <c r="J11" i="62" s="1"/>
  <c r="J11" i="63" s="1"/>
  <c r="J11" i="64" s="1"/>
  <c r="J11" i="65" s="1"/>
  <c r="J11" i="66" s="1"/>
  <c r="J11" i="67" s="1"/>
  <c r="J11" i="68" s="1"/>
  <c r="J11" i="69" s="1"/>
  <c r="J11" i="70" s="1"/>
  <c r="J11" i="71" s="1"/>
  <c r="J11" i="73" s="1"/>
  <c r="J11" i="74" s="1"/>
  <c r="J11" i="76" s="1"/>
  <c r="J11" i="77" s="1"/>
  <c r="J11" i="78" s="1"/>
  <c r="J11" i="79" s="1"/>
  <c r="AE13" i="81"/>
  <c r="AE13" i="48" s="1"/>
  <c r="AE13" i="49" s="1"/>
  <c r="AE13" i="50" s="1"/>
  <c r="AE13" i="51" s="1"/>
  <c r="AE13" i="52" s="1"/>
  <c r="AE13" i="53" s="1"/>
  <c r="AE13" i="54" s="1"/>
  <c r="AE13" i="55" s="1"/>
  <c r="AE13" i="56" s="1"/>
  <c r="AE13" i="57" s="1"/>
  <c r="AE13" i="58" s="1"/>
  <c r="AE13" i="61" s="1"/>
  <c r="AE13" i="62" s="1"/>
  <c r="AE13" i="63" s="1"/>
  <c r="AE13" i="64" s="1"/>
  <c r="AE13" i="65" s="1"/>
  <c r="AE13" i="66" s="1"/>
  <c r="AE13" i="67" s="1"/>
  <c r="AE13" i="68" s="1"/>
  <c r="AE13" i="69" s="1"/>
  <c r="AE13" i="70" s="1"/>
  <c r="AE13" i="71" s="1"/>
  <c r="AE13" i="73" s="1"/>
  <c r="AE13" i="74" s="1"/>
  <c r="AE13" i="76" s="1"/>
  <c r="AE13" i="77" s="1"/>
  <c r="AE13" i="78" s="1"/>
  <c r="AE13" i="79" s="1"/>
  <c r="V14" i="81"/>
  <c r="V14" i="48" s="1"/>
  <c r="V14" i="49" s="1"/>
  <c r="V14" i="50" s="1"/>
  <c r="V14" i="51" s="1"/>
  <c r="V14" i="52" s="1"/>
  <c r="V14" i="53" s="1"/>
  <c r="V14" i="54" s="1"/>
  <c r="V14" i="55" s="1"/>
  <c r="V14" i="56" s="1"/>
  <c r="V14" i="57" s="1"/>
  <c r="V14" i="58" s="1"/>
  <c r="V14" i="61" s="1"/>
  <c r="V14" i="62" s="1"/>
  <c r="V14" i="63" s="1"/>
  <c r="V14" i="64" s="1"/>
  <c r="V14" i="65" s="1"/>
  <c r="V14" i="66" s="1"/>
  <c r="V14" i="67" s="1"/>
  <c r="V14" i="68" s="1"/>
  <c r="V14" i="69" s="1"/>
  <c r="V14" i="70" s="1"/>
  <c r="V14" i="71" s="1"/>
  <c r="V14" i="73" s="1"/>
  <c r="V14" i="74" s="1"/>
  <c r="V14" i="76" s="1"/>
  <c r="V14" i="77" s="1"/>
  <c r="V14" i="78" s="1"/>
  <c r="V14" i="79" s="1"/>
  <c r="P10" i="81"/>
  <c r="P10" i="48" s="1"/>
  <c r="P10" i="49" s="1"/>
  <c r="P10" i="50" s="1"/>
  <c r="P10" i="51" s="1"/>
  <c r="P10" i="52" s="1"/>
  <c r="P10" i="53" s="1"/>
  <c r="P10" i="54" s="1"/>
  <c r="P10" i="55" s="1"/>
  <c r="P10" i="56" s="1"/>
  <c r="P10" i="57" s="1"/>
  <c r="P10" i="58" s="1"/>
  <c r="P10" i="61" s="1"/>
  <c r="P10" i="62" s="1"/>
  <c r="P10" i="63" s="1"/>
  <c r="P10" i="64" s="1"/>
  <c r="P10" i="65" s="1"/>
  <c r="P10" i="66" s="1"/>
  <c r="P10" i="67" s="1"/>
  <c r="P10" i="68" s="1"/>
  <c r="P10" i="69" s="1"/>
  <c r="P10" i="70" s="1"/>
  <c r="P10" i="71" s="1"/>
  <c r="P10" i="73" s="1"/>
  <c r="P10" i="74" s="1"/>
  <c r="P10" i="76" s="1"/>
  <c r="P10" i="77" s="1"/>
  <c r="P10" i="78" s="1"/>
  <c r="P10" i="79" s="1"/>
  <c r="AK10" i="81"/>
  <c r="AK10" i="48" s="1"/>
  <c r="AK10" i="49" s="1"/>
  <c r="AK10" i="50" s="1"/>
  <c r="AK10" i="51" s="1"/>
  <c r="AK10" i="52" s="1"/>
  <c r="AK10" i="53" s="1"/>
  <c r="AK10" i="54" s="1"/>
  <c r="AK10" i="55" s="1"/>
  <c r="AK10" i="56" s="1"/>
  <c r="AK10" i="57" s="1"/>
  <c r="AK10" i="58" s="1"/>
  <c r="AK10" i="61" s="1"/>
  <c r="AK10" i="62" s="1"/>
  <c r="AK10" i="63" s="1"/>
  <c r="AK10" i="64" s="1"/>
  <c r="AK10" i="65" s="1"/>
  <c r="AK10" i="66" s="1"/>
  <c r="AK10" i="67" s="1"/>
  <c r="AK10" i="68" s="1"/>
  <c r="AK10" i="69" s="1"/>
  <c r="AK10" i="70" s="1"/>
  <c r="AK10" i="71" s="1"/>
  <c r="AK10" i="73" s="1"/>
  <c r="AK10" i="74" s="1"/>
  <c r="AK10" i="76" s="1"/>
  <c r="AK10" i="77" s="1"/>
  <c r="AK10" i="78" s="1"/>
  <c r="AK10" i="79" s="1"/>
  <c r="BB10" i="81"/>
  <c r="BB10" i="48" s="1"/>
  <c r="BB10" i="49" s="1"/>
  <c r="BB10" i="50" s="1"/>
  <c r="BB10" i="51" s="1"/>
  <c r="BB10" i="52" s="1"/>
  <c r="BB10" i="53" s="1"/>
  <c r="BB10" i="54" s="1"/>
  <c r="BB10" i="55" s="1"/>
  <c r="BB10" i="56" s="1"/>
  <c r="BB10" i="57" s="1"/>
  <c r="BB10" i="58" s="1"/>
  <c r="BB10" i="61" s="1"/>
  <c r="BB10" i="62" s="1"/>
  <c r="BB10" i="63" s="1"/>
  <c r="BB10" i="64" s="1"/>
  <c r="BB10" i="65" s="1"/>
  <c r="BB10" i="66" s="1"/>
  <c r="BB10" i="67" s="1"/>
  <c r="BB10" i="68" s="1"/>
  <c r="BB10" i="69" s="1"/>
  <c r="BB10" i="70" s="1"/>
  <c r="BB10" i="71" s="1"/>
  <c r="BB10" i="73" s="1"/>
  <c r="BB10" i="74" s="1"/>
  <c r="BB10" i="76" s="1"/>
  <c r="BB10" i="77" s="1"/>
  <c r="BB10" i="78" s="1"/>
  <c r="BB10" i="79" s="1"/>
  <c r="Y11" i="81"/>
  <c r="Y11" i="48" s="1"/>
  <c r="Y11" i="49" s="1"/>
  <c r="Y11" i="50" s="1"/>
  <c r="Y11" i="51" s="1"/>
  <c r="Y11" i="52" s="1"/>
  <c r="Y11" i="53" s="1"/>
  <c r="Y11" i="54" s="1"/>
  <c r="Y11" i="55" s="1"/>
  <c r="Y11" i="56" s="1"/>
  <c r="Y11" i="57" s="1"/>
  <c r="Y11" i="58" s="1"/>
  <c r="Y11" i="61" s="1"/>
  <c r="Y11" i="62" s="1"/>
  <c r="Y11" i="63" s="1"/>
  <c r="Y11" i="64" s="1"/>
  <c r="Y11" i="65" s="1"/>
  <c r="Y11" i="66" s="1"/>
  <c r="Y11" i="67" s="1"/>
  <c r="Y11" i="68" s="1"/>
  <c r="Y11" i="69" s="1"/>
  <c r="Y11" i="70" s="1"/>
  <c r="Y11" i="71" s="1"/>
  <c r="Y11" i="73" s="1"/>
  <c r="Y11" i="74" s="1"/>
  <c r="Y11" i="76" s="1"/>
  <c r="Y11" i="77" s="1"/>
  <c r="Y11" i="78" s="1"/>
  <c r="Y11" i="79" s="1"/>
  <c r="M12" i="81"/>
  <c r="M12" i="48" s="1"/>
  <c r="M12" i="49" s="1"/>
  <c r="M12" i="50" s="1"/>
  <c r="M12" i="51" s="1"/>
  <c r="M12" i="52" s="1"/>
  <c r="M12" i="53" s="1"/>
  <c r="M12" i="54" s="1"/>
  <c r="M12" i="55" s="1"/>
  <c r="M12" i="56" s="1"/>
  <c r="M12" i="57" s="1"/>
  <c r="M12" i="58" s="1"/>
  <c r="M12" i="61" s="1"/>
  <c r="M12" i="62" s="1"/>
  <c r="M12" i="63" s="1"/>
  <c r="M12" i="64" s="1"/>
  <c r="M12" i="65" s="1"/>
  <c r="M12" i="66" s="1"/>
  <c r="M12" i="67" s="1"/>
  <c r="M12" i="68" s="1"/>
  <c r="M12" i="69" s="1"/>
  <c r="M12" i="70" s="1"/>
  <c r="M12" i="71" s="1"/>
  <c r="M12" i="73" s="1"/>
  <c r="M12" i="74" s="1"/>
  <c r="M12" i="76" s="1"/>
  <c r="M12" i="77" s="1"/>
  <c r="M12" i="78" s="1"/>
  <c r="M12" i="79" s="1"/>
  <c r="AZ12" i="81"/>
  <c r="AZ12" i="48" s="1"/>
  <c r="AZ12" i="49" s="1"/>
  <c r="AZ12" i="50" s="1"/>
  <c r="AZ12" i="51" s="1"/>
  <c r="AZ12" i="52" s="1"/>
  <c r="AZ12" i="53" s="1"/>
  <c r="AZ12" i="54" s="1"/>
  <c r="AZ12" i="55" s="1"/>
  <c r="AZ12" i="56" s="1"/>
  <c r="AZ12" i="57" s="1"/>
  <c r="AZ12" i="58" s="1"/>
  <c r="AZ12" i="61" s="1"/>
  <c r="AZ12" i="62" s="1"/>
  <c r="AZ12" i="63" s="1"/>
  <c r="AZ12" i="64" s="1"/>
  <c r="AZ12" i="65" s="1"/>
  <c r="AZ12" i="66" s="1"/>
  <c r="AZ12" i="67" s="1"/>
  <c r="AZ12" i="68" s="1"/>
  <c r="AZ12" i="69" s="1"/>
  <c r="AZ12" i="70" s="1"/>
  <c r="AZ12" i="71" s="1"/>
  <c r="AZ12" i="73" s="1"/>
  <c r="AZ12" i="74" s="1"/>
  <c r="AZ12" i="76" s="1"/>
  <c r="AZ12" i="77" s="1"/>
  <c r="AZ12" i="78" s="1"/>
  <c r="AZ12" i="79" s="1"/>
  <c r="BQ12" i="81"/>
  <c r="BQ12" i="48" s="1"/>
  <c r="BQ12" i="49" s="1"/>
  <c r="BQ12" i="50" s="1"/>
  <c r="BQ12" i="51" s="1"/>
  <c r="BQ12" i="52" s="1"/>
  <c r="BQ12" i="53" s="1"/>
  <c r="BQ12" i="54" s="1"/>
  <c r="BQ12" i="55" s="1"/>
  <c r="BQ12" i="56" s="1"/>
  <c r="BQ12" i="57" s="1"/>
  <c r="BQ12" i="58" s="1"/>
  <c r="BQ12" i="61" s="1"/>
  <c r="BQ12" i="62" s="1"/>
  <c r="BQ12" i="63" s="1"/>
  <c r="BQ12" i="64" s="1"/>
  <c r="BQ12" i="65" s="1"/>
  <c r="BQ12" i="66" s="1"/>
  <c r="BQ12" i="67" s="1"/>
  <c r="BQ12" i="68" s="1"/>
  <c r="BQ12" i="69" s="1"/>
  <c r="BQ12" i="70" s="1"/>
  <c r="BQ12" i="71" s="1"/>
  <c r="BQ12" i="73" s="1"/>
  <c r="BQ12" i="74" s="1"/>
  <c r="BQ12" i="76" s="1"/>
  <c r="BQ12" i="77" s="1"/>
  <c r="BQ12" i="78" s="1"/>
  <c r="BQ12" i="79" s="1"/>
  <c r="V13" i="81"/>
  <c r="V13" i="48" s="1"/>
  <c r="V13" i="49" s="1"/>
  <c r="V13" i="50" s="1"/>
  <c r="V13" i="51" s="1"/>
  <c r="V13" i="52" s="1"/>
  <c r="V13" i="53" s="1"/>
  <c r="V13" i="54" s="1"/>
  <c r="V13" i="55" s="1"/>
  <c r="V13" i="56" s="1"/>
  <c r="V13" i="57" s="1"/>
  <c r="V13" i="58" s="1"/>
  <c r="V13" i="61" s="1"/>
  <c r="V13" i="62" s="1"/>
  <c r="V13" i="63" s="1"/>
  <c r="V13" i="64" s="1"/>
  <c r="V13" i="65" s="1"/>
  <c r="V13" i="66" s="1"/>
  <c r="V13" i="67" s="1"/>
  <c r="V13" i="68" s="1"/>
  <c r="V13" i="69" s="1"/>
  <c r="V13" i="70" s="1"/>
  <c r="V13" i="71" s="1"/>
  <c r="V13" i="73" s="1"/>
  <c r="V13" i="74" s="1"/>
  <c r="V13" i="76" s="1"/>
  <c r="V13" i="77" s="1"/>
  <c r="V13" i="78" s="1"/>
  <c r="V13" i="79" s="1"/>
  <c r="AE14" i="81"/>
  <c r="AE14" i="48" s="1"/>
  <c r="AE14" i="49" s="1"/>
  <c r="AE14" i="50" s="1"/>
  <c r="AE14" i="51" s="1"/>
  <c r="AE14" i="52" s="1"/>
  <c r="AE14" i="53" s="1"/>
  <c r="AE14" i="54" s="1"/>
  <c r="AE14" i="55" s="1"/>
  <c r="AE14" i="56" s="1"/>
  <c r="AE14" i="57" s="1"/>
  <c r="AE14" i="58" s="1"/>
  <c r="AE14" i="61" s="1"/>
  <c r="AE14" i="62" s="1"/>
  <c r="AE14" i="63" s="1"/>
  <c r="AE14" i="64" s="1"/>
  <c r="AE14" i="65" s="1"/>
  <c r="AE14" i="66" s="1"/>
  <c r="AE14" i="67" s="1"/>
  <c r="AE14" i="68" s="1"/>
  <c r="AE14" i="69" s="1"/>
  <c r="AE14" i="70" s="1"/>
  <c r="AE14" i="71" s="1"/>
  <c r="AE14" i="73" s="1"/>
  <c r="AE14" i="74" s="1"/>
  <c r="AE14" i="76" s="1"/>
  <c r="AE14" i="77" s="1"/>
  <c r="AE14" i="78" s="1"/>
  <c r="AE14" i="79" s="1"/>
  <c r="AX14" i="81"/>
  <c r="AX14" i="48" s="1"/>
  <c r="AX14" i="49" s="1"/>
  <c r="AX14" i="50" s="1"/>
  <c r="AX14" i="51" s="1"/>
  <c r="AX14" i="52" s="1"/>
  <c r="AX14" i="53" s="1"/>
  <c r="AX14" i="54" s="1"/>
  <c r="AX14" i="55" s="1"/>
  <c r="AX14" i="56" s="1"/>
  <c r="AX14" i="57" s="1"/>
  <c r="AX14" i="58" s="1"/>
  <c r="AX14" i="61" s="1"/>
  <c r="AX14" i="62" s="1"/>
  <c r="AX14" i="63" s="1"/>
  <c r="AX14" i="64" s="1"/>
  <c r="AX14" i="65" s="1"/>
  <c r="AX14" i="66" s="1"/>
  <c r="AX14" i="67" s="1"/>
  <c r="AX14" i="68" s="1"/>
  <c r="AX14" i="69" s="1"/>
  <c r="AX14" i="70" s="1"/>
  <c r="AX14" i="71" s="1"/>
  <c r="AX14" i="73" s="1"/>
  <c r="AX14" i="74" s="1"/>
  <c r="AX14" i="76" s="1"/>
  <c r="AX14" i="77" s="1"/>
  <c r="AX14" i="78" s="1"/>
  <c r="AX14" i="79" s="1"/>
  <c r="BN14" i="81"/>
  <c r="BN14" i="48" s="1"/>
  <c r="BN14" i="49" s="1"/>
  <c r="BN14" i="50" s="1"/>
  <c r="BN14" i="51" s="1"/>
  <c r="BN14" i="52" s="1"/>
  <c r="BN14" i="53" s="1"/>
  <c r="BN14" i="54" s="1"/>
  <c r="BN14" i="55" s="1"/>
  <c r="BN14" i="56" s="1"/>
  <c r="BN14" i="57" s="1"/>
  <c r="BN14" i="58" s="1"/>
  <c r="BN14" i="61" s="1"/>
  <c r="BN14" i="62" s="1"/>
  <c r="BN14" i="63" s="1"/>
  <c r="BN14" i="64" s="1"/>
  <c r="BN14" i="65" s="1"/>
  <c r="BN14" i="66" s="1"/>
  <c r="BN14" i="67" s="1"/>
  <c r="BN14" i="68" s="1"/>
  <c r="BN14" i="69" s="1"/>
  <c r="BN14" i="70" s="1"/>
  <c r="BN14" i="71" s="1"/>
  <c r="BN14" i="73" s="1"/>
  <c r="BN14" i="74" s="1"/>
  <c r="BN14" i="76" s="1"/>
  <c r="BN14" i="77" s="1"/>
  <c r="BN14" i="78" s="1"/>
  <c r="BN14" i="79" s="1"/>
  <c r="BL16" i="81"/>
  <c r="BL16" i="48" s="1"/>
  <c r="BL16" i="49" s="1"/>
  <c r="BL16" i="50" s="1"/>
  <c r="BL16" i="51" s="1"/>
  <c r="BL16" i="52" s="1"/>
  <c r="BL16" i="53" s="1"/>
  <c r="BL16" i="54" s="1"/>
  <c r="BL16" i="55" s="1"/>
  <c r="BL16" i="56" s="1"/>
  <c r="BL16" i="57" s="1"/>
  <c r="BL16" i="58" s="1"/>
  <c r="BL16" i="61" s="1"/>
  <c r="BL16" i="62" s="1"/>
  <c r="BL16" i="63" s="1"/>
  <c r="BL16" i="64" s="1"/>
  <c r="BL16" i="65" s="1"/>
  <c r="BL16" i="66" s="1"/>
  <c r="BL16" i="67" s="1"/>
  <c r="BL16" i="68" s="1"/>
  <c r="BL16" i="69" s="1"/>
  <c r="BL16" i="70" s="1"/>
  <c r="BL16" i="71" s="1"/>
  <c r="BL16" i="73" s="1"/>
  <c r="BL16" i="74" s="1"/>
  <c r="BL16" i="76" s="1"/>
  <c r="BL16" i="77" s="1"/>
  <c r="BL16" i="78" s="1"/>
  <c r="BL16" i="79" s="1"/>
  <c r="AK17" i="81"/>
  <c r="AK17" i="48" s="1"/>
  <c r="AK17" i="49" s="1"/>
  <c r="AK17" i="50" s="1"/>
  <c r="AK17" i="51" s="1"/>
  <c r="AK17" i="52" s="1"/>
  <c r="AK17" i="53" s="1"/>
  <c r="AK17" i="54" s="1"/>
  <c r="AK17" i="55" s="1"/>
  <c r="AK17" i="56" s="1"/>
  <c r="AK17" i="57" s="1"/>
  <c r="AK17" i="58" s="1"/>
  <c r="AK17" i="61" s="1"/>
  <c r="AK17" i="62" s="1"/>
  <c r="AK17" i="63" s="1"/>
  <c r="AK17" i="64" s="1"/>
  <c r="AK17" i="65" s="1"/>
  <c r="AK17" i="66" s="1"/>
  <c r="AK17" i="67" s="1"/>
  <c r="AK17" i="68" s="1"/>
  <c r="AK17" i="69" s="1"/>
  <c r="AK17" i="70" s="1"/>
  <c r="AK17" i="71" s="1"/>
  <c r="AK17" i="73" s="1"/>
  <c r="AK17" i="74" s="1"/>
  <c r="AK17" i="76" s="1"/>
  <c r="AK17" i="77" s="1"/>
  <c r="AK17" i="78" s="1"/>
  <c r="AK17" i="79" s="1"/>
  <c r="Y18" i="81"/>
  <c r="Y18" i="48" s="1"/>
  <c r="Y18" i="49" s="1"/>
  <c r="Y18" i="50" s="1"/>
  <c r="Y18" i="51" s="1"/>
  <c r="Y18" i="52" s="1"/>
  <c r="Y18" i="53" s="1"/>
  <c r="Y18" i="54" s="1"/>
  <c r="Y18" i="55" s="1"/>
  <c r="Y18" i="56" s="1"/>
  <c r="Y18" i="57" s="1"/>
  <c r="Y18" i="58" s="1"/>
  <c r="Y18" i="61" s="1"/>
  <c r="Y18" i="62" s="1"/>
  <c r="Y18" i="63" s="1"/>
  <c r="Y18" i="64" s="1"/>
  <c r="Y18" i="65" s="1"/>
  <c r="Y18" i="66" s="1"/>
  <c r="Y18" i="67" s="1"/>
  <c r="Y18" i="68" s="1"/>
  <c r="Y18" i="69" s="1"/>
  <c r="Y18" i="70" s="1"/>
  <c r="Y18" i="71" s="1"/>
  <c r="Y18" i="73" s="1"/>
  <c r="Y18" i="74" s="1"/>
  <c r="Y18" i="76" s="1"/>
  <c r="Y18" i="77" s="1"/>
  <c r="Y18" i="78" s="1"/>
  <c r="Y18" i="79" s="1"/>
  <c r="M19" i="81"/>
  <c r="M19" i="48" s="1"/>
  <c r="M19" i="49" s="1"/>
  <c r="M19" i="50" s="1"/>
  <c r="M19" i="51" s="1"/>
  <c r="M19" i="52" s="1"/>
  <c r="M19" i="53" s="1"/>
  <c r="M19" i="54" s="1"/>
  <c r="M19" i="55" s="1"/>
  <c r="M19" i="56" s="1"/>
  <c r="M19" i="57" s="1"/>
  <c r="M19" i="58" s="1"/>
  <c r="M19" i="61" s="1"/>
  <c r="M19" i="62" s="1"/>
  <c r="M19" i="63" s="1"/>
  <c r="M19" i="64" s="1"/>
  <c r="M19" i="65" s="1"/>
  <c r="M19" i="66" s="1"/>
  <c r="M19" i="67" s="1"/>
  <c r="M19" i="68" s="1"/>
  <c r="M19" i="69" s="1"/>
  <c r="M19" i="70" s="1"/>
  <c r="M19" i="71" s="1"/>
  <c r="M19" i="73" s="1"/>
  <c r="M19" i="74" s="1"/>
  <c r="M19" i="76" s="1"/>
  <c r="M19" i="77" s="1"/>
  <c r="M19" i="78" s="1"/>
  <c r="M19" i="79" s="1"/>
  <c r="BQ19" i="81"/>
  <c r="BQ19" i="48" s="1"/>
  <c r="BQ19" i="49" s="1"/>
  <c r="BQ19" i="50" s="1"/>
  <c r="BQ19" i="51" s="1"/>
  <c r="BQ19" i="52" s="1"/>
  <c r="BQ19" i="53" s="1"/>
  <c r="BQ19" i="54" s="1"/>
  <c r="BQ19" i="55" s="1"/>
  <c r="BQ19" i="56" s="1"/>
  <c r="BQ19" i="57" s="1"/>
  <c r="BQ19" i="58" s="1"/>
  <c r="BQ19" i="61" s="1"/>
  <c r="BQ19" i="62" s="1"/>
  <c r="BQ19" i="63" s="1"/>
  <c r="BQ19" i="64" s="1"/>
  <c r="BQ19" i="65" s="1"/>
  <c r="BQ19" i="66" s="1"/>
  <c r="BQ19" i="67" s="1"/>
  <c r="BQ19" i="68" s="1"/>
  <c r="BQ19" i="69" s="1"/>
  <c r="BQ19" i="70" s="1"/>
  <c r="BQ19" i="71" s="1"/>
  <c r="BQ19" i="73" s="1"/>
  <c r="BQ19" i="74" s="1"/>
  <c r="BQ19" i="76" s="1"/>
  <c r="BQ19" i="77" s="1"/>
  <c r="BQ19" i="78" s="1"/>
  <c r="BQ19" i="79" s="1"/>
  <c r="AE21" i="81"/>
  <c r="AE21" i="48" s="1"/>
  <c r="AE21" i="49" s="1"/>
  <c r="AE21" i="50" s="1"/>
  <c r="AE21" i="51" s="1"/>
  <c r="AE21" i="52" s="1"/>
  <c r="AE21" i="53" s="1"/>
  <c r="AE21" i="54" s="1"/>
  <c r="AE21" i="55" s="1"/>
  <c r="AE21" i="56" s="1"/>
  <c r="AE21" i="57" s="1"/>
  <c r="AE21" i="58" s="1"/>
  <c r="AE21" i="61" s="1"/>
  <c r="AE21" i="62" s="1"/>
  <c r="AE21" i="63" s="1"/>
  <c r="AE21" i="64" s="1"/>
  <c r="AE21" i="65" s="1"/>
  <c r="AE21" i="66" s="1"/>
  <c r="AE21" i="67" s="1"/>
  <c r="AE21" i="68" s="1"/>
  <c r="AE21" i="69" s="1"/>
  <c r="AE21" i="70" s="1"/>
  <c r="AE21" i="71" s="1"/>
  <c r="AE21" i="73" s="1"/>
  <c r="AE21" i="74" s="1"/>
  <c r="AE21" i="76" s="1"/>
  <c r="AE21" i="77" s="1"/>
  <c r="AE21" i="78" s="1"/>
  <c r="AE21" i="79" s="1"/>
  <c r="AV21" i="81"/>
  <c r="AV21" i="48" s="1"/>
  <c r="AV21" i="49" s="1"/>
  <c r="AV21" i="50" s="1"/>
  <c r="AV21" i="51" s="1"/>
  <c r="AV21" i="52" s="1"/>
  <c r="AV21" i="53" s="1"/>
  <c r="AV21" i="54" s="1"/>
  <c r="AV21" i="55" s="1"/>
  <c r="AV21" i="56" s="1"/>
  <c r="AV21" i="57" s="1"/>
  <c r="AV21" i="58" s="1"/>
  <c r="AV21" i="61" s="1"/>
  <c r="AV21" i="62" s="1"/>
  <c r="AV21" i="63" s="1"/>
  <c r="AV21" i="64" s="1"/>
  <c r="AV21" i="65" s="1"/>
  <c r="AV21" i="66" s="1"/>
  <c r="AV21" i="67" s="1"/>
  <c r="AV21" i="68" s="1"/>
  <c r="AV21" i="69" s="1"/>
  <c r="AV21" i="70" s="1"/>
  <c r="AV21" i="71" s="1"/>
  <c r="AV21" i="73" s="1"/>
  <c r="AV21" i="74" s="1"/>
  <c r="AV21" i="76" s="1"/>
  <c r="AV21" i="77" s="1"/>
  <c r="AV21" i="78" s="1"/>
  <c r="AV21" i="79" s="1"/>
  <c r="P22" i="81"/>
  <c r="P22" i="48" s="1"/>
  <c r="P22" i="49" s="1"/>
  <c r="P22" i="50" s="1"/>
  <c r="P22" i="51" s="1"/>
  <c r="P22" i="52" s="1"/>
  <c r="P22" i="53" s="1"/>
  <c r="P22" i="54" s="1"/>
  <c r="P22" i="55" s="1"/>
  <c r="P22" i="56" s="1"/>
  <c r="P22" i="57" s="1"/>
  <c r="P22" i="58" s="1"/>
  <c r="P22" i="61" s="1"/>
  <c r="P22" i="62" s="1"/>
  <c r="P22" i="63" s="1"/>
  <c r="P22" i="64" s="1"/>
  <c r="P22" i="65" s="1"/>
  <c r="P22" i="66" s="1"/>
  <c r="P22" i="67" s="1"/>
  <c r="P22" i="68" s="1"/>
  <c r="P22" i="69" s="1"/>
  <c r="P22" i="70" s="1"/>
  <c r="P22" i="71" s="1"/>
  <c r="P22" i="73" s="1"/>
  <c r="P22" i="74" s="1"/>
  <c r="P22" i="76" s="1"/>
  <c r="P22" i="77" s="1"/>
  <c r="P22" i="78" s="1"/>
  <c r="P22" i="79" s="1"/>
  <c r="BB22" i="81"/>
  <c r="BB22" i="48" s="1"/>
  <c r="BB22" i="49" s="1"/>
  <c r="BB22" i="50" s="1"/>
  <c r="BB22" i="51" s="1"/>
  <c r="BB22" i="52" s="1"/>
  <c r="BB22" i="53" s="1"/>
  <c r="BB22" i="54" s="1"/>
  <c r="BB22" i="55" s="1"/>
  <c r="BB22" i="56" s="1"/>
  <c r="BB22" i="57" s="1"/>
  <c r="BB22" i="58" s="1"/>
  <c r="BB22" i="61" s="1"/>
  <c r="BB22" i="62" s="1"/>
  <c r="BB22" i="63" s="1"/>
  <c r="BB22" i="64" s="1"/>
  <c r="BB22" i="65" s="1"/>
  <c r="BB22" i="66" s="1"/>
  <c r="BB22" i="67" s="1"/>
  <c r="BB22" i="68" s="1"/>
  <c r="BB22" i="69" s="1"/>
  <c r="BB22" i="70" s="1"/>
  <c r="BB22" i="71" s="1"/>
  <c r="BB22" i="73" s="1"/>
  <c r="BB22" i="74" s="1"/>
  <c r="BB22" i="76" s="1"/>
  <c r="BB22" i="77" s="1"/>
  <c r="BB22" i="78" s="1"/>
  <c r="BB22" i="79" s="1"/>
  <c r="AB10" i="103"/>
  <c r="AB10" i="109" s="1"/>
  <c r="AB10" i="110" s="1"/>
  <c r="AB10" i="111" s="1"/>
  <c r="AB10" i="112" s="1"/>
  <c r="AB10" i="114" s="1"/>
  <c r="AB10" i="115" s="1"/>
  <c r="AB10" i="116" s="1"/>
  <c r="AB10" i="117" s="1"/>
  <c r="AB10" i="118" s="1"/>
  <c r="AB10" i="119" s="1"/>
  <c r="AB10" i="120" s="1"/>
  <c r="M10" i="109"/>
  <c r="M10" i="110" s="1"/>
  <c r="M10" i="111" s="1"/>
  <c r="M10" i="112" s="1"/>
  <c r="M10" i="114" s="1"/>
  <c r="M10" i="115" s="1"/>
  <c r="M10" i="116" s="1"/>
  <c r="M10" i="117" s="1"/>
  <c r="M10" i="118" s="1"/>
  <c r="M10" i="119" s="1"/>
  <c r="M10" i="120" s="1"/>
  <c r="M11" i="103"/>
  <c r="M11" i="109" s="1"/>
  <c r="M11" i="110" s="1"/>
  <c r="M11" i="111" s="1"/>
  <c r="M11" i="112" s="1"/>
  <c r="M11" i="114" s="1"/>
  <c r="M11" i="115" s="1"/>
  <c r="M11" i="116" s="1"/>
  <c r="M11" i="117" s="1"/>
  <c r="M11" i="118" s="1"/>
  <c r="M11" i="119" s="1"/>
  <c r="M11" i="120" s="1"/>
  <c r="AZ10" i="109"/>
  <c r="AZ10" i="110" s="1"/>
  <c r="AZ10" i="111" s="1"/>
  <c r="AZ10" i="112" s="1"/>
  <c r="AZ10" i="114" s="1"/>
  <c r="AZ10" i="115" s="1"/>
  <c r="AZ10" i="116" s="1"/>
  <c r="AZ10" i="117" s="1"/>
  <c r="AZ10" i="118" s="1"/>
  <c r="AZ10" i="119" s="1"/>
  <c r="AZ10" i="120" s="1"/>
  <c r="AZ11" i="103"/>
  <c r="AZ11" i="109" s="1"/>
  <c r="AZ11" i="110" s="1"/>
  <c r="AZ11" i="111" s="1"/>
  <c r="AZ11" i="112" s="1"/>
  <c r="AZ11" i="114" s="1"/>
  <c r="AZ11" i="115" s="1"/>
  <c r="AZ11" i="116" s="1"/>
  <c r="AZ11" i="117" s="1"/>
  <c r="AZ11" i="118" s="1"/>
  <c r="AZ11" i="119" s="1"/>
  <c r="AZ11" i="120" s="1"/>
  <c r="BQ11" i="103"/>
  <c r="BQ11" i="109" s="1"/>
  <c r="BQ11" i="110" s="1"/>
  <c r="BQ11" i="111" s="1"/>
  <c r="BQ11" i="114" s="1"/>
  <c r="BQ11" i="115" s="1"/>
  <c r="BQ11" i="116" s="1"/>
  <c r="BQ11" i="117" s="1"/>
  <c r="BQ11" i="118" s="1"/>
  <c r="BQ11" i="119" s="1"/>
  <c r="BQ11" i="120" s="1"/>
  <c r="V11" i="109"/>
  <c r="V11" i="110" s="1"/>
  <c r="V11" i="111" s="1"/>
  <c r="V11" i="112" s="1"/>
  <c r="V11" i="114" s="1"/>
  <c r="V11" i="115" s="1"/>
  <c r="V11" i="116" s="1"/>
  <c r="V11" i="117" s="1"/>
  <c r="V11" i="118" s="1"/>
  <c r="V11" i="119" s="1"/>
  <c r="V11" i="120" s="1"/>
  <c r="V12" i="103"/>
  <c r="AO12" i="103"/>
  <c r="AO12" i="109" s="1"/>
  <c r="AO12" i="110" s="1"/>
  <c r="AO12" i="111" s="1"/>
  <c r="AO12" i="112" s="1"/>
  <c r="AO12" i="114" s="1"/>
  <c r="AO12" i="115" s="1"/>
  <c r="AO12" i="116" s="1"/>
  <c r="AO12" i="117" s="1"/>
  <c r="AO12" i="118" s="1"/>
  <c r="AO12" i="119" s="1"/>
  <c r="AO12" i="120" s="1"/>
  <c r="AE12" i="109"/>
  <c r="AE12" i="110" s="1"/>
  <c r="AE12" i="111" s="1"/>
  <c r="AE12" i="112" s="1"/>
  <c r="AE12" i="114" s="1"/>
  <c r="AE12" i="115" s="1"/>
  <c r="AE12" i="116" s="1"/>
  <c r="AE12" i="117" s="1"/>
  <c r="AE12" i="118" s="1"/>
  <c r="AE12" i="119" s="1"/>
  <c r="AE12" i="120" s="1"/>
  <c r="AE13" i="103"/>
  <c r="AE13" i="109" s="1"/>
  <c r="AE13" i="110" s="1"/>
  <c r="AE13" i="111" s="1"/>
  <c r="AE13" i="112" s="1"/>
  <c r="AE13" i="114" s="1"/>
  <c r="AE13" i="115" s="1"/>
  <c r="AE13" i="116" s="1"/>
  <c r="AE13" i="117" s="1"/>
  <c r="AE13" i="118" s="1"/>
  <c r="AE13" i="119" s="1"/>
  <c r="AE13" i="120" s="1"/>
  <c r="BL13" i="103"/>
  <c r="BL13" i="109" s="1"/>
  <c r="BL13" i="110" s="1"/>
  <c r="BL13" i="111" s="1"/>
  <c r="BL13" i="112" s="1"/>
  <c r="BL13" i="114" s="1"/>
  <c r="BL13" i="115" s="1"/>
  <c r="BL13" i="116" s="1"/>
  <c r="BL13" i="117" s="1"/>
  <c r="BL13" i="118" s="1"/>
  <c r="BL13" i="119" s="1"/>
  <c r="BL13" i="120" s="1"/>
  <c r="P14" i="103"/>
  <c r="P14" i="109" s="1"/>
  <c r="P14" i="110" s="1"/>
  <c r="P14" i="111" s="1"/>
  <c r="P14" i="112" s="1"/>
  <c r="P14" i="114" s="1"/>
  <c r="P14" i="115" s="1"/>
  <c r="P14" i="116" s="1"/>
  <c r="P14" i="117" s="1"/>
  <c r="P14" i="118" s="1"/>
  <c r="P14" i="119" s="1"/>
  <c r="P14" i="120" s="1"/>
  <c r="AK14" i="103"/>
  <c r="BB14" i="103"/>
  <c r="BB14" i="109" s="1"/>
  <c r="BB14" i="110" s="1"/>
  <c r="BB14" i="111" s="1"/>
  <c r="BB14" i="112" s="1"/>
  <c r="BB14" i="114" s="1"/>
  <c r="BB14" i="115" s="1"/>
  <c r="BB14" i="116" s="1"/>
  <c r="BB14" i="117" s="1"/>
  <c r="BB14" i="118" s="1"/>
  <c r="BB14" i="119" s="1"/>
  <c r="BB14" i="120" s="1"/>
  <c r="Y15" i="103"/>
  <c r="J15" i="109"/>
  <c r="J15" i="110" s="1"/>
  <c r="J15" i="111" s="1"/>
  <c r="J15" i="112" s="1"/>
  <c r="J15" i="114" s="1"/>
  <c r="J15" i="115" s="1"/>
  <c r="J15" i="116" s="1"/>
  <c r="J15" i="117" s="1"/>
  <c r="J15" i="118" s="1"/>
  <c r="J15" i="119" s="1"/>
  <c r="J15" i="120" s="1"/>
  <c r="J16" i="103"/>
  <c r="J16" i="109" s="1"/>
  <c r="J16" i="110" s="1"/>
  <c r="J16" i="111" s="1"/>
  <c r="J16" i="112" s="1"/>
  <c r="J16" i="114" s="1"/>
  <c r="J16" i="115" s="1"/>
  <c r="J16" i="116" s="1"/>
  <c r="J16" i="117" s="1"/>
  <c r="J16" i="118" s="1"/>
  <c r="J16" i="119" s="1"/>
  <c r="J16" i="120" s="1"/>
  <c r="AX16" i="103"/>
  <c r="AX16" i="109" s="1"/>
  <c r="AX16" i="110" s="1"/>
  <c r="AX16" i="111" s="1"/>
  <c r="AX16" i="112" s="1"/>
  <c r="AX16" i="114" s="1"/>
  <c r="AX16" i="115" s="1"/>
  <c r="AX16" i="116" s="1"/>
  <c r="AX16" i="117" s="1"/>
  <c r="AX16" i="118" s="1"/>
  <c r="AX16" i="119" s="1"/>
  <c r="AX16" i="120" s="1"/>
  <c r="BN16" i="103"/>
  <c r="BN16" i="109" s="1"/>
  <c r="BN16" i="110" s="1"/>
  <c r="BN16" i="111" s="1"/>
  <c r="BN16" i="112" s="1"/>
  <c r="BN16" i="114" s="1"/>
  <c r="BN16" i="115" s="1"/>
  <c r="BN16" i="116" s="1"/>
  <c r="BN16" i="117" s="1"/>
  <c r="BN16" i="118" s="1"/>
  <c r="BN16" i="119" s="1"/>
  <c r="BN16" i="120" s="1"/>
  <c r="S17" i="103"/>
  <c r="S17" i="109" s="1"/>
  <c r="S17" i="110" s="1"/>
  <c r="S17" i="111" s="1"/>
  <c r="S17" i="112" s="1"/>
  <c r="S17" i="114" s="1"/>
  <c r="S17" i="115" s="1"/>
  <c r="S17" i="116" s="1"/>
  <c r="S17" i="117" s="1"/>
  <c r="AM17" i="103"/>
  <c r="AM17" i="109" s="1"/>
  <c r="AM17" i="110" s="1"/>
  <c r="AM17" i="111" s="1"/>
  <c r="AM17" i="112" s="1"/>
  <c r="AM17" i="114" s="1"/>
  <c r="AM17" i="115" s="1"/>
  <c r="AM17" i="116" s="1"/>
  <c r="AM17" i="117" s="1"/>
  <c r="AM17" i="118" s="1"/>
  <c r="AM17" i="119" s="1"/>
  <c r="AM17" i="120" s="1"/>
  <c r="AB17" i="109"/>
  <c r="AB17" i="110" s="1"/>
  <c r="AB17" i="111" s="1"/>
  <c r="AB17" i="112" s="1"/>
  <c r="AB17" i="114" s="1"/>
  <c r="AB17" i="115" s="1"/>
  <c r="AB17" i="116" s="1"/>
  <c r="AB17" i="117" s="1"/>
  <c r="AB17" i="118" s="1"/>
  <c r="AB17" i="119" s="1"/>
  <c r="AB17" i="120" s="1"/>
  <c r="AB18" i="103"/>
  <c r="AB18" i="109" s="1"/>
  <c r="AB18" i="110" s="1"/>
  <c r="AB18" i="111" s="1"/>
  <c r="AB18" i="112" s="1"/>
  <c r="AB18" i="114" s="1"/>
  <c r="AB18" i="115" s="1"/>
  <c r="AB18" i="116" s="1"/>
  <c r="AB18" i="117" s="1"/>
  <c r="AB18" i="118" s="1"/>
  <c r="AB18" i="119" s="1"/>
  <c r="AB18" i="120" s="1"/>
  <c r="BJ17" i="109"/>
  <c r="BJ17" i="110" s="1"/>
  <c r="BJ17" i="111" s="1"/>
  <c r="BJ17" i="112" s="1"/>
  <c r="BJ17" i="114" s="1"/>
  <c r="BJ17" i="115" s="1"/>
  <c r="BJ17" i="116" s="1"/>
  <c r="BJ17" i="117" s="1"/>
  <c r="BJ17" i="118" s="1"/>
  <c r="BJ17" i="119" s="1"/>
  <c r="BJ17" i="120" s="1"/>
  <c r="BJ18" i="103"/>
  <c r="BJ18" i="109" s="1"/>
  <c r="BJ18" i="110" s="1"/>
  <c r="BJ18" i="111" s="1"/>
  <c r="BJ18" i="112" s="1"/>
  <c r="BJ18" i="114" s="1"/>
  <c r="BJ18" i="115" s="1"/>
  <c r="BJ18" i="116" s="1"/>
  <c r="BJ18" i="117" s="1"/>
  <c r="BJ18" i="118" s="1"/>
  <c r="BJ18" i="119" s="1"/>
  <c r="BJ18" i="120" s="1"/>
  <c r="M19" i="103"/>
  <c r="M19" i="109" s="1"/>
  <c r="M19" i="110" s="1"/>
  <c r="M19" i="111" s="1"/>
  <c r="M19" i="112" s="1"/>
  <c r="M19" i="114" s="1"/>
  <c r="M19" i="115" s="1"/>
  <c r="M19" i="116" s="1"/>
  <c r="M19" i="117" s="1"/>
  <c r="M19" i="118" s="1"/>
  <c r="M19" i="119" s="1"/>
  <c r="M19" i="120" s="1"/>
  <c r="AZ19" i="103"/>
  <c r="AZ19" i="109" s="1"/>
  <c r="AZ19" i="110" s="1"/>
  <c r="AZ19" i="111" s="1"/>
  <c r="AZ19" i="112" s="1"/>
  <c r="AZ19" i="114" s="1"/>
  <c r="AZ19" i="115" s="1"/>
  <c r="AZ19" i="116" s="1"/>
  <c r="AZ19" i="117" s="1"/>
  <c r="BQ18" i="109"/>
  <c r="BQ18" i="110" s="1"/>
  <c r="BQ18" i="111" s="1"/>
  <c r="BQ18" i="112" s="1"/>
  <c r="BQ18" i="114" s="1"/>
  <c r="BQ18" i="115" s="1"/>
  <c r="BQ18" i="116" s="1"/>
  <c r="BQ18" i="117" s="1"/>
  <c r="BQ18" i="118" s="1"/>
  <c r="BQ18" i="119" s="1"/>
  <c r="BQ18" i="120" s="1"/>
  <c r="BQ19" i="103"/>
  <c r="BQ19" i="109" s="1"/>
  <c r="BQ19" i="110" s="1"/>
  <c r="BQ19" i="111" s="1"/>
  <c r="BQ19" i="112" s="1"/>
  <c r="BQ19" i="114" s="1"/>
  <c r="BQ19" i="115" s="1"/>
  <c r="BQ19" i="116" s="1"/>
  <c r="BQ19" i="117" s="1"/>
  <c r="BQ19" i="118" s="1"/>
  <c r="BQ19" i="119" s="1"/>
  <c r="BQ19" i="120" s="1"/>
  <c r="V20" i="103"/>
  <c r="V20" i="109" s="1"/>
  <c r="V20" i="110" s="1"/>
  <c r="V20" i="111" s="1"/>
  <c r="V20" i="112" s="1"/>
  <c r="V20" i="114" s="1"/>
  <c r="V20" i="115" s="1"/>
  <c r="V20" i="116" s="1"/>
  <c r="V20" i="117" s="1"/>
  <c r="V20" i="118" s="1"/>
  <c r="V20" i="119" s="1"/>
  <c r="V20" i="120" s="1"/>
  <c r="AO20" i="103"/>
  <c r="AE21" i="103"/>
  <c r="AE21" i="109" s="1"/>
  <c r="AE21" i="110" s="1"/>
  <c r="AE21" i="111" s="1"/>
  <c r="AE21" i="112" s="1"/>
  <c r="AE21" i="114" s="1"/>
  <c r="AE21" i="115" s="1"/>
  <c r="AE21" i="116" s="1"/>
  <c r="AE21" i="117" s="1"/>
  <c r="AE21" i="118" s="1"/>
  <c r="AE21" i="119" s="1"/>
  <c r="AE21" i="120" s="1"/>
  <c r="AV21" i="103"/>
  <c r="AV21" i="109" s="1"/>
  <c r="AV21" i="110" s="1"/>
  <c r="AV21" i="111" s="1"/>
  <c r="AV21" i="112" s="1"/>
  <c r="AV21" i="114" s="1"/>
  <c r="AV21" i="115" s="1"/>
  <c r="AV21" i="116" s="1"/>
  <c r="AV21" i="117" s="1"/>
  <c r="AV21" i="118" s="1"/>
  <c r="AV21" i="119" s="1"/>
  <c r="AV21" i="120" s="1"/>
  <c r="BL21" i="103"/>
  <c r="BL21" i="109" s="1"/>
  <c r="BL21" i="110" s="1"/>
  <c r="BL21" i="111" s="1"/>
  <c r="BL21" i="112" s="1"/>
  <c r="BL21" i="114" s="1"/>
  <c r="BL21" i="115" s="1"/>
  <c r="BL21" i="116" s="1"/>
  <c r="BL21" i="117" s="1"/>
  <c r="BL21" i="118" s="1"/>
  <c r="BL21" i="119" s="1"/>
  <c r="BL21" i="120" s="1"/>
  <c r="P22" i="103"/>
  <c r="AK22" i="103"/>
  <c r="BB22" i="103"/>
  <c r="AV14" i="81"/>
  <c r="AV14" i="48" s="1"/>
  <c r="AV14" i="49" s="1"/>
  <c r="AV14" i="50" s="1"/>
  <c r="AV14" i="51" s="1"/>
  <c r="AV14" i="52" s="1"/>
  <c r="AV14" i="53" s="1"/>
  <c r="AV14" i="54" s="1"/>
  <c r="AV14" i="55" s="1"/>
  <c r="AV14" i="56" s="1"/>
  <c r="AV14" i="57" s="1"/>
  <c r="AV14" i="58" s="1"/>
  <c r="AV14" i="61" s="1"/>
  <c r="AV14" i="62" s="1"/>
  <c r="AV14" i="63" s="1"/>
  <c r="AV14" i="64" s="1"/>
  <c r="AV14" i="65" s="1"/>
  <c r="AV14" i="66" s="1"/>
  <c r="AV14" i="67" s="1"/>
  <c r="AV14" i="68" s="1"/>
  <c r="AV14" i="69" s="1"/>
  <c r="AV14" i="70" s="1"/>
  <c r="AV14" i="71" s="1"/>
  <c r="AV14" i="73" s="1"/>
  <c r="AV14" i="74" s="1"/>
  <c r="AV14" i="76" s="1"/>
  <c r="AV14" i="77" s="1"/>
  <c r="AV14" i="78" s="1"/>
  <c r="AV14" i="79" s="1"/>
  <c r="M10" i="81"/>
  <c r="M10" i="48" s="1"/>
  <c r="M10" i="49" s="1"/>
  <c r="M10" i="50" s="1"/>
  <c r="M10" i="51" s="1"/>
  <c r="M10" i="52" s="1"/>
  <c r="M10" i="53" s="1"/>
  <c r="M10" i="54" s="1"/>
  <c r="M10" i="55" s="1"/>
  <c r="M10" i="56" s="1"/>
  <c r="M10" i="57" s="1"/>
  <c r="M10" i="58" s="1"/>
  <c r="M10" i="61" s="1"/>
  <c r="M10" i="62" s="1"/>
  <c r="M10" i="63" s="1"/>
  <c r="M10" i="64" s="1"/>
  <c r="M10" i="65" s="1"/>
  <c r="M10" i="66" s="1"/>
  <c r="M10" i="67" s="1"/>
  <c r="M10" i="68" s="1"/>
  <c r="M10" i="69" s="1"/>
  <c r="M10" i="70" s="1"/>
  <c r="M10" i="71" s="1"/>
  <c r="M10" i="73" s="1"/>
  <c r="M10" i="74" s="1"/>
  <c r="M10" i="76" s="1"/>
  <c r="M10" i="77" s="1"/>
  <c r="M10" i="78" s="1"/>
  <c r="M10" i="79" s="1"/>
  <c r="BN12" i="81"/>
  <c r="BN12" i="48" s="1"/>
  <c r="BN12" i="49" s="1"/>
  <c r="BN12" i="50" s="1"/>
  <c r="BN12" i="51" s="1"/>
  <c r="BN12" i="52" s="1"/>
  <c r="BN12" i="53" s="1"/>
  <c r="BN12" i="54" s="1"/>
  <c r="BN12" i="55" s="1"/>
  <c r="BN12" i="56" s="1"/>
  <c r="BN12" i="57" s="1"/>
  <c r="BN12" i="58" s="1"/>
  <c r="BN12" i="61" s="1"/>
  <c r="BN12" i="62" s="1"/>
  <c r="BN12" i="63" s="1"/>
  <c r="BN12" i="64" s="1"/>
  <c r="BN12" i="65" s="1"/>
  <c r="BN12" i="66" s="1"/>
  <c r="BN12" i="67" s="1"/>
  <c r="BN12" i="68" s="1"/>
  <c r="BN12" i="69" s="1"/>
  <c r="BN12" i="70" s="1"/>
  <c r="BN12" i="71" s="1"/>
  <c r="BN12" i="73" s="1"/>
  <c r="BN12" i="74" s="1"/>
  <c r="BN12" i="76" s="1"/>
  <c r="BN12" i="77" s="1"/>
  <c r="BN12" i="78" s="1"/>
  <c r="BN12" i="79" s="1"/>
  <c r="AB16" i="81"/>
  <c r="AB16" i="48" s="1"/>
  <c r="AB16" i="49" s="1"/>
  <c r="AB16" i="50" s="1"/>
  <c r="AB16" i="51" s="1"/>
  <c r="AB16" i="52" s="1"/>
  <c r="AB16" i="53" s="1"/>
  <c r="AB16" i="54" s="1"/>
  <c r="AB16" i="55" s="1"/>
  <c r="AB16" i="56" s="1"/>
  <c r="AB16" i="57" s="1"/>
  <c r="AB16" i="58" s="1"/>
  <c r="AB16" i="61" s="1"/>
  <c r="AB16" i="62" s="1"/>
  <c r="AB16" i="63" s="1"/>
  <c r="AB16" i="64" s="1"/>
  <c r="AB16" i="65" s="1"/>
  <c r="AB16" i="66" s="1"/>
  <c r="AB16" i="67" s="1"/>
  <c r="AB16" i="68" s="1"/>
  <c r="AB16" i="69" s="1"/>
  <c r="AB16" i="70" s="1"/>
  <c r="AB16" i="71" s="1"/>
  <c r="AB16" i="73" s="1"/>
  <c r="AB16" i="74" s="1"/>
  <c r="AB16" i="76" s="1"/>
  <c r="AB16" i="77" s="1"/>
  <c r="AB16" i="78" s="1"/>
  <c r="AB16" i="79" s="1"/>
  <c r="J19" i="81"/>
  <c r="J19" i="48" s="1"/>
  <c r="J19" i="49" s="1"/>
  <c r="J19" i="50" s="1"/>
  <c r="J19" i="51" s="1"/>
  <c r="J19" i="52" s="1"/>
  <c r="J19" i="53" s="1"/>
  <c r="J19" i="54" s="1"/>
  <c r="J19" i="55" s="1"/>
  <c r="J19" i="56" s="1"/>
  <c r="J19" i="57" s="1"/>
  <c r="J19" i="58" s="1"/>
  <c r="J19" i="61" s="1"/>
  <c r="J19" i="62" s="1"/>
  <c r="J19" i="63" s="1"/>
  <c r="J19" i="64" s="1"/>
  <c r="J19" i="65" s="1"/>
  <c r="J19" i="66" s="1"/>
  <c r="J19" i="67" s="1"/>
  <c r="J19" i="68" s="1"/>
  <c r="J19" i="69" s="1"/>
  <c r="J19" i="70" s="1"/>
  <c r="J19" i="71" s="1"/>
  <c r="J19" i="73" s="1"/>
  <c r="J19" i="74" s="1"/>
  <c r="J19" i="76" s="1"/>
  <c r="J19" i="77" s="1"/>
  <c r="J19" i="78" s="1"/>
  <c r="J19" i="79" s="1"/>
  <c r="BQ22" i="81"/>
  <c r="BQ22" i="48" s="1"/>
  <c r="BQ22" i="49" s="1"/>
  <c r="BQ22" i="50" s="1"/>
  <c r="BQ22" i="51" s="1"/>
  <c r="BQ22" i="52" s="1"/>
  <c r="BQ22" i="53" s="1"/>
  <c r="BQ22" i="54" s="1"/>
  <c r="BQ22" i="55" s="1"/>
  <c r="BQ22" i="56" s="1"/>
  <c r="BQ22" i="57" s="1"/>
  <c r="BQ22" i="58" s="1"/>
  <c r="BQ22" i="61" s="1"/>
  <c r="BQ22" i="62" s="1"/>
  <c r="BQ22" i="63" s="1"/>
  <c r="BQ22" i="64" s="1"/>
  <c r="BQ22" i="65" s="1"/>
  <c r="BQ22" i="66" s="1"/>
  <c r="BQ22" i="67" s="1"/>
  <c r="BQ22" i="68" s="1"/>
  <c r="BQ22" i="69" s="1"/>
  <c r="BQ22" i="70" s="1"/>
  <c r="BQ22" i="71" s="1"/>
  <c r="BQ22" i="73" s="1"/>
  <c r="BQ22" i="74" s="1"/>
  <c r="BQ22" i="76" s="1"/>
  <c r="BQ22" i="77" s="1"/>
  <c r="BQ22" i="78" s="1"/>
  <c r="BQ22" i="79" s="1"/>
  <c r="S12" i="103"/>
  <c r="S12" i="109" s="1"/>
  <c r="S12" i="110" s="1"/>
  <c r="S12" i="111" s="1"/>
  <c r="S12" i="112" s="1"/>
  <c r="S12" i="114" s="1"/>
  <c r="S12" i="115" s="1"/>
  <c r="S12" i="116" s="1"/>
  <c r="S12" i="117" s="1"/>
  <c r="S12" i="118" s="1"/>
  <c r="S12" i="119" s="1"/>
  <c r="S12" i="120" s="1"/>
  <c r="AE16" i="103"/>
  <c r="AE16" i="109" s="1"/>
  <c r="AE16" i="110" s="1"/>
  <c r="AE16" i="111" s="1"/>
  <c r="AE16" i="112" s="1"/>
  <c r="AE16" i="114" s="1"/>
  <c r="AE16" i="115" s="1"/>
  <c r="AE16" i="116" s="1"/>
  <c r="AE16" i="117" s="1"/>
  <c r="AE16" i="118" s="1"/>
  <c r="AE16" i="119" s="1"/>
  <c r="AE16" i="120" s="1"/>
  <c r="BQ22" i="103"/>
  <c r="BL13" i="81"/>
  <c r="BL13" i="48" s="1"/>
  <c r="BL13" i="49" s="1"/>
  <c r="BL13" i="50" s="1"/>
  <c r="BL13" i="51" s="1"/>
  <c r="BL13" i="52" s="1"/>
  <c r="BL13" i="53" s="1"/>
  <c r="BL13" i="54" s="1"/>
  <c r="BL13" i="55" s="1"/>
  <c r="BL13" i="56" s="1"/>
  <c r="BL13" i="57" s="1"/>
  <c r="BL13" i="58" s="1"/>
  <c r="BL13" i="61" s="1"/>
  <c r="BL13" i="62" s="1"/>
  <c r="BL13" i="63" s="1"/>
  <c r="BL13" i="64" s="1"/>
  <c r="BL13" i="65" s="1"/>
  <c r="BL13" i="66" s="1"/>
  <c r="BL13" i="67" s="1"/>
  <c r="BL13" i="68" s="1"/>
  <c r="BL13" i="69" s="1"/>
  <c r="BL13" i="70" s="1"/>
  <c r="BL13" i="71" s="1"/>
  <c r="BL13" i="73" s="1"/>
  <c r="BL13" i="74" s="1"/>
  <c r="BL13" i="76" s="1"/>
  <c r="BL13" i="77" s="1"/>
  <c r="BL13" i="78" s="1"/>
  <c r="BL13" i="79" s="1"/>
  <c r="AM15" i="81"/>
  <c r="AM15" i="48" s="1"/>
  <c r="AM15" i="49" s="1"/>
  <c r="AM15" i="50" s="1"/>
  <c r="AM15" i="51" s="1"/>
  <c r="AM15" i="52" s="1"/>
  <c r="AM15" i="53" s="1"/>
  <c r="AM15" i="54" s="1"/>
  <c r="AM15" i="55" s="1"/>
  <c r="AM15" i="56" s="1"/>
  <c r="AM15" i="57" s="1"/>
  <c r="AM15" i="58" s="1"/>
  <c r="AM15" i="61" s="1"/>
  <c r="AM15" i="62" s="1"/>
  <c r="AM15" i="63" s="1"/>
  <c r="AM15" i="64" s="1"/>
  <c r="AM15" i="65" s="1"/>
  <c r="AM15" i="66" s="1"/>
  <c r="AM15" i="67" s="1"/>
  <c r="AM15" i="68" s="1"/>
  <c r="AM15" i="69" s="1"/>
  <c r="AM15" i="70" s="1"/>
  <c r="AM15" i="71" s="1"/>
  <c r="AM15" i="73" s="1"/>
  <c r="AM15" i="74" s="1"/>
  <c r="AM15" i="76" s="1"/>
  <c r="AM15" i="77" s="1"/>
  <c r="AM15" i="78" s="1"/>
  <c r="AM15" i="79" s="1"/>
  <c r="J9" i="81"/>
  <c r="J9" i="48" s="1"/>
  <c r="J9" i="49" s="1"/>
  <c r="J9" i="50" s="1"/>
  <c r="J9" i="51" s="1"/>
  <c r="J9" i="52" s="1"/>
  <c r="J9" i="53" s="1"/>
  <c r="J9" i="54" s="1"/>
  <c r="J9" i="55" s="1"/>
  <c r="J9" i="56" s="1"/>
  <c r="J9" i="57" s="1"/>
  <c r="J9" i="58" s="1"/>
  <c r="J9" i="61" s="1"/>
  <c r="J9" i="62" s="1"/>
  <c r="J9" i="63" s="1"/>
  <c r="J9" i="64" s="1"/>
  <c r="J9" i="65" s="1"/>
  <c r="J9" i="66" s="1"/>
  <c r="J9" i="67" s="1"/>
  <c r="AM10" i="81"/>
  <c r="AM10" i="48" s="1"/>
  <c r="AM10" i="49" s="1"/>
  <c r="AM10" i="50" s="1"/>
  <c r="AM10" i="51" s="1"/>
  <c r="AM10" i="52" s="1"/>
  <c r="AM10" i="53" s="1"/>
  <c r="AM10" i="54" s="1"/>
  <c r="AM10" i="55" s="1"/>
  <c r="AM10" i="56" s="1"/>
  <c r="AM10" i="57" s="1"/>
  <c r="AM10" i="58" s="1"/>
  <c r="AM10" i="61" s="1"/>
  <c r="AM10" i="62" s="1"/>
  <c r="AM10" i="63" s="1"/>
  <c r="AM10" i="64" s="1"/>
  <c r="AM10" i="65" s="1"/>
  <c r="AM10" i="66" s="1"/>
  <c r="AM10" i="67" s="1"/>
  <c r="AM10" i="68" s="1"/>
  <c r="AM10" i="69" s="1"/>
  <c r="AM10" i="70" s="1"/>
  <c r="AM10" i="71" s="1"/>
  <c r="AM10" i="73" s="1"/>
  <c r="AM10" i="74" s="1"/>
  <c r="AM10" i="76" s="1"/>
  <c r="AM10" i="77" s="1"/>
  <c r="AM10" i="78" s="1"/>
  <c r="AM10" i="79" s="1"/>
  <c r="P12" i="81"/>
  <c r="P12" i="48" s="1"/>
  <c r="P12" i="49" s="1"/>
  <c r="P12" i="50" s="1"/>
  <c r="P12" i="51" s="1"/>
  <c r="P12" i="52" s="1"/>
  <c r="P12" i="53" s="1"/>
  <c r="P12" i="54" s="1"/>
  <c r="P12" i="55" s="1"/>
  <c r="P12" i="56" s="1"/>
  <c r="P12" i="57" s="1"/>
  <c r="P12" i="58" s="1"/>
  <c r="P12" i="61" s="1"/>
  <c r="P12" i="62" s="1"/>
  <c r="P12" i="63" s="1"/>
  <c r="P12" i="64" s="1"/>
  <c r="P12" i="65" s="1"/>
  <c r="P12" i="66" s="1"/>
  <c r="P12" i="67" s="1"/>
  <c r="P12" i="68" s="1"/>
  <c r="P12" i="69" s="1"/>
  <c r="P12" i="70" s="1"/>
  <c r="P12" i="71" s="1"/>
  <c r="P12" i="73" s="1"/>
  <c r="P12" i="74" s="1"/>
  <c r="P12" i="76" s="1"/>
  <c r="P12" i="77" s="1"/>
  <c r="P12" i="78" s="1"/>
  <c r="P12" i="79" s="1"/>
  <c r="BB12" i="81"/>
  <c r="BB12" i="48" s="1"/>
  <c r="BB12" i="49" s="1"/>
  <c r="BB12" i="50" s="1"/>
  <c r="BB12" i="51" s="1"/>
  <c r="BB12" i="52" s="1"/>
  <c r="BB12" i="53" s="1"/>
  <c r="BB12" i="54" s="1"/>
  <c r="BB12" i="55" s="1"/>
  <c r="BB12" i="56" s="1"/>
  <c r="BB12" i="57" s="1"/>
  <c r="BB12" i="58" s="1"/>
  <c r="BB12" i="61" s="1"/>
  <c r="BB12" i="62" s="1"/>
  <c r="BB12" i="63" s="1"/>
  <c r="BB12" i="64" s="1"/>
  <c r="BB12" i="65" s="1"/>
  <c r="BB12" i="66" s="1"/>
  <c r="BB12" i="67" s="1"/>
  <c r="BB12" i="68" s="1"/>
  <c r="BB12" i="69" s="1"/>
  <c r="BB12" i="70" s="1"/>
  <c r="BB12" i="71" s="1"/>
  <c r="BB12" i="73" s="1"/>
  <c r="BB12" i="74" s="1"/>
  <c r="BB12" i="76" s="1"/>
  <c r="BB12" i="77" s="1"/>
  <c r="BB12" i="78" s="1"/>
  <c r="BB12" i="79" s="1"/>
  <c r="J14" i="81"/>
  <c r="J14" i="48" s="1"/>
  <c r="J14" i="49" s="1"/>
  <c r="J14" i="50" s="1"/>
  <c r="J14" i="51" s="1"/>
  <c r="J14" i="52" s="1"/>
  <c r="J14" i="53" s="1"/>
  <c r="J14" i="54" s="1"/>
  <c r="J14" i="55" s="1"/>
  <c r="J14" i="56" s="1"/>
  <c r="J14" i="57" s="1"/>
  <c r="J14" i="58" s="1"/>
  <c r="J14" i="61" s="1"/>
  <c r="J14" i="62" s="1"/>
  <c r="J14" i="63" s="1"/>
  <c r="J14" i="64" s="1"/>
  <c r="J14" i="65" s="1"/>
  <c r="J14" i="66" s="1"/>
  <c r="J14" i="67" s="1"/>
  <c r="J14" i="68" s="1"/>
  <c r="J14" i="69" s="1"/>
  <c r="J14" i="70" s="1"/>
  <c r="J14" i="71" s="1"/>
  <c r="J14" i="73" s="1"/>
  <c r="J14" i="74" s="1"/>
  <c r="J14" i="76" s="1"/>
  <c r="J14" i="77" s="1"/>
  <c r="J14" i="78" s="1"/>
  <c r="J14" i="79" s="1"/>
  <c r="BQ14" i="81"/>
  <c r="BQ14" i="48" s="1"/>
  <c r="BQ14" i="49" s="1"/>
  <c r="BQ14" i="50" s="1"/>
  <c r="BQ14" i="51" s="1"/>
  <c r="BQ14" i="52" s="1"/>
  <c r="BQ14" i="53" s="1"/>
  <c r="BQ14" i="54" s="1"/>
  <c r="BQ14" i="55" s="1"/>
  <c r="BQ14" i="56" s="1"/>
  <c r="BQ14" i="57" s="1"/>
  <c r="BQ14" i="58" s="1"/>
  <c r="BQ14" i="61" s="1"/>
  <c r="BQ14" i="62" s="1"/>
  <c r="BQ14" i="63" s="1"/>
  <c r="BQ14" i="64" s="1"/>
  <c r="BQ14" i="65" s="1"/>
  <c r="BQ14" i="66" s="1"/>
  <c r="BQ14" i="67" s="1"/>
  <c r="BQ14" i="68" s="1"/>
  <c r="BQ14" i="69" s="1"/>
  <c r="BQ14" i="70" s="1"/>
  <c r="BQ14" i="71" s="1"/>
  <c r="BQ14" i="73" s="1"/>
  <c r="BQ14" i="74" s="1"/>
  <c r="BQ14" i="76" s="1"/>
  <c r="BQ14" i="77" s="1"/>
  <c r="BQ14" i="78" s="1"/>
  <c r="BQ14" i="79" s="1"/>
  <c r="AB18" i="81"/>
  <c r="AB18" i="48" s="1"/>
  <c r="AB18" i="49" s="1"/>
  <c r="AB18" i="50" s="1"/>
  <c r="AB18" i="51" s="1"/>
  <c r="AB18" i="52" s="1"/>
  <c r="AB18" i="53" s="1"/>
  <c r="AB18" i="54" s="1"/>
  <c r="AB18" i="55" s="1"/>
  <c r="AB18" i="56" s="1"/>
  <c r="AB18" i="57" s="1"/>
  <c r="AB18" i="58" s="1"/>
  <c r="AB18" i="61" s="1"/>
  <c r="AB18" i="62" s="1"/>
  <c r="AB18" i="63" s="1"/>
  <c r="AB18" i="64" s="1"/>
  <c r="AB18" i="65" s="1"/>
  <c r="AB18" i="66" s="1"/>
  <c r="AB18" i="67" s="1"/>
  <c r="AB18" i="68" s="1"/>
  <c r="AB18" i="69" s="1"/>
  <c r="AB18" i="70" s="1"/>
  <c r="AB18" i="71" s="1"/>
  <c r="AB18" i="73" s="1"/>
  <c r="AB18" i="74" s="1"/>
  <c r="AB18" i="76" s="1"/>
  <c r="AB18" i="77" s="1"/>
  <c r="AB18" i="78" s="1"/>
  <c r="AB18" i="79" s="1"/>
  <c r="AK19" i="81"/>
  <c r="AK19" i="48" s="1"/>
  <c r="AK19" i="49" s="1"/>
  <c r="AK19" i="50" s="1"/>
  <c r="AK19" i="51" s="1"/>
  <c r="AK19" i="52" s="1"/>
  <c r="AK19" i="53" s="1"/>
  <c r="AK19" i="54" s="1"/>
  <c r="AK19" i="55" s="1"/>
  <c r="AK19" i="56" s="1"/>
  <c r="AK19" i="57" s="1"/>
  <c r="AK19" i="58" s="1"/>
  <c r="AK19" i="61" s="1"/>
  <c r="AK19" i="62" s="1"/>
  <c r="AK19" i="63" s="1"/>
  <c r="AK19" i="64" s="1"/>
  <c r="AK19" i="65" s="1"/>
  <c r="AK19" i="66" s="1"/>
  <c r="AK19" i="67" s="1"/>
  <c r="AK19" i="68" s="1"/>
  <c r="AK19" i="69" s="1"/>
  <c r="AK19" i="70" s="1"/>
  <c r="AK19" i="71" s="1"/>
  <c r="AK19" i="73" s="1"/>
  <c r="AK19" i="74" s="1"/>
  <c r="AK19" i="76" s="1"/>
  <c r="AK19" i="77" s="1"/>
  <c r="AK19" i="78" s="1"/>
  <c r="AK19" i="79" s="1"/>
  <c r="Y20" i="81"/>
  <c r="Y20" i="48" s="1"/>
  <c r="Y20" i="49" s="1"/>
  <c r="Y20" i="50" s="1"/>
  <c r="Y20" i="51" s="1"/>
  <c r="Y20" i="52" s="1"/>
  <c r="Y20" i="53" s="1"/>
  <c r="Y20" i="54" s="1"/>
  <c r="Y20" i="55" s="1"/>
  <c r="Y20" i="56" s="1"/>
  <c r="Y20" i="57" s="1"/>
  <c r="Y20" i="58" s="1"/>
  <c r="Y20" i="61" s="1"/>
  <c r="Y20" i="62" s="1"/>
  <c r="Y20" i="63" s="1"/>
  <c r="Y20" i="64" s="1"/>
  <c r="Y20" i="65" s="1"/>
  <c r="Y20" i="66" s="1"/>
  <c r="Y20" i="67" s="1"/>
  <c r="Y20" i="68" s="1"/>
  <c r="Y20" i="69" s="1"/>
  <c r="Y20" i="70" s="1"/>
  <c r="Y20" i="71" s="1"/>
  <c r="Y20" i="73" s="1"/>
  <c r="Y20" i="74" s="1"/>
  <c r="Y20" i="76" s="1"/>
  <c r="Y20" i="77" s="1"/>
  <c r="Y20" i="78" s="1"/>
  <c r="Y20" i="79" s="1"/>
  <c r="AG8" i="56"/>
  <c r="P10" i="109"/>
  <c r="P10" i="110" s="1"/>
  <c r="P10" i="111" s="1"/>
  <c r="P10" i="112" s="1"/>
  <c r="P10" i="114" s="1"/>
  <c r="P10" i="115" s="1"/>
  <c r="P10" i="116" s="1"/>
  <c r="P10" i="117" s="1"/>
  <c r="P10" i="118" s="1"/>
  <c r="P10" i="119" s="1"/>
  <c r="P10" i="120" s="1"/>
  <c r="P11" i="103"/>
  <c r="P11" i="109" s="1"/>
  <c r="P11" i="110" s="1"/>
  <c r="P11" i="111" s="1"/>
  <c r="P11" i="112" s="1"/>
  <c r="P11" i="114" s="1"/>
  <c r="P11" i="115" s="1"/>
  <c r="P11" i="116" s="1"/>
  <c r="P11" i="117" s="1"/>
  <c r="P11" i="118" s="1"/>
  <c r="P11" i="119" s="1"/>
  <c r="P11" i="120" s="1"/>
  <c r="AK10" i="109"/>
  <c r="AK10" i="110" s="1"/>
  <c r="AK10" i="111" s="1"/>
  <c r="AK10" i="112" s="1"/>
  <c r="AK10" i="114" s="1"/>
  <c r="AK10" i="115" s="1"/>
  <c r="AK10" i="116" s="1"/>
  <c r="AK10" i="117" s="1"/>
  <c r="AK10" i="118" s="1"/>
  <c r="AK10" i="119" s="1"/>
  <c r="AK10" i="120" s="1"/>
  <c r="AK11" i="103"/>
  <c r="AK11" i="109" s="1"/>
  <c r="AK11" i="110" s="1"/>
  <c r="AK11" i="111" s="1"/>
  <c r="AK11" i="112" s="1"/>
  <c r="AK11" i="114" s="1"/>
  <c r="AK11" i="115" s="1"/>
  <c r="AK11" i="116" s="1"/>
  <c r="AK11" i="117" s="1"/>
  <c r="AK11" i="118" s="1"/>
  <c r="AK11" i="119" s="1"/>
  <c r="AK11" i="120" s="1"/>
  <c r="BB10" i="109"/>
  <c r="BB10" i="110" s="1"/>
  <c r="BB10" i="111" s="1"/>
  <c r="BB10" i="112" s="1"/>
  <c r="BB10" i="114" s="1"/>
  <c r="BB10" i="115" s="1"/>
  <c r="BB10" i="116" s="1"/>
  <c r="BB10" i="117" s="1"/>
  <c r="BB10" i="118" s="1"/>
  <c r="BB10" i="119" s="1"/>
  <c r="BB10" i="120" s="1"/>
  <c r="BB11" i="103"/>
  <c r="BB11" i="109" s="1"/>
  <c r="BB11" i="110" s="1"/>
  <c r="BB11" i="111" s="1"/>
  <c r="BB11" i="112" s="1"/>
  <c r="BB11" i="114" s="1"/>
  <c r="BB11" i="115" s="1"/>
  <c r="BB11" i="116" s="1"/>
  <c r="BB11" i="117" s="1"/>
  <c r="BB11" i="118" s="1"/>
  <c r="BB11" i="119" s="1"/>
  <c r="BB11" i="120" s="1"/>
  <c r="Y12" i="103"/>
  <c r="Y12" i="109" s="1"/>
  <c r="Y12" i="110" s="1"/>
  <c r="Y12" i="111" s="1"/>
  <c r="Y12" i="112" s="1"/>
  <c r="Y12" i="114" s="1"/>
  <c r="Y12" i="115" s="1"/>
  <c r="Y12" i="116" s="1"/>
  <c r="Y12" i="117" s="1"/>
  <c r="Y12" i="118" s="1"/>
  <c r="Y12" i="119" s="1"/>
  <c r="Y12" i="120" s="1"/>
  <c r="BH11" i="109"/>
  <c r="BH11" i="110" s="1"/>
  <c r="BH11" i="111" s="1"/>
  <c r="BH11" i="112" s="1"/>
  <c r="BH11" i="114" s="1"/>
  <c r="BH11" i="115" s="1"/>
  <c r="BH11" i="116" s="1"/>
  <c r="BH11" i="117" s="1"/>
  <c r="BH11" i="118" s="1"/>
  <c r="BH11" i="119" s="1"/>
  <c r="BH11" i="120" s="1"/>
  <c r="BH12" i="103"/>
  <c r="BH12" i="109" s="1"/>
  <c r="BH12" i="110" s="1"/>
  <c r="BH12" i="111" s="1"/>
  <c r="BH12" i="112" s="1"/>
  <c r="BH12" i="114" s="1"/>
  <c r="BH12" i="115" s="1"/>
  <c r="BH12" i="116" s="1"/>
  <c r="BH12" i="117" s="1"/>
  <c r="BH12" i="118" s="1"/>
  <c r="BH12" i="119" s="1"/>
  <c r="BH12" i="120" s="1"/>
  <c r="J12" i="109"/>
  <c r="J12" i="110" s="1"/>
  <c r="J12" i="111" s="1"/>
  <c r="J12" i="112" s="1"/>
  <c r="J12" i="114" s="1"/>
  <c r="J12" i="115" s="1"/>
  <c r="J12" i="116" s="1"/>
  <c r="J12" i="117" s="1"/>
  <c r="J12" i="118" s="1"/>
  <c r="J12" i="119" s="1"/>
  <c r="J12" i="120" s="1"/>
  <c r="J13" i="103"/>
  <c r="J13" i="109" s="1"/>
  <c r="J13" i="110" s="1"/>
  <c r="J13" i="111" s="1"/>
  <c r="J13" i="112" s="1"/>
  <c r="J13" i="114" s="1"/>
  <c r="J13" i="115" s="1"/>
  <c r="J13" i="116" s="1"/>
  <c r="J13" i="117" s="1"/>
  <c r="J13" i="118" s="1"/>
  <c r="J13" i="119" s="1"/>
  <c r="J13" i="120" s="1"/>
  <c r="AX13" i="103"/>
  <c r="AX13" i="109" s="1"/>
  <c r="AX13" i="110" s="1"/>
  <c r="AX13" i="111" s="1"/>
  <c r="AX13" i="112" s="1"/>
  <c r="AX13" i="114" s="1"/>
  <c r="AX13" i="115" s="1"/>
  <c r="AX13" i="116" s="1"/>
  <c r="AX13" i="117" s="1"/>
  <c r="AX13" i="118" s="1"/>
  <c r="AX13" i="119" s="1"/>
  <c r="AX13" i="120" s="1"/>
  <c r="BN12" i="109"/>
  <c r="BN12" i="110" s="1"/>
  <c r="BN12" i="111" s="1"/>
  <c r="BN12" i="112" s="1"/>
  <c r="BN12" i="114" s="1"/>
  <c r="BN12" i="115" s="1"/>
  <c r="BN12" i="116" s="1"/>
  <c r="BN12" i="117" s="1"/>
  <c r="BN12" i="118" s="1"/>
  <c r="BN12" i="119" s="1"/>
  <c r="BN12" i="120" s="1"/>
  <c r="BN13" i="103"/>
  <c r="BN13" i="109" s="1"/>
  <c r="BN13" i="110" s="1"/>
  <c r="BN13" i="111" s="1"/>
  <c r="BN13" i="112" s="1"/>
  <c r="BN13" i="114" s="1"/>
  <c r="BN13" i="115" s="1"/>
  <c r="BN13" i="116" s="1"/>
  <c r="BN13" i="117" s="1"/>
  <c r="BN13" i="118" s="1"/>
  <c r="BN13" i="119" s="1"/>
  <c r="BN13" i="120" s="1"/>
  <c r="AM13" i="109"/>
  <c r="AM13" i="110" s="1"/>
  <c r="AM13" i="111" s="1"/>
  <c r="AM13" i="112" s="1"/>
  <c r="AM13" i="114" s="1"/>
  <c r="AM13" i="115" s="1"/>
  <c r="AM13" i="116" s="1"/>
  <c r="AM13" i="117" s="1"/>
  <c r="AM13" i="118" s="1"/>
  <c r="AM13" i="119" s="1"/>
  <c r="AM13" i="120" s="1"/>
  <c r="AM14" i="103"/>
  <c r="AM14" i="109" s="1"/>
  <c r="AM14" i="110" s="1"/>
  <c r="AM14" i="111" s="1"/>
  <c r="AM14" i="112" s="1"/>
  <c r="AM14" i="114" s="1"/>
  <c r="AM14" i="115" s="1"/>
  <c r="AM14" i="116" s="1"/>
  <c r="AM14" i="117" s="1"/>
  <c r="AM14" i="118" s="1"/>
  <c r="AM14" i="119" s="1"/>
  <c r="AM14" i="120" s="1"/>
  <c r="AB15" i="103"/>
  <c r="AB15" i="109" s="1"/>
  <c r="AB15" i="110" s="1"/>
  <c r="AB15" i="111" s="1"/>
  <c r="AB15" i="112" s="1"/>
  <c r="AB15" i="114" s="1"/>
  <c r="AB15" i="115" s="1"/>
  <c r="AB15" i="116" s="1"/>
  <c r="AB15" i="117" s="1"/>
  <c r="AB15" i="118" s="1"/>
  <c r="AB15" i="119" s="1"/>
  <c r="AB15" i="120" s="1"/>
  <c r="BJ15" i="103"/>
  <c r="BJ15" i="109" s="1"/>
  <c r="BJ15" i="110" s="1"/>
  <c r="BJ15" i="111" s="1"/>
  <c r="BJ15" i="112" s="1"/>
  <c r="BJ15" i="114" s="1"/>
  <c r="BJ15" i="115" s="1"/>
  <c r="BJ15" i="116" s="1"/>
  <c r="BJ15" i="117" s="1"/>
  <c r="BJ15" i="118" s="1"/>
  <c r="BJ15" i="119" s="1"/>
  <c r="BJ15" i="120" s="1"/>
  <c r="M16" i="103"/>
  <c r="M16" i="109" s="1"/>
  <c r="M16" i="110" s="1"/>
  <c r="M16" i="111" s="1"/>
  <c r="M16" i="112" s="1"/>
  <c r="M16" i="114" s="1"/>
  <c r="M16" i="115" s="1"/>
  <c r="M16" i="116" s="1"/>
  <c r="M16" i="117" s="1"/>
  <c r="M16" i="118" s="1"/>
  <c r="M16" i="119" s="1"/>
  <c r="M16" i="120" s="1"/>
  <c r="AZ16" i="103"/>
  <c r="AZ16" i="109" s="1"/>
  <c r="AZ16" i="110" s="1"/>
  <c r="AZ16" i="111" s="1"/>
  <c r="AZ16" i="112" s="1"/>
  <c r="AZ16" i="114" s="1"/>
  <c r="AZ16" i="115" s="1"/>
  <c r="AZ16" i="116" s="1"/>
  <c r="AZ16" i="117" s="1"/>
  <c r="AZ16" i="118" s="1"/>
  <c r="AZ16" i="119" s="1"/>
  <c r="AZ16" i="120" s="1"/>
  <c r="BQ16" i="103"/>
  <c r="BQ16" i="109" s="1"/>
  <c r="BQ16" i="110" s="1"/>
  <c r="BQ16" i="111" s="1"/>
  <c r="BQ16" i="112" s="1"/>
  <c r="BQ16" i="114" s="1"/>
  <c r="BQ16" i="115" s="1"/>
  <c r="BQ16" i="116" s="1"/>
  <c r="BQ16" i="117" s="1"/>
  <c r="BQ16" i="118" s="1"/>
  <c r="BQ16" i="119" s="1"/>
  <c r="BQ16" i="120" s="1"/>
  <c r="AO17" i="103"/>
  <c r="AO17" i="109" s="1"/>
  <c r="AO17" i="110" s="1"/>
  <c r="AO17" i="111" s="1"/>
  <c r="AO17" i="112" s="1"/>
  <c r="AO17" i="114" s="1"/>
  <c r="AO17" i="115" s="1"/>
  <c r="AO17" i="116" s="1"/>
  <c r="AO17" i="117" s="1"/>
  <c r="AO17" i="118" s="1"/>
  <c r="AO17" i="119" s="1"/>
  <c r="AO17" i="120" s="1"/>
  <c r="AE18" i="103"/>
  <c r="AE18" i="109" s="1"/>
  <c r="AE18" i="110" s="1"/>
  <c r="AE18" i="111" s="1"/>
  <c r="AE18" i="112" s="1"/>
  <c r="AE18" i="114" s="1"/>
  <c r="AE18" i="115" s="1"/>
  <c r="AE18" i="116" s="1"/>
  <c r="AE18" i="117" s="1"/>
  <c r="AE18" i="118" s="1"/>
  <c r="AE18" i="119" s="1"/>
  <c r="AE18" i="120" s="1"/>
  <c r="AV18" i="103"/>
  <c r="BL18" i="103"/>
  <c r="BL18" i="109" s="1"/>
  <c r="BL18" i="110" s="1"/>
  <c r="BL18" i="111" s="1"/>
  <c r="BL18" i="112" s="1"/>
  <c r="BL18" i="114" s="1"/>
  <c r="BL18" i="115" s="1"/>
  <c r="BL18" i="116" s="1"/>
  <c r="BL18" i="117" s="1"/>
  <c r="BL18" i="118" s="1"/>
  <c r="BL18" i="119" s="1"/>
  <c r="BL18" i="120" s="1"/>
  <c r="P19" i="103"/>
  <c r="P19" i="109" s="1"/>
  <c r="P19" i="110" s="1"/>
  <c r="P19" i="111" s="1"/>
  <c r="P19" i="112" s="1"/>
  <c r="P19" i="114" s="1"/>
  <c r="P19" i="115" s="1"/>
  <c r="P19" i="116" s="1"/>
  <c r="P19" i="117" s="1"/>
  <c r="P19" i="118" s="1"/>
  <c r="P19" i="119" s="1"/>
  <c r="P19" i="120" s="1"/>
  <c r="AK19" i="103"/>
  <c r="AK19" i="109" s="1"/>
  <c r="AK19" i="110" s="1"/>
  <c r="AK19" i="111" s="1"/>
  <c r="AK19" i="112" s="1"/>
  <c r="AK19" i="114" s="1"/>
  <c r="AK19" i="115" s="1"/>
  <c r="AK19" i="116" s="1"/>
  <c r="AK19" i="117" s="1"/>
  <c r="AK19" i="118" s="1"/>
  <c r="AK19" i="119" s="1"/>
  <c r="AK19" i="120" s="1"/>
  <c r="BB19" i="103"/>
  <c r="BB19" i="109" s="1"/>
  <c r="BB19" i="110" s="1"/>
  <c r="BB19" i="111" s="1"/>
  <c r="BB19" i="112" s="1"/>
  <c r="BB19" i="114" s="1"/>
  <c r="BB19" i="115" s="1"/>
  <c r="BB19" i="116" s="1"/>
  <c r="BB19" i="117" s="1"/>
  <c r="BB19" i="118" s="1"/>
  <c r="BB19" i="119" s="1"/>
  <c r="BB19" i="120" s="1"/>
  <c r="BH19" i="109"/>
  <c r="BH19" i="110" s="1"/>
  <c r="BH19" i="111" s="1"/>
  <c r="BH19" i="112" s="1"/>
  <c r="BH19" i="114" s="1"/>
  <c r="BH19" i="115" s="1"/>
  <c r="BH19" i="116" s="1"/>
  <c r="BH19" i="117" s="1"/>
  <c r="BH19" i="118" s="1"/>
  <c r="BH19" i="119" s="1"/>
  <c r="BH19" i="120" s="1"/>
  <c r="BH20" i="103"/>
  <c r="BH20" i="109" s="1"/>
  <c r="BH20" i="110" s="1"/>
  <c r="BH20" i="111" s="1"/>
  <c r="BH20" i="112" s="1"/>
  <c r="BH20" i="114" s="1"/>
  <c r="BH20" i="115" s="1"/>
  <c r="BH20" i="116" s="1"/>
  <c r="BH20" i="117" s="1"/>
  <c r="BH20" i="118" s="1"/>
  <c r="BH20" i="119" s="1"/>
  <c r="BH20" i="120" s="1"/>
  <c r="J21" i="103"/>
  <c r="J21" i="109" s="1"/>
  <c r="J21" i="110" s="1"/>
  <c r="J21" i="111" s="1"/>
  <c r="J21" i="112" s="1"/>
  <c r="J21" i="114" s="1"/>
  <c r="J21" i="115" s="1"/>
  <c r="J21" i="116" s="1"/>
  <c r="J21" i="117" s="1"/>
  <c r="J21" i="118" s="1"/>
  <c r="J21" i="119" s="1"/>
  <c r="J21" i="120" s="1"/>
  <c r="AX21" i="103"/>
  <c r="BN21" i="103"/>
  <c r="BN21" i="109" s="1"/>
  <c r="BN21" i="110" s="1"/>
  <c r="BN21" i="111" s="1"/>
  <c r="BN21" i="112" s="1"/>
  <c r="BN21" i="114" s="1"/>
  <c r="BN21" i="115" s="1"/>
  <c r="BN21" i="116" s="1"/>
  <c r="BN21" i="117" s="1"/>
  <c r="BN21" i="118" s="1"/>
  <c r="BN21" i="119" s="1"/>
  <c r="BN21" i="120" s="1"/>
  <c r="S22" i="103"/>
  <c r="AM22" i="103"/>
  <c r="AG15" i="35"/>
  <c r="AR8" i="56"/>
  <c r="D8" i="70"/>
  <c r="BD16" i="85"/>
  <c r="AK17" i="87"/>
  <c r="AK17" i="86" s="1"/>
  <c r="AK17" i="88" s="1"/>
  <c r="AK17" i="89" s="1"/>
  <c r="AK17" i="90" s="1"/>
  <c r="AK17" i="91" s="1"/>
  <c r="AK17" i="92" s="1"/>
  <c r="AK17" i="93" s="1"/>
  <c r="AK17" i="94" s="1"/>
  <c r="AK17" i="95" s="1"/>
  <c r="AK17" i="96" s="1"/>
  <c r="AK17" i="97" s="1"/>
  <c r="AK17" i="98" s="1"/>
  <c r="AK17" i="99" s="1"/>
  <c r="AK17" i="100" s="1"/>
  <c r="AK17" i="101" s="1"/>
  <c r="AK17" i="102" s="1"/>
  <c r="AR8" i="53"/>
  <c r="C23" i="91"/>
  <c r="AF23" i="42"/>
  <c r="AG8" i="76"/>
  <c r="AG8" i="92"/>
  <c r="B23" i="92"/>
  <c r="AR8" i="95"/>
  <c r="D9" i="35"/>
  <c r="C23" i="81"/>
  <c r="B23" i="57"/>
  <c r="D8" i="69"/>
  <c r="BQ23" i="120"/>
  <c r="D8" i="116"/>
  <c r="AG8" i="50"/>
  <c r="BC23" i="63"/>
  <c r="D8" i="68"/>
  <c r="B23" i="74"/>
  <c r="D10" i="85"/>
  <c r="C23" i="89"/>
  <c r="B23" i="91"/>
  <c r="C23" i="61"/>
  <c r="AG8" i="81"/>
  <c r="AG23" i="81" s="1"/>
  <c r="AG8" i="48"/>
  <c r="D8" i="49"/>
  <c r="B23" i="51"/>
  <c r="C23" i="62"/>
  <c r="BQ23" i="62"/>
  <c r="BD8" i="63"/>
  <c r="C23" i="64"/>
  <c r="BQ23" i="65"/>
  <c r="AG8" i="65"/>
  <c r="AR8" i="66"/>
  <c r="AG8" i="77"/>
  <c r="B23" i="77"/>
  <c r="D8" i="78"/>
  <c r="AG8" i="85"/>
  <c r="AZ23" i="85"/>
  <c r="C23" i="97"/>
  <c r="BD8" i="114"/>
  <c r="AF23" i="38"/>
  <c r="AG8" i="42"/>
  <c r="AG8" i="117"/>
  <c r="BQ23" i="119"/>
  <c r="BH23" i="35"/>
  <c r="C23" i="55"/>
  <c r="BD8" i="68"/>
  <c r="AF23" i="90"/>
  <c r="D8" i="91"/>
  <c r="D15" i="35"/>
  <c r="C23" i="51"/>
  <c r="BQ23" i="52"/>
  <c r="AG8" i="64"/>
  <c r="B23" i="64"/>
  <c r="AG8" i="69"/>
  <c r="D8" i="77"/>
  <c r="AG8" i="88"/>
  <c r="AG8" i="93"/>
  <c r="AR8" i="93"/>
  <c r="B23" i="99"/>
  <c r="AG8" i="101"/>
  <c r="B23" i="89"/>
  <c r="BC23" i="90"/>
  <c r="BD8" i="115"/>
  <c r="AR8" i="48"/>
  <c r="BD8" i="57"/>
  <c r="C23" i="70"/>
  <c r="BD8" i="76"/>
  <c r="AG10" i="85"/>
  <c r="AF23" i="86"/>
  <c r="AR8" i="96"/>
  <c r="AG8" i="98"/>
  <c r="D8" i="81"/>
  <c r="B23" i="35"/>
  <c r="BC23" i="58"/>
  <c r="AG8" i="73"/>
  <c r="BD8" i="79"/>
  <c r="D8" i="87"/>
  <c r="BC23" i="88"/>
  <c r="D8" i="114"/>
  <c r="D8" i="42"/>
  <c r="B23" i="42"/>
  <c r="D8" i="51"/>
  <c r="D8" i="53"/>
  <c r="G11" i="87"/>
  <c r="G11" i="86" s="1"/>
  <c r="D11" i="85"/>
  <c r="C23" i="49"/>
  <c r="AG8" i="58"/>
  <c r="BF9" i="87"/>
  <c r="BF9" i="86" s="1"/>
  <c r="BD9" i="85"/>
  <c r="BF14" i="37"/>
  <c r="BF23" i="37" s="1"/>
  <c r="BD14" i="35"/>
  <c r="BB13" i="37"/>
  <c r="BB13" i="38" s="1"/>
  <c r="BB13" i="39" s="1"/>
  <c r="BB13" i="41" s="1"/>
  <c r="BB13" i="42" s="1"/>
  <c r="AR13" i="35"/>
  <c r="V23" i="35"/>
  <c r="B23" i="81"/>
  <c r="AM23" i="35"/>
  <c r="AT14" i="37"/>
  <c r="AT14" i="38" s="1"/>
  <c r="AR14" i="35"/>
  <c r="D8" i="48"/>
  <c r="BC23" i="71"/>
  <c r="S17" i="37"/>
  <c r="S17" i="38" s="1"/>
  <c r="S17" i="39" s="1"/>
  <c r="S17" i="41" s="1"/>
  <c r="S17" i="42" s="1"/>
  <c r="D17" i="35"/>
  <c r="S23" i="35"/>
  <c r="BC23" i="35"/>
  <c r="BD8" i="81"/>
  <c r="BD23" i="81" s="1"/>
  <c r="J22" i="37"/>
  <c r="J22" i="38" s="1"/>
  <c r="J22" i="39" s="1"/>
  <c r="J22" i="41" s="1"/>
  <c r="J22" i="42" s="1"/>
  <c r="J23" i="42" s="1"/>
  <c r="D22" i="35"/>
  <c r="B23" i="53"/>
  <c r="D8" i="54"/>
  <c r="AQ23" i="56"/>
  <c r="C23" i="57"/>
  <c r="Y23" i="35"/>
  <c r="BJ21" i="37"/>
  <c r="BJ21" i="38" s="1"/>
  <c r="BJ21" i="39" s="1"/>
  <c r="BJ21" i="41" s="1"/>
  <c r="BJ21" i="42" s="1"/>
  <c r="BD21" i="35"/>
  <c r="AI22" i="37"/>
  <c r="AI22" i="38" s="1"/>
  <c r="AG22" i="35"/>
  <c r="BD8" i="49"/>
  <c r="BD8" i="53"/>
  <c r="AQ23" i="74"/>
  <c r="AT20" i="37"/>
  <c r="AR20" i="37" s="1"/>
  <c r="AR20" i="35"/>
  <c r="AQ23" i="51"/>
  <c r="AR8" i="62"/>
  <c r="AG8" i="63"/>
  <c r="C23" i="63"/>
  <c r="AF23" i="68"/>
  <c r="AZ15" i="87"/>
  <c r="AZ15" i="86" s="1"/>
  <c r="AZ15" i="88" s="1"/>
  <c r="AZ15" i="89" s="1"/>
  <c r="AZ15" i="90" s="1"/>
  <c r="AZ15" i="91" s="1"/>
  <c r="AZ15" i="92" s="1"/>
  <c r="AZ15" i="93" s="1"/>
  <c r="AZ15" i="94" s="1"/>
  <c r="AZ15" i="95" s="1"/>
  <c r="AZ15" i="96" s="1"/>
  <c r="AZ15" i="97" s="1"/>
  <c r="AZ15" i="98" s="1"/>
  <c r="AZ15" i="99" s="1"/>
  <c r="AZ15" i="100" s="1"/>
  <c r="AZ15" i="101" s="1"/>
  <c r="AZ15" i="102" s="1"/>
  <c r="AR15" i="85"/>
  <c r="V13" i="87"/>
  <c r="V13" i="86" s="1"/>
  <c r="V13" i="88" s="1"/>
  <c r="V13" i="89" s="1"/>
  <c r="V13" i="90" s="1"/>
  <c r="V13" i="91" s="1"/>
  <c r="V13" i="92" s="1"/>
  <c r="V13" i="93" s="1"/>
  <c r="V13" i="94" s="1"/>
  <c r="V13" i="95" s="1"/>
  <c r="V13" i="96" s="1"/>
  <c r="V13" i="97" s="1"/>
  <c r="V13" i="98" s="1"/>
  <c r="V13" i="99" s="1"/>
  <c r="V13" i="100" s="1"/>
  <c r="V13" i="101" s="1"/>
  <c r="V13" i="102" s="1"/>
  <c r="D13" i="85"/>
  <c r="AG8" i="89"/>
  <c r="AQ23" i="98"/>
  <c r="AF23" i="37"/>
  <c r="BC23" i="39"/>
  <c r="AF23" i="71"/>
  <c r="G23" i="35"/>
  <c r="AE23" i="35"/>
  <c r="AR8" i="35"/>
  <c r="BL23" i="35"/>
  <c r="B23" i="48"/>
  <c r="BC23" i="49"/>
  <c r="AR8" i="50"/>
  <c r="AQ23" i="52"/>
  <c r="C23" i="54"/>
  <c r="AR8" i="55"/>
  <c r="AQ23" i="55"/>
  <c r="BQ23" i="57"/>
  <c r="AQ23" i="58"/>
  <c r="AF23" i="63"/>
  <c r="AR8" i="67"/>
  <c r="BD8" i="71"/>
  <c r="B23" i="71"/>
  <c r="AQ23" i="77"/>
  <c r="Y23" i="85"/>
  <c r="AQ23" i="85"/>
  <c r="BH23" i="85"/>
  <c r="BC23" i="85"/>
  <c r="C23" i="88"/>
  <c r="BC23" i="89"/>
  <c r="AF23" i="89"/>
  <c r="C23" i="42"/>
  <c r="B23" i="70"/>
  <c r="AF23" i="74"/>
  <c r="S23" i="85"/>
  <c r="AB23" i="35"/>
  <c r="AG8" i="62"/>
  <c r="AO23" i="85"/>
  <c r="BF23" i="85"/>
  <c r="J23" i="35"/>
  <c r="AF23" i="35"/>
  <c r="AX23" i="35"/>
  <c r="BQ23" i="35"/>
  <c r="C23" i="35"/>
  <c r="C23" i="48"/>
  <c r="D8" i="50"/>
  <c r="AR8" i="52"/>
  <c r="BQ23" i="53"/>
  <c r="BC23" i="54"/>
  <c r="D8" i="55"/>
  <c r="B23" i="56"/>
  <c r="AQ23" i="57"/>
  <c r="D8" i="58"/>
  <c r="BC23" i="62"/>
  <c r="B23" i="62"/>
  <c r="B23" i="63"/>
  <c r="BC23" i="64"/>
  <c r="AF23" i="64"/>
  <c r="AG8" i="66"/>
  <c r="BQ23" i="74"/>
  <c r="AG8" i="70"/>
  <c r="AR8" i="71"/>
  <c r="C23" i="78"/>
  <c r="AF23" i="87"/>
  <c r="AQ23" i="86"/>
  <c r="AG8" i="91"/>
  <c r="AQ23" i="92"/>
  <c r="C23" i="93"/>
  <c r="AQ23" i="97"/>
  <c r="AF23" i="98"/>
  <c r="AR8" i="98"/>
  <c r="AQ23" i="42"/>
  <c r="BD8" i="50"/>
  <c r="AF23" i="51"/>
  <c r="AF23" i="61"/>
  <c r="AQ23" i="67"/>
  <c r="BC23" i="73"/>
  <c r="M23" i="35"/>
  <c r="AI23" i="35"/>
  <c r="AZ23" i="35"/>
  <c r="AQ23" i="49"/>
  <c r="AF23" i="50"/>
  <c r="C23" i="50"/>
  <c r="BC23" i="51"/>
  <c r="D8" i="52"/>
  <c r="B23" i="52"/>
  <c r="AF23" i="55"/>
  <c r="C23" i="56"/>
  <c r="AR8" i="57"/>
  <c r="BQ23" i="64"/>
  <c r="D8" i="67"/>
  <c r="BQ23" i="68"/>
  <c r="C23" i="69"/>
  <c r="C23" i="73"/>
  <c r="BC23" i="76"/>
  <c r="B23" i="79"/>
  <c r="AV23" i="85"/>
  <c r="BL23" i="85"/>
  <c r="B23" i="85"/>
  <c r="AG8" i="87"/>
  <c r="B23" i="86"/>
  <c r="BD8" i="90"/>
  <c r="B23" i="90"/>
  <c r="BC23" i="91"/>
  <c r="D8" i="95"/>
  <c r="BD8" i="109"/>
  <c r="AR8" i="114"/>
  <c r="B23" i="37"/>
  <c r="C23" i="41"/>
  <c r="D8" i="118"/>
  <c r="AQ23" i="76"/>
  <c r="AF23" i="77"/>
  <c r="AM23" i="85"/>
  <c r="AT23" i="35"/>
  <c r="BJ23" i="35"/>
  <c r="AF23" i="48"/>
  <c r="B23" i="69"/>
  <c r="P23" i="35"/>
  <c r="AK23" i="35"/>
  <c r="BB23" i="35"/>
  <c r="AQ23" i="35"/>
  <c r="BC23" i="48"/>
  <c r="B23" i="55"/>
  <c r="C23" i="58"/>
  <c r="BQ23" i="61"/>
  <c r="D8" i="62"/>
  <c r="AQ23" i="64"/>
  <c r="AQ23" i="66"/>
  <c r="BD8" i="70"/>
  <c r="AR8" i="77"/>
  <c r="D8" i="79"/>
  <c r="J23" i="85"/>
  <c r="AG12" i="85"/>
  <c r="C23" i="85"/>
  <c r="BD8" i="89"/>
  <c r="C23" i="90"/>
  <c r="AR8" i="92"/>
  <c r="AG8" i="100"/>
  <c r="BD8" i="37"/>
  <c r="C23" i="37"/>
  <c r="C23" i="39"/>
  <c r="BD8" i="91"/>
  <c r="AG8" i="95"/>
  <c r="C23" i="95"/>
  <c r="BD8" i="96"/>
  <c r="AF23" i="97"/>
  <c r="B23" i="97"/>
  <c r="AQ23" i="37"/>
  <c r="BD8" i="38"/>
  <c r="BC23" i="38"/>
  <c r="BC23" i="41"/>
  <c r="AO23" i="35"/>
  <c r="BD8" i="35"/>
  <c r="AQ23" i="48"/>
  <c r="AF23" i="49"/>
  <c r="B23" i="49"/>
  <c r="B23" i="50"/>
  <c r="AR8" i="51"/>
  <c r="AF23" i="54"/>
  <c r="BC23" i="55"/>
  <c r="D8" i="56"/>
  <c r="AG8" i="57"/>
  <c r="AR8" i="61"/>
  <c r="D8" i="64"/>
  <c r="BC23" i="65"/>
  <c r="B23" i="66"/>
  <c r="C23" i="67"/>
  <c r="AR8" i="70"/>
  <c r="AF23" i="73"/>
  <c r="D8" i="74"/>
  <c r="P23" i="85"/>
  <c r="AK23" i="85"/>
  <c r="AR8" i="91"/>
  <c r="C23" i="92"/>
  <c r="AQ23" i="96"/>
  <c r="AG8" i="97"/>
  <c r="BC23" i="98"/>
  <c r="AR8" i="101"/>
  <c r="AR8" i="109"/>
  <c r="AG8" i="114"/>
  <c r="AR8" i="37"/>
  <c r="AF23" i="39"/>
  <c r="AR8" i="39"/>
  <c r="B23" i="98"/>
  <c r="D8" i="98"/>
  <c r="BD8" i="98"/>
  <c r="AR8" i="97"/>
  <c r="BC23" i="96"/>
  <c r="D8" i="96"/>
  <c r="AG8" i="96"/>
  <c r="BC23" i="99"/>
  <c r="AF23" i="99"/>
  <c r="BC23" i="118"/>
  <c r="AQ23" i="112"/>
  <c r="BC23" i="101"/>
  <c r="AQ23" i="101"/>
  <c r="D8" i="101"/>
  <c r="BD8" i="101"/>
  <c r="BC23" i="100"/>
  <c r="C23" i="100"/>
  <c r="AQ23" i="100"/>
  <c r="AR8" i="100"/>
  <c r="AR9" i="35"/>
  <c r="BD10" i="35"/>
  <c r="AG11" i="35"/>
  <c r="G15" i="38"/>
  <c r="D15" i="37"/>
  <c r="BD18" i="35"/>
  <c r="AG19" i="35"/>
  <c r="BF21" i="38"/>
  <c r="AG8" i="49"/>
  <c r="AT9" i="38"/>
  <c r="AR9" i="37"/>
  <c r="BF10" i="38"/>
  <c r="BD10" i="37"/>
  <c r="AI11" i="38"/>
  <c r="AG11" i="37"/>
  <c r="D12" i="35"/>
  <c r="AR17" i="35"/>
  <c r="BD18" i="37"/>
  <c r="BF18" i="38"/>
  <c r="AI19" i="38"/>
  <c r="AG19" i="37"/>
  <c r="BF13" i="38"/>
  <c r="BD13" i="37"/>
  <c r="AG8" i="35"/>
  <c r="AV9" i="41"/>
  <c r="AV9" i="42" s="1"/>
  <c r="AV23" i="39"/>
  <c r="D12" i="37"/>
  <c r="G12" i="38"/>
  <c r="BD15" i="35"/>
  <c r="AG16" i="35"/>
  <c r="AT17" i="38"/>
  <c r="AR17" i="37"/>
  <c r="D20" i="35"/>
  <c r="BN23" i="35"/>
  <c r="AF23" i="52"/>
  <c r="BD15" i="37"/>
  <c r="BF15" i="38"/>
  <c r="AI16" i="38"/>
  <c r="AG16" i="37"/>
  <c r="G20" i="38"/>
  <c r="D20" i="37"/>
  <c r="AI14" i="38"/>
  <c r="AG14" i="37"/>
  <c r="D9" i="37"/>
  <c r="G9" i="38"/>
  <c r="AV23" i="35"/>
  <c r="BB9" i="39"/>
  <c r="BB9" i="41" s="1"/>
  <c r="BB9" i="42" s="1"/>
  <c r="BD12" i="35"/>
  <c r="AG13" i="35"/>
  <c r="G17" i="38"/>
  <c r="AR22" i="35"/>
  <c r="AG8" i="52"/>
  <c r="M23" i="39"/>
  <c r="M9" i="41"/>
  <c r="M9" i="42" s="1"/>
  <c r="AR11" i="35"/>
  <c r="BF12" i="38"/>
  <c r="BD12" i="37"/>
  <c r="AI13" i="38"/>
  <c r="AG13" i="37"/>
  <c r="AR19" i="35"/>
  <c r="BD20" i="35"/>
  <c r="AG21" i="35"/>
  <c r="AT22" i="38"/>
  <c r="AR22" i="37"/>
  <c r="AR8" i="49"/>
  <c r="AQ23" i="50"/>
  <c r="P23" i="42"/>
  <c r="BD9" i="35"/>
  <c r="AG10" i="35"/>
  <c r="AT11" i="38"/>
  <c r="AR11" i="37"/>
  <c r="D14" i="35"/>
  <c r="AT19" i="38"/>
  <c r="AR19" i="37"/>
  <c r="BF20" i="38"/>
  <c r="BD20" i="37"/>
  <c r="AG21" i="37"/>
  <c r="AI21" i="38"/>
  <c r="S9" i="38"/>
  <c r="S9" i="39" s="1"/>
  <c r="S9" i="41" s="1"/>
  <c r="S9" i="42" s="1"/>
  <c r="BF9" i="38"/>
  <c r="BD9" i="37"/>
  <c r="AI10" i="38"/>
  <c r="AG10" i="37"/>
  <c r="G14" i="38"/>
  <c r="D14" i="37"/>
  <c r="AR16" i="35"/>
  <c r="BD17" i="35"/>
  <c r="AG18" i="35"/>
  <c r="AT12" i="38"/>
  <c r="AR12" i="37"/>
  <c r="V9" i="42"/>
  <c r="V23" i="41"/>
  <c r="BH23" i="37"/>
  <c r="BH9" i="38"/>
  <c r="BH9" i="39" s="1"/>
  <c r="BH9" i="41" s="1"/>
  <c r="BH9" i="42" s="1"/>
  <c r="D11" i="35"/>
  <c r="AR16" i="37"/>
  <c r="AT16" i="38"/>
  <c r="BF17" i="38"/>
  <c r="BD17" i="37"/>
  <c r="AI18" i="38"/>
  <c r="AG18" i="37"/>
  <c r="D19" i="35"/>
  <c r="G22" i="38"/>
  <c r="C23" i="52"/>
  <c r="Y9" i="42"/>
  <c r="Y23" i="41"/>
  <c r="G11" i="38"/>
  <c r="D11" i="37"/>
  <c r="D19" i="37"/>
  <c r="G19" i="38"/>
  <c r="AR8" i="81"/>
  <c r="AR23" i="81" s="1"/>
  <c r="D8" i="35"/>
  <c r="BL9" i="38"/>
  <c r="BL9" i="39" s="1"/>
  <c r="BL9" i="41" s="1"/>
  <c r="BL9" i="42" s="1"/>
  <c r="BL23" i="37"/>
  <c r="AI15" i="38"/>
  <c r="AG15" i="37"/>
  <c r="D16" i="35"/>
  <c r="AE9" i="41"/>
  <c r="AE9" i="42" s="1"/>
  <c r="AE23" i="39"/>
  <c r="BN9" i="38"/>
  <c r="BN23" i="37"/>
  <c r="BD11" i="35"/>
  <c r="AG12" i="35"/>
  <c r="AT13" i="38"/>
  <c r="G16" i="38"/>
  <c r="D16" i="37"/>
  <c r="AR21" i="35"/>
  <c r="BD22" i="35"/>
  <c r="BD8" i="48"/>
  <c r="AG8" i="51"/>
  <c r="AR10" i="35"/>
  <c r="BF11" i="38"/>
  <c r="BD11" i="37"/>
  <c r="AI12" i="38"/>
  <c r="AG12" i="37"/>
  <c r="BD19" i="35"/>
  <c r="AG20" i="35"/>
  <c r="AR21" i="37"/>
  <c r="AT21" i="38"/>
  <c r="BF22" i="38"/>
  <c r="BD22" i="37"/>
  <c r="BC23" i="50"/>
  <c r="BC23" i="52"/>
  <c r="AG9" i="35"/>
  <c r="AT10" i="38"/>
  <c r="AR10" i="37"/>
  <c r="D13" i="35"/>
  <c r="AR18" i="35"/>
  <c r="BF19" i="38"/>
  <c r="BD19" i="37"/>
  <c r="AI20" i="38"/>
  <c r="AG20" i="37"/>
  <c r="BF23" i="35"/>
  <c r="AI9" i="38"/>
  <c r="AG9" i="37"/>
  <c r="G13" i="38"/>
  <c r="D13" i="37"/>
  <c r="AR15" i="35"/>
  <c r="BD16" i="35"/>
  <c r="AG17" i="35"/>
  <c r="AT18" i="38"/>
  <c r="AR18" i="37"/>
  <c r="D21" i="35"/>
  <c r="AG8" i="53"/>
  <c r="AK9" i="42"/>
  <c r="AK23" i="42" s="1"/>
  <c r="AK23" i="41"/>
  <c r="D10" i="35"/>
  <c r="AT15" i="38"/>
  <c r="AR15" i="37"/>
  <c r="BF16" i="38"/>
  <c r="BD16" i="37"/>
  <c r="AI17" i="38"/>
  <c r="AG17" i="37"/>
  <c r="D21" i="37"/>
  <c r="G21" i="38"/>
  <c r="AM9" i="39"/>
  <c r="AM9" i="41" s="1"/>
  <c r="AM23" i="38"/>
  <c r="G10" i="38"/>
  <c r="D10" i="37"/>
  <c r="D18" i="35"/>
  <c r="AR12" i="35"/>
  <c r="BD13" i="35"/>
  <c r="AG14" i="35"/>
  <c r="G18" i="38"/>
  <c r="D18" i="37"/>
  <c r="AQ23" i="53"/>
  <c r="C23" i="53"/>
  <c r="BD8" i="51"/>
  <c r="BD8" i="52"/>
  <c r="BC23" i="53"/>
  <c r="B23" i="54"/>
  <c r="AF23" i="53"/>
  <c r="BD8" i="56"/>
  <c r="AQ23" i="54"/>
  <c r="AR8" i="54"/>
  <c r="AG8" i="55"/>
  <c r="AF23" i="56"/>
  <c r="D8" i="61"/>
  <c r="AF23" i="57"/>
  <c r="BD8" i="58"/>
  <c r="BQ23" i="54"/>
  <c r="AF23" i="58"/>
  <c r="AQ23" i="61"/>
  <c r="D8" i="65"/>
  <c r="BD8" i="54"/>
  <c r="BD8" i="55"/>
  <c r="BC23" i="56"/>
  <c r="B23" i="61"/>
  <c r="BD8" i="62"/>
  <c r="D8" i="57"/>
  <c r="BC23" i="57"/>
  <c r="BC23" i="61"/>
  <c r="B23" i="58"/>
  <c r="BD8" i="61"/>
  <c r="AG8" i="61"/>
  <c r="AF23" i="62"/>
  <c r="D8" i="63"/>
  <c r="AF23" i="67"/>
  <c r="BQ23" i="56"/>
  <c r="AR8" i="58"/>
  <c r="BQ23" i="58"/>
  <c r="AQ23" i="62"/>
  <c r="D8" i="66"/>
  <c r="AR8" i="64"/>
  <c r="AR8" i="65"/>
  <c r="AQ23" i="63"/>
  <c r="BC23" i="66"/>
  <c r="BD8" i="64"/>
  <c r="AG8" i="67"/>
  <c r="AF23" i="66"/>
  <c r="AF23" i="65"/>
  <c r="BQ23" i="66"/>
  <c r="AR8" i="63"/>
  <c r="B23" i="65"/>
  <c r="BQ23" i="63"/>
  <c r="AQ23" i="65"/>
  <c r="C23" i="65"/>
  <c r="C23" i="66"/>
  <c r="AG8" i="68"/>
  <c r="AK9" i="93"/>
  <c r="AQ23" i="68"/>
  <c r="AR8" i="68"/>
  <c r="BQ23" i="67"/>
  <c r="AF23" i="69"/>
  <c r="AG8" i="74"/>
  <c r="BD8" i="66"/>
  <c r="BC23" i="67"/>
  <c r="BC23" i="68"/>
  <c r="AQ23" i="69"/>
  <c r="AR8" i="69"/>
  <c r="BC23" i="70"/>
  <c r="C23" i="68"/>
  <c r="B23" i="67"/>
  <c r="BC23" i="69"/>
  <c r="AR8" i="76"/>
  <c r="B23" i="68"/>
  <c r="D8" i="76"/>
  <c r="BD8" i="69"/>
  <c r="BQ23" i="76"/>
  <c r="AQ23" i="71"/>
  <c r="C23" i="71"/>
  <c r="BQ23" i="70"/>
  <c r="AR8" i="73"/>
  <c r="AF23" i="70"/>
  <c r="D8" i="73"/>
  <c r="D8" i="71"/>
  <c r="BQ23" i="90"/>
  <c r="BQ23" i="89"/>
  <c r="BQ23" i="91"/>
  <c r="BQ23" i="92"/>
  <c r="BQ23" i="86"/>
  <c r="BQ23" i="77"/>
  <c r="BQ23" i="79"/>
  <c r="BQ23" i="71"/>
  <c r="AQ23" i="70"/>
  <c r="B23" i="73"/>
  <c r="AR8" i="74"/>
  <c r="C23" i="74"/>
  <c r="C23" i="76"/>
  <c r="BQ23" i="73"/>
  <c r="AF23" i="78"/>
  <c r="AF23" i="76"/>
  <c r="BC23" i="77"/>
  <c r="BC23" i="74"/>
  <c r="B23" i="76"/>
  <c r="AF23" i="79"/>
  <c r="AQ23" i="73"/>
  <c r="BD8" i="74"/>
  <c r="AG8" i="78"/>
  <c r="C23" i="79"/>
  <c r="AT15" i="86"/>
  <c r="AR8" i="78"/>
  <c r="AQ23" i="79"/>
  <c r="AZ9" i="91"/>
  <c r="AZ9" i="92" s="1"/>
  <c r="AZ9" i="93" s="1"/>
  <c r="AZ9" i="94" s="1"/>
  <c r="AZ9" i="95" s="1"/>
  <c r="AZ9" i="96" s="1"/>
  <c r="BD8" i="77"/>
  <c r="AB23" i="85"/>
  <c r="G15" i="86"/>
  <c r="D15" i="87"/>
  <c r="G9" i="86"/>
  <c r="AI14" i="86"/>
  <c r="AG14" i="87"/>
  <c r="BC23" i="78"/>
  <c r="AF23" i="85"/>
  <c r="G13" i="86"/>
  <c r="BD8" i="78"/>
  <c r="BC23" i="79"/>
  <c r="AG12" i="87"/>
  <c r="AI12" i="86"/>
  <c r="AE9" i="87"/>
  <c r="AE9" i="86" s="1"/>
  <c r="AE9" i="88" s="1"/>
  <c r="AE9" i="89" s="1"/>
  <c r="AE9" i="90" s="1"/>
  <c r="AE23" i="85"/>
  <c r="BB23" i="87"/>
  <c r="C23" i="77"/>
  <c r="AX23" i="85"/>
  <c r="AG15" i="86"/>
  <c r="AI15" i="88"/>
  <c r="BC23" i="87"/>
  <c r="AT17" i="88"/>
  <c r="AR17" i="86"/>
  <c r="BB23" i="88"/>
  <c r="AG8" i="90"/>
  <c r="AM23" i="90"/>
  <c r="AR8" i="79"/>
  <c r="M9" i="88"/>
  <c r="M23" i="86"/>
  <c r="AI10" i="86"/>
  <c r="AG10" i="87"/>
  <c r="AI16" i="86"/>
  <c r="D17" i="85"/>
  <c r="BD8" i="87"/>
  <c r="AR10" i="87"/>
  <c r="AT10" i="86"/>
  <c r="Y23" i="87"/>
  <c r="BQ23" i="78"/>
  <c r="P9" i="87"/>
  <c r="P9" i="86" s="1"/>
  <c r="P9" i="88" s="1"/>
  <c r="P9" i="89" s="1"/>
  <c r="P9" i="90" s="1"/>
  <c r="P9" i="91" s="1"/>
  <c r="P9" i="92" s="1"/>
  <c r="D9" i="85"/>
  <c r="BH9" i="92"/>
  <c r="BH9" i="93" s="1"/>
  <c r="BH9" i="94" s="1"/>
  <c r="BH9" i="95" s="1"/>
  <c r="BH9" i="96" s="1"/>
  <c r="BD11" i="85"/>
  <c r="BF13" i="86"/>
  <c r="BD13" i="87"/>
  <c r="AK16" i="87"/>
  <c r="AK16" i="86" s="1"/>
  <c r="AK16" i="88" s="1"/>
  <c r="AK16" i="89" s="1"/>
  <c r="AK16" i="90" s="1"/>
  <c r="AK16" i="91" s="1"/>
  <c r="AK16" i="92" s="1"/>
  <c r="AK16" i="93" s="1"/>
  <c r="AK16" i="94" s="1"/>
  <c r="AK16" i="95" s="1"/>
  <c r="AK16" i="96" s="1"/>
  <c r="AK16" i="97" s="1"/>
  <c r="AK16" i="98" s="1"/>
  <c r="AK16" i="99" s="1"/>
  <c r="AK16" i="100" s="1"/>
  <c r="AK16" i="101" s="1"/>
  <c r="AK16" i="102" s="1"/>
  <c r="AG16" i="85"/>
  <c r="G17" i="86"/>
  <c r="D17" i="87"/>
  <c r="AI18" i="87"/>
  <c r="AG18" i="85"/>
  <c r="D19" i="85"/>
  <c r="AG20" i="85"/>
  <c r="G21" i="86"/>
  <c r="D21" i="87"/>
  <c r="M23" i="87"/>
  <c r="BF15" i="86"/>
  <c r="BD19" i="85"/>
  <c r="AI20" i="86"/>
  <c r="AG20" i="87"/>
  <c r="BJ23" i="87"/>
  <c r="BH15" i="87"/>
  <c r="BH15" i="86" s="1"/>
  <c r="BH15" i="88" s="1"/>
  <c r="BH15" i="89" s="1"/>
  <c r="BH15" i="90" s="1"/>
  <c r="BH15" i="91" s="1"/>
  <c r="BH15" i="92" s="1"/>
  <c r="BH15" i="93" s="1"/>
  <c r="BH15" i="94" s="1"/>
  <c r="BH15" i="95" s="1"/>
  <c r="BH15" i="96" s="1"/>
  <c r="BH15" i="97" s="1"/>
  <c r="BH15" i="98" s="1"/>
  <c r="BH15" i="99" s="1"/>
  <c r="BH15" i="100" s="1"/>
  <c r="BH15" i="101" s="1"/>
  <c r="BH15" i="102" s="1"/>
  <c r="BD15" i="85"/>
  <c r="BF17" i="87"/>
  <c r="BD17" i="85"/>
  <c r="BF19" i="86"/>
  <c r="BD19" i="87"/>
  <c r="S23" i="87"/>
  <c r="AR8" i="85"/>
  <c r="AT23" i="85"/>
  <c r="BN9" i="87"/>
  <c r="BN23" i="85"/>
  <c r="AT12" i="86"/>
  <c r="AR12" i="87"/>
  <c r="AT14" i="86"/>
  <c r="BB23" i="86"/>
  <c r="AR10" i="85"/>
  <c r="BN10" i="118"/>
  <c r="BN10" i="119" s="1"/>
  <c r="BN10" i="120" s="1"/>
  <c r="AV14" i="87"/>
  <c r="AV14" i="86" s="1"/>
  <c r="AV14" i="88" s="1"/>
  <c r="AV14" i="89" s="1"/>
  <c r="AV14" i="90" s="1"/>
  <c r="AV14" i="91" s="1"/>
  <c r="AV14" i="92" s="1"/>
  <c r="AV14" i="93" s="1"/>
  <c r="AV14" i="94" s="1"/>
  <c r="AV14" i="95" s="1"/>
  <c r="AV14" i="96" s="1"/>
  <c r="AV14" i="97" s="1"/>
  <c r="AV14" i="98" s="1"/>
  <c r="AV14" i="99" s="1"/>
  <c r="AV14" i="100" s="1"/>
  <c r="AV14" i="101" s="1"/>
  <c r="AV14" i="102" s="1"/>
  <c r="AR14" i="85"/>
  <c r="AT16" i="87"/>
  <c r="AR16" i="85"/>
  <c r="AR18" i="85"/>
  <c r="AT22" i="86"/>
  <c r="AT18" i="86"/>
  <c r="AR18" i="87"/>
  <c r="AB9" i="92"/>
  <c r="AB9" i="93" s="1"/>
  <c r="AB9" i="94" s="1"/>
  <c r="AB9" i="95" s="1"/>
  <c r="AB23" i="95" s="1"/>
  <c r="AB23" i="91"/>
  <c r="BB23" i="85"/>
  <c r="AG9" i="85"/>
  <c r="AI9" i="87"/>
  <c r="AV20" i="95"/>
  <c r="AV20" i="96" s="1"/>
  <c r="AV20" i="97" s="1"/>
  <c r="AV20" i="98" s="1"/>
  <c r="AV20" i="99" s="1"/>
  <c r="AV20" i="100" s="1"/>
  <c r="AV20" i="101" s="1"/>
  <c r="AV20" i="102" s="1"/>
  <c r="AX22" i="87"/>
  <c r="AX22" i="86" s="1"/>
  <c r="AX22" i="88" s="1"/>
  <c r="AX22" i="89" s="1"/>
  <c r="AX22" i="90" s="1"/>
  <c r="AX22" i="91" s="1"/>
  <c r="AX22" i="92" s="1"/>
  <c r="AX22" i="93" s="1"/>
  <c r="AX22" i="94" s="1"/>
  <c r="AX22" i="95" s="1"/>
  <c r="AX22" i="96" s="1"/>
  <c r="AX22" i="97" s="1"/>
  <c r="AX22" i="98" s="1"/>
  <c r="AX22" i="99" s="1"/>
  <c r="AX22" i="100" s="1"/>
  <c r="AX22" i="101" s="1"/>
  <c r="AX22" i="102" s="1"/>
  <c r="AR22" i="85"/>
  <c r="B23" i="78"/>
  <c r="D8" i="85"/>
  <c r="G23" i="85"/>
  <c r="G10" i="88"/>
  <c r="D10" i="86"/>
  <c r="G12" i="86"/>
  <c r="D12" i="87"/>
  <c r="AI13" i="87"/>
  <c r="AG13" i="85"/>
  <c r="G14" i="87"/>
  <c r="D14" i="85"/>
  <c r="AG15" i="85"/>
  <c r="BD8" i="85"/>
  <c r="AI11" i="86"/>
  <c r="AG11" i="87"/>
  <c r="BF12" i="87"/>
  <c r="BD12" i="85"/>
  <c r="BD14" i="85"/>
  <c r="AG15" i="87"/>
  <c r="D16" i="85"/>
  <c r="G16" i="87"/>
  <c r="D22" i="85"/>
  <c r="M23" i="85"/>
  <c r="AO9" i="93"/>
  <c r="AO23" i="92"/>
  <c r="BF10" i="86"/>
  <c r="BD10" i="87"/>
  <c r="BD14" i="87"/>
  <c r="BF14" i="86"/>
  <c r="D18" i="87"/>
  <c r="D22" i="87"/>
  <c r="G22" i="86"/>
  <c r="AM23" i="87"/>
  <c r="BD20" i="87"/>
  <c r="BF16" i="86"/>
  <c r="BD16" i="87"/>
  <c r="AI17" i="86"/>
  <c r="BF22" i="87"/>
  <c r="BD22" i="85"/>
  <c r="AO23" i="87"/>
  <c r="BF11" i="86"/>
  <c r="BD11" i="87"/>
  <c r="AI19" i="88"/>
  <c r="AG19" i="86"/>
  <c r="S23" i="89"/>
  <c r="AQ23" i="78"/>
  <c r="BJ23" i="85"/>
  <c r="AT9" i="86"/>
  <c r="AR9" i="87"/>
  <c r="BL9" i="94"/>
  <c r="BL9" i="95" s="1"/>
  <c r="BL23" i="95" s="1"/>
  <c r="BL23" i="93"/>
  <c r="V23" i="85"/>
  <c r="AV9" i="89"/>
  <c r="AV9" i="90" s="1"/>
  <c r="AV9" i="91" s="1"/>
  <c r="AV9" i="92" s="1"/>
  <c r="AR13" i="85"/>
  <c r="AT11" i="87"/>
  <c r="AR11" i="85"/>
  <c r="AR13" i="87"/>
  <c r="AT13" i="86"/>
  <c r="BQ23" i="85"/>
  <c r="AT21" i="87"/>
  <c r="AR21" i="85"/>
  <c r="AR8" i="87"/>
  <c r="D10" i="87"/>
  <c r="AI23" i="85"/>
  <c r="C23" i="87"/>
  <c r="C23" i="86"/>
  <c r="J23" i="88"/>
  <c r="BJ23" i="88"/>
  <c r="AR12" i="85"/>
  <c r="BD13" i="85"/>
  <c r="AG14" i="85"/>
  <c r="D21" i="85"/>
  <c r="AG8" i="86"/>
  <c r="AM23" i="86"/>
  <c r="S23" i="88"/>
  <c r="BL23" i="88"/>
  <c r="AG8" i="79"/>
  <c r="AR9" i="85"/>
  <c r="BD10" i="85"/>
  <c r="AG11" i="85"/>
  <c r="D18" i="85"/>
  <c r="AB23" i="87"/>
  <c r="BL23" i="87"/>
  <c r="AO23" i="86"/>
  <c r="AM23" i="89"/>
  <c r="D15" i="85"/>
  <c r="Y23" i="88"/>
  <c r="D12" i="85"/>
  <c r="AR8" i="86"/>
  <c r="G18" i="86"/>
  <c r="AB23" i="88"/>
  <c r="AR20" i="85"/>
  <c r="BD21" i="85"/>
  <c r="AG22" i="85"/>
  <c r="AR8" i="89"/>
  <c r="AR17" i="85"/>
  <c r="BD18" i="85"/>
  <c r="AG19" i="85"/>
  <c r="AT20" i="86"/>
  <c r="AR20" i="87"/>
  <c r="BF21" i="86"/>
  <c r="BD21" i="87"/>
  <c r="AI22" i="86"/>
  <c r="AG22" i="87"/>
  <c r="D20" i="87"/>
  <c r="BQ23" i="87"/>
  <c r="AF23" i="88"/>
  <c r="AR17" i="87"/>
  <c r="BD18" i="87"/>
  <c r="AG19" i="87"/>
  <c r="G19" i="87"/>
  <c r="BQ23" i="88"/>
  <c r="D20" i="85"/>
  <c r="G20" i="88"/>
  <c r="D20" i="86"/>
  <c r="D8" i="86"/>
  <c r="BC23" i="86"/>
  <c r="AM23" i="88"/>
  <c r="BB23" i="89"/>
  <c r="AQ23" i="87"/>
  <c r="J23" i="86"/>
  <c r="AO23" i="88"/>
  <c r="B23" i="88"/>
  <c r="AG21" i="87"/>
  <c r="AQ23" i="88"/>
  <c r="J23" i="89"/>
  <c r="AR19" i="85"/>
  <c r="BD20" i="85"/>
  <c r="AG21" i="85"/>
  <c r="BJ23" i="86"/>
  <c r="BD8" i="86"/>
  <c r="BF18" i="86"/>
  <c r="AT19" i="88"/>
  <c r="AR19" i="86"/>
  <c r="BF20" i="88"/>
  <c r="BD20" i="86"/>
  <c r="AI21" i="88"/>
  <c r="AG21" i="86"/>
  <c r="S23" i="86"/>
  <c r="BL23" i="86"/>
  <c r="Y23" i="86"/>
  <c r="AR8" i="88"/>
  <c r="J23" i="87"/>
  <c r="AR19" i="87"/>
  <c r="AB23" i="86"/>
  <c r="Y23" i="89"/>
  <c r="D8" i="88"/>
  <c r="BQ23" i="93"/>
  <c r="AO23" i="90"/>
  <c r="BD8" i="88"/>
  <c r="AQ23" i="90"/>
  <c r="BJ23" i="89"/>
  <c r="S23" i="91"/>
  <c r="BL23" i="91"/>
  <c r="BJ23" i="93"/>
  <c r="AB23" i="89"/>
  <c r="BL23" i="89"/>
  <c r="BJ23" i="92"/>
  <c r="AR8" i="90"/>
  <c r="Y23" i="91"/>
  <c r="BB23" i="90"/>
  <c r="D8" i="90"/>
  <c r="J23" i="90"/>
  <c r="AO23" i="89"/>
  <c r="S23" i="90"/>
  <c r="BJ23" i="90"/>
  <c r="AM23" i="91"/>
  <c r="Y23" i="37"/>
  <c r="AQ23" i="89"/>
  <c r="BL23" i="90"/>
  <c r="Y23" i="90"/>
  <c r="AQ23" i="91"/>
  <c r="AB23" i="90"/>
  <c r="D8" i="89"/>
  <c r="J23" i="91"/>
  <c r="BB23" i="91"/>
  <c r="AF23" i="92"/>
  <c r="J23" i="93"/>
  <c r="BB23" i="93"/>
  <c r="BQ23" i="95"/>
  <c r="BC23" i="93"/>
  <c r="BQ23" i="94"/>
  <c r="AB23" i="38"/>
  <c r="AM23" i="92"/>
  <c r="BD8" i="93"/>
  <c r="BJ23" i="91"/>
  <c r="S23" i="93"/>
  <c r="Y23" i="93"/>
  <c r="B23" i="93"/>
  <c r="AF23" i="91"/>
  <c r="S23" i="94"/>
  <c r="BQ23" i="97"/>
  <c r="BQ23" i="100"/>
  <c r="AF23" i="93"/>
  <c r="D8" i="92"/>
  <c r="J23" i="92"/>
  <c r="BB23" i="92"/>
  <c r="AO23" i="91"/>
  <c r="BC23" i="92"/>
  <c r="AM23" i="93"/>
  <c r="S23" i="92"/>
  <c r="BD8" i="92"/>
  <c r="AQ23" i="93"/>
  <c r="BD8" i="39"/>
  <c r="Y23" i="92"/>
  <c r="BL23" i="92"/>
  <c r="AQ23" i="95"/>
  <c r="P23" i="37"/>
  <c r="Y23" i="38"/>
  <c r="AZ23" i="39"/>
  <c r="BQ23" i="101"/>
  <c r="V23" i="37"/>
  <c r="BQ23" i="37"/>
  <c r="AE23" i="38"/>
  <c r="AG8" i="41"/>
  <c r="AF23" i="96"/>
  <c r="AB23" i="37"/>
  <c r="AG8" i="38"/>
  <c r="B23" i="114"/>
  <c r="AE23" i="37"/>
  <c r="AK23" i="38"/>
  <c r="P23" i="39"/>
  <c r="D8" i="39"/>
  <c r="BC23" i="95"/>
  <c r="D8" i="100"/>
  <c r="AO23" i="38"/>
  <c r="BD8" i="100"/>
  <c r="B23" i="100"/>
  <c r="B23" i="101"/>
  <c r="AG8" i="37"/>
  <c r="AK23" i="37"/>
  <c r="Y23" i="39"/>
  <c r="C23" i="101"/>
  <c r="AM23" i="37"/>
  <c r="D8" i="93"/>
  <c r="BQ23" i="98"/>
  <c r="AO23" i="37"/>
  <c r="AV23" i="38"/>
  <c r="BC23" i="94"/>
  <c r="BQ23" i="96"/>
  <c r="AZ23" i="38"/>
  <c r="D8" i="41"/>
  <c r="AV23" i="37"/>
  <c r="AF23" i="95"/>
  <c r="D8" i="97"/>
  <c r="AF23" i="101"/>
  <c r="AX23" i="37"/>
  <c r="BC23" i="97"/>
  <c r="AZ23" i="37"/>
  <c r="AF23" i="100"/>
  <c r="BQ23" i="109"/>
  <c r="M23" i="38"/>
  <c r="B23" i="96"/>
  <c r="C23" i="98"/>
  <c r="G23" i="37"/>
  <c r="BC23" i="37"/>
  <c r="P23" i="38"/>
  <c r="B23" i="95"/>
  <c r="C23" i="96"/>
  <c r="M23" i="37"/>
  <c r="BQ23" i="38"/>
  <c r="BC23" i="103"/>
  <c r="B23" i="111"/>
  <c r="V23" i="39"/>
  <c r="AG8" i="99"/>
  <c r="AG8" i="109"/>
  <c r="BQ23" i="114"/>
  <c r="AQ23" i="38"/>
  <c r="C23" i="38"/>
  <c r="AB23" i="39"/>
  <c r="BQ23" i="39"/>
  <c r="AR8" i="38"/>
  <c r="AO23" i="42"/>
  <c r="BC23" i="111"/>
  <c r="AO23" i="41"/>
  <c r="BQ23" i="112"/>
  <c r="D8" i="37"/>
  <c r="AG8" i="39"/>
  <c r="AQ23" i="41"/>
  <c r="AQ23" i="99"/>
  <c r="D8" i="38"/>
  <c r="AX23" i="38"/>
  <c r="AK23" i="39"/>
  <c r="B23" i="39"/>
  <c r="AR8" i="41"/>
  <c r="AF23" i="41"/>
  <c r="AR8" i="99"/>
  <c r="AX23" i="42"/>
  <c r="AO23" i="39"/>
  <c r="AX23" i="41"/>
  <c r="AZ23" i="42"/>
  <c r="BQ23" i="99"/>
  <c r="AF23" i="103"/>
  <c r="AQ23" i="39"/>
  <c r="AZ23" i="41"/>
  <c r="BC23" i="42"/>
  <c r="V23" i="38"/>
  <c r="B23" i="41"/>
  <c r="BQ23" i="111"/>
  <c r="AX23" i="39"/>
  <c r="D8" i="99"/>
  <c r="P23" i="41"/>
  <c r="B23" i="38"/>
  <c r="C23" i="99"/>
  <c r="BQ23" i="102"/>
  <c r="BD8" i="112"/>
  <c r="BQ23" i="41"/>
  <c r="AB23" i="41"/>
  <c r="BQ23" i="42"/>
  <c r="AB23" i="42"/>
  <c r="BD8" i="42"/>
  <c r="AR8" i="42"/>
  <c r="BQ23" i="117"/>
  <c r="AG8" i="116"/>
  <c r="BQ23" i="118"/>
  <c r="BQ23" i="115"/>
  <c r="AR8" i="118"/>
  <c r="B23" i="117"/>
  <c r="B23" i="118"/>
  <c r="B23" i="115"/>
  <c r="B23" i="116"/>
  <c r="AR8" i="117"/>
  <c r="AG8" i="115"/>
  <c r="BQ23" i="116"/>
  <c r="AG8" i="118"/>
  <c r="AQ23" i="118"/>
  <c r="AF23" i="118"/>
  <c r="C23" i="118"/>
  <c r="BC23" i="117"/>
  <c r="AQ23" i="117"/>
  <c r="AF23" i="117"/>
  <c r="C23" i="117"/>
  <c r="AF23" i="115"/>
  <c r="BC23" i="116"/>
  <c r="AQ23" i="116"/>
  <c r="AF23" i="116"/>
  <c r="C23" i="116"/>
  <c r="BC23" i="115"/>
  <c r="AQ23" i="115"/>
  <c r="C23" i="115"/>
  <c r="BC23" i="114"/>
  <c r="AQ23" i="114"/>
  <c r="AF23" i="114"/>
  <c r="BD8" i="118"/>
  <c r="D8" i="117"/>
  <c r="BD8" i="117"/>
  <c r="BD8" i="116"/>
  <c r="AR8" i="116"/>
  <c r="D8" i="115"/>
  <c r="AR8" i="115"/>
  <c r="AQ23" i="94"/>
  <c r="C23" i="94"/>
  <c r="AR8" i="94"/>
  <c r="J23" i="94"/>
  <c r="Y23" i="94"/>
  <c r="B23" i="94"/>
  <c r="AM23" i="94"/>
  <c r="BJ23" i="94"/>
  <c r="AF23" i="94"/>
  <c r="J9" i="95"/>
  <c r="J9" i="96" s="1"/>
  <c r="J9" i="97" s="1"/>
  <c r="J23" i="97" s="1"/>
  <c r="AM23" i="95"/>
  <c r="AM9" i="96"/>
  <c r="AX9" i="96"/>
  <c r="S9" i="96"/>
  <c r="V9" i="96"/>
  <c r="BJ9" i="96"/>
  <c r="Y9" i="96"/>
  <c r="BD8" i="94"/>
  <c r="BJ11" i="95"/>
  <c r="BJ11" i="96" s="1"/>
  <c r="BJ11" i="97" s="1"/>
  <c r="BJ11" i="98" s="1"/>
  <c r="BJ11" i="99" s="1"/>
  <c r="BJ11" i="100" s="1"/>
  <c r="BJ11" i="101" s="1"/>
  <c r="BJ11" i="102" s="1"/>
  <c r="V17" i="95"/>
  <c r="V17" i="96" s="1"/>
  <c r="V17" i="97" s="1"/>
  <c r="V17" i="98" s="1"/>
  <c r="V17" i="99" s="1"/>
  <c r="V17" i="100" s="1"/>
  <c r="V17" i="101" s="1"/>
  <c r="V17" i="102" s="1"/>
  <c r="BB23" i="94"/>
  <c r="Y20" i="95"/>
  <c r="Y20" i="96" s="1"/>
  <c r="Y20" i="97" s="1"/>
  <c r="Y20" i="98" s="1"/>
  <c r="Y20" i="99" s="1"/>
  <c r="Y20" i="100" s="1"/>
  <c r="Y20" i="101" s="1"/>
  <c r="Y20" i="102" s="1"/>
  <c r="BJ21" i="95"/>
  <c r="BJ21" i="96" s="1"/>
  <c r="BJ21" i="97" s="1"/>
  <c r="BJ21" i="98" s="1"/>
  <c r="BJ21" i="99" s="1"/>
  <c r="BJ21" i="100" s="1"/>
  <c r="BJ21" i="101" s="1"/>
  <c r="BJ21" i="102" s="1"/>
  <c r="AG8" i="94"/>
  <c r="Y16" i="95"/>
  <c r="Y16" i="96" s="1"/>
  <c r="Y16" i="97" s="1"/>
  <c r="Y16" i="98" s="1"/>
  <c r="Y16" i="99" s="1"/>
  <c r="Y16" i="100" s="1"/>
  <c r="Y16" i="101" s="1"/>
  <c r="Y16" i="102" s="1"/>
  <c r="BB23" i="95"/>
  <c r="BB9" i="96"/>
  <c r="S14" i="95"/>
  <c r="S14" i="96" s="1"/>
  <c r="S14" i="97" s="1"/>
  <c r="S14" i="98" s="1"/>
  <c r="S14" i="99" s="1"/>
  <c r="S14" i="100" s="1"/>
  <c r="S14" i="101" s="1"/>
  <c r="S14" i="102" s="1"/>
  <c r="D8" i="94"/>
  <c r="C23" i="114"/>
  <c r="AV19" i="100"/>
  <c r="AV19" i="101" s="1"/>
  <c r="AV19" i="102" s="1"/>
  <c r="BD8" i="99"/>
  <c r="AV13" i="100"/>
  <c r="AV13" i="101" s="1"/>
  <c r="AV13" i="102" s="1"/>
  <c r="AK15" i="100"/>
  <c r="AK15" i="101" s="1"/>
  <c r="AK15" i="102" s="1"/>
  <c r="BL20" i="100"/>
  <c r="BL20" i="101" s="1"/>
  <c r="BL20" i="102" s="1"/>
  <c r="AO21" i="100"/>
  <c r="AO21" i="101" s="1"/>
  <c r="AO21" i="102" s="1"/>
  <c r="AF23" i="112"/>
  <c r="AG8" i="112"/>
  <c r="BC23" i="112"/>
  <c r="AR8" i="112"/>
  <c r="C23" i="112"/>
  <c r="B23" i="112"/>
  <c r="D8" i="112"/>
  <c r="AG8" i="111"/>
  <c r="AR8" i="111"/>
  <c r="C23" i="111"/>
  <c r="AF23" i="111"/>
  <c r="AQ23" i="111"/>
  <c r="D8" i="111"/>
  <c r="BD8" i="111"/>
  <c r="BD8" i="110"/>
  <c r="B23" i="110"/>
  <c r="BC23" i="110"/>
  <c r="AF23" i="110"/>
  <c r="AG8" i="110"/>
  <c r="C23" i="110"/>
  <c r="AQ23" i="110"/>
  <c r="AR8" i="110"/>
  <c r="D8" i="110"/>
  <c r="AF23" i="109"/>
  <c r="AQ23" i="109"/>
  <c r="B23" i="109"/>
  <c r="C23" i="109"/>
  <c r="D8" i="109"/>
  <c r="BC23" i="109"/>
  <c r="AQ23" i="103"/>
  <c r="B23" i="103"/>
  <c r="C23" i="103"/>
  <c r="BC23" i="102"/>
  <c r="AF23" i="102"/>
  <c r="B23" i="102"/>
  <c r="C23" i="102"/>
  <c r="AQ23" i="102"/>
  <c r="J10" i="109"/>
  <c r="J10" i="110" s="1"/>
  <c r="J10" i="111" s="1"/>
  <c r="J10" i="112" s="1"/>
  <c r="J10" i="114" s="1"/>
  <c r="J10" i="115" s="1"/>
  <c r="J10" i="116" s="1"/>
  <c r="J10" i="117" s="1"/>
  <c r="J23" i="38" l="1"/>
  <c r="BH23" i="86"/>
  <c r="AB23" i="56"/>
  <c r="AI23" i="37"/>
  <c r="J23" i="39"/>
  <c r="P23" i="87"/>
  <c r="BH23" i="88"/>
  <c r="AX23" i="94"/>
  <c r="AB23" i="48"/>
  <c r="AB23" i="49" s="1"/>
  <c r="AG17" i="87"/>
  <c r="AB23" i="61"/>
  <c r="J23" i="37"/>
  <c r="AT23" i="37"/>
  <c r="BQ22" i="109"/>
  <c r="BQ22" i="110" s="1"/>
  <c r="BQ22" i="111" s="1"/>
  <c r="BQ22" i="112" s="1"/>
  <c r="BQ22" i="114" s="1"/>
  <c r="BQ22" i="115" s="1"/>
  <c r="BQ22" i="116" s="1"/>
  <c r="BQ22" i="117" s="1"/>
  <c r="BQ22" i="118" s="1"/>
  <c r="BQ22" i="119" s="1"/>
  <c r="BQ22" i="120" s="1"/>
  <c r="AT20" i="38"/>
  <c r="AT23" i="38" s="1"/>
  <c r="V23" i="90"/>
  <c r="D22" i="37"/>
  <c r="V23" i="94"/>
  <c r="J23" i="41"/>
  <c r="BD14" i="37"/>
  <c r="AK23" i="88"/>
  <c r="BF14" i="38"/>
  <c r="BD14" i="38" s="1"/>
  <c r="BD21" i="37"/>
  <c r="AB23" i="69"/>
  <c r="M23" i="41"/>
  <c r="AZ23" i="86"/>
  <c r="M23" i="42"/>
  <c r="BL23" i="41"/>
  <c r="AX23" i="55"/>
  <c r="AX9" i="58"/>
  <c r="AX9" i="61" s="1"/>
  <c r="AX9" i="62" s="1"/>
  <c r="AX9" i="63" s="1"/>
  <c r="AX9" i="64" s="1"/>
  <c r="AX9" i="65" s="1"/>
  <c r="AX9" i="66" s="1"/>
  <c r="AX9" i="67" s="1"/>
  <c r="AX9" i="68" s="1"/>
  <c r="AX23" i="68" s="1"/>
  <c r="AX23" i="57"/>
  <c r="BQ15" i="94"/>
  <c r="BQ15" i="95" s="1"/>
  <c r="BQ15" i="96" s="1"/>
  <c r="BQ15" i="97" s="1"/>
  <c r="BQ15" i="98" s="1"/>
  <c r="BQ15" i="99" s="1"/>
  <c r="BQ15" i="100" s="1"/>
  <c r="BQ15" i="101" s="1"/>
  <c r="BQ15" i="102" s="1"/>
  <c r="BJ10" i="109"/>
  <c r="BJ10" i="110" s="1"/>
  <c r="BJ10" i="111" s="1"/>
  <c r="BJ10" i="112" s="1"/>
  <c r="BJ10" i="114" s="1"/>
  <c r="BJ10" i="115" s="1"/>
  <c r="BJ10" i="116" s="1"/>
  <c r="BJ10" i="117" s="1"/>
  <c r="BJ10" i="118" s="1"/>
  <c r="BJ10" i="119" s="1"/>
  <c r="BJ10" i="120" s="1"/>
  <c r="BJ11" i="103"/>
  <c r="BJ11" i="109" s="1"/>
  <c r="BJ11" i="110" s="1"/>
  <c r="BJ11" i="111" s="1"/>
  <c r="BJ11" i="112" s="1"/>
  <c r="BJ11" i="114" s="1"/>
  <c r="BJ11" i="115" s="1"/>
  <c r="BJ11" i="116" s="1"/>
  <c r="BJ11" i="117" s="1"/>
  <c r="BJ11" i="118" s="1"/>
  <c r="BJ11" i="119" s="1"/>
  <c r="BJ11" i="120" s="1"/>
  <c r="BB23" i="41"/>
  <c r="AB23" i="51"/>
  <c r="BJ21" i="81"/>
  <c r="BJ21" i="48" s="1"/>
  <c r="BJ21" i="49" s="1"/>
  <c r="BJ21" i="50" s="1"/>
  <c r="BJ21" i="51" s="1"/>
  <c r="BJ21" i="52" s="1"/>
  <c r="BJ21" i="53" s="1"/>
  <c r="BJ21" i="54" s="1"/>
  <c r="BJ21" i="55" s="1"/>
  <c r="BJ21" i="56" s="1"/>
  <c r="BJ21" i="57" s="1"/>
  <c r="BJ21" i="58" s="1"/>
  <c r="BJ21" i="61" s="1"/>
  <c r="BJ21" i="62" s="1"/>
  <c r="BJ21" i="63" s="1"/>
  <c r="BJ21" i="64" s="1"/>
  <c r="BJ21" i="65" s="1"/>
  <c r="BJ21" i="66" s="1"/>
  <c r="BJ21" i="67" s="1"/>
  <c r="BJ21" i="68" s="1"/>
  <c r="BJ21" i="69" s="1"/>
  <c r="BJ21" i="70" s="1"/>
  <c r="BJ21" i="71" s="1"/>
  <c r="BJ21" i="73" s="1"/>
  <c r="BJ21" i="74" s="1"/>
  <c r="BJ21" i="76" s="1"/>
  <c r="BJ21" i="77" s="1"/>
  <c r="BJ21" i="78" s="1"/>
  <c r="BJ21" i="79" s="1"/>
  <c r="AB23" i="81"/>
  <c r="AV12" i="109"/>
  <c r="AV12" i="110" s="1"/>
  <c r="AV12" i="111" s="1"/>
  <c r="AV12" i="112" s="1"/>
  <c r="AV12" i="114" s="1"/>
  <c r="AV12" i="115" s="1"/>
  <c r="AV12" i="116" s="1"/>
  <c r="AV12" i="117" s="1"/>
  <c r="AV12" i="118" s="1"/>
  <c r="AV12" i="119" s="1"/>
  <c r="AV12" i="120" s="1"/>
  <c r="AV13" i="103"/>
  <c r="AV13" i="109" s="1"/>
  <c r="AV13" i="110" s="1"/>
  <c r="AV13" i="111" s="1"/>
  <c r="AV13" i="112" s="1"/>
  <c r="AV13" i="114" s="1"/>
  <c r="AV13" i="115" s="1"/>
  <c r="AV13" i="116" s="1"/>
  <c r="AV13" i="117" s="1"/>
  <c r="AV13" i="118" s="1"/>
  <c r="AV13" i="119" s="1"/>
  <c r="AV13" i="120" s="1"/>
  <c r="Y15" i="109"/>
  <c r="Y15" i="110" s="1"/>
  <c r="Y15" i="111" s="1"/>
  <c r="Y15" i="112" s="1"/>
  <c r="Y15" i="114" s="1"/>
  <c r="Y15" i="115" s="1"/>
  <c r="Y15" i="116" s="1"/>
  <c r="Y15" i="117" s="1"/>
  <c r="Y15" i="118" s="1"/>
  <c r="Y15" i="119" s="1"/>
  <c r="Y15" i="120" s="1"/>
  <c r="Y16" i="103"/>
  <c r="Y16" i="109" s="1"/>
  <c r="Y16" i="110" s="1"/>
  <c r="Y16" i="111" s="1"/>
  <c r="Y16" i="112" s="1"/>
  <c r="Y16" i="114" s="1"/>
  <c r="Y16" i="115" s="1"/>
  <c r="Y16" i="116" s="1"/>
  <c r="Y16" i="117" s="1"/>
  <c r="Y16" i="118" s="1"/>
  <c r="Y16" i="119" s="1"/>
  <c r="Y16" i="120" s="1"/>
  <c r="V23" i="92"/>
  <c r="V23" i="87"/>
  <c r="V23" i="86"/>
  <c r="D13" i="87"/>
  <c r="AB23" i="62"/>
  <c r="AB23" i="57"/>
  <c r="AX23" i="54"/>
  <c r="AX23" i="51"/>
  <c r="AZ9" i="81"/>
  <c r="AZ9" i="48" s="1"/>
  <c r="AZ9" i="49" s="1"/>
  <c r="AZ9" i="50" s="1"/>
  <c r="AZ9" i="51" s="1"/>
  <c r="AB9" i="70"/>
  <c r="J22" i="81"/>
  <c r="J22" i="48" s="1"/>
  <c r="J22" i="49" s="1"/>
  <c r="J22" i="50" s="1"/>
  <c r="J22" i="51" s="1"/>
  <c r="J22" i="52" s="1"/>
  <c r="J22" i="53" s="1"/>
  <c r="BJ23" i="41"/>
  <c r="BJ23" i="39"/>
  <c r="AB23" i="68"/>
  <c r="AB23" i="65"/>
  <c r="AO9" i="81"/>
  <c r="AO9" i="48" s="1"/>
  <c r="AO9" i="49" s="1"/>
  <c r="AR13" i="37"/>
  <c r="BJ23" i="42"/>
  <c r="AX23" i="48"/>
  <c r="AZ14" i="109"/>
  <c r="AZ14" i="110" s="1"/>
  <c r="AZ14" i="111" s="1"/>
  <c r="AZ14" i="112" s="1"/>
  <c r="AZ14" i="114" s="1"/>
  <c r="AZ14" i="115" s="1"/>
  <c r="AZ14" i="116" s="1"/>
  <c r="AZ14" i="117" s="1"/>
  <c r="AZ14" i="118" s="1"/>
  <c r="AZ14" i="119" s="1"/>
  <c r="AZ14" i="120" s="1"/>
  <c r="AZ15" i="103"/>
  <c r="AZ15" i="109" s="1"/>
  <c r="AZ15" i="110" s="1"/>
  <c r="AZ15" i="111" s="1"/>
  <c r="AZ15" i="112" s="1"/>
  <c r="AZ15" i="114" s="1"/>
  <c r="AZ15" i="115" s="1"/>
  <c r="AZ15" i="116" s="1"/>
  <c r="AZ15" i="117" s="1"/>
  <c r="AZ15" i="118" s="1"/>
  <c r="AZ15" i="119" s="1"/>
  <c r="AZ15" i="120" s="1"/>
  <c r="BL19" i="109"/>
  <c r="BL19" i="110" s="1"/>
  <c r="BL19" i="111" s="1"/>
  <c r="BL19" i="112" s="1"/>
  <c r="BL19" i="114" s="1"/>
  <c r="BL19" i="115" s="1"/>
  <c r="BL19" i="116" s="1"/>
  <c r="BL19" i="117" s="1"/>
  <c r="BL19" i="118" s="1"/>
  <c r="BL19" i="119" s="1"/>
  <c r="BL19" i="120" s="1"/>
  <c r="BL20" i="103"/>
  <c r="BL20" i="109" s="1"/>
  <c r="BL20" i="110" s="1"/>
  <c r="BL20" i="111" s="1"/>
  <c r="BL20" i="112" s="1"/>
  <c r="BL20" i="114" s="1"/>
  <c r="BL20" i="115" s="1"/>
  <c r="BL20" i="116" s="1"/>
  <c r="BL20" i="117" s="1"/>
  <c r="BL20" i="118" s="1"/>
  <c r="BL20" i="119" s="1"/>
  <c r="BL20" i="120" s="1"/>
  <c r="AB23" i="54"/>
  <c r="BH14" i="109"/>
  <c r="BH14" i="110" s="1"/>
  <c r="BH14" i="111" s="1"/>
  <c r="BH14" i="112" s="1"/>
  <c r="BH14" i="114" s="1"/>
  <c r="BH14" i="115" s="1"/>
  <c r="BH14" i="116" s="1"/>
  <c r="BH14" i="117" s="1"/>
  <c r="BH14" i="118" s="1"/>
  <c r="BH14" i="119" s="1"/>
  <c r="BH14" i="120" s="1"/>
  <c r="BH15" i="103"/>
  <c r="BH15" i="109" s="1"/>
  <c r="BH15" i="110" s="1"/>
  <c r="BH15" i="111" s="1"/>
  <c r="BH15" i="112" s="1"/>
  <c r="BH15" i="114" s="1"/>
  <c r="BH15" i="115" s="1"/>
  <c r="BH15" i="116" s="1"/>
  <c r="BH15" i="117" s="1"/>
  <c r="BH15" i="118" s="1"/>
  <c r="BH15" i="119" s="1"/>
  <c r="BH15" i="120" s="1"/>
  <c r="D11" i="87"/>
  <c r="AB23" i="58"/>
  <c r="AB23" i="50"/>
  <c r="AB23" i="55"/>
  <c r="AX23" i="52"/>
  <c r="AX23" i="81"/>
  <c r="AX23" i="56"/>
  <c r="AK17" i="103"/>
  <c r="AK17" i="109" s="1"/>
  <c r="AK17" i="110" s="1"/>
  <c r="AK17" i="111" s="1"/>
  <c r="AK17" i="112" s="1"/>
  <c r="AK17" i="114" s="1"/>
  <c r="AK17" i="115" s="1"/>
  <c r="AK17" i="116" s="1"/>
  <c r="AK17" i="117" s="1"/>
  <c r="AK17" i="118" s="1"/>
  <c r="AK17" i="119" s="1"/>
  <c r="AK17" i="120" s="1"/>
  <c r="BB13" i="81"/>
  <c r="BB13" i="48" s="1"/>
  <c r="BB13" i="49" s="1"/>
  <c r="BB13" i="50" s="1"/>
  <c r="BB13" i="51" s="1"/>
  <c r="BB13" i="52" s="1"/>
  <c r="BB13" i="53" s="1"/>
  <c r="BB13" i="54" s="1"/>
  <c r="BB13" i="55" s="1"/>
  <c r="BB13" i="56" s="1"/>
  <c r="BB13" i="57" s="1"/>
  <c r="BB13" i="58" s="1"/>
  <c r="BB13" i="61" s="1"/>
  <c r="BB13" i="62" s="1"/>
  <c r="BB13" i="63" s="1"/>
  <c r="BB13" i="64" s="1"/>
  <c r="BB13" i="65" s="1"/>
  <c r="BB13" i="66" s="1"/>
  <c r="BB13" i="67" s="1"/>
  <c r="BB13" i="68" s="1"/>
  <c r="BB13" i="69" s="1"/>
  <c r="BB13" i="70" s="1"/>
  <c r="BB13" i="71" s="1"/>
  <c r="BB13" i="73" s="1"/>
  <c r="BB13" i="74" s="1"/>
  <c r="BB13" i="76" s="1"/>
  <c r="BB13" i="77" s="1"/>
  <c r="BB13" i="78" s="1"/>
  <c r="BB13" i="79" s="1"/>
  <c r="V12" i="109"/>
  <c r="V12" i="110" s="1"/>
  <c r="V12" i="111" s="1"/>
  <c r="V12" i="112" s="1"/>
  <c r="V12" i="114" s="1"/>
  <c r="V12" i="115" s="1"/>
  <c r="V12" i="116" s="1"/>
  <c r="V12" i="117" s="1"/>
  <c r="V12" i="118" s="1"/>
  <c r="V12" i="119" s="1"/>
  <c r="V12" i="120" s="1"/>
  <c r="V13" i="103"/>
  <c r="V13" i="109" s="1"/>
  <c r="V13" i="110" s="1"/>
  <c r="V13" i="111" s="1"/>
  <c r="V13" i="112" s="1"/>
  <c r="V13" i="114" s="1"/>
  <c r="V13" i="115" s="1"/>
  <c r="V13" i="116" s="1"/>
  <c r="V13" i="117" s="1"/>
  <c r="V13" i="118" s="1"/>
  <c r="V13" i="119" s="1"/>
  <c r="V13" i="120" s="1"/>
  <c r="BJ20" i="109"/>
  <c r="BJ20" i="110" s="1"/>
  <c r="BJ20" i="111" s="1"/>
  <c r="BJ20" i="112" s="1"/>
  <c r="BJ20" i="114" s="1"/>
  <c r="BJ20" i="115" s="1"/>
  <c r="BJ20" i="116" s="1"/>
  <c r="BJ20" i="117" s="1"/>
  <c r="BJ20" i="118" s="1"/>
  <c r="BJ20" i="119" s="1"/>
  <c r="BJ20" i="120" s="1"/>
  <c r="BJ21" i="103"/>
  <c r="BJ21" i="109" s="1"/>
  <c r="BJ21" i="110" s="1"/>
  <c r="BJ21" i="111" s="1"/>
  <c r="BJ21" i="112" s="1"/>
  <c r="BJ21" i="114" s="1"/>
  <c r="BJ21" i="115" s="1"/>
  <c r="BJ21" i="116" s="1"/>
  <c r="BJ21" i="117" s="1"/>
  <c r="BJ21" i="118" s="1"/>
  <c r="BJ21" i="119" s="1"/>
  <c r="BJ21" i="120" s="1"/>
  <c r="Y19" i="109"/>
  <c r="Y19" i="110" s="1"/>
  <c r="Y19" i="111" s="1"/>
  <c r="Y19" i="112" s="1"/>
  <c r="Y19" i="114" s="1"/>
  <c r="Y19" i="115" s="1"/>
  <c r="Y19" i="116" s="1"/>
  <c r="Y19" i="117" s="1"/>
  <c r="Y19" i="118" s="1"/>
  <c r="Y19" i="119" s="1"/>
  <c r="Y19" i="120" s="1"/>
  <c r="Y20" i="103"/>
  <c r="Y20" i="109" s="1"/>
  <c r="Y20" i="110" s="1"/>
  <c r="Y20" i="111" s="1"/>
  <c r="Y20" i="112" s="1"/>
  <c r="Y20" i="114" s="1"/>
  <c r="Y20" i="115" s="1"/>
  <c r="Y20" i="116" s="1"/>
  <c r="Y20" i="117" s="1"/>
  <c r="Y20" i="118" s="1"/>
  <c r="Y20" i="119" s="1"/>
  <c r="Y20" i="120" s="1"/>
  <c r="BB23" i="37"/>
  <c r="BL23" i="39"/>
  <c r="V23" i="93"/>
  <c r="V23" i="89"/>
  <c r="AX21" i="109"/>
  <c r="AX21" i="110" s="1"/>
  <c r="AX21" i="111" s="1"/>
  <c r="AX21" i="112" s="1"/>
  <c r="AX21" i="114" s="1"/>
  <c r="AX21" i="115" s="1"/>
  <c r="AX21" i="116" s="1"/>
  <c r="AX21" i="117" s="1"/>
  <c r="AX21" i="118" s="1"/>
  <c r="AX21" i="119" s="1"/>
  <c r="AX21" i="120" s="1"/>
  <c r="AX22" i="103"/>
  <c r="AK16" i="103"/>
  <c r="AK16" i="109" s="1"/>
  <c r="AK16" i="110" s="1"/>
  <c r="AK16" i="111" s="1"/>
  <c r="AK16" i="112" s="1"/>
  <c r="AK16" i="114" s="1"/>
  <c r="AK16" i="115" s="1"/>
  <c r="AK16" i="116" s="1"/>
  <c r="AK16" i="117" s="1"/>
  <c r="AK16" i="118" s="1"/>
  <c r="AK16" i="119" s="1"/>
  <c r="AK16" i="120" s="1"/>
  <c r="AB23" i="67"/>
  <c r="AB23" i="66"/>
  <c r="AB23" i="63"/>
  <c r="AK9" i="81"/>
  <c r="AK23" i="81" s="1"/>
  <c r="AX23" i="50"/>
  <c r="J23" i="49"/>
  <c r="AV18" i="109"/>
  <c r="AV18" i="110" s="1"/>
  <c r="AV18" i="111" s="1"/>
  <c r="AV18" i="112" s="1"/>
  <c r="AV18" i="114" s="1"/>
  <c r="AV18" i="115" s="1"/>
  <c r="AV18" i="116" s="1"/>
  <c r="AV18" i="117" s="1"/>
  <c r="AV18" i="118" s="1"/>
  <c r="AV18" i="119" s="1"/>
  <c r="AV18" i="120" s="1"/>
  <c r="AV19" i="103"/>
  <c r="AV19" i="109" s="1"/>
  <c r="AV19" i="110" s="1"/>
  <c r="AV19" i="111" s="1"/>
  <c r="AV19" i="112" s="1"/>
  <c r="AV19" i="114" s="1"/>
  <c r="AV19" i="115" s="1"/>
  <c r="AV19" i="116" s="1"/>
  <c r="AV19" i="117" s="1"/>
  <c r="AV19" i="118" s="1"/>
  <c r="AV19" i="119" s="1"/>
  <c r="AV19" i="120" s="1"/>
  <c r="BJ23" i="38"/>
  <c r="V23" i="91"/>
  <c r="AB23" i="64"/>
  <c r="AB23" i="53"/>
  <c r="AX23" i="53"/>
  <c r="M9" i="81"/>
  <c r="M9" i="48" s="1"/>
  <c r="M9" i="49" s="1"/>
  <c r="M9" i="50" s="1"/>
  <c r="M9" i="51" s="1"/>
  <c r="M9" i="52" s="1"/>
  <c r="M9" i="53" s="1"/>
  <c r="BB23" i="38"/>
  <c r="AX23" i="49"/>
  <c r="AK14" i="109"/>
  <c r="AK14" i="110" s="1"/>
  <c r="AK14" i="111" s="1"/>
  <c r="AK14" i="112" s="1"/>
  <c r="AK14" i="114" s="1"/>
  <c r="AK14" i="115" s="1"/>
  <c r="AK14" i="116" s="1"/>
  <c r="AK14" i="117" s="1"/>
  <c r="AK14" i="118" s="1"/>
  <c r="AK14" i="119" s="1"/>
  <c r="AK14" i="120" s="1"/>
  <c r="AK15" i="103"/>
  <c r="AK15" i="109" s="1"/>
  <c r="AK15" i="110" s="1"/>
  <c r="AK15" i="111" s="1"/>
  <c r="AK15" i="112" s="1"/>
  <c r="AK15" i="114" s="1"/>
  <c r="AK15" i="115" s="1"/>
  <c r="AK15" i="116" s="1"/>
  <c r="AK15" i="117" s="1"/>
  <c r="AK15" i="118" s="1"/>
  <c r="AK15" i="119" s="1"/>
  <c r="AK15" i="120" s="1"/>
  <c r="BH23" i="42"/>
  <c r="BL23" i="38"/>
  <c r="AV20" i="103"/>
  <c r="AV20" i="109" s="1"/>
  <c r="AV20" i="110" s="1"/>
  <c r="AV20" i="111" s="1"/>
  <c r="AV20" i="112" s="1"/>
  <c r="AV20" i="114" s="1"/>
  <c r="AV20" i="115" s="1"/>
  <c r="AV20" i="116" s="1"/>
  <c r="AV20" i="117" s="1"/>
  <c r="AV20" i="118" s="1"/>
  <c r="AV20" i="119" s="1"/>
  <c r="AV20" i="120" s="1"/>
  <c r="AO20" i="109"/>
  <c r="AO20" i="110" s="1"/>
  <c r="AO20" i="111" s="1"/>
  <c r="AO20" i="112" s="1"/>
  <c r="AO20" i="114" s="1"/>
  <c r="AO20" i="115" s="1"/>
  <c r="AO20" i="116" s="1"/>
  <c r="AO20" i="117" s="1"/>
  <c r="AO20" i="118" s="1"/>
  <c r="AO20" i="119" s="1"/>
  <c r="AO20" i="120" s="1"/>
  <c r="AO21" i="103"/>
  <c r="AO21" i="109" s="1"/>
  <c r="AO21" i="110" s="1"/>
  <c r="AO21" i="111" s="1"/>
  <c r="AO21" i="112" s="1"/>
  <c r="AO21" i="114" s="1"/>
  <c r="AO21" i="115" s="1"/>
  <c r="AO21" i="116" s="1"/>
  <c r="AO21" i="117" s="1"/>
  <c r="AO21" i="118" s="1"/>
  <c r="AO21" i="119" s="1"/>
  <c r="AO21" i="120" s="1"/>
  <c r="S13" i="109"/>
  <c r="S13" i="110" s="1"/>
  <c r="S13" i="111" s="1"/>
  <c r="S13" i="112" s="1"/>
  <c r="S13" i="114" s="1"/>
  <c r="S13" i="115" s="1"/>
  <c r="S13" i="116" s="1"/>
  <c r="S13" i="117" s="1"/>
  <c r="S13" i="118" s="1"/>
  <c r="S13" i="119" s="1"/>
  <c r="S13" i="120" s="1"/>
  <c r="S14" i="103"/>
  <c r="S14" i="109" s="1"/>
  <c r="S14" i="110" s="1"/>
  <c r="S14" i="111" s="1"/>
  <c r="S14" i="112" s="1"/>
  <c r="S14" i="114" s="1"/>
  <c r="S14" i="115" s="1"/>
  <c r="S14" i="116" s="1"/>
  <c r="S14" i="117" s="1"/>
  <c r="S14" i="118" s="1"/>
  <c r="S14" i="119" s="1"/>
  <c r="S14" i="120" s="1"/>
  <c r="V16" i="109"/>
  <c r="V16" i="110" s="1"/>
  <c r="V16" i="111" s="1"/>
  <c r="V16" i="112" s="1"/>
  <c r="V16" i="114" s="1"/>
  <c r="V16" i="115" s="1"/>
  <c r="V16" i="116" s="1"/>
  <c r="V16" i="117" s="1"/>
  <c r="V16" i="118" s="1"/>
  <c r="V16" i="119" s="1"/>
  <c r="V16" i="120" s="1"/>
  <c r="V17" i="103"/>
  <c r="V17" i="109" s="1"/>
  <c r="V17" i="110" s="1"/>
  <c r="V17" i="111" s="1"/>
  <c r="V17" i="112" s="1"/>
  <c r="V17" i="114" s="1"/>
  <c r="V17" i="115" s="1"/>
  <c r="V17" i="116" s="1"/>
  <c r="V17" i="117" s="1"/>
  <c r="V17" i="118" s="1"/>
  <c r="V17" i="119" s="1"/>
  <c r="V17" i="120" s="1"/>
  <c r="AX23" i="95"/>
  <c r="BJ23" i="37"/>
  <c r="V23" i="88"/>
  <c r="AI23" i="87"/>
  <c r="AV14" i="103"/>
  <c r="AV14" i="109" s="1"/>
  <c r="AV14" i="110" s="1"/>
  <c r="AV14" i="111" s="1"/>
  <c r="AV14" i="112" s="1"/>
  <c r="AV14" i="114" s="1"/>
  <c r="AV14" i="115" s="1"/>
  <c r="AV14" i="116" s="1"/>
  <c r="AV14" i="117" s="1"/>
  <c r="AV14" i="118" s="1"/>
  <c r="AV14" i="119" s="1"/>
  <c r="AV14" i="120" s="1"/>
  <c r="AV9" i="81"/>
  <c r="AV9" i="48" s="1"/>
  <c r="AV9" i="49" s="1"/>
  <c r="AV9" i="50" s="1"/>
  <c r="AV9" i="51" s="1"/>
  <c r="AV9" i="52" s="1"/>
  <c r="AV9" i="53" s="1"/>
  <c r="AV9" i="54" s="1"/>
  <c r="AV9" i="55" s="1"/>
  <c r="AV9" i="56" s="1"/>
  <c r="AV9" i="57" s="1"/>
  <c r="AV9" i="58" s="1"/>
  <c r="AV9" i="61" s="1"/>
  <c r="AV9" i="62" s="1"/>
  <c r="AV9" i="63" s="1"/>
  <c r="AV9" i="64" s="1"/>
  <c r="AV9" i="65" s="1"/>
  <c r="AV9" i="66" s="1"/>
  <c r="AB23" i="52"/>
  <c r="S17" i="81"/>
  <c r="S17" i="48" s="1"/>
  <c r="S17" i="49" s="1"/>
  <c r="S17" i="50" s="1"/>
  <c r="S17" i="51" s="1"/>
  <c r="S17" i="52" s="1"/>
  <c r="S17" i="53" s="1"/>
  <c r="S17" i="54" s="1"/>
  <c r="S17" i="55" s="1"/>
  <c r="S17" i="56" s="1"/>
  <c r="S17" i="57" s="1"/>
  <c r="S17" i="58" s="1"/>
  <c r="S17" i="61" s="1"/>
  <c r="S17" i="62" s="1"/>
  <c r="S17" i="63" s="1"/>
  <c r="S17" i="64" s="1"/>
  <c r="S17" i="65" s="1"/>
  <c r="S17" i="66" s="1"/>
  <c r="S17" i="67" s="1"/>
  <c r="S17" i="68" s="1"/>
  <c r="S17" i="69" s="1"/>
  <c r="S17" i="70" s="1"/>
  <c r="S17" i="71" s="1"/>
  <c r="S17" i="73" s="1"/>
  <c r="S17" i="74" s="1"/>
  <c r="S17" i="76" s="1"/>
  <c r="S17" i="77" s="1"/>
  <c r="S17" i="78" s="1"/>
  <c r="S17" i="79" s="1"/>
  <c r="BL23" i="94"/>
  <c r="BL9" i="96"/>
  <c r="BL23" i="96" s="1"/>
  <c r="BD9" i="87"/>
  <c r="AZ23" i="88"/>
  <c r="AZ23" i="95"/>
  <c r="AV10" i="115"/>
  <c r="AV10" i="116" s="1"/>
  <c r="AV10" i="117" s="1"/>
  <c r="AV10" i="118" s="1"/>
  <c r="AV10" i="119" s="1"/>
  <c r="AV10" i="120" s="1"/>
  <c r="BL23" i="42"/>
  <c r="BH23" i="38"/>
  <c r="AE23" i="41"/>
  <c r="AV23" i="91"/>
  <c r="AK23" i="87"/>
  <c r="D17" i="37"/>
  <c r="J23" i="51"/>
  <c r="BH23" i="41"/>
  <c r="AZ23" i="91"/>
  <c r="AZ23" i="93"/>
  <c r="BF23" i="87"/>
  <c r="J23" i="81"/>
  <c r="AZ23" i="92"/>
  <c r="AZ23" i="89"/>
  <c r="AT23" i="87"/>
  <c r="AR15" i="87"/>
  <c r="G23" i="38"/>
  <c r="AR14" i="37"/>
  <c r="AV23" i="87"/>
  <c r="AV23" i="42"/>
  <c r="AI23" i="38"/>
  <c r="BF23" i="38"/>
  <c r="D23" i="35"/>
  <c r="AV23" i="41"/>
  <c r="BH23" i="39"/>
  <c r="BH23" i="90"/>
  <c r="AZ23" i="87"/>
  <c r="AZ23" i="90"/>
  <c r="P23" i="86"/>
  <c r="BB23" i="42"/>
  <c r="P23" i="90"/>
  <c r="P23" i="88"/>
  <c r="S23" i="42"/>
  <c r="BH23" i="92"/>
  <c r="AE23" i="86"/>
  <c r="AE23" i="88"/>
  <c r="AG22" i="37"/>
  <c r="AG23" i="37" s="1"/>
  <c r="S23" i="39"/>
  <c r="S23" i="41"/>
  <c r="BB23" i="39"/>
  <c r="AE23" i="87"/>
  <c r="AX23" i="87"/>
  <c r="P23" i="91"/>
  <c r="AE23" i="89"/>
  <c r="BH23" i="95"/>
  <c r="AZ23" i="94"/>
  <c r="S23" i="38"/>
  <c r="AX23" i="92"/>
  <c r="P23" i="89"/>
  <c r="AX10" i="120"/>
  <c r="S23" i="37"/>
  <c r="J23" i="50"/>
  <c r="J23" i="48"/>
  <c r="AK23" i="91"/>
  <c r="AV23" i="86"/>
  <c r="AK23" i="86"/>
  <c r="BD15" i="87"/>
  <c r="BH23" i="91"/>
  <c r="AR23" i="35"/>
  <c r="AX23" i="86"/>
  <c r="AR14" i="87"/>
  <c r="BH23" i="87"/>
  <c r="BH23" i="93"/>
  <c r="AX23" i="89"/>
  <c r="AK23" i="89"/>
  <c r="AV23" i="90"/>
  <c r="AK23" i="90"/>
  <c r="AV23" i="88"/>
  <c r="AG16" i="87"/>
  <c r="AV23" i="89"/>
  <c r="AB23" i="92"/>
  <c r="AG23" i="85"/>
  <c r="BD23" i="35"/>
  <c r="AM23" i="39"/>
  <c r="AB23" i="93"/>
  <c r="G23" i="87"/>
  <c r="AB9" i="96"/>
  <c r="AB9" i="97" s="1"/>
  <c r="AB23" i="94"/>
  <c r="J23" i="96"/>
  <c r="BH23" i="94"/>
  <c r="J9" i="98"/>
  <c r="J9" i="99" s="1"/>
  <c r="AT19" i="89"/>
  <c r="AR19" i="88"/>
  <c r="BF11" i="88"/>
  <c r="BD11" i="86"/>
  <c r="AI11" i="88"/>
  <c r="AG11" i="86"/>
  <c r="AX23" i="88"/>
  <c r="AT14" i="88"/>
  <c r="AR14" i="86"/>
  <c r="AI10" i="88"/>
  <c r="AG10" i="86"/>
  <c r="Y23" i="42"/>
  <c r="AI14" i="39"/>
  <c r="AG14" i="38"/>
  <c r="G15" i="39"/>
  <c r="D15" i="38"/>
  <c r="BD23" i="85"/>
  <c r="AR22" i="87"/>
  <c r="AG17" i="38"/>
  <c r="AI17" i="39"/>
  <c r="AT12" i="39"/>
  <c r="AR12" i="38"/>
  <c r="AG11" i="38"/>
  <c r="AI11" i="39"/>
  <c r="BF18" i="88"/>
  <c r="BD18" i="86"/>
  <c r="AV23" i="92"/>
  <c r="AV9" i="93"/>
  <c r="BF10" i="88"/>
  <c r="BD10" i="86"/>
  <c r="AT22" i="88"/>
  <c r="AR22" i="86"/>
  <c r="BF9" i="88"/>
  <c r="AK23" i="92"/>
  <c r="AG15" i="38"/>
  <c r="AI15" i="39"/>
  <c r="G12" i="39"/>
  <c r="D12" i="38"/>
  <c r="AI22" i="88"/>
  <c r="AG22" i="86"/>
  <c r="BF22" i="86"/>
  <c r="BD22" i="87"/>
  <c r="AI20" i="88"/>
  <c r="AG20" i="86"/>
  <c r="AK9" i="94"/>
  <c r="AK23" i="93"/>
  <c r="BD16" i="38"/>
  <c r="BF16" i="39"/>
  <c r="AI21" i="39"/>
  <c r="AG21" i="38"/>
  <c r="D17" i="38"/>
  <c r="G17" i="39"/>
  <c r="BD10" i="38"/>
  <c r="BF10" i="39"/>
  <c r="AZ19" i="118"/>
  <c r="AZ19" i="119" s="1"/>
  <c r="AZ19" i="120" s="1"/>
  <c r="AO9" i="94"/>
  <c r="AO23" i="93"/>
  <c r="AT12" i="88"/>
  <c r="AR12" i="86"/>
  <c r="P9" i="93"/>
  <c r="P23" i="92"/>
  <c r="M9" i="89"/>
  <c r="M23" i="88"/>
  <c r="AI12" i="88"/>
  <c r="AG12" i="86"/>
  <c r="AI14" i="88"/>
  <c r="AG14" i="86"/>
  <c r="G13" i="39"/>
  <c r="D13" i="38"/>
  <c r="BF21" i="88"/>
  <c r="BD21" i="86"/>
  <c r="AT21" i="86"/>
  <c r="AR21" i="87"/>
  <c r="AT15" i="88"/>
  <c r="AR15" i="86"/>
  <c r="AR15" i="38"/>
  <c r="AT15" i="39"/>
  <c r="BF22" i="39"/>
  <c r="BD22" i="38"/>
  <c r="AT22" i="39"/>
  <c r="AR22" i="38"/>
  <c r="AT14" i="39"/>
  <c r="AR14" i="38"/>
  <c r="AT9" i="39"/>
  <c r="AR9" i="38"/>
  <c r="AI17" i="88"/>
  <c r="AG17" i="86"/>
  <c r="AI9" i="86"/>
  <c r="AG9" i="87"/>
  <c r="BN9" i="86"/>
  <c r="BD9" i="86" s="1"/>
  <c r="BN23" i="87"/>
  <c r="BF15" i="88"/>
  <c r="BD15" i="86"/>
  <c r="AE23" i="90"/>
  <c r="AE9" i="91"/>
  <c r="D9" i="87"/>
  <c r="AI9" i="39"/>
  <c r="AG9" i="38"/>
  <c r="AT21" i="39"/>
  <c r="AR21" i="38"/>
  <c r="BF20" i="39"/>
  <c r="BD20" i="38"/>
  <c r="AG23" i="35"/>
  <c r="J9" i="68"/>
  <c r="G20" i="89"/>
  <c r="D20" i="88"/>
  <c r="AT20" i="88"/>
  <c r="AR20" i="86"/>
  <c r="G9" i="88"/>
  <c r="D9" i="86"/>
  <c r="G16" i="39"/>
  <c r="D16" i="38"/>
  <c r="D22" i="38"/>
  <c r="G22" i="39"/>
  <c r="G20" i="39"/>
  <c r="D20" i="38"/>
  <c r="BF13" i="88"/>
  <c r="BD13" i="86"/>
  <c r="J10" i="118"/>
  <c r="J10" i="119" s="1"/>
  <c r="J10" i="120" s="1"/>
  <c r="BF16" i="88"/>
  <c r="BD16" i="86"/>
  <c r="G14" i="86"/>
  <c r="D14" i="87"/>
  <c r="AR23" i="85"/>
  <c r="AT19" i="39"/>
  <c r="AR19" i="38"/>
  <c r="AX23" i="93"/>
  <c r="M15" i="118"/>
  <c r="M15" i="119" s="1"/>
  <c r="M15" i="120" s="1"/>
  <c r="AT16" i="86"/>
  <c r="AR16" i="87"/>
  <c r="G21" i="88"/>
  <c r="D21" i="86"/>
  <c r="BH23" i="89"/>
  <c r="G10" i="39"/>
  <c r="D10" i="38"/>
  <c r="AR13" i="38"/>
  <c r="AT13" i="39"/>
  <c r="G14" i="39"/>
  <c r="D14" i="38"/>
  <c r="AI16" i="39"/>
  <c r="AG16" i="38"/>
  <c r="AR10" i="38"/>
  <c r="AT10" i="39"/>
  <c r="AI13" i="86"/>
  <c r="AG13" i="87"/>
  <c r="AT10" i="88"/>
  <c r="AR10" i="86"/>
  <c r="AG18" i="38"/>
  <c r="AI18" i="39"/>
  <c r="AI13" i="39"/>
  <c r="AG13" i="38"/>
  <c r="BF15" i="39"/>
  <c r="BD15" i="38"/>
  <c r="BF13" i="39"/>
  <c r="BD13" i="38"/>
  <c r="AT17" i="39"/>
  <c r="AR17" i="38"/>
  <c r="S17" i="118"/>
  <c r="S17" i="119" s="1"/>
  <c r="S17" i="120" s="1"/>
  <c r="AT9" i="88"/>
  <c r="AR9" i="86"/>
  <c r="G16" i="86"/>
  <c r="D16" i="87"/>
  <c r="G15" i="88"/>
  <c r="D15" i="86"/>
  <c r="AM9" i="42"/>
  <c r="AM23" i="41"/>
  <c r="AI12" i="39"/>
  <c r="AG12" i="38"/>
  <c r="AI10" i="39"/>
  <c r="AG10" i="38"/>
  <c r="AT11" i="39"/>
  <c r="AR11" i="38"/>
  <c r="BJ23" i="95"/>
  <c r="G19" i="86"/>
  <c r="D19" i="87"/>
  <c r="G12" i="88"/>
  <c r="D12" i="86"/>
  <c r="BF19" i="88"/>
  <c r="BD19" i="86"/>
  <c r="BD17" i="38"/>
  <c r="BF17" i="39"/>
  <c r="BF12" i="39"/>
  <c r="BD12" i="38"/>
  <c r="AG22" i="38"/>
  <c r="AI22" i="39"/>
  <c r="J23" i="95"/>
  <c r="V23" i="95"/>
  <c r="V23" i="42"/>
  <c r="AX23" i="90"/>
  <c r="AR13" i="86"/>
  <c r="AT13" i="88"/>
  <c r="AG18" i="87"/>
  <c r="AI18" i="86"/>
  <c r="AT17" i="89"/>
  <c r="AR17" i="88"/>
  <c r="AI20" i="39"/>
  <c r="AG20" i="38"/>
  <c r="BD11" i="38"/>
  <c r="BF11" i="39"/>
  <c r="BN23" i="38"/>
  <c r="BN9" i="39"/>
  <c r="G19" i="39"/>
  <c r="D19" i="38"/>
  <c r="AT16" i="39"/>
  <c r="AR16" i="38"/>
  <c r="BD9" i="38"/>
  <c r="BF9" i="39"/>
  <c r="AT18" i="39"/>
  <c r="AR18" i="38"/>
  <c r="AX23" i="91"/>
  <c r="G22" i="88"/>
  <c r="D22" i="86"/>
  <c r="G10" i="89"/>
  <c r="D10" i="88"/>
  <c r="BD17" i="87"/>
  <c r="BF17" i="86"/>
  <c r="G18" i="39"/>
  <c r="D18" i="38"/>
  <c r="BD21" i="38"/>
  <c r="BF21" i="39"/>
  <c r="D23" i="85"/>
  <c r="G17" i="88"/>
  <c r="D17" i="86"/>
  <c r="G13" i="88"/>
  <c r="D13" i="86"/>
  <c r="BF19" i="39"/>
  <c r="BD19" i="38"/>
  <c r="AE23" i="42"/>
  <c r="AG19" i="38"/>
  <c r="AI19" i="39"/>
  <c r="AI21" i="89"/>
  <c r="AG21" i="88"/>
  <c r="AT11" i="86"/>
  <c r="AR11" i="87"/>
  <c r="AI16" i="88"/>
  <c r="AG16" i="86"/>
  <c r="G11" i="39"/>
  <c r="D11" i="38"/>
  <c r="BD18" i="38"/>
  <c r="BF18" i="39"/>
  <c r="BD14" i="86"/>
  <c r="BF14" i="88"/>
  <c r="AT18" i="88"/>
  <c r="AR18" i="86"/>
  <c r="AI15" i="89"/>
  <c r="AG15" i="88"/>
  <c r="G9" i="39"/>
  <c r="D9" i="38"/>
  <c r="BF20" i="89"/>
  <c r="BD20" i="88"/>
  <c r="G18" i="88"/>
  <c r="D18" i="86"/>
  <c r="AI19" i="89"/>
  <c r="AG19" i="88"/>
  <c r="BF12" i="86"/>
  <c r="BD12" i="87"/>
  <c r="G11" i="88"/>
  <c r="D11" i="86"/>
  <c r="G21" i="39"/>
  <c r="D21" i="38"/>
  <c r="AE20" i="118"/>
  <c r="AE20" i="119" s="1"/>
  <c r="AE20" i="120" s="1"/>
  <c r="AZ23" i="96"/>
  <c r="AZ9" i="97"/>
  <c r="BB9" i="97"/>
  <c r="BB23" i="96"/>
  <c r="BJ23" i="96"/>
  <c r="BJ9" i="97"/>
  <c r="V23" i="96"/>
  <c r="V9" i="97"/>
  <c r="AX9" i="97"/>
  <c r="AX23" i="96"/>
  <c r="AM23" i="96"/>
  <c r="AM9" i="97"/>
  <c r="BH23" i="96"/>
  <c r="BH9" i="97"/>
  <c r="Y23" i="96"/>
  <c r="Y9" i="97"/>
  <c r="S23" i="95"/>
  <c r="Y23" i="95"/>
  <c r="S9" i="97"/>
  <c r="S23" i="96"/>
  <c r="D23" i="37" l="1"/>
  <c r="AT20" i="39"/>
  <c r="AR20" i="38"/>
  <c r="AR23" i="38" s="1"/>
  <c r="BD23" i="37"/>
  <c r="BL9" i="97"/>
  <c r="BL9" i="98" s="1"/>
  <c r="BF14" i="39"/>
  <c r="BD14" i="39" s="1"/>
  <c r="M23" i="81"/>
  <c r="AR23" i="37"/>
  <c r="J23" i="52"/>
  <c r="AZ23" i="50"/>
  <c r="AX23" i="58"/>
  <c r="AZ23" i="49"/>
  <c r="AK9" i="48"/>
  <c r="AK9" i="49" s="1"/>
  <c r="AZ23" i="48"/>
  <c r="AX9" i="69"/>
  <c r="AX9" i="70" s="1"/>
  <c r="AX23" i="66"/>
  <c r="P9" i="81"/>
  <c r="P23" i="81" s="1"/>
  <c r="AO23" i="81"/>
  <c r="AZ23" i="81"/>
  <c r="AX23" i="64"/>
  <c r="AV23" i="65"/>
  <c r="AV23" i="48"/>
  <c r="AV23" i="50"/>
  <c r="AV23" i="55"/>
  <c r="AV23" i="54"/>
  <c r="AV23" i="81"/>
  <c r="AV23" i="53"/>
  <c r="AV23" i="63"/>
  <c r="AV23" i="57"/>
  <c r="AV23" i="62"/>
  <c r="AV23" i="52"/>
  <c r="AV23" i="61"/>
  <c r="M23" i="49"/>
  <c r="M23" i="52"/>
  <c r="AV23" i="49"/>
  <c r="AV23" i="58"/>
  <c r="AV23" i="51"/>
  <c r="AV23" i="64"/>
  <c r="AV23" i="56"/>
  <c r="AO23" i="48"/>
  <c r="AX23" i="63"/>
  <c r="AX23" i="62"/>
  <c r="AX23" i="67"/>
  <c r="M23" i="51"/>
  <c r="M23" i="48"/>
  <c r="AX23" i="61"/>
  <c r="AX23" i="65"/>
  <c r="M23" i="50"/>
  <c r="BQ14" i="109"/>
  <c r="BQ14" i="110" s="1"/>
  <c r="BQ14" i="111" s="1"/>
  <c r="BQ14" i="112" s="1"/>
  <c r="BQ14" i="114" s="1"/>
  <c r="BQ14" i="115" s="1"/>
  <c r="BQ14" i="116" s="1"/>
  <c r="BQ14" i="117" s="1"/>
  <c r="BQ14" i="118" s="1"/>
  <c r="BQ14" i="119" s="1"/>
  <c r="BQ14" i="120" s="1"/>
  <c r="BQ15" i="103"/>
  <c r="D23" i="38"/>
  <c r="J22" i="54"/>
  <c r="J23" i="53"/>
  <c r="AB9" i="71"/>
  <c r="AB23" i="70"/>
  <c r="M9" i="54"/>
  <c r="M23" i="53"/>
  <c r="AZ9" i="52"/>
  <c r="AZ23" i="51"/>
  <c r="D23" i="87"/>
  <c r="BD23" i="87"/>
  <c r="J23" i="98"/>
  <c r="AG23" i="38"/>
  <c r="AR23" i="87"/>
  <c r="AB23" i="96"/>
  <c r="AI14" i="41"/>
  <c r="AG14" i="39"/>
  <c r="AT11" i="88"/>
  <c r="AR11" i="86"/>
  <c r="AT23" i="86"/>
  <c r="BD17" i="39"/>
  <c r="BF17" i="41"/>
  <c r="AM23" i="42"/>
  <c r="BB9" i="81"/>
  <c r="AI15" i="41"/>
  <c r="AG15" i="39"/>
  <c r="AI11" i="41"/>
  <c r="AG11" i="39"/>
  <c r="G18" i="89"/>
  <c r="D18" i="88"/>
  <c r="G13" i="89"/>
  <c r="D13" i="88"/>
  <c r="D22" i="88"/>
  <c r="G22" i="89"/>
  <c r="BF15" i="41"/>
  <c r="BD15" i="39"/>
  <c r="BF22" i="41"/>
  <c r="BD22" i="39"/>
  <c r="AI14" i="89"/>
  <c r="AG14" i="88"/>
  <c r="AI21" i="41"/>
  <c r="AG21" i="39"/>
  <c r="AI21" i="90"/>
  <c r="AG21" i="89"/>
  <c r="BF13" i="89"/>
  <c r="BD13" i="88"/>
  <c r="BD15" i="88"/>
  <c r="BF15" i="89"/>
  <c r="AT15" i="41"/>
  <c r="AR15" i="39"/>
  <c r="BF20" i="90"/>
  <c r="BD20" i="89"/>
  <c r="G17" i="89"/>
  <c r="D17" i="88"/>
  <c r="AG13" i="39"/>
  <c r="AI13" i="41"/>
  <c r="G14" i="41"/>
  <c r="D14" i="39"/>
  <c r="AG12" i="88"/>
  <c r="AI12" i="89"/>
  <c r="BF16" i="41"/>
  <c r="BD16" i="39"/>
  <c r="AT12" i="41"/>
  <c r="AR12" i="39"/>
  <c r="AT20" i="41"/>
  <c r="AR20" i="39"/>
  <c r="AT17" i="90"/>
  <c r="AR17" i="89"/>
  <c r="BF19" i="89"/>
  <c r="BD19" i="88"/>
  <c r="AG18" i="39"/>
  <c r="AI18" i="41"/>
  <c r="AT13" i="41"/>
  <c r="AR13" i="39"/>
  <c r="J9" i="69"/>
  <c r="BN23" i="86"/>
  <c r="BN9" i="88"/>
  <c r="BD9" i="88" s="1"/>
  <c r="BF9" i="89"/>
  <c r="AI17" i="41"/>
  <c r="AG17" i="39"/>
  <c r="AG18" i="86"/>
  <c r="AI18" i="88"/>
  <c r="G15" i="89"/>
  <c r="D15" i="88"/>
  <c r="AT19" i="41"/>
  <c r="AR19" i="39"/>
  <c r="D20" i="39"/>
  <c r="G20" i="41"/>
  <c r="AG23" i="87"/>
  <c r="AT15" i="89"/>
  <c r="AR15" i="88"/>
  <c r="M9" i="90"/>
  <c r="M23" i="89"/>
  <c r="AI10" i="89"/>
  <c r="AG10" i="88"/>
  <c r="BD12" i="39"/>
  <c r="BF12" i="41"/>
  <c r="BF18" i="41"/>
  <c r="BD18" i="39"/>
  <c r="AR18" i="39"/>
  <c r="AT18" i="41"/>
  <c r="G12" i="89"/>
  <c r="D12" i="88"/>
  <c r="G22" i="41"/>
  <c r="D22" i="39"/>
  <c r="AI9" i="88"/>
  <c r="AG9" i="86"/>
  <c r="AI23" i="86"/>
  <c r="AK9" i="95"/>
  <c r="AK23" i="94"/>
  <c r="AT22" i="89"/>
  <c r="AR22" i="88"/>
  <c r="AT22" i="41"/>
  <c r="AR22" i="39"/>
  <c r="D9" i="39"/>
  <c r="G9" i="41"/>
  <c r="G23" i="39"/>
  <c r="D23" i="39" s="1"/>
  <c r="BD21" i="39"/>
  <c r="BF21" i="41"/>
  <c r="AR13" i="88"/>
  <c r="AT13" i="89"/>
  <c r="G10" i="41"/>
  <c r="D10" i="39"/>
  <c r="BF20" i="41"/>
  <c r="BD20" i="39"/>
  <c r="AT21" i="88"/>
  <c r="AR21" i="86"/>
  <c r="P9" i="94"/>
  <c r="P23" i="93"/>
  <c r="AT14" i="89"/>
  <c r="AR14" i="88"/>
  <c r="AI19" i="41"/>
  <c r="AG19" i="39"/>
  <c r="BF9" i="41"/>
  <c r="BD9" i="39"/>
  <c r="BF23" i="39"/>
  <c r="D19" i="86"/>
  <c r="G19" i="88"/>
  <c r="G16" i="88"/>
  <c r="D16" i="86"/>
  <c r="AI17" i="89"/>
  <c r="AG17" i="88"/>
  <c r="BF10" i="89"/>
  <c r="BD10" i="88"/>
  <c r="BF13" i="41"/>
  <c r="BD13" i="39"/>
  <c r="BD23" i="38"/>
  <c r="D16" i="39"/>
  <c r="G16" i="41"/>
  <c r="BF21" i="89"/>
  <c r="BD21" i="88"/>
  <c r="AT12" i="89"/>
  <c r="AR12" i="88"/>
  <c r="AI20" i="89"/>
  <c r="AG20" i="88"/>
  <c r="AV23" i="93"/>
  <c r="AV9" i="94"/>
  <c r="BH9" i="81"/>
  <c r="AT9" i="89"/>
  <c r="AR9" i="88"/>
  <c r="AI11" i="89"/>
  <c r="AG11" i="88"/>
  <c r="D12" i="39"/>
  <c r="G12" i="41"/>
  <c r="AR16" i="39"/>
  <c r="AT16" i="41"/>
  <c r="V9" i="81"/>
  <c r="AR10" i="88"/>
  <c r="AT10" i="89"/>
  <c r="G21" i="89"/>
  <c r="D21" i="88"/>
  <c r="AT21" i="41"/>
  <c r="AR21" i="39"/>
  <c r="AO9" i="95"/>
  <c r="AO23" i="94"/>
  <c r="BF22" i="88"/>
  <c r="BD22" i="86"/>
  <c r="AI19" i="90"/>
  <c r="AG19" i="89"/>
  <c r="G10" i="90"/>
  <c r="D10" i="89"/>
  <c r="G21" i="41"/>
  <c r="D21" i="39"/>
  <c r="AG15" i="89"/>
  <c r="AI15" i="90"/>
  <c r="G18" i="41"/>
  <c r="D18" i="39"/>
  <c r="BD11" i="88"/>
  <c r="BF11" i="89"/>
  <c r="G11" i="41"/>
  <c r="D11" i="39"/>
  <c r="D19" i="39"/>
  <c r="G19" i="41"/>
  <c r="AI13" i="88"/>
  <c r="AG13" i="86"/>
  <c r="AR16" i="86"/>
  <c r="AT16" i="88"/>
  <c r="G14" i="88"/>
  <c r="D14" i="86"/>
  <c r="G23" i="86"/>
  <c r="D23" i="86" s="1"/>
  <c r="G9" i="89"/>
  <c r="D9" i="88"/>
  <c r="AG9" i="39"/>
  <c r="AI9" i="41"/>
  <c r="AI23" i="39"/>
  <c r="AT9" i="41"/>
  <c r="AR9" i="39"/>
  <c r="AT23" i="39"/>
  <c r="BF14" i="41"/>
  <c r="AI22" i="89"/>
  <c r="AG22" i="88"/>
  <c r="BF18" i="89"/>
  <c r="BD18" i="88"/>
  <c r="AT18" i="89"/>
  <c r="AR18" i="88"/>
  <c r="BQ9" i="81"/>
  <c r="BN23" i="39"/>
  <c r="BN9" i="41"/>
  <c r="AR11" i="39"/>
  <c r="AT11" i="41"/>
  <c r="AI16" i="41"/>
  <c r="AG16" i="39"/>
  <c r="G11" i="89"/>
  <c r="D11" i="88"/>
  <c r="AT17" i="41"/>
  <c r="AR17" i="39"/>
  <c r="AR10" i="39"/>
  <c r="AT10" i="41"/>
  <c r="BF16" i="89"/>
  <c r="BD16" i="88"/>
  <c r="AT20" i="89"/>
  <c r="AR20" i="88"/>
  <c r="AV9" i="67"/>
  <c r="AV23" i="66"/>
  <c r="BF10" i="41"/>
  <c r="BD10" i="39"/>
  <c r="BD14" i="88"/>
  <c r="BF14" i="89"/>
  <c r="BD17" i="86"/>
  <c r="BF17" i="88"/>
  <c r="BF11" i="41"/>
  <c r="BD11" i="39"/>
  <c r="AI22" i="41"/>
  <c r="AG22" i="39"/>
  <c r="AI10" i="41"/>
  <c r="AG10" i="39"/>
  <c r="G13" i="41"/>
  <c r="D13" i="39"/>
  <c r="AO9" i="50"/>
  <c r="AO23" i="49"/>
  <c r="AT19" i="90"/>
  <c r="AR19" i="89"/>
  <c r="AG20" i="39"/>
  <c r="AI20" i="41"/>
  <c r="BF12" i="88"/>
  <c r="BD12" i="86"/>
  <c r="BF23" i="86"/>
  <c r="BD19" i="39"/>
  <c r="BF19" i="41"/>
  <c r="G20" i="90"/>
  <c r="D20" i="89"/>
  <c r="AT14" i="41"/>
  <c r="AR14" i="39"/>
  <c r="G17" i="41"/>
  <c r="D17" i="39"/>
  <c r="G15" i="41"/>
  <c r="D15" i="39"/>
  <c r="AG16" i="88"/>
  <c r="AI16" i="89"/>
  <c r="AG12" i="39"/>
  <c r="AI12" i="41"/>
  <c r="AE9" i="92"/>
  <c r="AE23" i="91"/>
  <c r="AB9" i="98"/>
  <c r="AB23" i="97"/>
  <c r="BB9" i="98"/>
  <c r="BB23" i="97"/>
  <c r="AZ23" i="97"/>
  <c r="AZ9" i="98"/>
  <c r="V23" i="97"/>
  <c r="V9" i="98"/>
  <c r="BJ9" i="98"/>
  <c r="BJ23" i="97"/>
  <c r="Y9" i="98"/>
  <c r="Y23" i="97"/>
  <c r="AX9" i="98"/>
  <c r="AX23" i="97"/>
  <c r="S23" i="97"/>
  <c r="S9" i="98"/>
  <c r="AM23" i="97"/>
  <c r="AM9" i="98"/>
  <c r="BH23" i="97"/>
  <c r="BH9" i="98"/>
  <c r="J9" i="100"/>
  <c r="J23" i="99"/>
  <c r="BL23" i="97" l="1"/>
  <c r="AX23" i="69"/>
  <c r="AK23" i="48"/>
  <c r="P9" i="48"/>
  <c r="P9" i="49" s="1"/>
  <c r="AZ9" i="53"/>
  <c r="AZ23" i="52"/>
  <c r="J22" i="55"/>
  <c r="J23" i="54"/>
  <c r="BQ15" i="109"/>
  <c r="BQ15" i="110" s="1"/>
  <c r="BQ15" i="111" s="1"/>
  <c r="BQ15" i="112" s="1"/>
  <c r="BQ15" i="114" s="1"/>
  <c r="BQ15" i="115" s="1"/>
  <c r="BQ15" i="116" s="1"/>
  <c r="BQ15" i="117" s="1"/>
  <c r="BQ15" i="118" s="1"/>
  <c r="BQ15" i="119" s="1"/>
  <c r="BQ15" i="120" s="1"/>
  <c r="BQ23" i="103"/>
  <c r="AB9" i="73"/>
  <c r="AB23" i="71"/>
  <c r="M9" i="55"/>
  <c r="M23" i="54"/>
  <c r="BD23" i="86"/>
  <c r="AR23" i="86"/>
  <c r="G23" i="88"/>
  <c r="D23" i="88" s="1"/>
  <c r="AR23" i="39"/>
  <c r="D10" i="41"/>
  <c r="G10" i="42"/>
  <c r="AK9" i="50"/>
  <c r="AK23" i="49"/>
  <c r="AT17" i="91"/>
  <c r="AR17" i="90"/>
  <c r="G13" i="90"/>
  <c r="D13" i="89"/>
  <c r="BD20" i="41"/>
  <c r="BF20" i="42"/>
  <c r="BD14" i="89"/>
  <c r="BF14" i="90"/>
  <c r="AI9" i="42"/>
  <c r="AG9" i="41"/>
  <c r="AI23" i="41"/>
  <c r="AV9" i="95"/>
  <c r="AV23" i="94"/>
  <c r="AT13" i="90"/>
  <c r="AR13" i="89"/>
  <c r="G15" i="90"/>
  <c r="D15" i="89"/>
  <c r="AG16" i="41"/>
  <c r="AI16" i="42"/>
  <c r="AG23" i="39"/>
  <c r="G18" i="42"/>
  <c r="D18" i="41"/>
  <c r="G12" i="90"/>
  <c r="D12" i="89"/>
  <c r="AI18" i="89"/>
  <c r="AG18" i="88"/>
  <c r="AT20" i="42"/>
  <c r="AR20" i="41"/>
  <c r="BF13" i="90"/>
  <c r="BD13" i="89"/>
  <c r="G18" i="90"/>
  <c r="D18" i="89"/>
  <c r="G11" i="42"/>
  <c r="D11" i="41"/>
  <c r="AT9" i="42"/>
  <c r="AT23" i="41"/>
  <c r="AR9" i="41"/>
  <c r="BF19" i="42"/>
  <c r="BD19" i="41"/>
  <c r="AT11" i="42"/>
  <c r="AR11" i="41"/>
  <c r="AI15" i="91"/>
  <c r="AG15" i="90"/>
  <c r="V9" i="48"/>
  <c r="V23" i="81"/>
  <c r="G16" i="89"/>
  <c r="D16" i="88"/>
  <c r="BF21" i="42"/>
  <c r="BD21" i="41"/>
  <c r="AT18" i="42"/>
  <c r="AR18" i="41"/>
  <c r="G20" i="91"/>
  <c r="D20" i="90"/>
  <c r="BF12" i="89"/>
  <c r="BD12" i="88"/>
  <c r="AT16" i="42"/>
  <c r="AR16" i="41"/>
  <c r="AI20" i="90"/>
  <c r="AG20" i="89"/>
  <c r="G19" i="89"/>
  <c r="D19" i="88"/>
  <c r="AT12" i="42"/>
  <c r="AR12" i="41"/>
  <c r="AX9" i="71"/>
  <c r="AX23" i="70"/>
  <c r="AI11" i="42"/>
  <c r="AG11" i="41"/>
  <c r="BJ9" i="81"/>
  <c r="AI20" i="42"/>
  <c r="AG20" i="41"/>
  <c r="BN9" i="42"/>
  <c r="BN23" i="41"/>
  <c r="G9" i="90"/>
  <c r="D9" i="89"/>
  <c r="AI17" i="42"/>
  <c r="AG17" i="41"/>
  <c r="BF19" i="90"/>
  <c r="BD19" i="89"/>
  <c r="BF10" i="42"/>
  <c r="BD10" i="41"/>
  <c r="G21" i="42"/>
  <c r="D21" i="41"/>
  <c r="D12" i="41"/>
  <c r="G12" i="42"/>
  <c r="AT12" i="90"/>
  <c r="AR12" i="89"/>
  <c r="G9" i="42"/>
  <c r="D9" i="41"/>
  <c r="G23" i="41"/>
  <c r="D23" i="41" s="1"/>
  <c r="BF18" i="42"/>
  <c r="BD18" i="41"/>
  <c r="BF23" i="88"/>
  <c r="BF16" i="42"/>
  <c r="BD16" i="41"/>
  <c r="AI21" i="91"/>
  <c r="AG21" i="90"/>
  <c r="AI15" i="42"/>
  <c r="AG15" i="41"/>
  <c r="BF17" i="89"/>
  <c r="BD17" i="88"/>
  <c r="AE9" i="93"/>
  <c r="AE23" i="92"/>
  <c r="BD23" i="39"/>
  <c r="BF12" i="42"/>
  <c r="BD12" i="41"/>
  <c r="AI12" i="90"/>
  <c r="AG12" i="89"/>
  <c r="G22" i="42"/>
  <c r="D22" i="41"/>
  <c r="AI12" i="42"/>
  <c r="AG12" i="41"/>
  <c r="AT19" i="91"/>
  <c r="AR19" i="90"/>
  <c r="AV9" i="68"/>
  <c r="AV23" i="67"/>
  <c r="BQ9" i="48"/>
  <c r="BQ23" i="81"/>
  <c r="G14" i="89"/>
  <c r="D14" i="88"/>
  <c r="G10" i="91"/>
  <c r="D10" i="90"/>
  <c r="BF21" i="90"/>
  <c r="BD21" i="89"/>
  <c r="BF9" i="42"/>
  <c r="BF23" i="41"/>
  <c r="BD9" i="41"/>
  <c r="BF9" i="90"/>
  <c r="BB9" i="48"/>
  <c r="BB23" i="81"/>
  <c r="G11" i="90"/>
  <c r="D11" i="89"/>
  <c r="AT16" i="89"/>
  <c r="AR16" i="88"/>
  <c r="AI11" i="90"/>
  <c r="AG11" i="89"/>
  <c r="G16" i="42"/>
  <c r="D16" i="41"/>
  <c r="AT22" i="42"/>
  <c r="AR22" i="41"/>
  <c r="BN23" i="88"/>
  <c r="BN9" i="89"/>
  <c r="BD9" i="89" s="1"/>
  <c r="AI16" i="90"/>
  <c r="AG16" i="89"/>
  <c r="AO9" i="51"/>
  <c r="AO23" i="50"/>
  <c r="AT20" i="90"/>
  <c r="AR20" i="89"/>
  <c r="AT18" i="90"/>
  <c r="AR18" i="89"/>
  <c r="AI19" i="91"/>
  <c r="AG19" i="90"/>
  <c r="AI19" i="42"/>
  <c r="AG19" i="41"/>
  <c r="AI10" i="90"/>
  <c r="AG10" i="89"/>
  <c r="G14" i="42"/>
  <c r="D14" i="41"/>
  <c r="AG21" i="41"/>
  <c r="AI21" i="42"/>
  <c r="AT22" i="90"/>
  <c r="AR22" i="89"/>
  <c r="AI13" i="42"/>
  <c r="AG13" i="41"/>
  <c r="BF17" i="42"/>
  <c r="BD17" i="41"/>
  <c r="BF11" i="42"/>
  <c r="BD11" i="41"/>
  <c r="AI17" i="90"/>
  <c r="AG17" i="89"/>
  <c r="G13" i="42"/>
  <c r="D13" i="41"/>
  <c r="BF16" i="90"/>
  <c r="BD16" i="89"/>
  <c r="BF18" i="90"/>
  <c r="BD18" i="89"/>
  <c r="AI13" i="89"/>
  <c r="AG13" i="88"/>
  <c r="BF22" i="89"/>
  <c r="BD22" i="88"/>
  <c r="AT23" i="88"/>
  <c r="AT14" i="90"/>
  <c r="AR14" i="89"/>
  <c r="M9" i="91"/>
  <c r="M23" i="90"/>
  <c r="J9" i="70"/>
  <c r="AI14" i="90"/>
  <c r="AG14" i="89"/>
  <c r="AT9" i="90"/>
  <c r="AR9" i="89"/>
  <c r="D15" i="41"/>
  <c r="G15" i="42"/>
  <c r="AT10" i="42"/>
  <c r="AR10" i="41"/>
  <c r="G19" i="42"/>
  <c r="D19" i="41"/>
  <c r="AK23" i="95"/>
  <c r="AK9" i="96"/>
  <c r="AR19" i="41"/>
  <c r="AT19" i="42"/>
  <c r="AI10" i="42"/>
  <c r="AG10" i="41"/>
  <c r="AI22" i="90"/>
  <c r="AG22" i="89"/>
  <c r="AO9" i="96"/>
  <c r="AO23" i="95"/>
  <c r="P9" i="95"/>
  <c r="P23" i="94"/>
  <c r="AT15" i="90"/>
  <c r="AR15" i="89"/>
  <c r="AR13" i="41"/>
  <c r="AT13" i="42"/>
  <c r="G17" i="90"/>
  <c r="D17" i="89"/>
  <c r="BD22" i="41"/>
  <c r="BF22" i="42"/>
  <c r="AG18" i="41"/>
  <c r="AI18" i="42"/>
  <c r="AT11" i="89"/>
  <c r="AR11" i="88"/>
  <c r="BF11" i="90"/>
  <c r="BD11" i="89"/>
  <c r="G17" i="42"/>
  <c r="D17" i="41"/>
  <c r="BF13" i="42"/>
  <c r="BD13" i="41"/>
  <c r="AI22" i="42"/>
  <c r="AG22" i="41"/>
  <c r="AT17" i="42"/>
  <c r="AR17" i="41"/>
  <c r="BD14" i="41"/>
  <c r="BF14" i="42"/>
  <c r="AR21" i="41"/>
  <c r="AT21" i="42"/>
  <c r="AT21" i="89"/>
  <c r="AR21" i="88"/>
  <c r="AI9" i="89"/>
  <c r="AG9" i="88"/>
  <c r="AI23" i="88"/>
  <c r="G20" i="42"/>
  <c r="D20" i="41"/>
  <c r="BF20" i="91"/>
  <c r="BD20" i="90"/>
  <c r="BF15" i="42"/>
  <c r="BD15" i="41"/>
  <c r="G21" i="90"/>
  <c r="D21" i="89"/>
  <c r="AT10" i="90"/>
  <c r="AR10" i="89"/>
  <c r="AG23" i="86"/>
  <c r="AR14" i="41"/>
  <c r="AT14" i="42"/>
  <c r="BF10" i="90"/>
  <c r="BD10" i="89"/>
  <c r="D22" i="89"/>
  <c r="G22" i="90"/>
  <c r="AI14" i="42"/>
  <c r="AG14" i="41"/>
  <c r="BH9" i="48"/>
  <c r="BH23" i="81"/>
  <c r="AT15" i="42"/>
  <c r="AR15" i="41"/>
  <c r="BF15" i="90"/>
  <c r="BD15" i="89"/>
  <c r="AM23" i="98"/>
  <c r="AM9" i="99"/>
  <c r="AX23" i="98"/>
  <c r="AX9" i="99"/>
  <c r="Y9" i="99"/>
  <c r="Y23" i="98"/>
  <c r="V9" i="99"/>
  <c r="V23" i="98"/>
  <c r="BB9" i="99"/>
  <c r="BB23" i="98"/>
  <c r="BJ9" i="99"/>
  <c r="BJ23" i="98"/>
  <c r="AZ9" i="99"/>
  <c r="AZ23" i="98"/>
  <c r="BL9" i="99"/>
  <c r="BL23" i="98"/>
  <c r="AB23" i="98"/>
  <c r="AB9" i="99"/>
  <c r="S9" i="99"/>
  <c r="S23" i="98"/>
  <c r="J23" i="100"/>
  <c r="J9" i="101"/>
  <c r="BH9" i="99"/>
  <c r="BH23" i="98"/>
  <c r="P23" i="48" l="1"/>
  <c r="AR23" i="88"/>
  <c r="M9" i="56"/>
  <c r="M23" i="55"/>
  <c r="J22" i="56"/>
  <c r="J23" i="55"/>
  <c r="AB9" i="74"/>
  <c r="AB23" i="73"/>
  <c r="AZ9" i="54"/>
  <c r="AZ23" i="53"/>
  <c r="BF23" i="89"/>
  <c r="AT23" i="89"/>
  <c r="BD23" i="88"/>
  <c r="AG13" i="42"/>
  <c r="BD18" i="42"/>
  <c r="BN23" i="42"/>
  <c r="BF12" i="90"/>
  <c r="BD12" i="89"/>
  <c r="AT13" i="91"/>
  <c r="AR13" i="90"/>
  <c r="BD22" i="42"/>
  <c r="AK23" i="96"/>
  <c r="AK9" i="97"/>
  <c r="AT14" i="91"/>
  <c r="AR14" i="90"/>
  <c r="AO9" i="52"/>
  <c r="AO23" i="51"/>
  <c r="D22" i="42"/>
  <c r="D11" i="42"/>
  <c r="S9" i="81"/>
  <c r="AR22" i="90"/>
  <c r="AT22" i="91"/>
  <c r="BF9" i="91"/>
  <c r="AG20" i="42"/>
  <c r="G20" i="92"/>
  <c r="D20" i="91"/>
  <c r="AR10" i="90"/>
  <c r="AT10" i="91"/>
  <c r="BD14" i="42"/>
  <c r="AI16" i="91"/>
  <c r="AG16" i="90"/>
  <c r="BD23" i="41"/>
  <c r="AI12" i="91"/>
  <c r="AG12" i="90"/>
  <c r="D9" i="42"/>
  <c r="G23" i="42"/>
  <c r="D23" i="42" s="1"/>
  <c r="G18" i="91"/>
  <c r="D18" i="90"/>
  <c r="G17" i="91"/>
  <c r="D17" i="90"/>
  <c r="BF22" i="90"/>
  <c r="BD22" i="89"/>
  <c r="BN9" i="90"/>
  <c r="BN23" i="89"/>
  <c r="BJ9" i="48"/>
  <c r="BJ23" i="81"/>
  <c r="AR18" i="42"/>
  <c r="AV9" i="96"/>
  <c r="AV23" i="95"/>
  <c r="D21" i="90"/>
  <c r="G21" i="91"/>
  <c r="AR13" i="42"/>
  <c r="AG21" i="42"/>
  <c r="BD9" i="42"/>
  <c r="BF23" i="42"/>
  <c r="AT12" i="91"/>
  <c r="AR12" i="90"/>
  <c r="BF13" i="91"/>
  <c r="BD13" i="90"/>
  <c r="AR17" i="42"/>
  <c r="D19" i="42"/>
  <c r="AI13" i="90"/>
  <c r="AG13" i="89"/>
  <c r="BD12" i="42"/>
  <c r="D12" i="42"/>
  <c r="AG11" i="42"/>
  <c r="BD21" i="42"/>
  <c r="AG23" i="41"/>
  <c r="BD15" i="42"/>
  <c r="AR22" i="42"/>
  <c r="BF21" i="91"/>
  <c r="BD21" i="90"/>
  <c r="AR20" i="42"/>
  <c r="AG9" i="42"/>
  <c r="AI23" i="42"/>
  <c r="BF15" i="91"/>
  <c r="BD15" i="90"/>
  <c r="AG22" i="42"/>
  <c r="AT15" i="91"/>
  <c r="AR15" i="90"/>
  <c r="AR10" i="42"/>
  <c r="BF18" i="91"/>
  <c r="BD18" i="90"/>
  <c r="D14" i="42"/>
  <c r="AX9" i="73"/>
  <c r="AX23" i="71"/>
  <c r="G16" i="90"/>
  <c r="D16" i="89"/>
  <c r="BF14" i="91"/>
  <c r="BD14" i="90"/>
  <c r="BF20" i="92"/>
  <c r="BD20" i="91"/>
  <c r="D15" i="42"/>
  <c r="D16" i="42"/>
  <c r="D10" i="91"/>
  <c r="G10" i="92"/>
  <c r="AE9" i="94"/>
  <c r="AE23" i="93"/>
  <c r="D21" i="42"/>
  <c r="AG18" i="89"/>
  <c r="AI18" i="90"/>
  <c r="AR15" i="42"/>
  <c r="BD13" i="42"/>
  <c r="P9" i="96"/>
  <c r="P23" i="95"/>
  <c r="BF16" i="91"/>
  <c r="BD16" i="90"/>
  <c r="AI10" i="91"/>
  <c r="AG10" i="90"/>
  <c r="AR12" i="42"/>
  <c r="V9" i="49"/>
  <c r="V23" i="48"/>
  <c r="BD20" i="42"/>
  <c r="D20" i="42"/>
  <c r="AI11" i="91"/>
  <c r="AG11" i="90"/>
  <c r="G14" i="90"/>
  <c r="D14" i="89"/>
  <c r="BD17" i="89"/>
  <c r="BF17" i="90"/>
  <c r="BD10" i="42"/>
  <c r="G12" i="91"/>
  <c r="D12" i="90"/>
  <c r="BH9" i="49"/>
  <c r="BH23" i="48"/>
  <c r="D17" i="42"/>
  <c r="D13" i="42"/>
  <c r="AG19" i="42"/>
  <c r="G19" i="90"/>
  <c r="D19" i="89"/>
  <c r="AI15" i="92"/>
  <c r="AG15" i="91"/>
  <c r="AG23" i="88"/>
  <c r="AT9" i="91"/>
  <c r="AR9" i="90"/>
  <c r="AR16" i="89"/>
  <c r="AT16" i="90"/>
  <c r="BQ9" i="49"/>
  <c r="BQ23" i="48"/>
  <c r="AG15" i="42"/>
  <c r="BD19" i="90"/>
  <c r="BF19" i="91"/>
  <c r="D18" i="42"/>
  <c r="G13" i="91"/>
  <c r="D13" i="90"/>
  <c r="AG14" i="42"/>
  <c r="AI23" i="89"/>
  <c r="AI9" i="90"/>
  <c r="AG9" i="89"/>
  <c r="BF11" i="91"/>
  <c r="BD11" i="90"/>
  <c r="AO23" i="96"/>
  <c r="AO9" i="97"/>
  <c r="AI17" i="91"/>
  <c r="AG17" i="90"/>
  <c r="AI20" i="91"/>
  <c r="AG20" i="90"/>
  <c r="AR11" i="42"/>
  <c r="G22" i="91"/>
  <c r="D22" i="90"/>
  <c r="AI14" i="91"/>
  <c r="AG14" i="90"/>
  <c r="AG19" i="91"/>
  <c r="AI19" i="92"/>
  <c r="G11" i="91"/>
  <c r="D11" i="90"/>
  <c r="AV9" i="69"/>
  <c r="AV23" i="68"/>
  <c r="AI21" i="92"/>
  <c r="AG21" i="91"/>
  <c r="AG17" i="42"/>
  <c r="AG16" i="42"/>
  <c r="AR17" i="91"/>
  <c r="AT17" i="92"/>
  <c r="AT21" i="90"/>
  <c r="AR21" i="89"/>
  <c r="AG22" i="90"/>
  <c r="AI22" i="91"/>
  <c r="BD11" i="42"/>
  <c r="G23" i="89"/>
  <c r="D23" i="89" s="1"/>
  <c r="AR16" i="42"/>
  <c r="BD19" i="42"/>
  <c r="J9" i="71"/>
  <c r="AT18" i="91"/>
  <c r="AR18" i="90"/>
  <c r="BB9" i="49"/>
  <c r="BB23" i="48"/>
  <c r="AT19" i="92"/>
  <c r="AR19" i="91"/>
  <c r="BD16" i="42"/>
  <c r="AR23" i="41"/>
  <c r="AK9" i="51"/>
  <c r="AK23" i="50"/>
  <c r="BF10" i="91"/>
  <c r="BD10" i="90"/>
  <c r="P9" i="50"/>
  <c r="P23" i="49"/>
  <c r="AT11" i="90"/>
  <c r="AR11" i="89"/>
  <c r="AG10" i="42"/>
  <c r="BD17" i="42"/>
  <c r="G9" i="91"/>
  <c r="D9" i="90"/>
  <c r="G15" i="91"/>
  <c r="D15" i="90"/>
  <c r="D10" i="42"/>
  <c r="AR14" i="42"/>
  <c r="AR21" i="42"/>
  <c r="AG18" i="42"/>
  <c r="AR19" i="42"/>
  <c r="M9" i="92"/>
  <c r="M23" i="91"/>
  <c r="AT20" i="91"/>
  <c r="AR20" i="90"/>
  <c r="AG12" i="42"/>
  <c r="AR9" i="42"/>
  <c r="AT23" i="42"/>
  <c r="BH9" i="100"/>
  <c r="BH23" i="99"/>
  <c r="BL9" i="100"/>
  <c r="BL23" i="99"/>
  <c r="AZ9" i="100"/>
  <c r="AZ23" i="99"/>
  <c r="V9" i="100"/>
  <c r="V23" i="99"/>
  <c r="S9" i="100"/>
  <c r="S23" i="99"/>
  <c r="BJ9" i="100"/>
  <c r="BJ23" i="99"/>
  <c r="Y9" i="100"/>
  <c r="Y23" i="99"/>
  <c r="J9" i="102"/>
  <c r="J23" i="101"/>
  <c r="BB9" i="100"/>
  <c r="BB23" i="99"/>
  <c r="AX9" i="100"/>
  <c r="AX23" i="99"/>
  <c r="AB9" i="100"/>
  <c r="AB23" i="99"/>
  <c r="AM9" i="100"/>
  <c r="AM23" i="99"/>
  <c r="J22" i="57" l="1"/>
  <c r="J23" i="56"/>
  <c r="J23" i="102"/>
  <c r="J9" i="103"/>
  <c r="AB9" i="76"/>
  <c r="AB23" i="74"/>
  <c r="AZ9" i="55"/>
  <c r="AZ23" i="54"/>
  <c r="M9" i="57"/>
  <c r="M23" i="56"/>
  <c r="AR23" i="89"/>
  <c r="BF23" i="90"/>
  <c r="AT23" i="90"/>
  <c r="BD23" i="89"/>
  <c r="P9" i="51"/>
  <c r="P23" i="50"/>
  <c r="G11" i="92"/>
  <c r="D11" i="91"/>
  <c r="G14" i="91"/>
  <c r="D14" i="90"/>
  <c r="G16" i="91"/>
  <c r="D16" i="90"/>
  <c r="AI19" i="93"/>
  <c r="AG19" i="92"/>
  <c r="G19" i="91"/>
  <c r="D19" i="90"/>
  <c r="BF21" i="92"/>
  <c r="BD21" i="91"/>
  <c r="BN23" i="90"/>
  <c r="BN9" i="91"/>
  <c r="BD9" i="91" s="1"/>
  <c r="BF10" i="92"/>
  <c r="BD10" i="91"/>
  <c r="AI11" i="92"/>
  <c r="AG11" i="91"/>
  <c r="AX9" i="74"/>
  <c r="AX23" i="73"/>
  <c r="BF13" i="92"/>
  <c r="BD13" i="91"/>
  <c r="AT10" i="92"/>
  <c r="AR10" i="91"/>
  <c r="AO9" i="53"/>
  <c r="AO23" i="52"/>
  <c r="AI22" i="92"/>
  <c r="AG22" i="91"/>
  <c r="G13" i="92"/>
  <c r="D13" i="91"/>
  <c r="AG18" i="90"/>
  <c r="AI18" i="91"/>
  <c r="AK9" i="52"/>
  <c r="AK23" i="51"/>
  <c r="AI14" i="92"/>
  <c r="AG14" i="91"/>
  <c r="AT12" i="92"/>
  <c r="AR12" i="91"/>
  <c r="AT14" i="92"/>
  <c r="AR14" i="91"/>
  <c r="BF22" i="91"/>
  <c r="BD22" i="90"/>
  <c r="BL9" i="81"/>
  <c r="AK23" i="97"/>
  <c r="AK9" i="98"/>
  <c r="G22" i="92"/>
  <c r="D22" i="91"/>
  <c r="BF19" i="92"/>
  <c r="BD19" i="91"/>
  <c r="BD18" i="91"/>
  <c r="BF18" i="92"/>
  <c r="BD23" i="42"/>
  <c r="AR23" i="42"/>
  <c r="G15" i="92"/>
  <c r="D15" i="91"/>
  <c r="D20" i="92"/>
  <c r="G20" i="93"/>
  <c r="AT21" i="91"/>
  <c r="AR21" i="90"/>
  <c r="AE9" i="95"/>
  <c r="AE23" i="94"/>
  <c r="AT19" i="93"/>
  <c r="AR19" i="92"/>
  <c r="AT17" i="93"/>
  <c r="AR17" i="92"/>
  <c r="D10" i="92"/>
  <c r="G10" i="93"/>
  <c r="D17" i="91"/>
  <c r="G17" i="92"/>
  <c r="G23" i="90"/>
  <c r="D23" i="90" s="1"/>
  <c r="AG20" i="91"/>
  <c r="AI20" i="92"/>
  <c r="V9" i="50"/>
  <c r="V23" i="49"/>
  <c r="AT15" i="92"/>
  <c r="AR15" i="91"/>
  <c r="AT13" i="92"/>
  <c r="AR13" i="91"/>
  <c r="BB9" i="50"/>
  <c r="BB23" i="49"/>
  <c r="BQ9" i="50"/>
  <c r="BQ23" i="49"/>
  <c r="G18" i="92"/>
  <c r="D18" i="91"/>
  <c r="BD9" i="90"/>
  <c r="D9" i="91"/>
  <c r="G9" i="92"/>
  <c r="AI17" i="92"/>
  <c r="AG17" i="91"/>
  <c r="AR16" i="90"/>
  <c r="AT16" i="91"/>
  <c r="BH9" i="50"/>
  <c r="BH23" i="49"/>
  <c r="G21" i="92"/>
  <c r="D21" i="91"/>
  <c r="BF9" i="92"/>
  <c r="BF12" i="91"/>
  <c r="BD12" i="90"/>
  <c r="AT20" i="92"/>
  <c r="AR20" i="91"/>
  <c r="AT18" i="92"/>
  <c r="AR18" i="91"/>
  <c r="AO23" i="97"/>
  <c r="AO9" i="98"/>
  <c r="AT22" i="92"/>
  <c r="AR22" i="91"/>
  <c r="G12" i="92"/>
  <c r="D12" i="91"/>
  <c r="AG10" i="91"/>
  <c r="AI10" i="92"/>
  <c r="BF15" i="92"/>
  <c r="BD15" i="91"/>
  <c r="M9" i="93"/>
  <c r="M23" i="92"/>
  <c r="J9" i="73"/>
  <c r="AV23" i="96"/>
  <c r="AV9" i="97"/>
  <c r="AI21" i="93"/>
  <c r="AG21" i="92"/>
  <c r="BF11" i="92"/>
  <c r="BD11" i="91"/>
  <c r="AT9" i="92"/>
  <c r="AR9" i="91"/>
  <c r="BF16" i="92"/>
  <c r="BD16" i="91"/>
  <c r="BF20" i="93"/>
  <c r="BD20" i="92"/>
  <c r="AG23" i="42"/>
  <c r="AI13" i="91"/>
  <c r="AG13" i="90"/>
  <c r="AI12" i="92"/>
  <c r="AG12" i="91"/>
  <c r="S9" i="48"/>
  <c r="S23" i="81"/>
  <c r="AG23" i="89"/>
  <c r="BD17" i="90"/>
  <c r="BF17" i="91"/>
  <c r="AT11" i="91"/>
  <c r="AR11" i="90"/>
  <c r="AV9" i="70"/>
  <c r="AV23" i="69"/>
  <c r="AI9" i="91"/>
  <c r="AG9" i="90"/>
  <c r="AI23" i="90"/>
  <c r="P9" i="97"/>
  <c r="P23" i="96"/>
  <c r="BF14" i="92"/>
  <c r="BD14" i="91"/>
  <c r="AI15" i="93"/>
  <c r="AG15" i="92"/>
  <c r="BJ23" i="48"/>
  <c r="BJ9" i="49"/>
  <c r="AI16" i="92"/>
  <c r="AG16" i="91"/>
  <c r="S9" i="101"/>
  <c r="S23" i="100"/>
  <c r="AX23" i="100"/>
  <c r="AX9" i="101"/>
  <c r="BB9" i="101"/>
  <c r="BB23" i="100"/>
  <c r="Y9" i="101"/>
  <c r="Y23" i="100"/>
  <c r="AZ9" i="101"/>
  <c r="AZ23" i="100"/>
  <c r="BJ23" i="100"/>
  <c r="BJ9" i="101"/>
  <c r="BL9" i="101"/>
  <c r="BL23" i="100"/>
  <c r="V9" i="101"/>
  <c r="V23" i="100"/>
  <c r="AM23" i="100"/>
  <c r="AM9" i="101"/>
  <c r="J22" i="109"/>
  <c r="AB23" i="100"/>
  <c r="AB9" i="101"/>
  <c r="BH9" i="101"/>
  <c r="BH23" i="100"/>
  <c r="AB9" i="77" l="1"/>
  <c r="AB23" i="76"/>
  <c r="J9" i="109"/>
  <c r="J9" i="110" s="1"/>
  <c r="J9" i="111" s="1"/>
  <c r="J9" i="112" s="1"/>
  <c r="J9" i="114" s="1"/>
  <c r="J9" i="115" s="1"/>
  <c r="J9" i="116" s="1"/>
  <c r="J9" i="117" s="1"/>
  <c r="J23" i="103"/>
  <c r="AG23" i="90"/>
  <c r="M9" i="58"/>
  <c r="M23" i="57"/>
  <c r="AZ9" i="56"/>
  <c r="AZ23" i="55"/>
  <c r="J22" i="58"/>
  <c r="J23" i="57"/>
  <c r="BD23" i="90"/>
  <c r="AR23" i="90"/>
  <c r="AT23" i="91"/>
  <c r="G10" i="94"/>
  <c r="D10" i="93"/>
  <c r="BF11" i="93"/>
  <c r="BD11" i="92"/>
  <c r="BF9" i="93"/>
  <c r="G9" i="93"/>
  <c r="D9" i="92"/>
  <c r="AT15" i="93"/>
  <c r="AR15" i="92"/>
  <c r="M9" i="94"/>
  <c r="M23" i="93"/>
  <c r="AR19" i="93"/>
  <c r="AT19" i="94"/>
  <c r="BF18" i="93"/>
  <c r="BD18" i="92"/>
  <c r="AI14" i="93"/>
  <c r="AG14" i="92"/>
  <c r="G19" i="92"/>
  <c r="D19" i="91"/>
  <c r="AI21" i="94"/>
  <c r="AG21" i="93"/>
  <c r="G21" i="93"/>
  <c r="D21" i="92"/>
  <c r="V9" i="51"/>
  <c r="V23" i="50"/>
  <c r="AK9" i="53"/>
  <c r="AK23" i="52"/>
  <c r="AX9" i="76"/>
  <c r="AX23" i="74"/>
  <c r="AG20" i="92"/>
  <c r="AI20" i="93"/>
  <c r="AR21" i="91"/>
  <c r="AT21" i="92"/>
  <c r="AI19" i="94"/>
  <c r="AG19" i="93"/>
  <c r="S9" i="49"/>
  <c r="S23" i="48"/>
  <c r="G20" i="94"/>
  <c r="D20" i="93"/>
  <c r="AI18" i="92"/>
  <c r="AG18" i="91"/>
  <c r="AT22" i="93"/>
  <c r="AR22" i="92"/>
  <c r="AG11" i="92"/>
  <c r="AI11" i="93"/>
  <c r="AI12" i="93"/>
  <c r="AG12" i="92"/>
  <c r="D18" i="92"/>
  <c r="G18" i="93"/>
  <c r="BF19" i="93"/>
  <c r="BD19" i="92"/>
  <c r="AI16" i="93"/>
  <c r="AG16" i="92"/>
  <c r="BF14" i="93"/>
  <c r="BD14" i="92"/>
  <c r="AT14" i="93"/>
  <c r="AR14" i="92"/>
  <c r="D13" i="92"/>
  <c r="G13" i="93"/>
  <c r="BJ9" i="50"/>
  <c r="BJ23" i="49"/>
  <c r="AI13" i="92"/>
  <c r="AG13" i="91"/>
  <c r="BF15" i="93"/>
  <c r="BD15" i="92"/>
  <c r="AO23" i="98"/>
  <c r="AO9" i="99"/>
  <c r="D17" i="92"/>
  <c r="G17" i="93"/>
  <c r="G22" i="93"/>
  <c r="D22" i="92"/>
  <c r="P9" i="98"/>
  <c r="P23" i="97"/>
  <c r="AG10" i="92"/>
  <c r="AI10" i="93"/>
  <c r="AT12" i="93"/>
  <c r="AR12" i="92"/>
  <c r="AI22" i="93"/>
  <c r="AG22" i="92"/>
  <c r="G16" i="92"/>
  <c r="D16" i="91"/>
  <c r="BF17" i="92"/>
  <c r="BD17" i="91"/>
  <c r="BH9" i="51"/>
  <c r="BH23" i="50"/>
  <c r="BQ9" i="51"/>
  <c r="BQ23" i="50"/>
  <c r="AE9" i="81"/>
  <c r="BD20" i="93"/>
  <c r="BF20" i="94"/>
  <c r="AV9" i="98"/>
  <c r="AV23" i="97"/>
  <c r="AT18" i="93"/>
  <c r="AR18" i="92"/>
  <c r="AT16" i="92"/>
  <c r="AR16" i="91"/>
  <c r="AK23" i="98"/>
  <c r="AK9" i="99"/>
  <c r="BD10" i="92"/>
  <c r="BF10" i="93"/>
  <c r="BF16" i="93"/>
  <c r="BD16" i="92"/>
  <c r="AR20" i="92"/>
  <c r="AT20" i="93"/>
  <c r="AO9" i="54"/>
  <c r="AO23" i="53"/>
  <c r="D14" i="91"/>
  <c r="G14" i="92"/>
  <c r="BB9" i="51"/>
  <c r="BB23" i="50"/>
  <c r="AV9" i="71"/>
  <c r="AV23" i="70"/>
  <c r="AI17" i="93"/>
  <c r="AG17" i="92"/>
  <c r="Y9" i="81"/>
  <c r="BL9" i="48"/>
  <c r="BL23" i="81"/>
  <c r="BN9" i="92"/>
  <c r="BN23" i="91"/>
  <c r="AI9" i="92"/>
  <c r="AG9" i="91"/>
  <c r="AI23" i="91"/>
  <c r="G12" i="93"/>
  <c r="D12" i="92"/>
  <c r="AG15" i="93"/>
  <c r="AI15" i="94"/>
  <c r="BF12" i="92"/>
  <c r="BD12" i="91"/>
  <c r="AT10" i="93"/>
  <c r="AR10" i="92"/>
  <c r="G11" i="93"/>
  <c r="D11" i="92"/>
  <c r="AT11" i="92"/>
  <c r="AR11" i="91"/>
  <c r="AR9" i="92"/>
  <c r="AT9" i="93"/>
  <c r="BF23" i="91"/>
  <c r="AT13" i="93"/>
  <c r="AR13" i="92"/>
  <c r="D15" i="92"/>
  <c r="G15" i="93"/>
  <c r="BD22" i="91"/>
  <c r="BF22" i="92"/>
  <c r="J9" i="74"/>
  <c r="G23" i="91"/>
  <c r="D23" i="91" s="1"/>
  <c r="AT17" i="94"/>
  <c r="AR17" i="93"/>
  <c r="AE9" i="96"/>
  <c r="AE23" i="95"/>
  <c r="BF13" i="93"/>
  <c r="BD13" i="92"/>
  <c r="BD21" i="92"/>
  <c r="BF21" i="93"/>
  <c r="P9" i="52"/>
  <c r="P23" i="51"/>
  <c r="V9" i="102"/>
  <c r="V23" i="101"/>
  <c r="Y23" i="101"/>
  <c r="Y9" i="102"/>
  <c r="J22" i="110"/>
  <c r="J23" i="109"/>
  <c r="BB23" i="101"/>
  <c r="BB9" i="102"/>
  <c r="S23" i="101"/>
  <c r="S9" i="102"/>
  <c r="AM9" i="102"/>
  <c r="AM23" i="101"/>
  <c r="AZ9" i="102"/>
  <c r="AZ23" i="101"/>
  <c r="BH23" i="101"/>
  <c r="BH9" i="102"/>
  <c r="BJ23" i="101"/>
  <c r="BJ9" i="102"/>
  <c r="AB23" i="101"/>
  <c r="AB9" i="102"/>
  <c r="AX23" i="101"/>
  <c r="AX9" i="102"/>
  <c r="BL23" i="101"/>
  <c r="BL9" i="102"/>
  <c r="AG23" i="91" l="1"/>
  <c r="BD23" i="91"/>
  <c r="BH23" i="102"/>
  <c r="BH9" i="103"/>
  <c r="BH9" i="109" s="1"/>
  <c r="BH9" i="110" s="1"/>
  <c r="BH9" i="111" s="1"/>
  <c r="BH9" i="112" s="1"/>
  <c r="BH9" i="114" s="1"/>
  <c r="BH9" i="115" s="1"/>
  <c r="BH9" i="116" s="1"/>
  <c r="BH9" i="117" s="1"/>
  <c r="AX23" i="102"/>
  <c r="AX9" i="103"/>
  <c r="AX9" i="109" s="1"/>
  <c r="AX9" i="110" s="1"/>
  <c r="AX9" i="111" s="1"/>
  <c r="AX9" i="112" s="1"/>
  <c r="AX9" i="114" s="1"/>
  <c r="AX9" i="115" s="1"/>
  <c r="AX9" i="116" s="1"/>
  <c r="AX9" i="117" s="1"/>
  <c r="AX9" i="118" s="1"/>
  <c r="AX9" i="119" s="1"/>
  <c r="M9" i="61"/>
  <c r="M23" i="58"/>
  <c r="AZ23" i="102"/>
  <c r="AZ9" i="103"/>
  <c r="AZ9" i="109" s="1"/>
  <c r="AZ9" i="110" s="1"/>
  <c r="AZ9" i="111" s="1"/>
  <c r="AZ9" i="112" s="1"/>
  <c r="AZ9" i="114" s="1"/>
  <c r="AZ9" i="115" s="1"/>
  <c r="AZ9" i="116" s="1"/>
  <c r="AZ9" i="117" s="1"/>
  <c r="AZ9" i="118" s="1"/>
  <c r="AZ9" i="119" s="1"/>
  <c r="Y23" i="102"/>
  <c r="Y9" i="103"/>
  <c r="Y9" i="109" s="1"/>
  <c r="Y9" i="110" s="1"/>
  <c r="Y9" i="111" s="1"/>
  <c r="Y9" i="112" s="1"/>
  <c r="Y9" i="114" s="1"/>
  <c r="Y9" i="115" s="1"/>
  <c r="Y9" i="116" s="1"/>
  <c r="Y9" i="117" s="1"/>
  <c r="Y9" i="118" s="1"/>
  <c r="Y9" i="119" s="1"/>
  <c r="BF23" i="92"/>
  <c r="AB23" i="102"/>
  <c r="AB9" i="103"/>
  <c r="AB9" i="109" s="1"/>
  <c r="AB9" i="110" s="1"/>
  <c r="AB9" i="111" s="1"/>
  <c r="AB9" i="112" s="1"/>
  <c r="AB9" i="114" s="1"/>
  <c r="AB9" i="115" s="1"/>
  <c r="AB9" i="116" s="1"/>
  <c r="AB9" i="117" s="1"/>
  <c r="AB9" i="118" s="1"/>
  <c r="AB9" i="119" s="1"/>
  <c r="AB9" i="120" s="1"/>
  <c r="AM23" i="102"/>
  <c r="AM9" i="103"/>
  <c r="AM9" i="109" s="1"/>
  <c r="AM9" i="110" s="1"/>
  <c r="AM9" i="111" s="1"/>
  <c r="AM9" i="112" s="1"/>
  <c r="AM9" i="114" s="1"/>
  <c r="AM9" i="115" s="1"/>
  <c r="AM9" i="116" s="1"/>
  <c r="AM9" i="117" s="1"/>
  <c r="AM9" i="118" s="1"/>
  <c r="AM9" i="119" s="1"/>
  <c r="BB23" i="102"/>
  <c r="BB9" i="103"/>
  <c r="BB9" i="109" s="1"/>
  <c r="BB9" i="110" s="1"/>
  <c r="BB9" i="111" s="1"/>
  <c r="BB9" i="112" s="1"/>
  <c r="BB9" i="114" s="1"/>
  <c r="BB9" i="115" s="1"/>
  <c r="BB9" i="116" s="1"/>
  <c r="BB9" i="117" s="1"/>
  <c r="BB9" i="118" s="1"/>
  <c r="BB9" i="119" s="1"/>
  <c r="AZ9" i="57"/>
  <c r="AZ23" i="56"/>
  <c r="BJ23" i="102"/>
  <c r="BJ9" i="103"/>
  <c r="BJ9" i="109" s="1"/>
  <c r="BJ9" i="110" s="1"/>
  <c r="BJ9" i="111" s="1"/>
  <c r="BJ9" i="112" s="1"/>
  <c r="BJ9" i="114" s="1"/>
  <c r="BJ9" i="115" s="1"/>
  <c r="BJ9" i="116" s="1"/>
  <c r="BJ9" i="117" s="1"/>
  <c r="BJ9" i="118" s="1"/>
  <c r="BJ9" i="119" s="1"/>
  <c r="S23" i="102"/>
  <c r="S9" i="103"/>
  <c r="S9" i="109" s="1"/>
  <c r="S9" i="110" s="1"/>
  <c r="S9" i="111" s="1"/>
  <c r="S9" i="112" s="1"/>
  <c r="S9" i="114" s="1"/>
  <c r="S9" i="115" s="1"/>
  <c r="S9" i="116" s="1"/>
  <c r="S9" i="117" s="1"/>
  <c r="S9" i="118" s="1"/>
  <c r="S9" i="119" s="1"/>
  <c r="J22" i="61"/>
  <c r="J23" i="58"/>
  <c r="BL23" i="102"/>
  <c r="BL9" i="103"/>
  <c r="BL9" i="109" s="1"/>
  <c r="BL9" i="110" s="1"/>
  <c r="BL9" i="111" s="1"/>
  <c r="BL9" i="112" s="1"/>
  <c r="BL9" i="114" s="1"/>
  <c r="BL9" i="115" s="1"/>
  <c r="BL9" i="116" s="1"/>
  <c r="BL9" i="117" s="1"/>
  <c r="BL9" i="118" s="1"/>
  <c r="BL9" i="119" s="1"/>
  <c r="V23" i="102"/>
  <c r="V9" i="103"/>
  <c r="V9" i="109" s="1"/>
  <c r="V9" i="110" s="1"/>
  <c r="V9" i="111" s="1"/>
  <c r="V9" i="112" s="1"/>
  <c r="V9" i="114" s="1"/>
  <c r="V9" i="115" s="1"/>
  <c r="V9" i="116" s="1"/>
  <c r="V9" i="117" s="1"/>
  <c r="V9" i="118" s="1"/>
  <c r="V9" i="119" s="1"/>
  <c r="AB9" i="78"/>
  <c r="AB23" i="77"/>
  <c r="AR23" i="91"/>
  <c r="G17" i="94"/>
  <c r="D17" i="93"/>
  <c r="G20" i="95"/>
  <c r="D20" i="94"/>
  <c r="D13" i="93"/>
  <c r="G13" i="94"/>
  <c r="G12" i="94"/>
  <c r="D12" i="93"/>
  <c r="AV9" i="73"/>
  <c r="AV23" i="71"/>
  <c r="G19" i="93"/>
  <c r="D19" i="92"/>
  <c r="AT15" i="94"/>
  <c r="AR15" i="93"/>
  <c r="BD10" i="93"/>
  <c r="BF10" i="94"/>
  <c r="G16" i="93"/>
  <c r="D16" i="92"/>
  <c r="BF19" i="94"/>
  <c r="BD19" i="93"/>
  <c r="S9" i="50"/>
  <c r="S23" i="49"/>
  <c r="J9" i="76"/>
  <c r="AR11" i="92"/>
  <c r="AT11" i="93"/>
  <c r="BB9" i="52"/>
  <c r="BB23" i="51"/>
  <c r="AT14" i="94"/>
  <c r="AR14" i="93"/>
  <c r="D18" i="93"/>
  <c r="G18" i="94"/>
  <c r="G9" i="94"/>
  <c r="D9" i="93"/>
  <c r="BF20" i="95"/>
  <c r="BD20" i="94"/>
  <c r="AT17" i="95"/>
  <c r="AR17" i="94"/>
  <c r="AI9" i="93"/>
  <c r="AG9" i="92"/>
  <c r="AI23" i="92"/>
  <c r="G14" i="93"/>
  <c r="D14" i="92"/>
  <c r="AT22" i="94"/>
  <c r="AR22" i="93"/>
  <c r="G23" i="92"/>
  <c r="D23" i="92" s="1"/>
  <c r="G11" i="94"/>
  <c r="D11" i="93"/>
  <c r="AE9" i="48"/>
  <c r="AE23" i="81"/>
  <c r="AO9" i="100"/>
  <c r="AO23" i="99"/>
  <c r="AG14" i="93"/>
  <c r="AI14" i="94"/>
  <c r="BF9" i="94"/>
  <c r="G22" i="94"/>
  <c r="D22" i="93"/>
  <c r="BD22" i="92"/>
  <c r="BF22" i="93"/>
  <c r="BN9" i="93"/>
  <c r="BD9" i="93" s="1"/>
  <c r="BN23" i="92"/>
  <c r="AI22" i="94"/>
  <c r="AG22" i="93"/>
  <c r="AG19" i="94"/>
  <c r="AI19" i="95"/>
  <c r="AR10" i="93"/>
  <c r="AT10" i="94"/>
  <c r="BD9" i="92"/>
  <c r="G15" i="94"/>
  <c r="D15" i="93"/>
  <c r="BL9" i="49"/>
  <c r="BL23" i="48"/>
  <c r="AK23" i="99"/>
  <c r="AK9" i="100"/>
  <c r="AR12" i="93"/>
  <c r="AT12" i="94"/>
  <c r="BF15" i="94"/>
  <c r="BD15" i="93"/>
  <c r="BF16" i="94"/>
  <c r="BD16" i="93"/>
  <c r="P9" i="53"/>
  <c r="P23" i="52"/>
  <c r="AO9" i="55"/>
  <c r="AO23" i="54"/>
  <c r="J9" i="118"/>
  <c r="J9" i="119" s="1"/>
  <c r="AM9" i="81"/>
  <c r="BD18" i="93"/>
  <c r="BF18" i="94"/>
  <c r="BF21" i="94"/>
  <c r="BD21" i="93"/>
  <c r="AG12" i="93"/>
  <c r="AI12" i="94"/>
  <c r="AR13" i="93"/>
  <c r="AT13" i="94"/>
  <c r="V9" i="52"/>
  <c r="V23" i="51"/>
  <c r="BF11" i="94"/>
  <c r="BD11" i="93"/>
  <c r="Y9" i="48"/>
  <c r="Y23" i="81"/>
  <c r="BQ9" i="52"/>
  <c r="BQ9" i="53" s="1"/>
  <c r="BQ9" i="54" s="1"/>
  <c r="BQ9" i="55" s="1"/>
  <c r="BQ9" i="56" s="1"/>
  <c r="BQ9" i="57" s="1"/>
  <c r="BQ9" i="58" s="1"/>
  <c r="BQ9" i="61" s="1"/>
  <c r="BQ9" i="62" s="1"/>
  <c r="BQ9" i="63" s="1"/>
  <c r="BQ9" i="64" s="1"/>
  <c r="BQ9" i="65" s="1"/>
  <c r="BQ9" i="66" s="1"/>
  <c r="BQ9" i="67" s="1"/>
  <c r="BQ9" i="68" s="1"/>
  <c r="BQ9" i="69" s="1"/>
  <c r="BQ9" i="70" s="1"/>
  <c r="BQ9" i="71" s="1"/>
  <c r="BQ9" i="73" s="1"/>
  <c r="BQ9" i="74" s="1"/>
  <c r="BQ9" i="76" s="1"/>
  <c r="BQ9" i="77" s="1"/>
  <c r="BQ9" i="78" s="1"/>
  <c r="BQ9" i="79" s="1"/>
  <c r="BQ23" i="51"/>
  <c r="AI10" i="94"/>
  <c r="AG10" i="93"/>
  <c r="AG13" i="92"/>
  <c r="AI13" i="93"/>
  <c r="AR21" i="92"/>
  <c r="AT21" i="93"/>
  <c r="AT19" i="95"/>
  <c r="AR19" i="94"/>
  <c r="AR9" i="93"/>
  <c r="AT9" i="94"/>
  <c r="BD13" i="93"/>
  <c r="BF13" i="94"/>
  <c r="AT16" i="93"/>
  <c r="AR16" i="92"/>
  <c r="BD14" i="93"/>
  <c r="BF14" i="94"/>
  <c r="D21" i="93"/>
  <c r="G21" i="94"/>
  <c r="BH9" i="118"/>
  <c r="BH9" i="119" s="1"/>
  <c r="AG17" i="93"/>
  <c r="AI17" i="94"/>
  <c r="AT20" i="94"/>
  <c r="AR20" i="93"/>
  <c r="BH9" i="52"/>
  <c r="BH23" i="51"/>
  <c r="AI18" i="93"/>
  <c r="AG18" i="92"/>
  <c r="AX9" i="77"/>
  <c r="AX23" i="76"/>
  <c r="BF17" i="93"/>
  <c r="BD17" i="92"/>
  <c r="BD12" i="92"/>
  <c r="BF12" i="93"/>
  <c r="AR18" i="93"/>
  <c r="AT18" i="94"/>
  <c r="AI16" i="94"/>
  <c r="AG16" i="93"/>
  <c r="AI21" i="95"/>
  <c r="AG21" i="94"/>
  <c r="M9" i="95"/>
  <c r="M23" i="94"/>
  <c r="AI15" i="95"/>
  <c r="AG15" i="94"/>
  <c r="P9" i="99"/>
  <c r="P23" i="98"/>
  <c r="AI20" i="94"/>
  <c r="AG20" i="93"/>
  <c r="AK9" i="54"/>
  <c r="AK23" i="53"/>
  <c r="AE9" i="97"/>
  <c r="AE23" i="96"/>
  <c r="AT23" i="92"/>
  <c r="AV23" i="98"/>
  <c r="AV9" i="99"/>
  <c r="BJ9" i="51"/>
  <c r="BJ23" i="50"/>
  <c r="AG11" i="93"/>
  <c r="AI11" i="94"/>
  <c r="G10" i="95"/>
  <c r="D10" i="94"/>
  <c r="BJ22" i="109"/>
  <c r="BH22" i="109"/>
  <c r="BH23" i="103"/>
  <c r="BB22" i="109"/>
  <c r="J22" i="111"/>
  <c r="J23" i="110"/>
  <c r="V22" i="109"/>
  <c r="AZ22" i="109"/>
  <c r="Y22" i="109"/>
  <c r="BL22" i="109"/>
  <c r="AM22" i="109"/>
  <c r="S22" i="109"/>
  <c r="AX22" i="109"/>
  <c r="AB22" i="109"/>
  <c r="BB23" i="103" l="1"/>
  <c r="Y23" i="103"/>
  <c r="S23" i="103"/>
  <c r="AX23" i="103"/>
  <c r="BL23" i="103"/>
  <c r="AB9" i="79"/>
  <c r="AB23" i="78"/>
  <c r="AZ23" i="103"/>
  <c r="AM23" i="103"/>
  <c r="V23" i="103"/>
  <c r="BJ23" i="103"/>
  <c r="J22" i="62"/>
  <c r="J23" i="61"/>
  <c r="AZ23" i="57"/>
  <c r="AZ9" i="58"/>
  <c r="M9" i="62"/>
  <c r="M23" i="61"/>
  <c r="AB23" i="103"/>
  <c r="G23" i="93"/>
  <c r="D23" i="93" s="1"/>
  <c r="BH9" i="120"/>
  <c r="V9" i="120"/>
  <c r="BB9" i="120"/>
  <c r="AM9" i="120"/>
  <c r="Y9" i="120"/>
  <c r="BL9" i="120"/>
  <c r="J9" i="120"/>
  <c r="BJ9" i="120"/>
  <c r="AZ9" i="120"/>
  <c r="AX9" i="120"/>
  <c r="S9" i="120"/>
  <c r="AR23" i="92"/>
  <c r="BF12" i="94"/>
  <c r="BD12" i="93"/>
  <c r="AT21" i="94"/>
  <c r="AR21" i="93"/>
  <c r="D22" i="94"/>
  <c r="G22" i="95"/>
  <c r="G11" i="95"/>
  <c r="D11" i="94"/>
  <c r="BD20" i="95"/>
  <c r="BF20" i="96"/>
  <c r="G13" i="95"/>
  <c r="D13" i="94"/>
  <c r="V9" i="53"/>
  <c r="V23" i="52"/>
  <c r="AO9" i="56"/>
  <c r="AO23" i="55"/>
  <c r="AK9" i="101"/>
  <c r="AK23" i="100"/>
  <c r="AT10" i="95"/>
  <c r="AR10" i="94"/>
  <c r="BF23" i="93"/>
  <c r="AI17" i="95"/>
  <c r="AG17" i="94"/>
  <c r="BF9" i="95"/>
  <c r="G21" i="95"/>
  <c r="D21" i="94"/>
  <c r="G9" i="95"/>
  <c r="D9" i="94"/>
  <c r="AV9" i="74"/>
  <c r="AV23" i="73"/>
  <c r="AE23" i="97"/>
  <c r="AE9" i="98"/>
  <c r="AI15" i="96"/>
  <c r="AG15" i="95"/>
  <c r="AI13" i="94"/>
  <c r="AG13" i="93"/>
  <c r="BL9" i="50"/>
  <c r="BL23" i="49"/>
  <c r="AI14" i="95"/>
  <c r="AG14" i="94"/>
  <c r="G18" i="95"/>
  <c r="D18" i="94"/>
  <c r="BD14" i="94"/>
  <c r="BF14" i="95"/>
  <c r="P9" i="54"/>
  <c r="P23" i="53"/>
  <c r="AI19" i="96"/>
  <c r="AG19" i="95"/>
  <c r="S9" i="51"/>
  <c r="S23" i="50"/>
  <c r="G12" i="95"/>
  <c r="D12" i="94"/>
  <c r="G20" i="96"/>
  <c r="D20" i="95"/>
  <c r="G15" i="95"/>
  <c r="D15" i="94"/>
  <c r="BF17" i="94"/>
  <c r="BD17" i="93"/>
  <c r="AI10" i="95"/>
  <c r="AG10" i="94"/>
  <c r="BF16" i="95"/>
  <c r="BD16" i="94"/>
  <c r="AR22" i="94"/>
  <c r="AT22" i="95"/>
  <c r="AT14" i="95"/>
  <c r="AR14" i="94"/>
  <c r="M23" i="95"/>
  <c r="M9" i="96"/>
  <c r="AT16" i="94"/>
  <c r="AR16" i="93"/>
  <c r="BF19" i="95"/>
  <c r="BD19" i="94"/>
  <c r="G10" i="96"/>
  <c r="D10" i="95"/>
  <c r="AG21" i="95"/>
  <c r="AI21" i="96"/>
  <c r="AR13" i="94"/>
  <c r="AT13" i="95"/>
  <c r="BF21" i="95"/>
  <c r="BD21" i="94"/>
  <c r="AK9" i="55"/>
  <c r="AK23" i="54"/>
  <c r="AI18" i="94"/>
  <c r="AG18" i="93"/>
  <c r="BF13" i="95"/>
  <c r="BD13" i="94"/>
  <c r="BD23" i="92"/>
  <c r="G14" i="94"/>
  <c r="D14" i="93"/>
  <c r="D16" i="93"/>
  <c r="G16" i="94"/>
  <c r="AI22" i="95"/>
  <c r="AG22" i="94"/>
  <c r="BF10" i="95"/>
  <c r="BD10" i="94"/>
  <c r="AI11" i="95"/>
  <c r="AG11" i="94"/>
  <c r="AI20" i="95"/>
  <c r="AG20" i="94"/>
  <c r="AT23" i="93"/>
  <c r="Y9" i="49"/>
  <c r="Y23" i="48"/>
  <c r="AG23" i="92"/>
  <c r="BB9" i="53"/>
  <c r="BB23" i="52"/>
  <c r="AX9" i="78"/>
  <c r="AX23" i="77"/>
  <c r="AI16" i="95"/>
  <c r="AG16" i="94"/>
  <c r="AT9" i="95"/>
  <c r="AR9" i="94"/>
  <c r="BF18" i="95"/>
  <c r="BD18" i="94"/>
  <c r="AO23" i="100"/>
  <c r="AO9" i="101"/>
  <c r="AG9" i="93"/>
  <c r="AI9" i="94"/>
  <c r="AI23" i="93"/>
  <c r="AT11" i="94"/>
  <c r="AR11" i="93"/>
  <c r="BF15" i="95"/>
  <c r="BD15" i="94"/>
  <c r="AT15" i="95"/>
  <c r="AR15" i="94"/>
  <c r="G17" i="95"/>
  <c r="D17" i="94"/>
  <c r="BH9" i="53"/>
  <c r="BH23" i="52"/>
  <c r="AI12" i="95"/>
  <c r="AG12" i="94"/>
  <c r="AT12" i="95"/>
  <c r="AR12" i="94"/>
  <c r="BN23" i="93"/>
  <c r="BN9" i="94"/>
  <c r="AE9" i="49"/>
  <c r="AE23" i="48"/>
  <c r="BJ9" i="52"/>
  <c r="BJ23" i="51"/>
  <c r="AT19" i="96"/>
  <c r="AR19" i="95"/>
  <c r="BF11" i="95"/>
  <c r="BD11" i="94"/>
  <c r="AM23" i="81"/>
  <c r="AM9" i="48"/>
  <c r="BF22" i="94"/>
  <c r="BD22" i="93"/>
  <c r="J9" i="77"/>
  <c r="D19" i="93"/>
  <c r="G19" i="94"/>
  <c r="AV9" i="100"/>
  <c r="AV23" i="99"/>
  <c r="P9" i="100"/>
  <c r="P23" i="99"/>
  <c r="AT18" i="95"/>
  <c r="AR18" i="94"/>
  <c r="AT20" i="95"/>
  <c r="AR20" i="94"/>
  <c r="AT17" i="96"/>
  <c r="AR17" i="95"/>
  <c r="BB22" i="110"/>
  <c r="BB23" i="109"/>
  <c r="BJ22" i="110"/>
  <c r="BJ23" i="109"/>
  <c r="S22" i="110"/>
  <c r="S23" i="109"/>
  <c r="V22" i="110"/>
  <c r="V23" i="109"/>
  <c r="BH22" i="110"/>
  <c r="BH23" i="109"/>
  <c r="J22" i="112"/>
  <c r="J23" i="111"/>
  <c r="AM22" i="110"/>
  <c r="AM23" i="109"/>
  <c r="BL22" i="110"/>
  <c r="BL23" i="109"/>
  <c r="AB22" i="110"/>
  <c r="AB23" i="109"/>
  <c r="Y22" i="110"/>
  <c r="Y23" i="109"/>
  <c r="AZ22" i="110"/>
  <c r="AZ23" i="109"/>
  <c r="AX22" i="110"/>
  <c r="AX23" i="109"/>
  <c r="M9" i="63" l="1"/>
  <c r="M23" i="62"/>
  <c r="AZ23" i="58"/>
  <c r="AZ9" i="61"/>
  <c r="AB23" i="79"/>
  <c r="J22" i="63"/>
  <c r="J23" i="62"/>
  <c r="AR23" i="93"/>
  <c r="AT23" i="94"/>
  <c r="BD23" i="93"/>
  <c r="G23" i="94"/>
  <c r="D23" i="94" s="1"/>
  <c r="AT18" i="96"/>
  <c r="AR18" i="95"/>
  <c r="BF14" i="81"/>
  <c r="BF14" i="48" s="1"/>
  <c r="AI16" i="81"/>
  <c r="AI16" i="48" s="1"/>
  <c r="G18" i="96"/>
  <c r="D18" i="95"/>
  <c r="AI17" i="81"/>
  <c r="AI17" i="48" s="1"/>
  <c r="D13" i="95"/>
  <c r="G13" i="96"/>
  <c r="AT19" i="97"/>
  <c r="AR19" i="96"/>
  <c r="G17" i="96"/>
  <c r="D17" i="95"/>
  <c r="BB9" i="54"/>
  <c r="BB23" i="53"/>
  <c r="BF10" i="96"/>
  <c r="BD10" i="95"/>
  <c r="BF21" i="81"/>
  <c r="BF21" i="48" s="1"/>
  <c r="BF16" i="96"/>
  <c r="BD16" i="95"/>
  <c r="S9" i="52"/>
  <c r="S23" i="51"/>
  <c r="AI11" i="81"/>
  <c r="AI11" i="48" s="1"/>
  <c r="BD20" i="96"/>
  <c r="BF20" i="97"/>
  <c r="P9" i="101"/>
  <c r="P23" i="100"/>
  <c r="AT19" i="81"/>
  <c r="AT19" i="48" s="1"/>
  <c r="G12" i="81"/>
  <c r="AI21" i="97"/>
  <c r="AG21" i="96"/>
  <c r="G16" i="81"/>
  <c r="AT10" i="81"/>
  <c r="AT10" i="48" s="1"/>
  <c r="G11" i="81"/>
  <c r="AI14" i="96"/>
  <c r="AG14" i="95"/>
  <c r="G10" i="81"/>
  <c r="AT18" i="81"/>
  <c r="AT18" i="48" s="1"/>
  <c r="AI17" i="96"/>
  <c r="AG17" i="95"/>
  <c r="AV23" i="100"/>
  <c r="AV9" i="101"/>
  <c r="BF13" i="96"/>
  <c r="BD13" i="95"/>
  <c r="BF20" i="81"/>
  <c r="BF20" i="48" s="1"/>
  <c r="AI21" i="81"/>
  <c r="AI21" i="48" s="1"/>
  <c r="AT17" i="81"/>
  <c r="AT17" i="48" s="1"/>
  <c r="D11" i="95"/>
  <c r="G11" i="96"/>
  <c r="AI13" i="81"/>
  <c r="AI13" i="48" s="1"/>
  <c r="AT15" i="96"/>
  <c r="AR15" i="95"/>
  <c r="BF18" i="96"/>
  <c r="BD18" i="95"/>
  <c r="AI22" i="96"/>
  <c r="AG22" i="95"/>
  <c r="G10" i="97"/>
  <c r="D10" i="96"/>
  <c r="AI19" i="97"/>
  <c r="AG19" i="96"/>
  <c r="BL9" i="51"/>
  <c r="BL23" i="50"/>
  <c r="G22" i="96"/>
  <c r="D22" i="95"/>
  <c r="BJ9" i="53"/>
  <c r="BJ23" i="52"/>
  <c r="AT16" i="81"/>
  <c r="AT16" i="48" s="1"/>
  <c r="G17" i="81"/>
  <c r="AI10" i="81"/>
  <c r="AI10" i="48" s="1"/>
  <c r="AG18" i="94"/>
  <c r="AI18" i="95"/>
  <c r="AI12" i="81"/>
  <c r="AI12" i="48" s="1"/>
  <c r="G21" i="81"/>
  <c r="AT16" i="95"/>
  <c r="AR16" i="94"/>
  <c r="AI10" i="96"/>
  <c r="AG10" i="95"/>
  <c r="P9" i="55"/>
  <c r="P23" i="54"/>
  <c r="AI13" i="95"/>
  <c r="AG13" i="94"/>
  <c r="G21" i="96"/>
  <c r="D21" i="95"/>
  <c r="G14" i="81"/>
  <c r="G19" i="95"/>
  <c r="D19" i="94"/>
  <c r="AE9" i="50"/>
  <c r="AE23" i="49"/>
  <c r="AI15" i="81"/>
  <c r="AI15" i="48" s="1"/>
  <c r="AK9" i="56"/>
  <c r="AK23" i="55"/>
  <c r="M23" i="96"/>
  <c r="M9" i="97"/>
  <c r="BF16" i="81"/>
  <c r="BF16" i="48" s="1"/>
  <c r="BN9" i="81"/>
  <c r="BN9" i="95"/>
  <c r="BD9" i="95" s="1"/>
  <c r="BN23" i="94"/>
  <c r="BF15" i="96"/>
  <c r="BD15" i="95"/>
  <c r="Y9" i="50"/>
  <c r="Y23" i="49"/>
  <c r="BD17" i="94"/>
  <c r="BF17" i="95"/>
  <c r="AG15" i="96"/>
  <c r="AI15" i="97"/>
  <c r="BF12" i="81"/>
  <c r="BF12" i="48" s="1"/>
  <c r="BF19" i="96"/>
  <c r="BD19" i="95"/>
  <c r="AI18" i="81"/>
  <c r="AI18" i="48" s="1"/>
  <c r="G15" i="81"/>
  <c r="AE23" i="98"/>
  <c r="AE9" i="99"/>
  <c r="BF23" i="94"/>
  <c r="AT10" i="96"/>
  <c r="AR10" i="95"/>
  <c r="BF9" i="81"/>
  <c r="AT22" i="81"/>
  <c r="AT22" i="48" s="1"/>
  <c r="J9" i="78"/>
  <c r="AT9" i="96"/>
  <c r="AR9" i="95"/>
  <c r="BF11" i="81"/>
  <c r="BF11" i="48" s="1"/>
  <c r="BD9" i="94"/>
  <c r="AT12" i="96"/>
  <c r="AR12" i="95"/>
  <c r="G16" i="95"/>
  <c r="D16" i="94"/>
  <c r="BF22" i="81"/>
  <c r="BF22" i="48" s="1"/>
  <c r="BF15" i="81"/>
  <c r="BF15" i="48" s="1"/>
  <c r="G15" i="96"/>
  <c r="D15" i="95"/>
  <c r="BF14" i="96"/>
  <c r="BD14" i="95"/>
  <c r="AT20" i="81"/>
  <c r="AT20" i="48" s="1"/>
  <c r="BF9" i="96"/>
  <c r="AK23" i="101"/>
  <c r="AK9" i="102"/>
  <c r="BF22" i="95"/>
  <c r="BD22" i="94"/>
  <c r="AI20" i="96"/>
  <c r="AG20" i="95"/>
  <c r="AT12" i="81"/>
  <c r="AT12" i="48" s="1"/>
  <c r="G13" i="81"/>
  <c r="AT21" i="95"/>
  <c r="AR21" i="94"/>
  <c r="AR17" i="96"/>
  <c r="AT17" i="97"/>
  <c r="G19" i="81"/>
  <c r="AI12" i="96"/>
  <c r="AG12" i="95"/>
  <c r="AT11" i="95"/>
  <c r="AR11" i="94"/>
  <c r="AI16" i="96"/>
  <c r="AG16" i="95"/>
  <c r="BF13" i="81"/>
  <c r="BF13" i="48" s="1"/>
  <c r="BF19" i="81"/>
  <c r="BF19" i="48" s="1"/>
  <c r="AT13" i="81"/>
  <c r="AT13" i="48" s="1"/>
  <c r="G18" i="81"/>
  <c r="AO9" i="57"/>
  <c r="AO23" i="56"/>
  <c r="AT14" i="81"/>
  <c r="AT14" i="48" s="1"/>
  <c r="AI11" i="96"/>
  <c r="AG11" i="95"/>
  <c r="AT11" i="81"/>
  <c r="AT11" i="48" s="1"/>
  <c r="AV9" i="76"/>
  <c r="AV23" i="74"/>
  <c r="AI20" i="81"/>
  <c r="AI20" i="48" s="1"/>
  <c r="BF12" i="95"/>
  <c r="BD12" i="94"/>
  <c r="AM9" i="49"/>
  <c r="AM23" i="48"/>
  <c r="BH9" i="54"/>
  <c r="BH23" i="53"/>
  <c r="AI9" i="95"/>
  <c r="AG9" i="94"/>
  <c r="AI23" i="94"/>
  <c r="AX9" i="79"/>
  <c r="AX23" i="78"/>
  <c r="AI14" i="81"/>
  <c r="AI14" i="48" s="1"/>
  <c r="V9" i="54"/>
  <c r="V23" i="53"/>
  <c r="BF18" i="81"/>
  <c r="BF18" i="48" s="1"/>
  <c r="AG23" i="93"/>
  <c r="G14" i="95"/>
  <c r="D14" i="94"/>
  <c r="BF21" i="96"/>
  <c r="BD21" i="95"/>
  <c r="G20" i="81"/>
  <c r="AT14" i="96"/>
  <c r="AR14" i="95"/>
  <c r="G20" i="97"/>
  <c r="D20" i="96"/>
  <c r="AT9" i="81"/>
  <c r="BF10" i="81"/>
  <c r="BF10" i="48" s="1"/>
  <c r="AR20" i="95"/>
  <c r="AT20" i="96"/>
  <c r="AT21" i="81"/>
  <c r="AT21" i="48" s="1"/>
  <c r="AO9" i="102"/>
  <c r="AO23" i="101"/>
  <c r="AI22" i="81"/>
  <c r="AI22" i="48" s="1"/>
  <c r="G22" i="81"/>
  <c r="AT13" i="96"/>
  <c r="AR13" i="95"/>
  <c r="AT22" i="96"/>
  <c r="AR22" i="95"/>
  <c r="D9" i="95"/>
  <c r="G9" i="96"/>
  <c r="BF17" i="81"/>
  <c r="BF17" i="48" s="1"/>
  <c r="AI19" i="81"/>
  <c r="AI19" i="48" s="1"/>
  <c r="AI9" i="81"/>
  <c r="BF11" i="96"/>
  <c r="BD11" i="95"/>
  <c r="AT15" i="81"/>
  <c r="AT15" i="48" s="1"/>
  <c r="G9" i="81"/>
  <c r="G12" i="96"/>
  <c r="D12" i="95"/>
  <c r="BB23" i="110"/>
  <c r="BB22" i="111"/>
  <c r="BJ22" i="111"/>
  <c r="BJ23" i="110"/>
  <c r="J22" i="114"/>
  <c r="J23" i="112"/>
  <c r="S22" i="111"/>
  <c r="S23" i="110"/>
  <c r="AZ22" i="111"/>
  <c r="AZ23" i="110"/>
  <c r="Y22" i="111"/>
  <c r="Y23" i="110"/>
  <c r="AM22" i="111"/>
  <c r="AM23" i="110"/>
  <c r="BH22" i="111"/>
  <c r="BH23" i="110"/>
  <c r="AB22" i="111"/>
  <c r="AB23" i="110"/>
  <c r="V22" i="111"/>
  <c r="V23" i="110"/>
  <c r="BL22" i="111"/>
  <c r="BL23" i="110"/>
  <c r="AX23" i="110"/>
  <c r="AX22" i="111"/>
  <c r="BF23" i="95" l="1"/>
  <c r="J22" i="64"/>
  <c r="J23" i="63"/>
  <c r="AK23" i="102"/>
  <c r="AK9" i="103"/>
  <c r="AK9" i="109" s="1"/>
  <c r="AK9" i="110" s="1"/>
  <c r="AK9" i="111" s="1"/>
  <c r="AK9" i="112" s="1"/>
  <c r="AK9" i="114" s="1"/>
  <c r="AK9" i="115" s="1"/>
  <c r="AK9" i="116" s="1"/>
  <c r="AK9" i="117" s="1"/>
  <c r="AK9" i="118" s="1"/>
  <c r="AK9" i="119" s="1"/>
  <c r="AK9" i="120" s="1"/>
  <c r="AO23" i="102"/>
  <c r="AO9" i="103"/>
  <c r="AO9" i="109" s="1"/>
  <c r="AO9" i="110" s="1"/>
  <c r="AO9" i="111" s="1"/>
  <c r="AO9" i="112" s="1"/>
  <c r="AO9" i="114" s="1"/>
  <c r="AO9" i="115" s="1"/>
  <c r="AO9" i="116" s="1"/>
  <c r="AO9" i="117" s="1"/>
  <c r="AO9" i="118" s="1"/>
  <c r="AO9" i="119" s="1"/>
  <c r="AO9" i="120" s="1"/>
  <c r="AZ23" i="61"/>
  <c r="AZ9" i="62"/>
  <c r="M9" i="64"/>
  <c r="M23" i="63"/>
  <c r="AG23" i="94"/>
  <c r="BD23" i="94"/>
  <c r="AR23" i="94"/>
  <c r="BD11" i="96"/>
  <c r="BF11" i="97"/>
  <c r="G14" i="96"/>
  <c r="D14" i="95"/>
  <c r="AI16" i="97"/>
  <c r="AG16" i="96"/>
  <c r="D15" i="81"/>
  <c r="G15" i="48"/>
  <c r="BF20" i="49"/>
  <c r="BD20" i="48"/>
  <c r="AO22" i="109"/>
  <c r="BF16" i="49"/>
  <c r="BD16" i="48"/>
  <c r="AI10" i="97"/>
  <c r="AG10" i="96"/>
  <c r="BL9" i="52"/>
  <c r="BL23" i="51"/>
  <c r="D16" i="81"/>
  <c r="G16" i="48"/>
  <c r="BF10" i="97"/>
  <c r="BD10" i="96"/>
  <c r="AT21" i="49"/>
  <c r="AR21" i="48"/>
  <c r="AV23" i="76"/>
  <c r="AV9" i="77"/>
  <c r="AT11" i="96"/>
  <c r="AR11" i="95"/>
  <c r="BF11" i="49"/>
  <c r="BD11" i="48"/>
  <c r="AI18" i="49"/>
  <c r="AG18" i="48"/>
  <c r="M9" i="98"/>
  <c r="M23" i="97"/>
  <c r="AI9" i="48"/>
  <c r="AI23" i="81"/>
  <c r="BF18" i="49"/>
  <c r="BD18" i="48"/>
  <c r="BF9" i="97"/>
  <c r="AT16" i="96"/>
  <c r="AR16" i="95"/>
  <c r="AG19" i="97"/>
  <c r="AI19" i="98"/>
  <c r="BF13" i="97"/>
  <c r="BD13" i="96"/>
  <c r="AI21" i="98"/>
  <c r="AG21" i="97"/>
  <c r="BB9" i="55"/>
  <c r="BB23" i="54"/>
  <c r="AT20" i="97"/>
  <c r="AR20" i="96"/>
  <c r="AT11" i="49"/>
  <c r="AR11" i="48"/>
  <c r="AI12" i="97"/>
  <c r="AG12" i="96"/>
  <c r="BF19" i="97"/>
  <c r="BD19" i="96"/>
  <c r="AV23" i="101"/>
  <c r="AV9" i="102"/>
  <c r="AI19" i="49"/>
  <c r="AG19" i="48"/>
  <c r="V9" i="55"/>
  <c r="V23" i="54"/>
  <c r="AT20" i="49"/>
  <c r="AR20" i="48"/>
  <c r="AT9" i="97"/>
  <c r="AR9" i="96"/>
  <c r="BF12" i="49"/>
  <c r="BD12" i="48"/>
  <c r="AK9" i="57"/>
  <c r="AK23" i="56"/>
  <c r="G21" i="48"/>
  <c r="D21" i="81"/>
  <c r="D10" i="97"/>
  <c r="G10" i="98"/>
  <c r="D12" i="81"/>
  <c r="G12" i="48"/>
  <c r="G17" i="97"/>
  <c r="D17" i="96"/>
  <c r="BF17" i="49"/>
  <c r="BD17" i="48"/>
  <c r="AG11" i="96"/>
  <c r="AI11" i="97"/>
  <c r="D19" i="81"/>
  <c r="G19" i="48"/>
  <c r="AT23" i="95"/>
  <c r="AT19" i="49"/>
  <c r="AR19" i="48"/>
  <c r="BD10" i="48"/>
  <c r="BF10" i="49"/>
  <c r="AI14" i="49"/>
  <c r="AG14" i="48"/>
  <c r="AT17" i="98"/>
  <c r="AR17" i="97"/>
  <c r="BD14" i="96"/>
  <c r="BF14" i="97"/>
  <c r="AI15" i="49"/>
  <c r="AG15" i="48"/>
  <c r="AI12" i="49"/>
  <c r="AG12" i="48"/>
  <c r="AG22" i="96"/>
  <c r="AI22" i="97"/>
  <c r="AI17" i="97"/>
  <c r="AG17" i="96"/>
  <c r="AT19" i="98"/>
  <c r="AR19" i="97"/>
  <c r="G23" i="95"/>
  <c r="D23" i="95" s="1"/>
  <c r="AT14" i="49"/>
  <c r="AR14" i="48"/>
  <c r="J9" i="79"/>
  <c r="AG15" i="97"/>
  <c r="AI15" i="98"/>
  <c r="AI18" i="96"/>
  <c r="AG18" i="95"/>
  <c r="AT18" i="49"/>
  <c r="AR18" i="48"/>
  <c r="G13" i="97"/>
  <c r="D13" i="96"/>
  <c r="G9" i="97"/>
  <c r="D9" i="96"/>
  <c r="AT9" i="48"/>
  <c r="AT23" i="81"/>
  <c r="AX23" i="79"/>
  <c r="G15" i="97"/>
  <c r="D15" i="96"/>
  <c r="AE9" i="51"/>
  <c r="AE23" i="50"/>
  <c r="BF18" i="97"/>
  <c r="BD18" i="96"/>
  <c r="P23" i="101"/>
  <c r="P9" i="102"/>
  <c r="AO9" i="58"/>
  <c r="AO23" i="57"/>
  <c r="AT21" i="96"/>
  <c r="AR21" i="95"/>
  <c r="AT22" i="49"/>
  <c r="AR22" i="48"/>
  <c r="BF17" i="96"/>
  <c r="BD17" i="95"/>
  <c r="AI10" i="49"/>
  <c r="AG10" i="48"/>
  <c r="BF20" i="98"/>
  <c r="BD20" i="97"/>
  <c r="D13" i="81"/>
  <c r="G13" i="48"/>
  <c r="BF15" i="49"/>
  <c r="BD15" i="48"/>
  <c r="G19" i="96"/>
  <c r="D19" i="95"/>
  <c r="AT15" i="97"/>
  <c r="AR15" i="96"/>
  <c r="AI17" i="49"/>
  <c r="AG17" i="48"/>
  <c r="G20" i="98"/>
  <c r="D20" i="97"/>
  <c r="AI9" i="96"/>
  <c r="AG9" i="95"/>
  <c r="AI23" i="95"/>
  <c r="G18" i="48"/>
  <c r="D18" i="81"/>
  <c r="BF22" i="49"/>
  <c r="BD22" i="48"/>
  <c r="BF9" i="48"/>
  <c r="BF23" i="81"/>
  <c r="G14" i="48"/>
  <c r="D14" i="81"/>
  <c r="G17" i="48"/>
  <c r="D17" i="81"/>
  <c r="AI13" i="49"/>
  <c r="AG13" i="48"/>
  <c r="G10" i="48"/>
  <c r="D10" i="81"/>
  <c r="G12" i="97"/>
  <c r="D12" i="96"/>
  <c r="AR22" i="96"/>
  <c r="AT22" i="97"/>
  <c r="AT13" i="49"/>
  <c r="AR13" i="48"/>
  <c r="Y9" i="51"/>
  <c r="Y23" i="50"/>
  <c r="AG11" i="48"/>
  <c r="AI11" i="49"/>
  <c r="G18" i="97"/>
  <c r="D18" i="96"/>
  <c r="AR14" i="96"/>
  <c r="AT14" i="97"/>
  <c r="BH9" i="55"/>
  <c r="BH23" i="54"/>
  <c r="AT12" i="49"/>
  <c r="AR12" i="48"/>
  <c r="AT16" i="49"/>
  <c r="AR16" i="48"/>
  <c r="D11" i="96"/>
  <c r="G11" i="97"/>
  <c r="AI16" i="49"/>
  <c r="AG16" i="48"/>
  <c r="AR13" i="96"/>
  <c r="AT13" i="97"/>
  <c r="G20" i="48"/>
  <c r="D20" i="81"/>
  <c r="BF19" i="49"/>
  <c r="BD19" i="48"/>
  <c r="G16" i="96"/>
  <c r="D16" i="95"/>
  <c r="AR10" i="96"/>
  <c r="AT10" i="97"/>
  <c r="BF15" i="97"/>
  <c r="BD15" i="96"/>
  <c r="D21" i="96"/>
  <c r="G21" i="97"/>
  <c r="AI14" i="97"/>
  <c r="AG14" i="96"/>
  <c r="S9" i="53"/>
  <c r="S23" i="52"/>
  <c r="D9" i="81"/>
  <c r="G9" i="48"/>
  <c r="G23" i="81"/>
  <c r="D23" i="81" s="1"/>
  <c r="AM9" i="50"/>
  <c r="AM23" i="49"/>
  <c r="AG20" i="96"/>
  <c r="AI20" i="97"/>
  <c r="G11" i="48"/>
  <c r="D11" i="81"/>
  <c r="BF14" i="49"/>
  <c r="BD14" i="48"/>
  <c r="D22" i="81"/>
  <c r="G22" i="48"/>
  <c r="AE9" i="100"/>
  <c r="AE23" i="99"/>
  <c r="BN9" i="96"/>
  <c r="BD9" i="96" s="1"/>
  <c r="BN23" i="95"/>
  <c r="AG13" i="95"/>
  <c r="AI13" i="96"/>
  <c r="BJ9" i="54"/>
  <c r="BJ23" i="53"/>
  <c r="AT17" i="49"/>
  <c r="AR17" i="48"/>
  <c r="BF16" i="97"/>
  <c r="BD16" i="96"/>
  <c r="AT15" i="49"/>
  <c r="AR15" i="48"/>
  <c r="BF21" i="97"/>
  <c r="BD21" i="96"/>
  <c r="BF12" i="96"/>
  <c r="BD12" i="95"/>
  <c r="BF13" i="49"/>
  <c r="BD13" i="48"/>
  <c r="BF22" i="96"/>
  <c r="BD22" i="95"/>
  <c r="AI21" i="49"/>
  <c r="AG21" i="48"/>
  <c r="AT10" i="49"/>
  <c r="AR10" i="48"/>
  <c r="J23" i="114"/>
  <c r="J22" i="115"/>
  <c r="AI22" i="49"/>
  <c r="AG22" i="48"/>
  <c r="AI20" i="49"/>
  <c r="AG20" i="48"/>
  <c r="AK22" i="109"/>
  <c r="AT12" i="97"/>
  <c r="AR12" i="96"/>
  <c r="BN9" i="48"/>
  <c r="BN23" i="81"/>
  <c r="P9" i="56"/>
  <c r="P23" i="55"/>
  <c r="G22" i="97"/>
  <c r="D22" i="96"/>
  <c r="BF21" i="49"/>
  <c r="BD21" i="48"/>
  <c r="AR18" i="96"/>
  <c r="AT18" i="97"/>
  <c r="AB22" i="112"/>
  <c r="AB23" i="111"/>
  <c r="BH22" i="112"/>
  <c r="BH23" i="111"/>
  <c r="S22" i="112"/>
  <c r="S23" i="111"/>
  <c r="AM22" i="112"/>
  <c r="AM23" i="111"/>
  <c r="BJ22" i="112"/>
  <c r="BJ23" i="111"/>
  <c r="V22" i="112"/>
  <c r="V23" i="111"/>
  <c r="BB22" i="112"/>
  <c r="BB23" i="111"/>
  <c r="BL22" i="112"/>
  <c r="BL23" i="111"/>
  <c r="Y23" i="111"/>
  <c r="Y22" i="112"/>
  <c r="AX22" i="112"/>
  <c r="AX22" i="114" s="1"/>
  <c r="AX23" i="111"/>
  <c r="AZ22" i="112"/>
  <c r="AZ23" i="111"/>
  <c r="AK23" i="103" l="1"/>
  <c r="AZ23" i="62"/>
  <c r="AZ9" i="63"/>
  <c r="P23" i="102"/>
  <c r="P9" i="103"/>
  <c r="P9" i="109" s="1"/>
  <c r="P9" i="110" s="1"/>
  <c r="P9" i="111" s="1"/>
  <c r="P9" i="112" s="1"/>
  <c r="P9" i="114" s="1"/>
  <c r="P9" i="115" s="1"/>
  <c r="P9" i="116" s="1"/>
  <c r="P9" i="117" s="1"/>
  <c r="P9" i="118" s="1"/>
  <c r="P9" i="119" s="1"/>
  <c r="P9" i="120" s="1"/>
  <c r="AV23" i="102"/>
  <c r="AV9" i="103"/>
  <c r="AV9" i="109" s="1"/>
  <c r="AV9" i="110" s="1"/>
  <c r="AV9" i="111" s="1"/>
  <c r="AV9" i="112" s="1"/>
  <c r="AV9" i="114" s="1"/>
  <c r="AV9" i="115" s="1"/>
  <c r="AV9" i="116" s="1"/>
  <c r="AV9" i="117" s="1"/>
  <c r="AV9" i="118" s="1"/>
  <c r="AV9" i="119" s="1"/>
  <c r="AV9" i="120" s="1"/>
  <c r="AO23" i="103"/>
  <c r="M9" i="65"/>
  <c r="M23" i="64"/>
  <c r="J22" i="65"/>
  <c r="J23" i="64"/>
  <c r="AT23" i="96"/>
  <c r="AR23" i="95"/>
  <c r="BF23" i="96"/>
  <c r="BD23" i="95"/>
  <c r="D19" i="96"/>
  <c r="G19" i="97"/>
  <c r="AI15" i="99"/>
  <c r="AG15" i="98"/>
  <c r="G16" i="49"/>
  <c r="D16" i="48"/>
  <c r="AT12" i="98"/>
  <c r="AR12" i="97"/>
  <c r="BF21" i="98"/>
  <c r="BD21" i="97"/>
  <c r="BF14" i="50"/>
  <c r="BD14" i="49"/>
  <c r="G14" i="49"/>
  <c r="D14" i="48"/>
  <c r="BD18" i="97"/>
  <c r="BF18" i="98"/>
  <c r="G10" i="99"/>
  <c r="D10" i="98"/>
  <c r="BF9" i="98"/>
  <c r="G16" i="97"/>
  <c r="D16" i="96"/>
  <c r="D18" i="97"/>
  <c r="G18" i="98"/>
  <c r="BF15" i="50"/>
  <c r="BD15" i="49"/>
  <c r="AT17" i="99"/>
  <c r="AR17" i="98"/>
  <c r="BF19" i="98"/>
  <c r="BD19" i="97"/>
  <c r="AK22" i="110"/>
  <c r="AK23" i="109"/>
  <c r="AT15" i="50"/>
  <c r="AR15" i="49"/>
  <c r="G11" i="49"/>
  <c r="D11" i="48"/>
  <c r="AI11" i="50"/>
  <c r="AG11" i="49"/>
  <c r="BF9" i="49"/>
  <c r="BD9" i="48"/>
  <c r="BD23" i="48" s="1"/>
  <c r="BF23" i="48"/>
  <c r="G13" i="49"/>
  <c r="D13" i="48"/>
  <c r="AE9" i="52"/>
  <c r="AE23" i="51"/>
  <c r="BF18" i="50"/>
  <c r="BD18" i="49"/>
  <c r="BL9" i="53"/>
  <c r="BL23" i="52"/>
  <c r="AI20" i="98"/>
  <c r="AG20" i="97"/>
  <c r="BF19" i="50"/>
  <c r="BD19" i="49"/>
  <c r="AI14" i="50"/>
  <c r="AG14" i="49"/>
  <c r="AI20" i="50"/>
  <c r="AG20" i="49"/>
  <c r="BF16" i="98"/>
  <c r="BD16" i="97"/>
  <c r="BF22" i="50"/>
  <c r="BD22" i="49"/>
  <c r="BD10" i="49"/>
  <c r="BF10" i="50"/>
  <c r="G21" i="49"/>
  <c r="D21" i="48"/>
  <c r="AG12" i="97"/>
  <c r="AI12" i="98"/>
  <c r="AI9" i="49"/>
  <c r="AG9" i="48"/>
  <c r="AG23" i="48" s="1"/>
  <c r="AI23" i="48"/>
  <c r="AG10" i="97"/>
  <c r="AI10" i="98"/>
  <c r="G20" i="49"/>
  <c r="D20" i="48"/>
  <c r="Y9" i="52"/>
  <c r="Y23" i="51"/>
  <c r="BF20" i="99"/>
  <c r="BD20" i="98"/>
  <c r="D15" i="97"/>
  <c r="G15" i="98"/>
  <c r="AT14" i="50"/>
  <c r="AR14" i="49"/>
  <c r="AI22" i="50"/>
  <c r="AG22" i="49"/>
  <c r="AT17" i="50"/>
  <c r="AR17" i="49"/>
  <c r="AM9" i="51"/>
  <c r="AM23" i="50"/>
  <c r="AR13" i="97"/>
  <c r="AT13" i="98"/>
  <c r="D18" i="48"/>
  <c r="G18" i="49"/>
  <c r="AK9" i="58"/>
  <c r="AK23" i="57"/>
  <c r="AR11" i="49"/>
  <c r="AT11" i="50"/>
  <c r="M9" i="99"/>
  <c r="M23" i="98"/>
  <c r="BF16" i="50"/>
  <c r="BD16" i="49"/>
  <c r="J22" i="116"/>
  <c r="J23" i="115"/>
  <c r="AI10" i="50"/>
  <c r="AG10" i="49"/>
  <c r="AT19" i="50"/>
  <c r="AR19" i="49"/>
  <c r="AO22" i="110"/>
  <c r="AO23" i="109"/>
  <c r="BJ9" i="55"/>
  <c r="BJ23" i="54"/>
  <c r="G9" i="49"/>
  <c r="D9" i="48"/>
  <c r="G23" i="48"/>
  <c r="D23" i="48" s="1"/>
  <c r="AT13" i="50"/>
  <c r="AR13" i="49"/>
  <c r="AG23" i="95"/>
  <c r="AT19" i="99"/>
  <c r="AR19" i="98"/>
  <c r="BF12" i="50"/>
  <c r="BD12" i="49"/>
  <c r="AT20" i="98"/>
  <c r="AR20" i="97"/>
  <c r="AI18" i="50"/>
  <c r="AG18" i="49"/>
  <c r="AT18" i="98"/>
  <c r="AR18" i="97"/>
  <c r="AI13" i="97"/>
  <c r="AG13" i="96"/>
  <c r="AI16" i="50"/>
  <c r="AG16" i="49"/>
  <c r="AT22" i="98"/>
  <c r="AR22" i="97"/>
  <c r="AI9" i="97"/>
  <c r="AG9" i="96"/>
  <c r="AI23" i="96"/>
  <c r="BF17" i="97"/>
  <c r="BD17" i="96"/>
  <c r="AR9" i="48"/>
  <c r="AR23" i="48" s="1"/>
  <c r="AT9" i="49"/>
  <c r="AT23" i="48"/>
  <c r="AT10" i="50"/>
  <c r="AR10" i="49"/>
  <c r="D11" i="97"/>
  <c r="G11" i="98"/>
  <c r="AI17" i="98"/>
  <c r="AG17" i="97"/>
  <c r="G19" i="49"/>
  <c r="D19" i="48"/>
  <c r="BB9" i="56"/>
  <c r="BB23" i="55"/>
  <c r="BD11" i="49"/>
  <c r="BF11" i="50"/>
  <c r="BD20" i="49"/>
  <c r="BF20" i="50"/>
  <c r="S9" i="54"/>
  <c r="S23" i="53"/>
  <c r="D20" i="98"/>
  <c r="G20" i="99"/>
  <c r="AT22" i="50"/>
  <c r="AR22" i="49"/>
  <c r="D9" i="97"/>
  <c r="G9" i="98"/>
  <c r="AI22" i="98"/>
  <c r="AG22" i="97"/>
  <c r="AR9" i="97"/>
  <c r="AT9" i="98"/>
  <c r="D15" i="48"/>
  <c r="G15" i="49"/>
  <c r="BF21" i="50"/>
  <c r="BD21" i="49"/>
  <c r="AI21" i="50"/>
  <c r="AG21" i="49"/>
  <c r="BN9" i="97"/>
  <c r="BN23" i="96"/>
  <c r="G12" i="98"/>
  <c r="D12" i="97"/>
  <c r="G23" i="96"/>
  <c r="D23" i="96" s="1"/>
  <c r="AI11" i="98"/>
  <c r="AG11" i="97"/>
  <c r="AG21" i="98"/>
  <c r="AI21" i="99"/>
  <c r="AT11" i="97"/>
  <c r="AR11" i="96"/>
  <c r="AI14" i="98"/>
  <c r="AG14" i="97"/>
  <c r="AT16" i="50"/>
  <c r="AR16" i="49"/>
  <c r="AI17" i="50"/>
  <c r="AG17" i="49"/>
  <c r="AT21" i="97"/>
  <c r="AR21" i="96"/>
  <c r="AT20" i="50"/>
  <c r="AR20" i="49"/>
  <c r="AV9" i="78"/>
  <c r="AV23" i="77"/>
  <c r="D22" i="97"/>
  <c r="G22" i="98"/>
  <c r="BF22" i="97"/>
  <c r="BD22" i="96"/>
  <c r="AE9" i="101"/>
  <c r="AE23" i="100"/>
  <c r="G21" i="98"/>
  <c r="D21" i="97"/>
  <c r="G10" i="49"/>
  <c r="D10" i="48"/>
  <c r="G13" i="98"/>
  <c r="D13" i="97"/>
  <c r="AI12" i="50"/>
  <c r="AG12" i="49"/>
  <c r="BF13" i="98"/>
  <c r="BD13" i="97"/>
  <c r="AI16" i="98"/>
  <c r="AG16" i="97"/>
  <c r="AT12" i="50"/>
  <c r="AR12" i="49"/>
  <c r="AO23" i="58"/>
  <c r="AO9" i="61"/>
  <c r="BF17" i="50"/>
  <c r="BD17" i="49"/>
  <c r="V9" i="56"/>
  <c r="V23" i="55"/>
  <c r="AI19" i="99"/>
  <c r="AG19" i="98"/>
  <c r="P9" i="57"/>
  <c r="P23" i="56"/>
  <c r="BF13" i="50"/>
  <c r="BD13" i="49"/>
  <c r="AG13" i="49"/>
  <c r="AI13" i="50"/>
  <c r="AT18" i="50"/>
  <c r="AR18" i="49"/>
  <c r="AI15" i="50"/>
  <c r="AG15" i="49"/>
  <c r="AT21" i="50"/>
  <c r="AR21" i="49"/>
  <c r="G14" i="97"/>
  <c r="D14" i="96"/>
  <c r="G22" i="49"/>
  <c r="D22" i="48"/>
  <c r="BD15" i="97"/>
  <c r="BF15" i="98"/>
  <c r="BH9" i="56"/>
  <c r="BH23" i="55"/>
  <c r="AT15" i="98"/>
  <c r="AR15" i="97"/>
  <c r="P22" i="109"/>
  <c r="BD14" i="97"/>
  <c r="BF14" i="98"/>
  <c r="D17" i="97"/>
  <c r="G17" i="98"/>
  <c r="AI19" i="50"/>
  <c r="AG19" i="49"/>
  <c r="BF11" i="98"/>
  <c r="BD11" i="97"/>
  <c r="BN9" i="49"/>
  <c r="BN23" i="48"/>
  <c r="BD12" i="96"/>
  <c r="BF12" i="97"/>
  <c r="AT10" i="98"/>
  <c r="AR10" i="97"/>
  <c r="AT14" i="98"/>
  <c r="AR14" i="97"/>
  <c r="G17" i="49"/>
  <c r="D17" i="48"/>
  <c r="AI18" i="97"/>
  <c r="AG18" i="96"/>
  <c r="D12" i="48"/>
  <c r="G12" i="49"/>
  <c r="AV22" i="109"/>
  <c r="AT16" i="97"/>
  <c r="AR16" i="96"/>
  <c r="BD10" i="97"/>
  <c r="BF10" i="98"/>
  <c r="AM22" i="114"/>
  <c r="AM23" i="112"/>
  <c r="V22" i="114"/>
  <c r="V23" i="112"/>
  <c r="Y22" i="114"/>
  <c r="Y23" i="112"/>
  <c r="BH22" i="114"/>
  <c r="BH23" i="112"/>
  <c r="S22" i="114"/>
  <c r="S23" i="112"/>
  <c r="BL22" i="114"/>
  <c r="BL23" i="112"/>
  <c r="BJ22" i="114"/>
  <c r="BJ23" i="112"/>
  <c r="AB22" i="114"/>
  <c r="AB23" i="112"/>
  <c r="BB22" i="114"/>
  <c r="BB23" i="112"/>
  <c r="AX23" i="112"/>
  <c r="AZ22" i="114"/>
  <c r="AZ23" i="112"/>
  <c r="AV23" i="103" l="1"/>
  <c r="P23" i="103"/>
  <c r="AZ23" i="63"/>
  <c r="AZ9" i="64"/>
  <c r="M23" i="65"/>
  <c r="M9" i="66"/>
  <c r="J22" i="66"/>
  <c r="J23" i="65"/>
  <c r="BD23" i="96"/>
  <c r="AT23" i="97"/>
  <c r="AR23" i="96"/>
  <c r="BF14" i="99"/>
  <c r="BD14" i="98"/>
  <c r="AG13" i="50"/>
  <c r="AI13" i="51"/>
  <c r="BN23" i="97"/>
  <c r="BN9" i="98"/>
  <c r="BD9" i="98" s="1"/>
  <c r="BF20" i="51"/>
  <c r="BD20" i="50"/>
  <c r="Y9" i="53"/>
  <c r="Y23" i="52"/>
  <c r="AI11" i="51"/>
  <c r="AG11" i="50"/>
  <c r="AI16" i="99"/>
  <c r="AG16" i="98"/>
  <c r="AT20" i="51"/>
  <c r="AR20" i="50"/>
  <c r="AG23" i="96"/>
  <c r="AT13" i="51"/>
  <c r="AR13" i="50"/>
  <c r="AI14" i="51"/>
  <c r="AG14" i="50"/>
  <c r="G10" i="100"/>
  <c r="D10" i="99"/>
  <c r="AI21" i="51"/>
  <c r="AG21" i="50"/>
  <c r="BF11" i="51"/>
  <c r="BD11" i="50"/>
  <c r="AG9" i="97"/>
  <c r="AI9" i="98"/>
  <c r="AI23" i="97"/>
  <c r="AK9" i="61"/>
  <c r="AK23" i="58"/>
  <c r="G20" i="50"/>
  <c r="D20" i="49"/>
  <c r="G11" i="50"/>
  <c r="D11" i="49"/>
  <c r="BF18" i="99"/>
  <c r="BD18" i="98"/>
  <c r="BD13" i="98"/>
  <c r="BF13" i="99"/>
  <c r="AR21" i="97"/>
  <c r="AT21" i="98"/>
  <c r="G18" i="50"/>
  <c r="D18" i="49"/>
  <c r="AI10" i="99"/>
  <c r="AG10" i="98"/>
  <c r="BF21" i="51"/>
  <c r="BD21" i="50"/>
  <c r="AR22" i="98"/>
  <c r="AT22" i="99"/>
  <c r="G9" i="50"/>
  <c r="D9" i="49"/>
  <c r="G23" i="49"/>
  <c r="D23" i="49" s="1"/>
  <c r="AT15" i="51"/>
  <c r="AR15" i="50"/>
  <c r="P22" i="110"/>
  <c r="P23" i="109"/>
  <c r="G17" i="50"/>
  <c r="D17" i="49"/>
  <c r="AR15" i="98"/>
  <c r="AT15" i="99"/>
  <c r="BF13" i="51"/>
  <c r="BD13" i="50"/>
  <c r="AI12" i="51"/>
  <c r="AG12" i="50"/>
  <c r="AI17" i="51"/>
  <c r="AG17" i="50"/>
  <c r="G15" i="50"/>
  <c r="D15" i="49"/>
  <c r="BB9" i="57"/>
  <c r="BB23" i="56"/>
  <c r="AT13" i="99"/>
  <c r="AR13" i="98"/>
  <c r="BF19" i="51"/>
  <c r="BD19" i="50"/>
  <c r="G14" i="50"/>
  <c r="D14" i="49"/>
  <c r="AG16" i="50"/>
  <c r="AI16" i="51"/>
  <c r="BJ9" i="56"/>
  <c r="BJ23" i="55"/>
  <c r="AK23" i="110"/>
  <c r="AK22" i="111"/>
  <c r="AM23" i="114"/>
  <c r="AM22" i="115"/>
  <c r="AT14" i="99"/>
  <c r="AR14" i="98"/>
  <c r="BH9" i="57"/>
  <c r="BH23" i="56"/>
  <c r="P9" i="58"/>
  <c r="P23" i="57"/>
  <c r="G13" i="99"/>
  <c r="D13" i="98"/>
  <c r="AT16" i="51"/>
  <c r="AR16" i="50"/>
  <c r="AR9" i="98"/>
  <c r="AT9" i="99"/>
  <c r="AI9" i="50"/>
  <c r="AG9" i="49"/>
  <c r="AG23" i="49" s="1"/>
  <c r="AI23" i="49"/>
  <c r="AI20" i="99"/>
  <c r="AI20" i="100" s="1"/>
  <c r="AG20" i="98"/>
  <c r="BF14" i="51"/>
  <c r="BD14" i="50"/>
  <c r="BJ23" i="114"/>
  <c r="BJ22" i="115"/>
  <c r="BD15" i="98"/>
  <c r="BF15" i="99"/>
  <c r="G19" i="50"/>
  <c r="D19" i="49"/>
  <c r="AI13" i="98"/>
  <c r="AG13" i="97"/>
  <c r="AO22" i="111"/>
  <c r="AO23" i="110"/>
  <c r="AM9" i="52"/>
  <c r="AM23" i="51"/>
  <c r="AI12" i="99"/>
  <c r="AG12" i="98"/>
  <c r="BF19" i="99"/>
  <c r="BD19" i="98"/>
  <c r="AT10" i="99"/>
  <c r="AR10" i="98"/>
  <c r="AI19" i="100"/>
  <c r="AG19" i="99"/>
  <c r="G10" i="50"/>
  <c r="D10" i="49"/>
  <c r="AI14" i="99"/>
  <c r="AG14" i="98"/>
  <c r="BL9" i="54"/>
  <c r="BL23" i="53"/>
  <c r="BD21" i="98"/>
  <c r="BF21" i="99"/>
  <c r="AB23" i="114"/>
  <c r="AB22" i="115"/>
  <c r="AZ23" i="114"/>
  <c r="AZ22" i="115"/>
  <c r="BF12" i="98"/>
  <c r="BD12" i="97"/>
  <c r="AI17" i="99"/>
  <c r="AG17" i="98"/>
  <c r="AT18" i="99"/>
  <c r="AR18" i="98"/>
  <c r="AT19" i="51"/>
  <c r="AR19" i="50"/>
  <c r="AT17" i="51"/>
  <c r="AR17" i="50"/>
  <c r="AR17" i="99"/>
  <c r="AT17" i="100"/>
  <c r="Y23" i="114"/>
  <c r="Y22" i="115"/>
  <c r="G22" i="50"/>
  <c r="D22" i="49"/>
  <c r="V9" i="57"/>
  <c r="V23" i="56"/>
  <c r="G21" i="99"/>
  <c r="D21" i="98"/>
  <c r="AT11" i="98"/>
  <c r="AR11" i="97"/>
  <c r="AI22" i="99"/>
  <c r="AG22" i="98"/>
  <c r="G11" i="99"/>
  <c r="D11" i="98"/>
  <c r="G21" i="50"/>
  <c r="D21" i="49"/>
  <c r="BF18" i="51"/>
  <c r="BD18" i="50"/>
  <c r="AT12" i="99"/>
  <c r="AR12" i="98"/>
  <c r="BB23" i="114"/>
  <c r="BB22" i="115"/>
  <c r="AI21" i="100"/>
  <c r="AG21" i="99"/>
  <c r="D9" i="98"/>
  <c r="G9" i="99"/>
  <c r="AI18" i="51"/>
  <c r="AG18" i="50"/>
  <c r="AI10" i="51"/>
  <c r="AG10" i="50"/>
  <c r="AI22" i="51"/>
  <c r="AG22" i="50"/>
  <c r="BF10" i="51"/>
  <c r="BD10" i="50"/>
  <c r="BD15" i="50"/>
  <c r="BF15" i="51"/>
  <c r="BF10" i="99"/>
  <c r="BD10" i="98"/>
  <c r="BN9" i="50"/>
  <c r="BN23" i="49"/>
  <c r="G14" i="98"/>
  <c r="D14" i="97"/>
  <c r="BF17" i="51"/>
  <c r="BD17" i="50"/>
  <c r="AE23" i="101"/>
  <c r="AE9" i="102"/>
  <c r="AE9" i="53"/>
  <c r="AE23" i="52"/>
  <c r="G18" i="99"/>
  <c r="D18" i="98"/>
  <c r="G16" i="50"/>
  <c r="D16" i="49"/>
  <c r="S23" i="114"/>
  <c r="S22" i="115"/>
  <c r="AX23" i="114"/>
  <c r="AX22" i="115"/>
  <c r="BL23" i="114"/>
  <c r="BL22" i="115"/>
  <c r="AO9" i="62"/>
  <c r="AO23" i="61"/>
  <c r="AT10" i="51"/>
  <c r="AR10" i="50"/>
  <c r="AT20" i="99"/>
  <c r="AR20" i="98"/>
  <c r="J22" i="117"/>
  <c r="J23" i="116"/>
  <c r="AR14" i="50"/>
  <c r="AT14" i="51"/>
  <c r="BF11" i="99"/>
  <c r="BD11" i="98"/>
  <c r="AT21" i="51"/>
  <c r="AR21" i="50"/>
  <c r="BD22" i="97"/>
  <c r="BF22" i="98"/>
  <c r="AI11" i="99"/>
  <c r="AG11" i="98"/>
  <c r="AT22" i="51"/>
  <c r="AR22" i="50"/>
  <c r="G15" i="99"/>
  <c r="D15" i="98"/>
  <c r="BF22" i="51"/>
  <c r="BD22" i="50"/>
  <c r="G13" i="50"/>
  <c r="D13" i="49"/>
  <c r="AI15" i="100"/>
  <c r="AG15" i="99"/>
  <c r="AR16" i="97"/>
  <c r="AT16" i="98"/>
  <c r="G22" i="99"/>
  <c r="D22" i="98"/>
  <c r="G20" i="100"/>
  <c r="D20" i="99"/>
  <c r="AR9" i="49"/>
  <c r="AR23" i="49" s="1"/>
  <c r="AT9" i="50"/>
  <c r="AT23" i="49"/>
  <c r="BD12" i="50"/>
  <c r="BF12" i="51"/>
  <c r="BF16" i="51"/>
  <c r="BD16" i="50"/>
  <c r="D16" i="97"/>
  <c r="G16" i="98"/>
  <c r="BH23" i="114"/>
  <c r="BH22" i="115"/>
  <c r="AI19" i="51"/>
  <c r="AG19" i="50"/>
  <c r="AI15" i="51"/>
  <c r="AG15" i="50"/>
  <c r="BF16" i="99"/>
  <c r="BD16" i="98"/>
  <c r="BF23" i="97"/>
  <c r="D19" i="97"/>
  <c r="G19" i="98"/>
  <c r="AG18" i="97"/>
  <c r="AI18" i="98"/>
  <c r="V23" i="114"/>
  <c r="V22" i="115"/>
  <c r="AV22" i="110"/>
  <c r="AV23" i="109"/>
  <c r="G17" i="99"/>
  <c r="D17" i="98"/>
  <c r="G12" i="99"/>
  <c r="D12" i="98"/>
  <c r="AT19" i="100"/>
  <c r="AR19" i="99"/>
  <c r="M23" i="99"/>
  <c r="M9" i="100"/>
  <c r="BF20" i="100"/>
  <c r="BD20" i="99"/>
  <c r="BF9" i="50"/>
  <c r="BD9" i="49"/>
  <c r="BD23" i="49" s="1"/>
  <c r="BF23" i="49"/>
  <c r="BF9" i="99"/>
  <c r="G12" i="50"/>
  <c r="D12" i="49"/>
  <c r="AT18" i="51"/>
  <c r="AR18" i="50"/>
  <c r="AT12" i="51"/>
  <c r="AR12" i="50"/>
  <c r="AV9" i="79"/>
  <c r="AV23" i="78"/>
  <c r="S9" i="55"/>
  <c r="S23" i="54"/>
  <c r="BD17" i="97"/>
  <c r="BF17" i="98"/>
  <c r="AR11" i="50"/>
  <c r="AT11" i="51"/>
  <c r="AI20" i="51"/>
  <c r="AG20" i="50"/>
  <c r="BD9" i="97"/>
  <c r="G23" i="97"/>
  <c r="D23" i="97" s="1"/>
  <c r="AR23" i="97" l="1"/>
  <c r="AE23" i="102"/>
  <c r="AE9" i="103"/>
  <c r="AE9" i="109" s="1"/>
  <c r="AE9" i="110" s="1"/>
  <c r="AE9" i="111" s="1"/>
  <c r="AE9" i="112" s="1"/>
  <c r="AE9" i="114" s="1"/>
  <c r="AE9" i="115" s="1"/>
  <c r="AE9" i="116" s="1"/>
  <c r="AE9" i="117" s="1"/>
  <c r="AE9" i="118" s="1"/>
  <c r="AE9" i="119" s="1"/>
  <c r="AE9" i="120" s="1"/>
  <c r="J22" i="67"/>
  <c r="J23" i="66"/>
  <c r="M9" i="67"/>
  <c r="M23" i="66"/>
  <c r="AZ9" i="65"/>
  <c r="AZ23" i="64"/>
  <c r="AT23" i="98"/>
  <c r="G23" i="98"/>
  <c r="D23" i="98" s="1"/>
  <c r="BD23" i="97"/>
  <c r="J22" i="118"/>
  <c r="J23" i="117"/>
  <c r="AB22" i="116"/>
  <c r="AB23" i="115"/>
  <c r="AM9" i="53"/>
  <c r="AM23" i="52"/>
  <c r="V9" i="58"/>
  <c r="V23" i="57"/>
  <c r="G14" i="51"/>
  <c r="D14" i="50"/>
  <c r="P22" i="111"/>
  <c r="P23" i="110"/>
  <c r="AT13" i="52"/>
  <c r="AR13" i="51"/>
  <c r="G13" i="51"/>
  <c r="D13" i="50"/>
  <c r="AT20" i="100"/>
  <c r="AR20" i="99"/>
  <c r="BF17" i="52"/>
  <c r="BD17" i="51"/>
  <c r="BF21" i="100"/>
  <c r="BD21" i="99"/>
  <c r="AO23" i="111"/>
  <c r="AO22" i="112"/>
  <c r="BF18" i="100"/>
  <c r="BD18" i="99"/>
  <c r="D17" i="99"/>
  <c r="G17" i="100"/>
  <c r="G16" i="99"/>
  <c r="D16" i="98"/>
  <c r="AI21" i="101"/>
  <c r="AG21" i="100"/>
  <c r="G22" i="51"/>
  <c r="D22" i="50"/>
  <c r="AT16" i="52"/>
  <c r="AR16" i="51"/>
  <c r="BF19" i="52"/>
  <c r="BD19" i="51"/>
  <c r="AT15" i="52"/>
  <c r="AR15" i="51"/>
  <c r="BF22" i="52"/>
  <c r="BD22" i="51"/>
  <c r="AT10" i="52"/>
  <c r="AR10" i="51"/>
  <c r="D14" i="98"/>
  <c r="G14" i="99"/>
  <c r="BB22" i="116"/>
  <c r="BB23" i="115"/>
  <c r="Y22" i="116"/>
  <c r="Y23" i="115"/>
  <c r="AG13" i="98"/>
  <c r="AI13" i="99"/>
  <c r="G11" i="51"/>
  <c r="D11" i="50"/>
  <c r="AT20" i="52"/>
  <c r="AR20" i="51"/>
  <c r="BL9" i="55"/>
  <c r="BL23" i="54"/>
  <c r="D13" i="99"/>
  <c r="G13" i="100"/>
  <c r="AR13" i="99"/>
  <c r="AT13" i="100"/>
  <c r="G12" i="100"/>
  <c r="D12" i="99"/>
  <c r="AT18" i="52"/>
  <c r="AR18" i="51"/>
  <c r="V22" i="116"/>
  <c r="V23" i="115"/>
  <c r="BF16" i="52"/>
  <c r="BD16" i="51"/>
  <c r="D15" i="99"/>
  <c r="G15" i="100"/>
  <c r="AO9" i="63"/>
  <c r="AO23" i="62"/>
  <c r="BN23" i="50"/>
  <c r="BN9" i="51"/>
  <c r="AT17" i="101"/>
  <c r="AR17" i="100"/>
  <c r="G19" i="51"/>
  <c r="D19" i="50"/>
  <c r="G9" i="51"/>
  <c r="D9" i="50"/>
  <c r="G23" i="50"/>
  <c r="D23" i="50" s="1"/>
  <c r="D20" i="50"/>
  <c r="G20" i="51"/>
  <c r="AI16" i="100"/>
  <c r="AG16" i="99"/>
  <c r="BH22" i="116"/>
  <c r="BH23" i="115"/>
  <c r="BF12" i="52"/>
  <c r="BD12" i="51"/>
  <c r="BL22" i="116"/>
  <c r="BL23" i="115"/>
  <c r="AR12" i="99"/>
  <c r="AT12" i="100"/>
  <c r="BF15" i="100"/>
  <c r="BD15" i="99"/>
  <c r="P9" i="61"/>
  <c r="P23" i="58"/>
  <c r="BB9" i="58"/>
  <c r="BB23" i="57"/>
  <c r="AT22" i="100"/>
  <c r="AR22" i="99"/>
  <c r="AG19" i="51"/>
  <c r="AI19" i="52"/>
  <c r="AG18" i="98"/>
  <c r="AI18" i="99"/>
  <c r="AT22" i="52"/>
  <c r="AR22" i="51"/>
  <c r="BF10" i="100"/>
  <c r="BD10" i="99"/>
  <c r="AG14" i="99"/>
  <c r="AI14" i="100"/>
  <c r="AK9" i="62"/>
  <c r="AK23" i="61"/>
  <c r="AI11" i="52"/>
  <c r="AG11" i="51"/>
  <c r="BF9" i="100"/>
  <c r="AX22" i="116"/>
  <c r="AX23" i="115"/>
  <c r="BD15" i="51"/>
  <c r="BF15" i="52"/>
  <c r="BD18" i="51"/>
  <c r="BF18" i="52"/>
  <c r="AR17" i="51"/>
  <c r="AT17" i="52"/>
  <c r="BJ22" i="116"/>
  <c r="BJ23" i="115"/>
  <c r="BH9" i="58"/>
  <c r="BH23" i="57"/>
  <c r="G15" i="51"/>
  <c r="D15" i="50"/>
  <c r="G19" i="99"/>
  <c r="D19" i="98"/>
  <c r="AT9" i="51"/>
  <c r="AR9" i="50"/>
  <c r="AR23" i="50" s="1"/>
  <c r="AT23" i="50"/>
  <c r="AI11" i="100"/>
  <c r="AG11" i="99"/>
  <c r="G10" i="51"/>
  <c r="D10" i="50"/>
  <c r="BF21" i="52"/>
  <c r="BD21" i="51"/>
  <c r="AG9" i="98"/>
  <c r="AI9" i="99"/>
  <c r="AI23" i="98"/>
  <c r="Y9" i="54"/>
  <c r="Y23" i="53"/>
  <c r="BF22" i="99"/>
  <c r="BD22" i="98"/>
  <c r="S22" i="116"/>
  <c r="S23" i="115"/>
  <c r="G21" i="51"/>
  <c r="D21" i="50"/>
  <c r="AT19" i="52"/>
  <c r="AR19" i="51"/>
  <c r="AT14" i="100"/>
  <c r="AR14" i="99"/>
  <c r="AI17" i="52"/>
  <c r="AG17" i="51"/>
  <c r="AG23" i="97"/>
  <c r="AV22" i="111"/>
  <c r="AV23" i="110"/>
  <c r="BF10" i="52"/>
  <c r="BD10" i="51"/>
  <c r="AI19" i="101"/>
  <c r="AG19" i="100"/>
  <c r="AM22" i="116"/>
  <c r="AM23" i="115"/>
  <c r="AI10" i="100"/>
  <c r="AG10" i="99"/>
  <c r="BF20" i="52"/>
  <c r="BD20" i="51"/>
  <c r="BF9" i="51"/>
  <c r="BD9" i="50"/>
  <c r="BD23" i="50" s="1"/>
  <c r="BF23" i="50"/>
  <c r="G20" i="101"/>
  <c r="G20" i="102" s="1"/>
  <c r="G20" i="103" s="1"/>
  <c r="D20" i="100"/>
  <c r="D11" i="99"/>
  <c r="G11" i="100"/>
  <c r="AT18" i="100"/>
  <c r="AR18" i="99"/>
  <c r="BF14" i="52"/>
  <c r="BD14" i="51"/>
  <c r="AI12" i="52"/>
  <c r="AG12" i="51"/>
  <c r="BF11" i="52"/>
  <c r="BD11" i="51"/>
  <c r="BN9" i="99"/>
  <c r="BN23" i="98"/>
  <c r="G12" i="51"/>
  <c r="D12" i="50"/>
  <c r="AI20" i="52"/>
  <c r="AG20" i="51"/>
  <c r="BF16" i="100"/>
  <c r="BD16" i="99"/>
  <c r="AT21" i="52"/>
  <c r="AR21" i="51"/>
  <c r="G16" i="51"/>
  <c r="D16" i="50"/>
  <c r="AI22" i="52"/>
  <c r="AG22" i="51"/>
  <c r="AT10" i="100"/>
  <c r="AR10" i="99"/>
  <c r="AK23" i="111"/>
  <c r="AK22" i="112"/>
  <c r="G18" i="51"/>
  <c r="D18" i="50"/>
  <c r="S9" i="56"/>
  <c r="S23" i="55"/>
  <c r="AT11" i="52"/>
  <c r="AR11" i="51"/>
  <c r="BF20" i="101"/>
  <c r="BD20" i="100"/>
  <c r="G22" i="100"/>
  <c r="D22" i="99"/>
  <c r="AG22" i="99"/>
  <c r="AI22" i="100"/>
  <c r="AI17" i="100"/>
  <c r="AG17" i="99"/>
  <c r="AG20" i="99"/>
  <c r="BF13" i="52"/>
  <c r="BD13" i="51"/>
  <c r="AT21" i="99"/>
  <c r="AR21" i="98"/>
  <c r="AI21" i="52"/>
  <c r="AG21" i="51"/>
  <c r="AI13" i="52"/>
  <c r="AG13" i="51"/>
  <c r="M9" i="101"/>
  <c r="M23" i="100"/>
  <c r="AR16" i="98"/>
  <c r="AT16" i="99"/>
  <c r="BF11" i="100"/>
  <c r="BD11" i="99"/>
  <c r="G18" i="100"/>
  <c r="D18" i="99"/>
  <c r="AI10" i="52"/>
  <c r="AG10" i="51"/>
  <c r="BD19" i="99"/>
  <c r="BF19" i="100"/>
  <c r="AT15" i="100"/>
  <c r="AR15" i="99"/>
  <c r="AT12" i="52"/>
  <c r="AR12" i="51"/>
  <c r="BF17" i="99"/>
  <c r="BD17" i="98"/>
  <c r="AR14" i="51"/>
  <c r="AT14" i="52"/>
  <c r="AR11" i="98"/>
  <c r="AT11" i="99"/>
  <c r="BF12" i="99"/>
  <c r="BD12" i="98"/>
  <c r="BJ9" i="57"/>
  <c r="BJ23" i="56"/>
  <c r="BF13" i="100"/>
  <c r="BD13" i="99"/>
  <c r="G10" i="101"/>
  <c r="G10" i="102" s="1"/>
  <c r="G10" i="103" s="1"/>
  <c r="D10" i="100"/>
  <c r="AI15" i="52"/>
  <c r="AG15" i="51"/>
  <c r="AE9" i="54"/>
  <c r="AE23" i="53"/>
  <c r="AI18" i="52"/>
  <c r="AG18" i="51"/>
  <c r="AZ22" i="116"/>
  <c r="AZ23" i="115"/>
  <c r="AI12" i="100"/>
  <c r="AG12" i="99"/>
  <c r="AI9" i="51"/>
  <c r="AG9" i="50"/>
  <c r="AG23" i="50" s="1"/>
  <c r="AI23" i="50"/>
  <c r="AG16" i="51"/>
  <c r="AI16" i="52"/>
  <c r="BD14" i="99"/>
  <c r="BF14" i="100"/>
  <c r="AV23" i="79"/>
  <c r="AT19" i="101"/>
  <c r="AR19" i="100"/>
  <c r="AI15" i="101"/>
  <c r="AG15" i="100"/>
  <c r="AE22" i="109"/>
  <c r="D9" i="99"/>
  <c r="G9" i="100"/>
  <c r="G21" i="100"/>
  <c r="D21" i="99"/>
  <c r="AT9" i="100"/>
  <c r="AR9" i="99"/>
  <c r="G17" i="51"/>
  <c r="D17" i="50"/>
  <c r="AI14" i="52"/>
  <c r="AG14" i="51"/>
  <c r="BF23" i="98"/>
  <c r="AE23" i="103" l="1"/>
  <c r="AZ9" i="66"/>
  <c r="AZ23" i="65"/>
  <c r="M9" i="68"/>
  <c r="M23" i="67"/>
  <c r="J22" i="68"/>
  <c r="J23" i="67"/>
  <c r="J23" i="118"/>
  <c r="J22" i="119"/>
  <c r="BD23" i="98"/>
  <c r="G23" i="99"/>
  <c r="D23" i="99" s="1"/>
  <c r="AR23" i="98"/>
  <c r="AT9" i="101"/>
  <c r="AR9" i="100"/>
  <c r="AR16" i="99"/>
  <c r="AT16" i="100"/>
  <c r="AR17" i="101"/>
  <c r="AT17" i="102"/>
  <c r="AT17" i="103" s="1"/>
  <c r="BL9" i="56"/>
  <c r="BL23" i="55"/>
  <c r="BF19" i="53"/>
  <c r="BD19" i="52"/>
  <c r="AT20" i="101"/>
  <c r="AR20" i="100"/>
  <c r="BF16" i="101"/>
  <c r="BD16" i="100"/>
  <c r="AT19" i="53"/>
  <c r="AR19" i="52"/>
  <c r="AT9" i="52"/>
  <c r="AR9" i="51"/>
  <c r="AR23" i="51" s="1"/>
  <c r="AT23" i="51"/>
  <c r="AI11" i="53"/>
  <c r="AG11" i="52"/>
  <c r="BF15" i="101"/>
  <c r="BD15" i="100"/>
  <c r="BN9" i="52"/>
  <c r="BN23" i="51"/>
  <c r="BF9" i="52"/>
  <c r="BD9" i="51"/>
  <c r="BD23" i="51" s="1"/>
  <c r="BF23" i="51"/>
  <c r="AR12" i="100"/>
  <c r="AT12" i="101"/>
  <c r="AT20" i="53"/>
  <c r="AR20" i="52"/>
  <c r="AT16" i="53"/>
  <c r="AR16" i="52"/>
  <c r="G13" i="52"/>
  <c r="D13" i="51"/>
  <c r="AI20" i="53"/>
  <c r="AG20" i="52"/>
  <c r="G21" i="52"/>
  <c r="D21" i="51"/>
  <c r="G19" i="100"/>
  <c r="D19" i="99"/>
  <c r="AK9" i="63"/>
  <c r="AK23" i="62"/>
  <c r="BF20" i="53"/>
  <c r="BD20" i="52"/>
  <c r="AI14" i="101"/>
  <c r="AG14" i="100"/>
  <c r="AO9" i="64"/>
  <c r="AO23" i="63"/>
  <c r="G11" i="52"/>
  <c r="D11" i="51"/>
  <c r="G22" i="52"/>
  <c r="D22" i="51"/>
  <c r="AT13" i="53"/>
  <c r="AR13" i="52"/>
  <c r="M9" i="102"/>
  <c r="M23" i="101"/>
  <c r="AT11" i="53"/>
  <c r="AR11" i="52"/>
  <c r="G12" i="52"/>
  <c r="D12" i="51"/>
  <c r="S22" i="117"/>
  <c r="S23" i="116"/>
  <c r="G15" i="52"/>
  <c r="D15" i="51"/>
  <c r="BL22" i="117"/>
  <c r="BL23" i="116"/>
  <c r="D15" i="100"/>
  <c r="G15" i="101"/>
  <c r="G15" i="102" s="1"/>
  <c r="G15" i="103" s="1"/>
  <c r="AI13" i="100"/>
  <c r="AG13" i="99"/>
  <c r="AG10" i="100"/>
  <c r="AI10" i="101"/>
  <c r="AI21" i="102"/>
  <c r="AI21" i="103" s="1"/>
  <c r="AG21" i="101"/>
  <c r="P22" i="112"/>
  <c r="P23" i="111"/>
  <c r="G9" i="101"/>
  <c r="D9" i="100"/>
  <c r="AE22" i="110"/>
  <c r="AE23" i="109"/>
  <c r="AI18" i="53"/>
  <c r="AG18" i="52"/>
  <c r="BD17" i="99"/>
  <c r="BF17" i="100"/>
  <c r="AI13" i="53"/>
  <c r="AG13" i="52"/>
  <c r="S9" i="57"/>
  <c r="S23" i="56"/>
  <c r="BN23" i="99"/>
  <c r="BN9" i="100"/>
  <c r="BD9" i="100" s="1"/>
  <c r="BF22" i="100"/>
  <c r="BD22" i="99"/>
  <c r="BH9" i="61"/>
  <c r="BH23" i="58"/>
  <c r="BD10" i="100"/>
  <c r="BF10" i="101"/>
  <c r="BF12" i="53"/>
  <c r="BD12" i="52"/>
  <c r="AM22" i="117"/>
  <c r="AM23" i="116"/>
  <c r="BF16" i="53"/>
  <c r="BD16" i="52"/>
  <c r="Y22" i="117"/>
  <c r="Y23" i="116"/>
  <c r="G16" i="100"/>
  <c r="D16" i="99"/>
  <c r="G14" i="52"/>
  <c r="D14" i="51"/>
  <c r="D21" i="100"/>
  <c r="G21" i="101"/>
  <c r="G21" i="102" s="1"/>
  <c r="G21" i="103" s="1"/>
  <c r="AT14" i="53"/>
  <c r="AR14" i="52"/>
  <c r="AI15" i="102"/>
  <c r="AI15" i="103" s="1"/>
  <c r="AG15" i="101"/>
  <c r="AE9" i="55"/>
  <c r="AE23" i="54"/>
  <c r="AT12" i="53"/>
  <c r="AR12" i="52"/>
  <c r="AI21" i="53"/>
  <c r="AG21" i="52"/>
  <c r="G18" i="52"/>
  <c r="D18" i="51"/>
  <c r="BF11" i="53"/>
  <c r="BD11" i="52"/>
  <c r="Y9" i="55"/>
  <c r="Y23" i="54"/>
  <c r="BJ22" i="117"/>
  <c r="BJ23" i="116"/>
  <c r="AT22" i="53"/>
  <c r="AR22" i="52"/>
  <c r="BH22" i="117"/>
  <c r="BH23" i="116"/>
  <c r="G17" i="101"/>
  <c r="G17" i="102" s="1"/>
  <c r="G17" i="103" s="1"/>
  <c r="D17" i="100"/>
  <c r="BF12" i="100"/>
  <c r="BD12" i="99"/>
  <c r="AK22" i="114"/>
  <c r="AK23" i="112"/>
  <c r="AI19" i="102"/>
  <c r="AI19" i="103" s="1"/>
  <c r="AG19" i="101"/>
  <c r="AR17" i="52"/>
  <c r="AT17" i="53"/>
  <c r="AG18" i="99"/>
  <c r="AI18" i="100"/>
  <c r="V22" i="117"/>
  <c r="V23" i="116"/>
  <c r="BB22" i="117"/>
  <c r="BB23" i="116"/>
  <c r="V9" i="61"/>
  <c r="V23" i="58"/>
  <c r="AT15" i="101"/>
  <c r="AR15" i="100"/>
  <c r="AT21" i="100"/>
  <c r="AR21" i="99"/>
  <c r="AI12" i="53"/>
  <c r="AG12" i="52"/>
  <c r="AI9" i="100"/>
  <c r="AG9" i="99"/>
  <c r="AI23" i="99"/>
  <c r="AI16" i="101"/>
  <c r="AG16" i="100"/>
  <c r="G14" i="100"/>
  <c r="D14" i="99"/>
  <c r="D22" i="100"/>
  <c r="G22" i="101"/>
  <c r="G22" i="102" s="1"/>
  <c r="G22" i="103" s="1"/>
  <c r="AI15" i="53"/>
  <c r="AG15" i="52"/>
  <c r="BD19" i="100"/>
  <c r="BF19" i="101"/>
  <c r="BF10" i="53"/>
  <c r="BD10" i="52"/>
  <c r="AG23" i="98"/>
  <c r="BD18" i="52"/>
  <c r="BF18" i="53"/>
  <c r="AG19" i="52"/>
  <c r="AI19" i="53"/>
  <c r="G20" i="52"/>
  <c r="D20" i="51"/>
  <c r="AT18" i="53"/>
  <c r="AR18" i="52"/>
  <c r="BF18" i="101"/>
  <c r="BD18" i="100"/>
  <c r="BF13" i="53"/>
  <c r="BD13" i="52"/>
  <c r="AR10" i="100"/>
  <c r="AT10" i="101"/>
  <c r="BF14" i="53"/>
  <c r="BD14" i="52"/>
  <c r="AO23" i="112"/>
  <c r="AO22" i="114"/>
  <c r="AI9" i="52"/>
  <c r="AG9" i="51"/>
  <c r="AG23" i="51" s="1"/>
  <c r="AI23" i="51"/>
  <c r="AZ22" i="117"/>
  <c r="AZ23" i="116"/>
  <c r="BF14" i="101"/>
  <c r="BD14" i="100"/>
  <c r="AI20" i="101"/>
  <c r="AG20" i="100"/>
  <c r="AV22" i="112"/>
  <c r="AV23" i="111"/>
  <c r="BF21" i="53"/>
  <c r="BD21" i="52"/>
  <c r="BF15" i="53"/>
  <c r="BD15" i="52"/>
  <c r="G12" i="101"/>
  <c r="G12" i="102" s="1"/>
  <c r="G12" i="103" s="1"/>
  <c r="D12" i="100"/>
  <c r="AT10" i="53"/>
  <c r="AR10" i="52"/>
  <c r="AI14" i="53"/>
  <c r="AG14" i="52"/>
  <c r="D10" i="101"/>
  <c r="AI10" i="53"/>
  <c r="AG10" i="52"/>
  <c r="AI22" i="53"/>
  <c r="AG22" i="52"/>
  <c r="AT18" i="101"/>
  <c r="AR18" i="100"/>
  <c r="AT22" i="101"/>
  <c r="AR22" i="100"/>
  <c r="AR13" i="100"/>
  <c r="AT13" i="101"/>
  <c r="AM9" i="54"/>
  <c r="AM23" i="53"/>
  <c r="BD20" i="101"/>
  <c r="BF20" i="102"/>
  <c r="BF20" i="103" s="1"/>
  <c r="BF23" i="99"/>
  <c r="G11" i="101"/>
  <c r="G11" i="102" s="1"/>
  <c r="G11" i="103" s="1"/>
  <c r="D11" i="100"/>
  <c r="G10" i="52"/>
  <c r="D10" i="51"/>
  <c r="G9" i="52"/>
  <c r="D9" i="51"/>
  <c r="G23" i="51"/>
  <c r="D23" i="51" s="1"/>
  <c r="BF22" i="53"/>
  <c r="BD22" i="52"/>
  <c r="BF21" i="101"/>
  <c r="BD21" i="100"/>
  <c r="AG12" i="100"/>
  <c r="AI12" i="101"/>
  <c r="G17" i="52"/>
  <c r="D17" i="51"/>
  <c r="AI16" i="53"/>
  <c r="AG16" i="52"/>
  <c r="BF13" i="101"/>
  <c r="BD13" i="100"/>
  <c r="D18" i="100"/>
  <c r="G18" i="101"/>
  <c r="G18" i="102" s="1"/>
  <c r="G18" i="103" s="1"/>
  <c r="AG17" i="100"/>
  <c r="AI17" i="101"/>
  <c r="G16" i="52"/>
  <c r="D16" i="51"/>
  <c r="AI17" i="53"/>
  <c r="AG17" i="52"/>
  <c r="AX22" i="117"/>
  <c r="AX23" i="116"/>
  <c r="BB9" i="61"/>
  <c r="BB23" i="58"/>
  <c r="G13" i="101"/>
  <c r="G13" i="102" s="1"/>
  <c r="G13" i="103" s="1"/>
  <c r="D13" i="100"/>
  <c r="AB22" i="117"/>
  <c r="AB23" i="116"/>
  <c r="AR11" i="99"/>
  <c r="AT11" i="100"/>
  <c r="AI22" i="101"/>
  <c r="AG22" i="100"/>
  <c r="AG11" i="100"/>
  <c r="AI11" i="101"/>
  <c r="BD9" i="99"/>
  <c r="G19" i="52"/>
  <c r="D19" i="51"/>
  <c r="AT15" i="53"/>
  <c r="AR15" i="52"/>
  <c r="BF17" i="53"/>
  <c r="BD17" i="52"/>
  <c r="AR19" i="101"/>
  <c r="AT19" i="102"/>
  <c r="AT19" i="103" s="1"/>
  <c r="AT23" i="99"/>
  <c r="BJ9" i="58"/>
  <c r="BJ23" i="57"/>
  <c r="BD11" i="100"/>
  <c r="BF11" i="101"/>
  <c r="AT21" i="53"/>
  <c r="AR21" i="52"/>
  <c r="D20" i="101"/>
  <c r="AR14" i="100"/>
  <c r="AT14" i="101"/>
  <c r="BF9" i="101"/>
  <c r="P9" i="62"/>
  <c r="P23" i="61"/>
  <c r="M23" i="102" l="1"/>
  <c r="M9" i="103"/>
  <c r="M9" i="109" s="1"/>
  <c r="M9" i="110" s="1"/>
  <c r="M9" i="111" s="1"/>
  <c r="M9" i="112" s="1"/>
  <c r="M9" i="114" s="1"/>
  <c r="M9" i="115" s="1"/>
  <c r="M9" i="116" s="1"/>
  <c r="M9" i="117" s="1"/>
  <c r="M9" i="118" s="1"/>
  <c r="M9" i="119" s="1"/>
  <c r="M9" i="120" s="1"/>
  <c r="J22" i="69"/>
  <c r="J23" i="68"/>
  <c r="M9" i="69"/>
  <c r="M23" i="68"/>
  <c r="AZ23" i="66"/>
  <c r="AZ9" i="67"/>
  <c r="J22" i="120"/>
  <c r="J23" i="119"/>
  <c r="BD23" i="99"/>
  <c r="AR23" i="99"/>
  <c r="AI9" i="53"/>
  <c r="AG9" i="52"/>
  <c r="AG23" i="52" s="1"/>
  <c r="AI23" i="52"/>
  <c r="AT21" i="101"/>
  <c r="AR21" i="100"/>
  <c r="P22" i="114"/>
  <c r="P23" i="112"/>
  <c r="M22" i="109"/>
  <c r="AI20" i="54"/>
  <c r="AG20" i="53"/>
  <c r="D17" i="101"/>
  <c r="AG15" i="102"/>
  <c r="BH9" i="62"/>
  <c r="BH23" i="61"/>
  <c r="AT15" i="102"/>
  <c r="AT15" i="103" s="1"/>
  <c r="AR15" i="101"/>
  <c r="AG21" i="102"/>
  <c r="AT13" i="54"/>
  <c r="AR13" i="53"/>
  <c r="AT9" i="53"/>
  <c r="AR9" i="52"/>
  <c r="AR23" i="52" s="1"/>
  <c r="AT23" i="52"/>
  <c r="BD10" i="53"/>
  <c r="BF10" i="54"/>
  <c r="BH22" i="118"/>
  <c r="BH23" i="117"/>
  <c r="AT14" i="54"/>
  <c r="AR14" i="53"/>
  <c r="BD22" i="100"/>
  <c r="BF22" i="101"/>
  <c r="AI10" i="102"/>
  <c r="AI10" i="103" s="1"/>
  <c r="AG10" i="101"/>
  <c r="D12" i="101"/>
  <c r="BF14" i="54"/>
  <c r="BD14" i="53"/>
  <c r="BF19" i="102"/>
  <c r="BF19" i="103" s="1"/>
  <c r="BD19" i="101"/>
  <c r="V9" i="62"/>
  <c r="V23" i="61"/>
  <c r="D21" i="101"/>
  <c r="BN23" i="100"/>
  <c r="BN9" i="101"/>
  <c r="BD9" i="101" s="1"/>
  <c r="G22" i="53"/>
  <c r="D22" i="52"/>
  <c r="G13" i="53"/>
  <c r="D13" i="52"/>
  <c r="AT19" i="54"/>
  <c r="AR19" i="53"/>
  <c r="D11" i="101"/>
  <c r="AR10" i="101"/>
  <c r="AT10" i="102"/>
  <c r="AT10" i="103" s="1"/>
  <c r="AT22" i="54"/>
  <c r="AR22" i="53"/>
  <c r="AI14" i="54"/>
  <c r="AG14" i="53"/>
  <c r="BF13" i="102"/>
  <c r="BF13" i="103" s="1"/>
  <c r="BD13" i="101"/>
  <c r="AR13" i="101"/>
  <c r="AT13" i="102"/>
  <c r="AT13" i="103" s="1"/>
  <c r="BF15" i="54"/>
  <c r="BD15" i="53"/>
  <c r="BB22" i="118"/>
  <c r="BB23" i="117"/>
  <c r="AG13" i="100"/>
  <c r="AI13" i="101"/>
  <c r="G11" i="53"/>
  <c r="D11" i="52"/>
  <c r="AT16" i="54"/>
  <c r="AR16" i="53"/>
  <c r="BF16" i="102"/>
  <c r="BF16" i="103" s="1"/>
  <c r="BD16" i="101"/>
  <c r="AR11" i="100"/>
  <c r="AT11" i="101"/>
  <c r="AB22" i="118"/>
  <c r="AB23" i="117"/>
  <c r="G17" i="53"/>
  <c r="D17" i="52"/>
  <c r="AI15" i="54"/>
  <c r="AG15" i="53"/>
  <c r="BJ22" i="118"/>
  <c r="BJ23" i="117"/>
  <c r="G14" i="53"/>
  <c r="D14" i="52"/>
  <c r="S9" i="58"/>
  <c r="S23" i="57"/>
  <c r="D15" i="101"/>
  <c r="AG12" i="101"/>
  <c r="AI12" i="102"/>
  <c r="AI12" i="103" s="1"/>
  <c r="BF21" i="54"/>
  <c r="BD21" i="53"/>
  <c r="BF13" i="54"/>
  <c r="BD13" i="53"/>
  <c r="D22" i="101"/>
  <c r="V22" i="118"/>
  <c r="V23" i="117"/>
  <c r="AO9" i="65"/>
  <c r="AO23" i="64"/>
  <c r="AT20" i="54"/>
  <c r="AR20" i="53"/>
  <c r="AT20" i="102"/>
  <c r="AT20" i="103" s="1"/>
  <c r="AR20" i="101"/>
  <c r="AI16" i="54"/>
  <c r="AG16" i="53"/>
  <c r="D13" i="101"/>
  <c r="AR22" i="101"/>
  <c r="AT22" i="102"/>
  <c r="AT22" i="103" s="1"/>
  <c r="Y9" i="56"/>
  <c r="Y23" i="55"/>
  <c r="G16" i="101"/>
  <c r="G16" i="102" s="1"/>
  <c r="G16" i="103" s="1"/>
  <c r="D16" i="100"/>
  <c r="AI13" i="54"/>
  <c r="AG13" i="53"/>
  <c r="AT12" i="102"/>
  <c r="AT12" i="103" s="1"/>
  <c r="AR12" i="101"/>
  <c r="AT10" i="54"/>
  <c r="AR10" i="53"/>
  <c r="BD11" i="101"/>
  <c r="BF11" i="102"/>
  <c r="BF11" i="103" s="1"/>
  <c r="AV23" i="112"/>
  <c r="AV22" i="114"/>
  <c r="AG18" i="100"/>
  <c r="AI18" i="101"/>
  <c r="BD17" i="100"/>
  <c r="BF17" i="101"/>
  <c r="BL22" i="118"/>
  <c r="BL23" i="117"/>
  <c r="AI14" i="102"/>
  <c r="AI14" i="103" s="1"/>
  <c r="AG14" i="101"/>
  <c r="BF19" i="54"/>
  <c r="BD19" i="53"/>
  <c r="BD21" i="101"/>
  <c r="BF21" i="102"/>
  <c r="BF21" i="103" s="1"/>
  <c r="AT18" i="102"/>
  <c r="AT18" i="103" s="1"/>
  <c r="AR18" i="101"/>
  <c r="G14" i="101"/>
  <c r="G14" i="102" s="1"/>
  <c r="G14" i="103" s="1"/>
  <c r="D14" i="100"/>
  <c r="BF11" i="54"/>
  <c r="BD11" i="53"/>
  <c r="Y22" i="118"/>
  <c r="Y23" i="117"/>
  <c r="D18" i="101"/>
  <c r="D20" i="102"/>
  <c r="AT21" i="54"/>
  <c r="AR21" i="53"/>
  <c r="AI20" i="102"/>
  <c r="AI20" i="103" s="1"/>
  <c r="AG20" i="101"/>
  <c r="BD18" i="101"/>
  <c r="BF18" i="102"/>
  <c r="BF18" i="103" s="1"/>
  <c r="AT17" i="54"/>
  <c r="AR17" i="53"/>
  <c r="G15" i="53"/>
  <c r="D15" i="52"/>
  <c r="BF20" i="54"/>
  <c r="BD20" i="53"/>
  <c r="BL9" i="57"/>
  <c r="BL23" i="56"/>
  <c r="AO23" i="114"/>
  <c r="AO22" i="115"/>
  <c r="AM9" i="55"/>
  <c r="AM23" i="54"/>
  <c r="AX22" i="118"/>
  <c r="AX23" i="117"/>
  <c r="BF22" i="54"/>
  <c r="BD22" i="53"/>
  <c r="AI22" i="54"/>
  <c r="AG22" i="53"/>
  <c r="AI16" i="102"/>
  <c r="AI16" i="103" s="1"/>
  <c r="AG16" i="101"/>
  <c r="G18" i="53"/>
  <c r="D18" i="52"/>
  <c r="BF16" i="54"/>
  <c r="BD16" i="53"/>
  <c r="AI18" i="54"/>
  <c r="AG18" i="53"/>
  <c r="BF9" i="53"/>
  <c r="BD9" i="52"/>
  <c r="BD23" i="52" s="1"/>
  <c r="BF23" i="52"/>
  <c r="AR17" i="102"/>
  <c r="BF17" i="54"/>
  <c r="BD17" i="53"/>
  <c r="BD14" i="101"/>
  <c r="BF14" i="102"/>
  <c r="BF14" i="103" s="1"/>
  <c r="AT18" i="54"/>
  <c r="AR18" i="53"/>
  <c r="S22" i="118"/>
  <c r="S22" i="119" s="1"/>
  <c r="S23" i="117"/>
  <c r="AK9" i="64"/>
  <c r="AK23" i="63"/>
  <c r="AG22" i="101"/>
  <c r="AI22" i="102"/>
  <c r="AI22" i="103" s="1"/>
  <c r="AI17" i="54"/>
  <c r="AG17" i="53"/>
  <c r="AI10" i="54"/>
  <c r="AG10" i="53"/>
  <c r="BF23" i="100"/>
  <c r="AG23" i="99"/>
  <c r="AG19" i="102"/>
  <c r="AI21" i="54"/>
  <c r="AG21" i="53"/>
  <c r="AM22" i="118"/>
  <c r="AM23" i="117"/>
  <c r="AE23" i="110"/>
  <c r="AE22" i="111"/>
  <c r="BN9" i="53"/>
  <c r="BN23" i="52"/>
  <c r="AR16" i="100"/>
  <c r="AT16" i="101"/>
  <c r="BJ9" i="61"/>
  <c r="BJ23" i="58"/>
  <c r="AR19" i="102"/>
  <c r="P9" i="63"/>
  <c r="P23" i="62"/>
  <c r="AT15" i="54"/>
  <c r="AR15" i="53"/>
  <c r="D9" i="52"/>
  <c r="G9" i="53"/>
  <c r="G23" i="52"/>
  <c r="D23" i="52" s="1"/>
  <c r="D10" i="102"/>
  <c r="G20" i="53"/>
  <c r="D20" i="52"/>
  <c r="AG9" i="100"/>
  <c r="AI23" i="100"/>
  <c r="AI9" i="101"/>
  <c r="G12" i="53"/>
  <c r="D12" i="52"/>
  <c r="D19" i="100"/>
  <c r="G19" i="101"/>
  <c r="G19" i="102" s="1"/>
  <c r="G19" i="103" s="1"/>
  <c r="BD20" i="102"/>
  <c r="BB9" i="62"/>
  <c r="BB23" i="61"/>
  <c r="BF9" i="102"/>
  <c r="BF9" i="103" s="1"/>
  <c r="G16" i="53"/>
  <c r="D16" i="52"/>
  <c r="AZ22" i="118"/>
  <c r="AZ23" i="117"/>
  <c r="AI19" i="54"/>
  <c r="AG19" i="53"/>
  <c r="AK23" i="114"/>
  <c r="AK22" i="115"/>
  <c r="AT12" i="54"/>
  <c r="AR12" i="53"/>
  <c r="BF12" i="54"/>
  <c r="BD12" i="53"/>
  <c r="G23" i="100"/>
  <c r="D23" i="100" s="1"/>
  <c r="BD15" i="101"/>
  <c r="BF15" i="102"/>
  <c r="BF15" i="103" s="1"/>
  <c r="AI11" i="102"/>
  <c r="AI11" i="103" s="1"/>
  <c r="AG11" i="101"/>
  <c r="G19" i="53"/>
  <c r="D19" i="52"/>
  <c r="AG17" i="101"/>
  <c r="AI17" i="102"/>
  <c r="AI17" i="103" s="1"/>
  <c r="G10" i="53"/>
  <c r="D10" i="52"/>
  <c r="AI12" i="54"/>
  <c r="AG12" i="53"/>
  <c r="BD10" i="101"/>
  <c r="BF10" i="102"/>
  <c r="BF10" i="103" s="1"/>
  <c r="G9" i="102"/>
  <c r="G9" i="103" s="1"/>
  <c r="D9" i="101"/>
  <c r="AT11" i="54"/>
  <c r="AR11" i="53"/>
  <c r="G21" i="53"/>
  <c r="D21" i="52"/>
  <c r="AR9" i="101"/>
  <c r="AT9" i="102"/>
  <c r="AT9" i="103" s="1"/>
  <c r="AT14" i="102"/>
  <c r="AT14" i="103" s="1"/>
  <c r="AR14" i="101"/>
  <c r="BF18" i="54"/>
  <c r="BD18" i="53"/>
  <c r="BF12" i="101"/>
  <c r="BD12" i="100"/>
  <c r="AE9" i="56"/>
  <c r="AE23" i="55"/>
  <c r="AI11" i="54"/>
  <c r="AG11" i="53"/>
  <c r="AT23" i="100"/>
  <c r="AZ9" i="68" l="1"/>
  <c r="AZ23" i="67"/>
  <c r="M23" i="103"/>
  <c r="M9" i="70"/>
  <c r="M23" i="69"/>
  <c r="J22" i="70"/>
  <c r="J23" i="69"/>
  <c r="AT23" i="101"/>
  <c r="AM23" i="118"/>
  <c r="AM22" i="119"/>
  <c r="V23" i="118"/>
  <c r="V22" i="119"/>
  <c r="BB23" i="118"/>
  <c r="BB22" i="119"/>
  <c r="BH23" i="118"/>
  <c r="BH22" i="119"/>
  <c r="BL23" i="118"/>
  <c r="BL22" i="119"/>
  <c r="S22" i="120"/>
  <c r="S23" i="119"/>
  <c r="AX23" i="118"/>
  <c r="AX22" i="119"/>
  <c r="BJ23" i="118"/>
  <c r="BJ22" i="119"/>
  <c r="AZ23" i="118"/>
  <c r="AZ22" i="119"/>
  <c r="AB23" i="118"/>
  <c r="AB22" i="119"/>
  <c r="Y23" i="118"/>
  <c r="Y22" i="119"/>
  <c r="J23" i="120"/>
  <c r="AR23" i="100"/>
  <c r="BD23" i="100"/>
  <c r="BF23" i="101"/>
  <c r="BF17" i="55"/>
  <c r="BD17" i="54"/>
  <c r="G19" i="109"/>
  <c r="D19" i="103"/>
  <c r="BD16" i="102"/>
  <c r="D18" i="102"/>
  <c r="AI18" i="102"/>
  <c r="AI18" i="103" s="1"/>
  <c r="AI18" i="109" s="1"/>
  <c r="AG18" i="101"/>
  <c r="D15" i="102"/>
  <c r="D11" i="102"/>
  <c r="AR15" i="102"/>
  <c r="D13" i="102"/>
  <c r="AT16" i="55"/>
  <c r="AR16" i="54"/>
  <c r="AG10" i="102"/>
  <c r="BD22" i="101"/>
  <c r="BF22" i="102"/>
  <c r="BF22" i="103" s="1"/>
  <c r="BH9" i="63"/>
  <c r="BH23" i="62"/>
  <c r="BF18" i="55"/>
  <c r="BD18" i="54"/>
  <c r="AI16" i="55"/>
  <c r="AG16" i="54"/>
  <c r="S9" i="61"/>
  <c r="S23" i="58"/>
  <c r="G11" i="54"/>
  <c r="D11" i="53"/>
  <c r="AT19" i="55"/>
  <c r="AR19" i="54"/>
  <c r="BB9" i="63"/>
  <c r="BB23" i="62"/>
  <c r="BF9" i="54"/>
  <c r="BD9" i="53"/>
  <c r="BD23" i="53" s="1"/>
  <c r="BF23" i="53"/>
  <c r="AV23" i="114"/>
  <c r="AV22" i="115"/>
  <c r="AG13" i="101"/>
  <c r="AI13" i="102"/>
  <c r="AI13" i="103" s="1"/>
  <c r="AI14" i="109"/>
  <c r="AG14" i="103"/>
  <c r="BL9" i="58"/>
  <c r="BL23" i="57"/>
  <c r="BF11" i="55"/>
  <c r="BD11" i="54"/>
  <c r="AR20" i="102"/>
  <c r="G14" i="54"/>
  <c r="D14" i="53"/>
  <c r="G13" i="54"/>
  <c r="D13" i="53"/>
  <c r="AT14" i="55"/>
  <c r="AR14" i="54"/>
  <c r="BD19" i="103"/>
  <c r="BF19" i="109"/>
  <c r="AR18" i="103"/>
  <c r="AT18" i="109"/>
  <c r="AI17" i="55"/>
  <c r="AG17" i="54"/>
  <c r="AI18" i="55"/>
  <c r="AG18" i="54"/>
  <c r="BD11" i="102"/>
  <c r="AG22" i="102"/>
  <c r="BF20" i="55"/>
  <c r="BD20" i="54"/>
  <c r="D14" i="101"/>
  <c r="AT20" i="55"/>
  <c r="AR20" i="54"/>
  <c r="G22" i="54"/>
  <c r="D22" i="53"/>
  <c r="D17" i="102"/>
  <c r="D9" i="53"/>
  <c r="G9" i="54"/>
  <c r="G23" i="53"/>
  <c r="D23" i="53" s="1"/>
  <c r="BD15" i="102"/>
  <c r="BJ9" i="62"/>
  <c r="BJ23" i="61"/>
  <c r="BF16" i="55"/>
  <c r="BD16" i="54"/>
  <c r="BN23" i="101"/>
  <c r="BN9" i="102"/>
  <c r="BD10" i="54"/>
  <c r="BF10" i="55"/>
  <c r="AT16" i="102"/>
  <c r="AT16" i="103" s="1"/>
  <c r="AT16" i="109" s="1"/>
  <c r="AR16" i="101"/>
  <c r="D15" i="53"/>
  <c r="G15" i="54"/>
  <c r="AR18" i="102"/>
  <c r="AT10" i="55"/>
  <c r="AR10" i="54"/>
  <c r="AO9" i="66"/>
  <c r="AO23" i="65"/>
  <c r="BF15" i="55"/>
  <c r="BD15" i="54"/>
  <c r="AI20" i="55"/>
  <c r="AG20" i="54"/>
  <c r="P9" i="64"/>
  <c r="P23" i="63"/>
  <c r="AK9" i="65"/>
  <c r="AK23" i="64"/>
  <c r="D18" i="53"/>
  <c r="G18" i="54"/>
  <c r="BD21" i="102"/>
  <c r="AI15" i="55"/>
  <c r="AG15" i="54"/>
  <c r="AR13" i="102"/>
  <c r="AR14" i="102"/>
  <c r="AG11" i="102"/>
  <c r="AR12" i="54"/>
  <c r="AT12" i="55"/>
  <c r="AG9" i="101"/>
  <c r="AI9" i="102"/>
  <c r="AI9" i="103" s="1"/>
  <c r="AI23" i="101"/>
  <c r="AT17" i="55"/>
  <c r="AR17" i="54"/>
  <c r="AR12" i="102"/>
  <c r="D21" i="102"/>
  <c r="M22" i="110"/>
  <c r="M23" i="109"/>
  <c r="AM9" i="56"/>
  <c r="AM23" i="55"/>
  <c r="AR9" i="102"/>
  <c r="BN9" i="54"/>
  <c r="BN23" i="53"/>
  <c r="S23" i="118"/>
  <c r="AG16" i="102"/>
  <c r="BD18" i="102"/>
  <c r="AT9" i="54"/>
  <c r="AR9" i="53"/>
  <c r="AR23" i="53" s="1"/>
  <c r="AT23" i="53"/>
  <c r="G16" i="54"/>
  <c r="D16" i="53"/>
  <c r="AI10" i="55"/>
  <c r="AG10" i="54"/>
  <c r="G21" i="54"/>
  <c r="D21" i="53"/>
  <c r="BD10" i="102"/>
  <c r="AG23" i="100"/>
  <c r="AE22" i="112"/>
  <c r="AE23" i="111"/>
  <c r="BF19" i="55"/>
  <c r="BD19" i="54"/>
  <c r="AI13" i="55"/>
  <c r="AG13" i="54"/>
  <c r="D22" i="102"/>
  <c r="G17" i="54"/>
  <c r="D17" i="53"/>
  <c r="BD13" i="102"/>
  <c r="V9" i="63"/>
  <c r="V23" i="62"/>
  <c r="P23" i="114"/>
  <c r="P22" i="115"/>
  <c r="BF12" i="55"/>
  <c r="BD12" i="54"/>
  <c r="D9" i="102"/>
  <c r="AG11" i="54"/>
  <c r="AI11" i="55"/>
  <c r="AG17" i="102"/>
  <c r="G19" i="54"/>
  <c r="D19" i="53"/>
  <c r="D19" i="101"/>
  <c r="AT11" i="55"/>
  <c r="AR11" i="54"/>
  <c r="AI19" i="55"/>
  <c r="AG19" i="54"/>
  <c r="G20" i="54"/>
  <c r="D20" i="53"/>
  <c r="AT18" i="55"/>
  <c r="AR18" i="54"/>
  <c r="AI22" i="55"/>
  <c r="AG22" i="54"/>
  <c r="AG20" i="102"/>
  <c r="AG14" i="102"/>
  <c r="D16" i="101"/>
  <c r="BD13" i="54"/>
  <c r="BF13" i="55"/>
  <c r="AG14" i="54"/>
  <c r="AI14" i="55"/>
  <c r="BD19" i="102"/>
  <c r="AT21" i="102"/>
  <c r="AT21" i="103" s="1"/>
  <c r="AR21" i="101"/>
  <c r="AK22" i="116"/>
  <c r="AK23" i="115"/>
  <c r="AE9" i="57"/>
  <c r="AE23" i="56"/>
  <c r="AI12" i="55"/>
  <c r="AG12" i="54"/>
  <c r="G9" i="109"/>
  <c r="D9" i="103"/>
  <c r="BD14" i="102"/>
  <c r="AR11" i="101"/>
  <c r="AT11" i="102"/>
  <c r="AT11" i="103" s="1"/>
  <c r="AT13" i="55"/>
  <c r="AR13" i="54"/>
  <c r="AO22" i="116"/>
  <c r="AO23" i="115"/>
  <c r="G12" i="54"/>
  <c r="D12" i="53"/>
  <c r="BF22" i="55"/>
  <c r="BD22" i="54"/>
  <c r="AT21" i="55"/>
  <c r="AR21" i="54"/>
  <c r="Y9" i="57"/>
  <c r="Y23" i="56"/>
  <c r="BF21" i="55"/>
  <c r="BD21" i="54"/>
  <c r="AT22" i="55"/>
  <c r="AR22" i="54"/>
  <c r="BF14" i="55"/>
  <c r="BD14" i="54"/>
  <c r="AI20" i="109"/>
  <c r="AG20" i="103"/>
  <c r="AT15" i="55"/>
  <c r="AR15" i="54"/>
  <c r="G23" i="101"/>
  <c r="D23" i="101" s="1"/>
  <c r="BD12" i="101"/>
  <c r="BF12" i="102"/>
  <c r="BF12" i="103" s="1"/>
  <c r="G10" i="54"/>
  <c r="D10" i="53"/>
  <c r="AI21" i="55"/>
  <c r="AG21" i="54"/>
  <c r="BD17" i="101"/>
  <c r="BF17" i="102"/>
  <c r="BF17" i="103" s="1"/>
  <c r="AR22" i="102"/>
  <c r="AG12" i="102"/>
  <c r="AR10" i="102"/>
  <c r="D12" i="102"/>
  <c r="AI9" i="54"/>
  <c r="AG9" i="53"/>
  <c r="AG23" i="53" s="1"/>
  <c r="AI23" i="53"/>
  <c r="AG18" i="103" l="1"/>
  <c r="J22" i="71"/>
  <c r="J23" i="70"/>
  <c r="BN23" i="102"/>
  <c r="BN9" i="103"/>
  <c r="BN9" i="109" s="1"/>
  <c r="BN9" i="110" s="1"/>
  <c r="BN9" i="111" s="1"/>
  <c r="BN9" i="112" s="1"/>
  <c r="BN9" i="114" s="1"/>
  <c r="BN9" i="115" s="1"/>
  <c r="BN9" i="116" s="1"/>
  <c r="BN9" i="117" s="1"/>
  <c r="BN9" i="118" s="1"/>
  <c r="BN9" i="119" s="1"/>
  <c r="BN9" i="120" s="1"/>
  <c r="M23" i="70"/>
  <c r="M9" i="71"/>
  <c r="AR16" i="103"/>
  <c r="AZ23" i="68"/>
  <c r="AZ9" i="69"/>
  <c r="BJ22" i="120"/>
  <c r="BJ23" i="119"/>
  <c r="AG23" i="101"/>
  <c r="Y22" i="120"/>
  <c r="Y23" i="119"/>
  <c r="AX23" i="119"/>
  <c r="V22" i="120"/>
  <c r="V23" i="119"/>
  <c r="S23" i="120"/>
  <c r="BH22" i="120"/>
  <c r="BH23" i="119"/>
  <c r="BB22" i="120"/>
  <c r="BB23" i="119"/>
  <c r="AZ22" i="120"/>
  <c r="AZ23" i="119"/>
  <c r="BL22" i="120"/>
  <c r="BL23" i="119"/>
  <c r="AM22" i="120"/>
  <c r="AM23" i="119"/>
  <c r="AB22" i="120"/>
  <c r="AB23" i="119"/>
  <c r="BD23" i="101"/>
  <c r="AR23" i="101"/>
  <c r="BF23" i="102"/>
  <c r="BF22" i="109" s="1"/>
  <c r="G16" i="55"/>
  <c r="D16" i="54"/>
  <c r="AR11" i="103"/>
  <c r="AT11" i="109"/>
  <c r="AR16" i="102"/>
  <c r="BB9" i="64"/>
  <c r="BB23" i="63"/>
  <c r="D12" i="103"/>
  <c r="G12" i="109"/>
  <c r="BD12" i="103"/>
  <c r="BF12" i="109"/>
  <c r="BF10" i="56"/>
  <c r="BD10" i="55"/>
  <c r="D14" i="102"/>
  <c r="G14" i="55"/>
  <c r="D14" i="54"/>
  <c r="AK9" i="66"/>
  <c r="AK23" i="65"/>
  <c r="AR19" i="103"/>
  <c r="AT19" i="109"/>
  <c r="AT14" i="109"/>
  <c r="AR14" i="103"/>
  <c r="AT17" i="56"/>
  <c r="AR17" i="55"/>
  <c r="BN22" i="109"/>
  <c r="BN23" i="103"/>
  <c r="BF20" i="56"/>
  <c r="BD20" i="55"/>
  <c r="AT19" i="56"/>
  <c r="AR19" i="55"/>
  <c r="G11" i="109"/>
  <c r="D11" i="103"/>
  <c r="BF17" i="109"/>
  <c r="BD17" i="103"/>
  <c r="P9" i="65"/>
  <c r="P23" i="64"/>
  <c r="AG21" i="103"/>
  <c r="AI21" i="109"/>
  <c r="G19" i="55"/>
  <c r="D19" i="54"/>
  <c r="G21" i="109"/>
  <c r="D21" i="103"/>
  <c r="AG9" i="102"/>
  <c r="AI23" i="102"/>
  <c r="BF11" i="56"/>
  <c r="BD11" i="55"/>
  <c r="G11" i="55"/>
  <c r="D11" i="54"/>
  <c r="G10" i="109"/>
  <c r="D10" i="103"/>
  <c r="AI18" i="110"/>
  <c r="AG18" i="109"/>
  <c r="BD16" i="55"/>
  <c r="BF16" i="56"/>
  <c r="BF18" i="109"/>
  <c r="BD18" i="103"/>
  <c r="D16" i="102"/>
  <c r="AI13" i="56"/>
  <c r="AG13" i="55"/>
  <c r="AI15" i="109"/>
  <c r="AG15" i="103"/>
  <c r="AR12" i="55"/>
  <c r="AT12" i="56"/>
  <c r="BD10" i="103"/>
  <c r="BF10" i="109"/>
  <c r="BL9" i="61"/>
  <c r="BL23" i="58"/>
  <c r="S9" i="62"/>
  <c r="S23" i="61"/>
  <c r="G14" i="109"/>
  <c r="D14" i="103"/>
  <c r="AT11" i="56"/>
  <c r="AR11" i="55"/>
  <c r="AI9" i="55"/>
  <c r="AG9" i="54"/>
  <c r="AG23" i="54" s="1"/>
  <c r="AI23" i="54"/>
  <c r="AR11" i="102"/>
  <c r="AI20" i="56"/>
  <c r="AG20" i="55"/>
  <c r="BJ9" i="63"/>
  <c r="BJ23" i="62"/>
  <c r="BF14" i="56"/>
  <c r="BD14" i="55"/>
  <c r="AG11" i="103"/>
  <c r="AI11" i="109"/>
  <c r="AR22" i="55"/>
  <c r="AT22" i="56"/>
  <c r="AI13" i="109"/>
  <c r="AG13" i="103"/>
  <c r="BF19" i="56"/>
  <c r="BD19" i="55"/>
  <c r="AG10" i="103"/>
  <c r="AI10" i="109"/>
  <c r="BD14" i="103"/>
  <c r="BF14" i="109"/>
  <c r="AI18" i="56"/>
  <c r="AG18" i="55"/>
  <c r="BD9" i="102"/>
  <c r="AI16" i="56"/>
  <c r="AG16" i="55"/>
  <c r="AG18" i="102"/>
  <c r="AG14" i="55"/>
  <c r="AI14" i="56"/>
  <c r="BF15" i="56"/>
  <c r="BD15" i="55"/>
  <c r="D19" i="102"/>
  <c r="BF21" i="56"/>
  <c r="BD21" i="55"/>
  <c r="AE22" i="114"/>
  <c r="AE23" i="112"/>
  <c r="BN9" i="55"/>
  <c r="BN23" i="54"/>
  <c r="AG17" i="55"/>
  <c r="AI17" i="56"/>
  <c r="AI14" i="110"/>
  <c r="AG14" i="109"/>
  <c r="BF18" i="56"/>
  <c r="BD18" i="55"/>
  <c r="D17" i="103"/>
  <c r="G17" i="109"/>
  <c r="AT13" i="56"/>
  <c r="AR13" i="55"/>
  <c r="AI19" i="109"/>
  <c r="AG19" i="103"/>
  <c r="AT23" i="102"/>
  <c r="AT13" i="109"/>
  <c r="AR13" i="103"/>
  <c r="AO9" i="67"/>
  <c r="AO23" i="66"/>
  <c r="G9" i="55"/>
  <c r="D9" i="54"/>
  <c r="G23" i="54"/>
  <c r="D23" i="54" s="1"/>
  <c r="AR18" i="109"/>
  <c r="AT18" i="110"/>
  <c r="AG13" i="102"/>
  <c r="AR9" i="54"/>
  <c r="AR23" i="54" s="1"/>
  <c r="AT9" i="55"/>
  <c r="AT23" i="54"/>
  <c r="AG22" i="55"/>
  <c r="AI22" i="56"/>
  <c r="G23" i="102"/>
  <c r="BF9" i="109"/>
  <c r="AT12" i="109"/>
  <c r="AR12" i="103"/>
  <c r="BH9" i="64"/>
  <c r="BH23" i="63"/>
  <c r="AT16" i="110"/>
  <c r="AR16" i="109"/>
  <c r="AO22" i="117"/>
  <c r="AO23" i="116"/>
  <c r="AT10" i="56"/>
  <c r="AR10" i="55"/>
  <c r="BF19" i="110"/>
  <c r="BD19" i="109"/>
  <c r="AV22" i="116"/>
  <c r="AV23" i="115"/>
  <c r="BD22" i="102"/>
  <c r="AR15" i="55"/>
  <c r="AT15" i="56"/>
  <c r="AI16" i="109"/>
  <c r="AG16" i="103"/>
  <c r="BD13" i="103"/>
  <c r="BF13" i="109"/>
  <c r="Y9" i="58"/>
  <c r="Y23" i="57"/>
  <c r="AI21" i="56"/>
  <c r="AG21" i="55"/>
  <c r="AT21" i="56"/>
  <c r="AR21" i="55"/>
  <c r="AE9" i="58"/>
  <c r="AE23" i="57"/>
  <c r="AT18" i="56"/>
  <c r="AR18" i="55"/>
  <c r="BF12" i="56"/>
  <c r="BD12" i="55"/>
  <c r="AM9" i="57"/>
  <c r="AM23" i="56"/>
  <c r="G16" i="109"/>
  <c r="D16" i="103"/>
  <c r="BF15" i="109"/>
  <c r="BD15" i="103"/>
  <c r="P22" i="116"/>
  <c r="P23" i="115"/>
  <c r="D21" i="54"/>
  <c r="G21" i="55"/>
  <c r="AI15" i="56"/>
  <c r="AG15" i="55"/>
  <c r="AR17" i="103"/>
  <c r="AT17" i="109"/>
  <c r="AI11" i="56"/>
  <c r="AG11" i="55"/>
  <c r="G10" i="55"/>
  <c r="D10" i="54"/>
  <c r="BF22" i="56"/>
  <c r="BD22" i="55"/>
  <c r="AK22" i="117"/>
  <c r="AK23" i="116"/>
  <c r="G20" i="55"/>
  <c r="D20" i="54"/>
  <c r="M22" i="111"/>
  <c r="M23" i="110"/>
  <c r="G15" i="55"/>
  <c r="D15" i="54"/>
  <c r="G22" i="55"/>
  <c r="D22" i="54"/>
  <c r="AT14" i="56"/>
  <c r="AR14" i="55"/>
  <c r="AI9" i="109"/>
  <c r="AG9" i="103"/>
  <c r="D19" i="109"/>
  <c r="G19" i="110"/>
  <c r="BD13" i="55"/>
  <c r="BF13" i="56"/>
  <c r="AT9" i="109"/>
  <c r="AR9" i="103"/>
  <c r="AT21" i="109"/>
  <c r="AR21" i="103"/>
  <c r="BD17" i="102"/>
  <c r="AI10" i="56"/>
  <c r="AG10" i="55"/>
  <c r="G20" i="109"/>
  <c r="D20" i="103"/>
  <c r="BF20" i="109"/>
  <c r="BD20" i="103"/>
  <c r="BF9" i="55"/>
  <c r="BD9" i="54"/>
  <c r="BD23" i="54" s="1"/>
  <c r="BF23" i="54"/>
  <c r="G12" i="55"/>
  <c r="D12" i="54"/>
  <c r="G17" i="55"/>
  <c r="D17" i="54"/>
  <c r="AG20" i="109"/>
  <c r="AI20" i="110"/>
  <c r="D9" i="109"/>
  <c r="G9" i="110"/>
  <c r="AI12" i="56"/>
  <c r="AG12" i="55"/>
  <c r="BD12" i="102"/>
  <c r="AR21" i="102"/>
  <c r="AI19" i="56"/>
  <c r="AG19" i="55"/>
  <c r="V9" i="64"/>
  <c r="V23" i="63"/>
  <c r="D18" i="54"/>
  <c r="G18" i="55"/>
  <c r="AT20" i="56"/>
  <c r="AR20" i="55"/>
  <c r="G13" i="55"/>
  <c r="D13" i="54"/>
  <c r="AT16" i="56"/>
  <c r="AR16" i="55"/>
  <c r="BF17" i="56"/>
  <c r="BD17" i="55"/>
  <c r="BD9" i="103" l="1"/>
  <c r="M23" i="71"/>
  <c r="M9" i="73"/>
  <c r="AZ9" i="70"/>
  <c r="AZ23" i="69"/>
  <c r="J22" i="73"/>
  <c r="J23" i="71"/>
  <c r="AR23" i="102"/>
  <c r="AB23" i="120"/>
  <c r="BB23" i="120"/>
  <c r="AM23" i="120"/>
  <c r="BL23" i="120"/>
  <c r="AX23" i="120"/>
  <c r="BH23" i="120"/>
  <c r="Y23" i="120"/>
  <c r="AZ23" i="120"/>
  <c r="V23" i="120"/>
  <c r="BJ23" i="120"/>
  <c r="BD22" i="103"/>
  <c r="AI23" i="103"/>
  <c r="BF23" i="103"/>
  <c r="BD23" i="102"/>
  <c r="BF21" i="57"/>
  <c r="BD21" i="56"/>
  <c r="BF19" i="57"/>
  <c r="BD19" i="56"/>
  <c r="AI9" i="56"/>
  <c r="AG9" i="55"/>
  <c r="AG23" i="55" s="1"/>
  <c r="AI23" i="55"/>
  <c r="BF16" i="109"/>
  <c r="BD16" i="103"/>
  <c r="BD18" i="109"/>
  <c r="BF18" i="110"/>
  <c r="P9" i="66"/>
  <c r="P23" i="65"/>
  <c r="G14" i="56"/>
  <c r="D14" i="55"/>
  <c r="AT22" i="109"/>
  <c r="AR22" i="103"/>
  <c r="D18" i="103"/>
  <c r="G18" i="109"/>
  <c r="AT11" i="57"/>
  <c r="AR11" i="56"/>
  <c r="BF16" i="57"/>
  <c r="BD16" i="56"/>
  <c r="G16" i="110"/>
  <c r="D16" i="109"/>
  <c r="BF17" i="110"/>
  <c r="BD17" i="109"/>
  <c r="D13" i="103"/>
  <c r="G13" i="109"/>
  <c r="BD9" i="109"/>
  <c r="BF9" i="110"/>
  <c r="AG19" i="109"/>
  <c r="AI19" i="110"/>
  <c r="AI13" i="110"/>
  <c r="AG13" i="109"/>
  <c r="G14" i="110"/>
  <c r="D14" i="109"/>
  <c r="M22" i="112"/>
  <c r="M23" i="111"/>
  <c r="AG20" i="110"/>
  <c r="AI20" i="111"/>
  <c r="G23" i="103"/>
  <c r="D23" i="103" s="1"/>
  <c r="D23" i="102"/>
  <c r="BF15" i="57"/>
  <c r="BD15" i="56"/>
  <c r="AG18" i="110"/>
  <c r="AI18" i="111"/>
  <c r="G11" i="110"/>
  <c r="D11" i="109"/>
  <c r="BF10" i="57"/>
  <c r="BD10" i="56"/>
  <c r="AT12" i="110"/>
  <c r="AR12" i="109"/>
  <c r="D9" i="110"/>
  <c r="G9" i="111"/>
  <c r="BF21" i="109"/>
  <c r="BD21" i="103"/>
  <c r="AI22" i="57"/>
  <c r="AG22" i="56"/>
  <c r="AT13" i="57"/>
  <c r="AR13" i="56"/>
  <c r="AI14" i="57"/>
  <c r="AG14" i="56"/>
  <c r="AT22" i="57"/>
  <c r="AR22" i="56"/>
  <c r="S9" i="63"/>
  <c r="S23" i="62"/>
  <c r="BD12" i="109"/>
  <c r="BF12" i="110"/>
  <c r="AM9" i="58"/>
  <c r="AM23" i="57"/>
  <c r="BF13" i="57"/>
  <c r="BD13" i="56"/>
  <c r="BF22" i="57"/>
  <c r="BD22" i="56"/>
  <c r="BF12" i="57"/>
  <c r="BD12" i="56"/>
  <c r="G17" i="110"/>
  <c r="D17" i="109"/>
  <c r="D10" i="109"/>
  <c r="G10" i="110"/>
  <c r="AT19" i="57"/>
  <c r="AR19" i="56"/>
  <c r="BD15" i="109"/>
  <c r="BF15" i="110"/>
  <c r="AT21" i="110"/>
  <c r="AR21" i="109"/>
  <c r="AV22" i="117"/>
  <c r="AV23" i="116"/>
  <c r="AG11" i="109"/>
  <c r="AI11" i="110"/>
  <c r="BL9" i="62"/>
  <c r="BL23" i="61"/>
  <c r="D12" i="109"/>
  <c r="G12" i="110"/>
  <c r="AR9" i="109"/>
  <c r="AT9" i="110"/>
  <c r="G19" i="111"/>
  <c r="D19" i="110"/>
  <c r="G10" i="56"/>
  <c r="D10" i="55"/>
  <c r="AT18" i="57"/>
  <c r="AR18" i="56"/>
  <c r="AT9" i="56"/>
  <c r="AR9" i="55"/>
  <c r="AR23" i="55" s="1"/>
  <c r="AT23" i="55"/>
  <c r="AI17" i="109"/>
  <c r="AG17" i="103"/>
  <c r="BD10" i="109"/>
  <c r="BF10" i="110"/>
  <c r="G11" i="56"/>
  <c r="D11" i="55"/>
  <c r="BF20" i="57"/>
  <c r="BD20" i="56"/>
  <c r="BF18" i="57"/>
  <c r="BD18" i="56"/>
  <c r="AI12" i="57"/>
  <c r="AG12" i="56"/>
  <c r="AE9" i="61"/>
  <c r="AE23" i="58"/>
  <c r="BD19" i="110"/>
  <c r="BF19" i="111"/>
  <c r="AI16" i="57"/>
  <c r="AG16" i="56"/>
  <c r="BF14" i="57"/>
  <c r="BD14" i="56"/>
  <c r="AT12" i="57"/>
  <c r="AR12" i="56"/>
  <c r="BF11" i="57"/>
  <c r="BD11" i="56"/>
  <c r="BN23" i="109"/>
  <c r="BN22" i="110"/>
  <c r="BB9" i="65"/>
  <c r="BB23" i="64"/>
  <c r="G20" i="56"/>
  <c r="D20" i="55"/>
  <c r="AT16" i="57"/>
  <c r="AR16" i="56"/>
  <c r="AT17" i="110"/>
  <c r="AR17" i="109"/>
  <c r="AG12" i="103"/>
  <c r="AI12" i="109"/>
  <c r="AG14" i="110"/>
  <c r="AI14" i="111"/>
  <c r="AI22" i="109"/>
  <c r="AG22" i="103"/>
  <c r="AT23" i="103"/>
  <c r="AI9" i="110"/>
  <c r="AG9" i="109"/>
  <c r="AT21" i="57"/>
  <c r="AR21" i="56"/>
  <c r="AT10" i="57"/>
  <c r="AR10" i="56"/>
  <c r="AR18" i="110"/>
  <c r="AT18" i="111"/>
  <c r="AI17" i="57"/>
  <c r="AG17" i="56"/>
  <c r="BJ9" i="64"/>
  <c r="BJ23" i="63"/>
  <c r="AG23" i="102"/>
  <c r="AT17" i="57"/>
  <c r="AR17" i="56"/>
  <c r="AT15" i="109"/>
  <c r="AR15" i="103"/>
  <c r="AI16" i="110"/>
  <c r="AG16" i="109"/>
  <c r="AK22" i="118"/>
  <c r="AK23" i="117"/>
  <c r="V9" i="65"/>
  <c r="V23" i="64"/>
  <c r="AI18" i="57"/>
  <c r="AG18" i="56"/>
  <c r="AG15" i="109"/>
  <c r="AI15" i="110"/>
  <c r="AR11" i="109"/>
  <c r="AT11" i="110"/>
  <c r="AT20" i="57"/>
  <c r="AR20" i="56"/>
  <c r="BF9" i="56"/>
  <c r="BD9" i="55"/>
  <c r="BD23" i="55" s="1"/>
  <c r="BF23" i="55"/>
  <c r="AI19" i="57"/>
  <c r="AG19" i="56"/>
  <c r="BD20" i="109"/>
  <c r="BF20" i="110"/>
  <c r="AT14" i="57"/>
  <c r="AR14" i="56"/>
  <c r="AI15" i="57"/>
  <c r="AG15" i="56"/>
  <c r="AI21" i="57"/>
  <c r="AG21" i="56"/>
  <c r="AO22" i="118"/>
  <c r="AO23" i="117"/>
  <c r="BD14" i="109"/>
  <c r="BF14" i="110"/>
  <c r="AI20" i="57"/>
  <c r="AG20" i="56"/>
  <c r="G21" i="110"/>
  <c r="D21" i="109"/>
  <c r="AT14" i="110"/>
  <c r="AR14" i="109"/>
  <c r="AR13" i="109"/>
  <c r="AT13" i="110"/>
  <c r="G17" i="56"/>
  <c r="D17" i="55"/>
  <c r="G18" i="56"/>
  <c r="D18" i="55"/>
  <c r="D21" i="55"/>
  <c r="G21" i="56"/>
  <c r="BN9" i="56"/>
  <c r="BN23" i="55"/>
  <c r="AR10" i="103"/>
  <c r="AT10" i="109"/>
  <c r="AI13" i="57"/>
  <c r="AG13" i="56"/>
  <c r="AR19" i="109"/>
  <c r="AT19" i="110"/>
  <c r="BF17" i="57"/>
  <c r="BD17" i="56"/>
  <c r="G12" i="56"/>
  <c r="D12" i="55"/>
  <c r="D20" i="109"/>
  <c r="G20" i="110"/>
  <c r="G22" i="56"/>
  <c r="D22" i="55"/>
  <c r="Y9" i="61"/>
  <c r="Y23" i="58"/>
  <c r="AT16" i="111"/>
  <c r="AR16" i="110"/>
  <c r="G9" i="56"/>
  <c r="D9" i="55"/>
  <c r="G23" i="55"/>
  <c r="D23" i="55" s="1"/>
  <c r="AI10" i="110"/>
  <c r="AG10" i="109"/>
  <c r="G19" i="56"/>
  <c r="D19" i="55"/>
  <c r="G16" i="56"/>
  <c r="D16" i="55"/>
  <c r="AT15" i="57"/>
  <c r="AR15" i="56"/>
  <c r="AI11" i="57"/>
  <c r="AG11" i="56"/>
  <c r="BF13" i="110"/>
  <c r="BD13" i="109"/>
  <c r="AE23" i="114"/>
  <c r="AE22" i="115"/>
  <c r="G15" i="109"/>
  <c r="D15" i="103"/>
  <c r="AI21" i="110"/>
  <c r="AG21" i="109"/>
  <c r="G13" i="56"/>
  <c r="D13" i="55"/>
  <c r="AR20" i="103"/>
  <c r="AT20" i="109"/>
  <c r="BD11" i="103"/>
  <c r="BF11" i="109"/>
  <c r="AI10" i="57"/>
  <c r="AG10" i="56"/>
  <c r="G15" i="56"/>
  <c r="D15" i="55"/>
  <c r="P22" i="117"/>
  <c r="P23" i="116"/>
  <c r="BH9" i="65"/>
  <c r="BH23" i="64"/>
  <c r="AO9" i="68"/>
  <c r="AO23" i="67"/>
  <c r="AK9" i="67"/>
  <c r="AK23" i="66"/>
  <c r="BF22" i="110"/>
  <c r="BD22" i="109"/>
  <c r="J22" i="74" l="1"/>
  <c r="J23" i="73"/>
  <c r="AZ9" i="71"/>
  <c r="AZ23" i="70"/>
  <c r="M23" i="73"/>
  <c r="M9" i="74"/>
  <c r="AI23" i="109"/>
  <c r="AO23" i="118"/>
  <c r="AO22" i="119"/>
  <c r="AK23" i="118"/>
  <c r="AK22" i="119"/>
  <c r="BF23" i="109"/>
  <c r="BD23" i="103"/>
  <c r="AT23" i="109"/>
  <c r="G13" i="57"/>
  <c r="D13" i="56"/>
  <c r="BN22" i="111"/>
  <c r="BN23" i="110"/>
  <c r="D12" i="110"/>
  <c r="G12" i="111"/>
  <c r="D9" i="111"/>
  <c r="G9" i="112"/>
  <c r="BF20" i="58"/>
  <c r="BD20" i="57"/>
  <c r="BF22" i="58"/>
  <c r="BD22" i="57"/>
  <c r="G14" i="111"/>
  <c r="D14" i="110"/>
  <c r="D18" i="109"/>
  <c r="G18" i="110"/>
  <c r="BF11" i="58"/>
  <c r="BD11" i="57"/>
  <c r="G11" i="57"/>
  <c r="D11" i="56"/>
  <c r="BL9" i="63"/>
  <c r="BL23" i="62"/>
  <c r="BD13" i="57"/>
  <c r="BF13" i="58"/>
  <c r="AI13" i="111"/>
  <c r="AG13" i="110"/>
  <c r="AR23" i="103"/>
  <c r="G9" i="57"/>
  <c r="D9" i="56"/>
  <c r="G23" i="56"/>
  <c r="D23" i="56" s="1"/>
  <c r="AI9" i="111"/>
  <c r="AG9" i="110"/>
  <c r="BF10" i="111"/>
  <c r="BD10" i="110"/>
  <c r="AI11" i="111"/>
  <c r="AG11" i="110"/>
  <c r="AT12" i="111"/>
  <c r="AR12" i="110"/>
  <c r="AG19" i="110"/>
  <c r="AI19" i="111"/>
  <c r="AR22" i="109"/>
  <c r="AT22" i="110"/>
  <c r="AT21" i="58"/>
  <c r="AR21" i="57"/>
  <c r="AR12" i="57"/>
  <c r="AT12" i="58"/>
  <c r="AM9" i="61"/>
  <c r="AM23" i="58"/>
  <c r="AI18" i="58"/>
  <c r="AG18" i="57"/>
  <c r="BD20" i="110"/>
  <c r="BF20" i="111"/>
  <c r="AI16" i="111"/>
  <c r="AG16" i="110"/>
  <c r="BD12" i="110"/>
  <c r="BF12" i="111"/>
  <c r="BF10" i="58"/>
  <c r="BD10" i="57"/>
  <c r="G14" i="57"/>
  <c r="D14" i="56"/>
  <c r="BN9" i="57"/>
  <c r="BN23" i="56"/>
  <c r="BF22" i="111"/>
  <c r="BD22" i="110"/>
  <c r="G17" i="57"/>
  <c r="D17" i="56"/>
  <c r="AI22" i="110"/>
  <c r="AG22" i="109"/>
  <c r="BF14" i="58"/>
  <c r="BD14" i="57"/>
  <c r="AG17" i="109"/>
  <c r="AI17" i="110"/>
  <c r="AV22" i="118"/>
  <c r="AV23" i="117"/>
  <c r="BF9" i="111"/>
  <c r="BD9" i="110"/>
  <c r="AR16" i="111"/>
  <c r="AT16" i="112"/>
  <c r="Y9" i="62"/>
  <c r="Y23" i="61"/>
  <c r="AT15" i="110"/>
  <c r="AR15" i="109"/>
  <c r="AG14" i="111"/>
  <c r="AI14" i="112"/>
  <c r="G11" i="111"/>
  <c r="D11" i="110"/>
  <c r="P9" i="67"/>
  <c r="P23" i="66"/>
  <c r="V9" i="66"/>
  <c r="V23" i="65"/>
  <c r="AI19" i="58"/>
  <c r="AG19" i="57"/>
  <c r="AI16" i="58"/>
  <c r="AG16" i="57"/>
  <c r="AT21" i="111"/>
  <c r="AR21" i="110"/>
  <c r="S9" i="64"/>
  <c r="S23" i="63"/>
  <c r="AG18" i="111"/>
  <c r="AI18" i="112"/>
  <c r="G13" i="110"/>
  <c r="D13" i="109"/>
  <c r="BF18" i="111"/>
  <c r="BD18" i="110"/>
  <c r="AT14" i="58"/>
  <c r="AR14" i="57"/>
  <c r="AT17" i="58"/>
  <c r="AR17" i="57"/>
  <c r="AG12" i="109"/>
  <c r="AI12" i="110"/>
  <c r="AT9" i="57"/>
  <c r="AR9" i="56"/>
  <c r="AR23" i="56" s="1"/>
  <c r="AT23" i="56"/>
  <c r="BD15" i="110"/>
  <c r="BF15" i="111"/>
  <c r="AI21" i="111"/>
  <c r="AG21" i="110"/>
  <c r="AG23" i="103"/>
  <c r="BD19" i="111"/>
  <c r="BF19" i="112"/>
  <c r="AT22" i="58"/>
  <c r="AR22" i="57"/>
  <c r="AI21" i="58"/>
  <c r="AG21" i="57"/>
  <c r="G18" i="57"/>
  <c r="D18" i="56"/>
  <c r="BF9" i="57"/>
  <c r="BD9" i="56"/>
  <c r="BD23" i="56" s="1"/>
  <c r="BF23" i="56"/>
  <c r="AT18" i="58"/>
  <c r="AR18" i="57"/>
  <c r="BD17" i="110"/>
  <c r="BF17" i="111"/>
  <c r="BD16" i="109"/>
  <c r="BF16" i="110"/>
  <c r="BJ9" i="65"/>
  <c r="BJ23" i="64"/>
  <c r="AR17" i="110"/>
  <c r="AT17" i="111"/>
  <c r="AT19" i="58"/>
  <c r="AR19" i="57"/>
  <c r="AG14" i="57"/>
  <c r="AI14" i="58"/>
  <c r="BF15" i="58"/>
  <c r="BD15" i="57"/>
  <c r="AK9" i="68"/>
  <c r="AK23" i="67"/>
  <c r="BH9" i="66"/>
  <c r="BH23" i="65"/>
  <c r="G16" i="57"/>
  <c r="D16" i="56"/>
  <c r="AT19" i="111"/>
  <c r="AR19" i="110"/>
  <c r="AT20" i="58"/>
  <c r="AR20" i="57"/>
  <c r="AE9" i="62"/>
  <c r="AE23" i="61"/>
  <c r="G10" i="57"/>
  <c r="D10" i="56"/>
  <c r="G10" i="111"/>
  <c r="D10" i="110"/>
  <c r="G16" i="111"/>
  <c r="D16" i="110"/>
  <c r="D15" i="109"/>
  <c r="G15" i="110"/>
  <c r="BF13" i="111"/>
  <c r="BD13" i="110"/>
  <c r="AR15" i="57"/>
  <c r="AT15" i="58"/>
  <c r="BF11" i="110"/>
  <c r="BD11" i="109"/>
  <c r="AI20" i="58"/>
  <c r="AG20" i="57"/>
  <c r="AR11" i="110"/>
  <c r="AT11" i="111"/>
  <c r="AG17" i="57"/>
  <c r="AI17" i="58"/>
  <c r="AT16" i="58"/>
  <c r="AR16" i="57"/>
  <c r="AT13" i="58"/>
  <c r="AR13" i="57"/>
  <c r="D22" i="103"/>
  <c r="G22" i="109"/>
  <c r="AI9" i="57"/>
  <c r="AG9" i="56"/>
  <c r="AG23" i="56" s="1"/>
  <c r="AI23" i="56"/>
  <c r="G22" i="57"/>
  <c r="D22" i="56"/>
  <c r="G19" i="57"/>
  <c r="D19" i="56"/>
  <c r="BD14" i="110"/>
  <c r="BF14" i="111"/>
  <c r="AT18" i="112"/>
  <c r="AR18" i="111"/>
  <c r="AI12" i="58"/>
  <c r="AG12" i="57"/>
  <c r="G19" i="112"/>
  <c r="D19" i="111"/>
  <c r="AI20" i="112"/>
  <c r="AG20" i="111"/>
  <c r="BD16" i="57"/>
  <c r="BF16" i="58"/>
  <c r="AR13" i="110"/>
  <c r="AT13" i="111"/>
  <c r="P22" i="118"/>
  <c r="P23" i="117"/>
  <c r="D12" i="56"/>
  <c r="G12" i="57"/>
  <c r="BF17" i="58"/>
  <c r="BD17" i="57"/>
  <c r="AT20" i="110"/>
  <c r="AR20" i="109"/>
  <c r="AI13" i="58"/>
  <c r="AG13" i="57"/>
  <c r="AI15" i="111"/>
  <c r="AG15" i="110"/>
  <c r="G20" i="57"/>
  <c r="D20" i="56"/>
  <c r="D17" i="110"/>
  <c r="G17" i="111"/>
  <c r="AI22" i="58"/>
  <c r="AG22" i="57"/>
  <c r="BF19" i="58"/>
  <c r="BD19" i="57"/>
  <c r="G21" i="57"/>
  <c r="D21" i="56"/>
  <c r="AO9" i="69"/>
  <c r="AO23" i="68"/>
  <c r="G20" i="111"/>
  <c r="D20" i="110"/>
  <c r="AR14" i="110"/>
  <c r="AT14" i="111"/>
  <c r="G15" i="57"/>
  <c r="D15" i="56"/>
  <c r="AT10" i="110"/>
  <c r="AR10" i="109"/>
  <c r="BF18" i="58"/>
  <c r="BD18" i="57"/>
  <c r="AT9" i="111"/>
  <c r="AR9" i="110"/>
  <c r="AT11" i="58"/>
  <c r="AR11" i="57"/>
  <c r="AI15" i="58"/>
  <c r="AG15" i="57"/>
  <c r="AE22" i="116"/>
  <c r="AE23" i="115"/>
  <c r="AG11" i="57"/>
  <c r="AI11" i="58"/>
  <c r="G21" i="111"/>
  <c r="D21" i="110"/>
  <c r="AI10" i="58"/>
  <c r="AG10" i="57"/>
  <c r="AI10" i="111"/>
  <c r="AG10" i="110"/>
  <c r="AT10" i="58"/>
  <c r="AR10" i="57"/>
  <c r="BB9" i="66"/>
  <c r="BB23" i="65"/>
  <c r="BF12" i="58"/>
  <c r="BD12" i="57"/>
  <c r="BF21" i="110"/>
  <c r="BD21" i="109"/>
  <c r="M22" i="114"/>
  <c r="M23" i="112"/>
  <c r="BF21" i="58"/>
  <c r="BD21" i="57"/>
  <c r="M9" i="76" l="1"/>
  <c r="M23" i="74"/>
  <c r="AZ23" i="71"/>
  <c r="AZ9" i="73"/>
  <c r="J22" i="76"/>
  <c r="J23" i="74"/>
  <c r="AK22" i="120"/>
  <c r="AK23" i="119"/>
  <c r="AV23" i="118"/>
  <c r="AV22" i="119"/>
  <c r="AO22" i="120"/>
  <c r="AO23" i="119"/>
  <c r="P23" i="118"/>
  <c r="P22" i="119"/>
  <c r="AR23" i="109"/>
  <c r="AG23" i="109"/>
  <c r="BD23" i="109"/>
  <c r="AI16" i="61"/>
  <c r="AG16" i="58"/>
  <c r="G21" i="112"/>
  <c r="D21" i="111"/>
  <c r="AT9" i="58"/>
  <c r="AR9" i="57"/>
  <c r="AR23" i="57" s="1"/>
  <c r="AT23" i="57"/>
  <c r="AI16" i="112"/>
  <c r="AG16" i="111"/>
  <c r="BD10" i="111"/>
  <c r="BF10" i="112"/>
  <c r="AI12" i="111"/>
  <c r="AG12" i="110"/>
  <c r="AI19" i="61"/>
  <c r="AG19" i="58"/>
  <c r="AI17" i="111"/>
  <c r="AG17" i="110"/>
  <c r="BF20" i="112"/>
  <c r="BD20" i="111"/>
  <c r="AI23" i="110"/>
  <c r="G14" i="112"/>
  <c r="D14" i="111"/>
  <c r="BF11" i="111"/>
  <c r="BD11" i="110"/>
  <c r="BF9" i="58"/>
  <c r="BD9" i="57"/>
  <c r="BD23" i="57" s="1"/>
  <c r="BF23" i="57"/>
  <c r="V9" i="67"/>
  <c r="V23" i="66"/>
  <c r="AI9" i="112"/>
  <c r="AG9" i="111"/>
  <c r="AI11" i="61"/>
  <c r="AG11" i="58"/>
  <c r="AK9" i="69"/>
  <c r="AK23" i="68"/>
  <c r="AT17" i="61"/>
  <c r="AR17" i="58"/>
  <c r="BF14" i="61"/>
  <c r="BD14" i="58"/>
  <c r="AI18" i="61"/>
  <c r="AG18" i="58"/>
  <c r="BF22" i="61"/>
  <c r="BD22" i="58"/>
  <c r="G15" i="111"/>
  <c r="D15" i="110"/>
  <c r="G18" i="58"/>
  <c r="D18" i="57"/>
  <c r="P9" i="68"/>
  <c r="P23" i="67"/>
  <c r="AR18" i="58"/>
  <c r="AT18" i="61"/>
  <c r="AT13" i="112"/>
  <c r="AR13" i="111"/>
  <c r="AI9" i="58"/>
  <c r="AG9" i="57"/>
  <c r="AG23" i="57" s="1"/>
  <c r="AI23" i="57"/>
  <c r="BF15" i="61"/>
  <c r="BD15" i="58"/>
  <c r="AT14" i="61"/>
  <c r="AR14" i="58"/>
  <c r="AG22" i="110"/>
  <c r="AI22" i="111"/>
  <c r="AM23" i="61"/>
  <c r="AM9" i="62"/>
  <c r="G9" i="58"/>
  <c r="D9" i="57"/>
  <c r="G23" i="57"/>
  <c r="D23" i="57" s="1"/>
  <c r="BF20" i="61"/>
  <c r="BD20" i="58"/>
  <c r="AI14" i="61"/>
  <c r="AG14" i="58"/>
  <c r="AI21" i="61"/>
  <c r="AG21" i="58"/>
  <c r="G11" i="112"/>
  <c r="D11" i="111"/>
  <c r="AR12" i="58"/>
  <c r="AT12" i="61"/>
  <c r="G19" i="58"/>
  <c r="D19" i="57"/>
  <c r="G22" i="58"/>
  <c r="D22" i="57"/>
  <c r="M23" i="114"/>
  <c r="M22" i="115"/>
  <c r="G16" i="112"/>
  <c r="D16" i="111"/>
  <c r="BF18" i="112"/>
  <c r="BD18" i="111"/>
  <c r="AI14" i="114"/>
  <c r="AG14" i="112"/>
  <c r="G17" i="58"/>
  <c r="D17" i="57"/>
  <c r="BF21" i="61"/>
  <c r="BD21" i="58"/>
  <c r="D22" i="109"/>
  <c r="G22" i="110"/>
  <c r="AT22" i="61"/>
  <c r="AR22" i="58"/>
  <c r="G23" i="109"/>
  <c r="D23" i="109" s="1"/>
  <c r="AI13" i="112"/>
  <c r="AG13" i="111"/>
  <c r="G9" i="114"/>
  <c r="D9" i="112"/>
  <c r="G12" i="58"/>
  <c r="D12" i="57"/>
  <c r="AT13" i="61"/>
  <c r="AR13" i="58"/>
  <c r="G10" i="112"/>
  <c r="D10" i="111"/>
  <c r="AT19" i="61"/>
  <c r="AR19" i="58"/>
  <c r="BF19" i="114"/>
  <c r="BD19" i="112"/>
  <c r="BF22" i="112"/>
  <c r="BD22" i="111"/>
  <c r="AT21" i="61"/>
  <c r="AR21" i="58"/>
  <c r="BF13" i="61"/>
  <c r="BD13" i="58"/>
  <c r="BD16" i="58"/>
  <c r="BF16" i="61"/>
  <c r="AG20" i="112"/>
  <c r="AI20" i="114"/>
  <c r="AR17" i="111"/>
  <c r="AT17" i="112"/>
  <c r="D13" i="110"/>
  <c r="G13" i="111"/>
  <c r="AR15" i="110"/>
  <c r="AT15" i="111"/>
  <c r="AR22" i="110"/>
  <c r="AT22" i="111"/>
  <c r="BH9" i="67"/>
  <c r="BH23" i="66"/>
  <c r="AE22" i="117"/>
  <c r="AE23" i="116"/>
  <c r="BD19" i="58"/>
  <c r="BF19" i="61"/>
  <c r="AT16" i="61"/>
  <c r="AR16" i="58"/>
  <c r="G10" i="58"/>
  <c r="D10" i="57"/>
  <c r="AG18" i="112"/>
  <c r="AI18" i="114"/>
  <c r="BN9" i="58"/>
  <c r="BN23" i="57"/>
  <c r="D12" i="111"/>
  <c r="G12" i="112"/>
  <c r="AR20" i="110"/>
  <c r="AT20" i="111"/>
  <c r="G20" i="58"/>
  <c r="D20" i="57"/>
  <c r="D19" i="112"/>
  <c r="G19" i="114"/>
  <c r="AG17" i="58"/>
  <c r="AI17" i="61"/>
  <c r="Y9" i="63"/>
  <c r="Y23" i="62"/>
  <c r="AI19" i="112"/>
  <c r="AG19" i="111"/>
  <c r="BL9" i="64"/>
  <c r="BL23" i="63"/>
  <c r="G16" i="58"/>
  <c r="D16" i="57"/>
  <c r="BD13" i="111"/>
  <c r="BF13" i="112"/>
  <c r="AI15" i="61"/>
  <c r="AG15" i="58"/>
  <c r="AT23" i="110"/>
  <c r="AE9" i="63"/>
  <c r="AE23" i="62"/>
  <c r="BJ9" i="66"/>
  <c r="BJ23" i="65"/>
  <c r="AG21" i="111"/>
  <c r="AI21" i="112"/>
  <c r="AT16" i="114"/>
  <c r="AR16" i="112"/>
  <c r="G14" i="58"/>
  <c r="D14" i="57"/>
  <c r="G20" i="112"/>
  <c r="D20" i="111"/>
  <c r="BB9" i="67"/>
  <c r="BB23" i="66"/>
  <c r="BF18" i="61"/>
  <c r="BD18" i="58"/>
  <c r="AT10" i="61"/>
  <c r="AR10" i="58"/>
  <c r="AR10" i="110"/>
  <c r="AT10" i="111"/>
  <c r="AG15" i="111"/>
  <c r="AI15" i="112"/>
  <c r="AI12" i="61"/>
  <c r="AG12" i="58"/>
  <c r="AR11" i="111"/>
  <c r="AT11" i="112"/>
  <c r="BD16" i="110"/>
  <c r="BF16" i="111"/>
  <c r="S9" i="65"/>
  <c r="S23" i="64"/>
  <c r="G11" i="58"/>
  <c r="D11" i="57"/>
  <c r="BN22" i="112"/>
  <c r="BN23" i="111"/>
  <c r="BF17" i="61"/>
  <c r="BD17" i="58"/>
  <c r="AI22" i="61"/>
  <c r="AG22" i="58"/>
  <c r="AT9" i="112"/>
  <c r="AR9" i="111"/>
  <c r="AG10" i="111"/>
  <c r="AI10" i="112"/>
  <c r="AT20" i="61"/>
  <c r="AR20" i="58"/>
  <c r="BD15" i="111"/>
  <c r="BF15" i="112"/>
  <c r="BF23" i="110"/>
  <c r="BF10" i="61"/>
  <c r="BD10" i="58"/>
  <c r="AR12" i="111"/>
  <c r="AT12" i="112"/>
  <c r="AR15" i="58"/>
  <c r="AT15" i="61"/>
  <c r="G17" i="112"/>
  <c r="D17" i="111"/>
  <c r="G15" i="58"/>
  <c r="D15" i="57"/>
  <c r="AI13" i="61"/>
  <c r="AG13" i="58"/>
  <c r="AT18" i="114"/>
  <c r="AR18" i="112"/>
  <c r="BD17" i="111"/>
  <c r="BF17" i="112"/>
  <c r="AT21" i="112"/>
  <c r="AR21" i="111"/>
  <c r="BF12" i="112"/>
  <c r="BD12" i="111"/>
  <c r="BF11" i="61"/>
  <c r="BD11" i="58"/>
  <c r="G13" i="58"/>
  <c r="D13" i="57"/>
  <c r="AO9" i="70"/>
  <c r="AO23" i="69"/>
  <c r="D21" i="57"/>
  <c r="G21" i="58"/>
  <c r="BF21" i="111"/>
  <c r="BD21" i="110"/>
  <c r="AT11" i="61"/>
  <c r="AR11" i="58"/>
  <c r="BF12" i="61"/>
  <c r="BD12" i="58"/>
  <c r="AI10" i="61"/>
  <c r="AG10" i="58"/>
  <c r="AT14" i="112"/>
  <c r="AR14" i="111"/>
  <c r="BD14" i="111"/>
  <c r="BF14" i="112"/>
  <c r="AG20" i="58"/>
  <c r="AI20" i="61"/>
  <c r="AT19" i="112"/>
  <c r="AR19" i="111"/>
  <c r="BF9" i="112"/>
  <c r="BD9" i="111"/>
  <c r="AI11" i="112"/>
  <c r="AG11" i="111"/>
  <c r="D18" i="110"/>
  <c r="G18" i="111"/>
  <c r="J22" i="77" l="1"/>
  <c r="J23" i="76"/>
  <c r="AZ9" i="74"/>
  <c r="AZ23" i="73"/>
  <c r="M9" i="77"/>
  <c r="M23" i="76"/>
  <c r="P22" i="120"/>
  <c r="P23" i="119"/>
  <c r="AO23" i="120"/>
  <c r="AV22" i="120"/>
  <c r="AV23" i="119"/>
  <c r="AK23" i="120"/>
  <c r="AT23" i="111"/>
  <c r="AG23" i="110"/>
  <c r="AR23" i="110"/>
  <c r="BD23" i="110"/>
  <c r="AR11" i="112"/>
  <c r="AT11" i="114"/>
  <c r="AI21" i="114"/>
  <c r="AG21" i="112"/>
  <c r="AE22" i="118"/>
  <c r="AE23" i="117"/>
  <c r="G22" i="111"/>
  <c r="D22" i="110"/>
  <c r="AT12" i="62"/>
  <c r="AR12" i="61"/>
  <c r="BF15" i="62"/>
  <c r="BD15" i="61"/>
  <c r="BF22" i="114"/>
  <c r="BD22" i="112"/>
  <c r="AT17" i="62"/>
  <c r="AR17" i="61"/>
  <c r="BF20" i="114"/>
  <c r="BD20" i="112"/>
  <c r="BD19" i="114"/>
  <c r="BF19" i="115"/>
  <c r="BF21" i="62"/>
  <c r="BD21" i="61"/>
  <c r="D11" i="112"/>
  <c r="G11" i="114"/>
  <c r="AI9" i="61"/>
  <c r="AG9" i="58"/>
  <c r="AG23" i="58" s="1"/>
  <c r="AI23" i="58"/>
  <c r="AK23" i="69"/>
  <c r="AK9" i="70"/>
  <c r="AG17" i="111"/>
  <c r="AI17" i="112"/>
  <c r="AI10" i="62"/>
  <c r="AG10" i="61"/>
  <c r="G20" i="61"/>
  <c r="D20" i="58"/>
  <c r="AT22" i="112"/>
  <c r="AR22" i="111"/>
  <c r="BD17" i="112"/>
  <c r="BF17" i="114"/>
  <c r="G18" i="112"/>
  <c r="D18" i="111"/>
  <c r="AE9" i="64"/>
  <c r="AE23" i="63"/>
  <c r="AT20" i="112"/>
  <c r="AR20" i="111"/>
  <c r="AT19" i="62"/>
  <c r="AR19" i="61"/>
  <c r="AI21" i="62"/>
  <c r="AG21" i="61"/>
  <c r="AT13" i="114"/>
  <c r="AR13" i="112"/>
  <c r="AI11" i="62"/>
  <c r="AG11" i="61"/>
  <c r="AI19" i="62"/>
  <c r="AG19" i="61"/>
  <c r="AG12" i="61"/>
  <c r="AI12" i="62"/>
  <c r="AR15" i="111"/>
  <c r="AT15" i="112"/>
  <c r="AT18" i="62"/>
  <c r="AR18" i="61"/>
  <c r="BF21" i="112"/>
  <c r="BD21" i="111"/>
  <c r="D12" i="112"/>
  <c r="G12" i="114"/>
  <c r="G10" i="114"/>
  <c r="D10" i="112"/>
  <c r="G17" i="61"/>
  <c r="D17" i="58"/>
  <c r="AI14" i="62"/>
  <c r="AG14" i="61"/>
  <c r="AI9" i="114"/>
  <c r="AG9" i="112"/>
  <c r="AG12" i="111"/>
  <c r="AI12" i="112"/>
  <c r="AT21" i="114"/>
  <c r="AR21" i="112"/>
  <c r="G15" i="61"/>
  <c r="D15" i="58"/>
  <c r="G13" i="112"/>
  <c r="D13" i="111"/>
  <c r="AI23" i="111"/>
  <c r="BD10" i="112"/>
  <c r="BF10" i="114"/>
  <c r="AI10" i="114"/>
  <c r="AG10" i="112"/>
  <c r="AG11" i="112"/>
  <c r="AI11" i="114"/>
  <c r="AT10" i="62"/>
  <c r="AR10" i="61"/>
  <c r="BD13" i="112"/>
  <c r="BF13" i="114"/>
  <c r="AT13" i="62"/>
  <c r="AR13" i="61"/>
  <c r="AG14" i="114"/>
  <c r="AI14" i="115"/>
  <c r="BF20" i="62"/>
  <c r="BD20" i="61"/>
  <c r="P9" i="69"/>
  <c r="P23" i="68"/>
  <c r="BJ9" i="67"/>
  <c r="BJ23" i="66"/>
  <c r="G17" i="114"/>
  <c r="D17" i="112"/>
  <c r="BN9" i="61"/>
  <c r="BN23" i="58"/>
  <c r="AR17" i="112"/>
  <c r="AT17" i="114"/>
  <c r="V9" i="68"/>
  <c r="V23" i="67"/>
  <c r="BF18" i="62"/>
  <c r="BD18" i="61"/>
  <c r="AG18" i="114"/>
  <c r="AI18" i="115"/>
  <c r="G12" i="61"/>
  <c r="D12" i="58"/>
  <c r="BF18" i="114"/>
  <c r="BD18" i="112"/>
  <c r="G18" i="61"/>
  <c r="D18" i="58"/>
  <c r="AG16" i="112"/>
  <c r="AI16" i="114"/>
  <c r="BF12" i="62"/>
  <c r="BD12" i="61"/>
  <c r="AI15" i="62"/>
  <c r="AG15" i="61"/>
  <c r="BN23" i="112"/>
  <c r="BN22" i="114"/>
  <c r="G16" i="61"/>
  <c r="D16" i="58"/>
  <c r="AI20" i="115"/>
  <c r="AG20" i="114"/>
  <c r="G9" i="61"/>
  <c r="D9" i="58"/>
  <c r="G23" i="58"/>
  <c r="D23" i="58" s="1"/>
  <c r="AI13" i="62"/>
  <c r="AG13" i="61"/>
  <c r="BB9" i="68"/>
  <c r="BB23" i="67"/>
  <c r="G16" i="114"/>
  <c r="D16" i="112"/>
  <c r="AM9" i="63"/>
  <c r="AM23" i="62"/>
  <c r="D15" i="111"/>
  <c r="G15" i="112"/>
  <c r="BF9" i="61"/>
  <c r="BD9" i="58"/>
  <c r="BD23" i="58" s="1"/>
  <c r="BF23" i="58"/>
  <c r="AT20" i="62"/>
  <c r="AR20" i="61"/>
  <c r="AR9" i="112"/>
  <c r="AT9" i="114"/>
  <c r="AO9" i="71"/>
  <c r="AO23" i="70"/>
  <c r="AI20" i="62"/>
  <c r="AG20" i="61"/>
  <c r="G11" i="61"/>
  <c r="D11" i="58"/>
  <c r="BL9" i="65"/>
  <c r="BL23" i="64"/>
  <c r="G10" i="61"/>
  <c r="D10" i="58"/>
  <c r="BF16" i="62"/>
  <c r="BD16" i="61"/>
  <c r="G9" i="115"/>
  <c r="D9" i="114"/>
  <c r="M22" i="116"/>
  <c r="M23" i="115"/>
  <c r="AT9" i="61"/>
  <c r="AR9" i="58"/>
  <c r="AR23" i="58" s="1"/>
  <c r="AT23" i="58"/>
  <c r="AG15" i="112"/>
  <c r="AI15" i="114"/>
  <c r="AI22" i="62"/>
  <c r="AG22" i="61"/>
  <c r="AT15" i="62"/>
  <c r="AR15" i="61"/>
  <c r="G13" i="61"/>
  <c r="D13" i="58"/>
  <c r="BF11" i="62"/>
  <c r="BD11" i="61"/>
  <c r="D20" i="112"/>
  <c r="G20" i="114"/>
  <c r="AG22" i="111"/>
  <c r="AI22" i="112"/>
  <c r="BF22" i="62"/>
  <c r="BD22" i="61"/>
  <c r="BF11" i="112"/>
  <c r="BD11" i="111"/>
  <c r="BH9" i="68"/>
  <c r="BH23" i="67"/>
  <c r="AT10" i="112"/>
  <c r="AR10" i="111"/>
  <c r="BD14" i="112"/>
  <c r="BF14" i="114"/>
  <c r="BF10" i="62"/>
  <c r="BD10" i="61"/>
  <c r="AG19" i="112"/>
  <c r="AI19" i="114"/>
  <c r="AT16" i="62"/>
  <c r="AR16" i="61"/>
  <c r="AG13" i="112"/>
  <c r="AI13" i="114"/>
  <c r="G21" i="114"/>
  <c r="D21" i="112"/>
  <c r="D19" i="114"/>
  <c r="G19" i="115"/>
  <c r="AT11" i="62"/>
  <c r="AR11" i="61"/>
  <c r="G21" i="61"/>
  <c r="D21" i="58"/>
  <c r="BF17" i="62"/>
  <c r="BD17" i="61"/>
  <c r="BF12" i="114"/>
  <c r="BD12" i="112"/>
  <c r="S9" i="66"/>
  <c r="S23" i="65"/>
  <c r="G14" i="61"/>
  <c r="D14" i="58"/>
  <c r="BF19" i="62"/>
  <c r="BD19" i="61"/>
  <c r="BF13" i="62"/>
  <c r="BD13" i="61"/>
  <c r="G22" i="61"/>
  <c r="D22" i="58"/>
  <c r="AI18" i="62"/>
  <c r="AG18" i="61"/>
  <c r="AR18" i="114"/>
  <c r="AT18" i="115"/>
  <c r="BF23" i="111"/>
  <c r="AR19" i="112"/>
  <c r="AT19" i="114"/>
  <c r="BD15" i="112"/>
  <c r="BF15" i="114"/>
  <c r="BD16" i="111"/>
  <c r="BF16" i="112"/>
  <c r="Y9" i="64"/>
  <c r="Y23" i="63"/>
  <c r="AT14" i="62"/>
  <c r="AR14" i="61"/>
  <c r="G14" i="114"/>
  <c r="D14" i="112"/>
  <c r="AI16" i="62"/>
  <c r="AG16" i="61"/>
  <c r="BF9" i="114"/>
  <c r="BD9" i="112"/>
  <c r="AR12" i="112"/>
  <c r="AT12" i="114"/>
  <c r="AR14" i="112"/>
  <c r="AT14" i="114"/>
  <c r="AR16" i="114"/>
  <c r="AT16" i="115"/>
  <c r="AI17" i="62"/>
  <c r="AG17" i="61"/>
  <c r="AT21" i="62"/>
  <c r="AR21" i="61"/>
  <c r="AT22" i="62"/>
  <c r="AR22" i="61"/>
  <c r="G19" i="61"/>
  <c r="D19" i="58"/>
  <c r="BF14" i="62"/>
  <c r="BD14" i="61"/>
  <c r="G23" i="110"/>
  <c r="D23" i="110" s="1"/>
  <c r="M9" i="78" l="1"/>
  <c r="M23" i="77"/>
  <c r="AZ9" i="76"/>
  <c r="AZ23" i="74"/>
  <c r="J22" i="78"/>
  <c r="J23" i="77"/>
  <c r="AG23" i="111"/>
  <c r="AV23" i="120"/>
  <c r="AE23" i="118"/>
  <c r="AE22" i="119"/>
  <c r="P23" i="120"/>
  <c r="AT23" i="112"/>
  <c r="BD23" i="111"/>
  <c r="BF23" i="112"/>
  <c r="AR23" i="111"/>
  <c r="AO9" i="73"/>
  <c r="AO23" i="71"/>
  <c r="G12" i="62"/>
  <c r="D12" i="61"/>
  <c r="AI14" i="116"/>
  <c r="AG14" i="115"/>
  <c r="AT15" i="114"/>
  <c r="AR15" i="112"/>
  <c r="BD17" i="114"/>
  <c r="BF17" i="115"/>
  <c r="G9" i="62"/>
  <c r="D9" i="61"/>
  <c r="G23" i="61"/>
  <c r="D23" i="61" s="1"/>
  <c r="AG18" i="115"/>
  <c r="AI18" i="116"/>
  <c r="AR21" i="114"/>
  <c r="AT21" i="115"/>
  <c r="AT9" i="115"/>
  <c r="AR9" i="114"/>
  <c r="AG12" i="112"/>
  <c r="AI12" i="114"/>
  <c r="AI12" i="63"/>
  <c r="AG12" i="62"/>
  <c r="BF20" i="115"/>
  <c r="BD20" i="114"/>
  <c r="AR13" i="62"/>
  <c r="AT13" i="63"/>
  <c r="AR22" i="112"/>
  <c r="AT22" i="114"/>
  <c r="G19" i="116"/>
  <c r="D19" i="115"/>
  <c r="AG20" i="115"/>
  <c r="AI20" i="116"/>
  <c r="BF18" i="63"/>
  <c r="BD18" i="62"/>
  <c r="BD13" i="114"/>
  <c r="BF13" i="115"/>
  <c r="AI23" i="112"/>
  <c r="AT17" i="63"/>
  <c r="AR17" i="62"/>
  <c r="BF22" i="63"/>
  <c r="BD22" i="62"/>
  <c r="M22" i="117"/>
  <c r="M23" i="116"/>
  <c r="AT20" i="63"/>
  <c r="AR20" i="62"/>
  <c r="AI19" i="63"/>
  <c r="AG19" i="62"/>
  <c r="G20" i="62"/>
  <c r="D20" i="61"/>
  <c r="G16" i="62"/>
  <c r="D16" i="61"/>
  <c r="AI9" i="115"/>
  <c r="AG9" i="114"/>
  <c r="BD22" i="114"/>
  <c r="BF22" i="115"/>
  <c r="AT18" i="116"/>
  <c r="AR18" i="115"/>
  <c r="D21" i="114"/>
  <c r="G21" i="115"/>
  <c r="BN23" i="114"/>
  <c r="BN22" i="115"/>
  <c r="V9" i="69"/>
  <c r="V23" i="68"/>
  <c r="AR10" i="62"/>
  <c r="AT10" i="63"/>
  <c r="AI11" i="63"/>
  <c r="AG11" i="62"/>
  <c r="AI10" i="63"/>
  <c r="AG10" i="62"/>
  <c r="BH9" i="69"/>
  <c r="BH23" i="68"/>
  <c r="D9" i="115"/>
  <c r="G9" i="116"/>
  <c r="BF9" i="62"/>
  <c r="BD9" i="61"/>
  <c r="BD23" i="61" s="1"/>
  <c r="BF23" i="61"/>
  <c r="AR17" i="114"/>
  <c r="AT17" i="115"/>
  <c r="AG11" i="114"/>
  <c r="AI11" i="115"/>
  <c r="AI14" i="63"/>
  <c r="AG14" i="62"/>
  <c r="AG17" i="112"/>
  <c r="AI17" i="114"/>
  <c r="BF15" i="63"/>
  <c r="BD15" i="62"/>
  <c r="BF13" i="63"/>
  <c r="BD13" i="62"/>
  <c r="D15" i="112"/>
  <c r="G15" i="114"/>
  <c r="AR13" i="114"/>
  <c r="AT13" i="115"/>
  <c r="AT11" i="63"/>
  <c r="AR11" i="62"/>
  <c r="AI18" i="63"/>
  <c r="AG18" i="62"/>
  <c r="AG13" i="114"/>
  <c r="AI13" i="115"/>
  <c r="BF16" i="63"/>
  <c r="BD16" i="62"/>
  <c r="AG15" i="62"/>
  <c r="AI15" i="63"/>
  <c r="G17" i="62"/>
  <c r="D17" i="61"/>
  <c r="AK9" i="71"/>
  <c r="AK23" i="70"/>
  <c r="AT12" i="63"/>
  <c r="AR12" i="62"/>
  <c r="AR12" i="114"/>
  <c r="AT12" i="115"/>
  <c r="BN9" i="62"/>
  <c r="BN23" i="61"/>
  <c r="AG10" i="114"/>
  <c r="AI10" i="115"/>
  <c r="AI21" i="63"/>
  <c r="AG21" i="62"/>
  <c r="AT14" i="63"/>
  <c r="AR14" i="62"/>
  <c r="AG19" i="114"/>
  <c r="AI19" i="115"/>
  <c r="D10" i="61"/>
  <c r="G10" i="62"/>
  <c r="AM9" i="64"/>
  <c r="AM23" i="63"/>
  <c r="BF12" i="63"/>
  <c r="BD12" i="62"/>
  <c r="BD10" i="114"/>
  <c r="BF10" i="115"/>
  <c r="D10" i="114"/>
  <c r="G10" i="115"/>
  <c r="D22" i="111"/>
  <c r="G22" i="112"/>
  <c r="AT9" i="62"/>
  <c r="AR9" i="61"/>
  <c r="AR23" i="61" s="1"/>
  <c r="AT23" i="61"/>
  <c r="D20" i="114"/>
  <c r="G20" i="115"/>
  <c r="G14" i="62"/>
  <c r="D14" i="61"/>
  <c r="D13" i="61"/>
  <c r="G13" i="62"/>
  <c r="AG16" i="114"/>
  <c r="AI16" i="115"/>
  <c r="D17" i="114"/>
  <c r="G17" i="115"/>
  <c r="D12" i="114"/>
  <c r="G12" i="115"/>
  <c r="AT19" i="63"/>
  <c r="AR19" i="62"/>
  <c r="BD11" i="112"/>
  <c r="BF11" i="114"/>
  <c r="BF9" i="115"/>
  <c r="BD9" i="114"/>
  <c r="AI16" i="63"/>
  <c r="AG16" i="62"/>
  <c r="D14" i="114"/>
  <c r="G14" i="115"/>
  <c r="BL9" i="66"/>
  <c r="BL23" i="65"/>
  <c r="D16" i="114"/>
  <c r="G16" i="115"/>
  <c r="AI9" i="62"/>
  <c r="AG9" i="61"/>
  <c r="AG23" i="61" s="1"/>
  <c r="AI23" i="61"/>
  <c r="BD16" i="112"/>
  <c r="BF16" i="114"/>
  <c r="S9" i="67"/>
  <c r="S23" i="66"/>
  <c r="BF10" i="63"/>
  <c r="BD10" i="62"/>
  <c r="AT15" i="63"/>
  <c r="AR15" i="62"/>
  <c r="BJ9" i="68"/>
  <c r="BJ23" i="67"/>
  <c r="AR20" i="112"/>
  <c r="AT20" i="114"/>
  <c r="D11" i="114"/>
  <c r="G11" i="115"/>
  <c r="G19" i="62"/>
  <c r="D19" i="61"/>
  <c r="BD14" i="114"/>
  <c r="BF14" i="115"/>
  <c r="G11" i="62"/>
  <c r="D11" i="61"/>
  <c r="BB9" i="69"/>
  <c r="BB23" i="68"/>
  <c r="G18" i="62"/>
  <c r="D18" i="61"/>
  <c r="BD21" i="112"/>
  <c r="BF21" i="114"/>
  <c r="AG21" i="114"/>
  <c r="AI21" i="115"/>
  <c r="G22" i="62"/>
  <c r="D22" i="61"/>
  <c r="AT16" i="63"/>
  <c r="AR16" i="62"/>
  <c r="AT22" i="63"/>
  <c r="AR22" i="62"/>
  <c r="AI17" i="63"/>
  <c r="AG17" i="62"/>
  <c r="BD15" i="114"/>
  <c r="BF15" i="115"/>
  <c r="BD12" i="114"/>
  <c r="BF12" i="115"/>
  <c r="P9" i="70"/>
  <c r="P23" i="69"/>
  <c r="D13" i="112"/>
  <c r="G13" i="114"/>
  <c r="AE9" i="65"/>
  <c r="AE23" i="64"/>
  <c r="AR11" i="114"/>
  <c r="AT11" i="115"/>
  <c r="G21" i="62"/>
  <c r="D21" i="61"/>
  <c r="AI22" i="114"/>
  <c r="AG22" i="112"/>
  <c r="BD14" i="62"/>
  <c r="BF14" i="63"/>
  <c r="BF19" i="63"/>
  <c r="BD19" i="62"/>
  <c r="AI22" i="63"/>
  <c r="AG22" i="62"/>
  <c r="AI20" i="63"/>
  <c r="AG20" i="62"/>
  <c r="AI13" i="63"/>
  <c r="AG13" i="62"/>
  <c r="BF18" i="115"/>
  <c r="BD18" i="114"/>
  <c r="BF21" i="63"/>
  <c r="BD21" i="62"/>
  <c r="AR14" i="114"/>
  <c r="AT14" i="115"/>
  <c r="BD11" i="62"/>
  <c r="BF11" i="63"/>
  <c r="Y9" i="65"/>
  <c r="Y23" i="64"/>
  <c r="AT21" i="63"/>
  <c r="AR21" i="62"/>
  <c r="AT16" i="116"/>
  <c r="AR16" i="115"/>
  <c r="AR19" i="114"/>
  <c r="AT19" i="115"/>
  <c r="BF17" i="63"/>
  <c r="BD17" i="62"/>
  <c r="AT10" i="114"/>
  <c r="AR10" i="112"/>
  <c r="AG15" i="114"/>
  <c r="AI15" i="115"/>
  <c r="BF20" i="63"/>
  <c r="BD20" i="62"/>
  <c r="G15" i="62"/>
  <c r="D15" i="61"/>
  <c r="AT18" i="63"/>
  <c r="AR18" i="62"/>
  <c r="G18" i="114"/>
  <c r="D18" i="112"/>
  <c r="BD19" i="115"/>
  <c r="BF19" i="116"/>
  <c r="G23" i="111"/>
  <c r="D23" i="111" s="1"/>
  <c r="J22" i="79" l="1"/>
  <c r="J23" i="78"/>
  <c r="AZ9" i="77"/>
  <c r="AZ23" i="76"/>
  <c r="M9" i="79"/>
  <c r="M23" i="78"/>
  <c r="BF23" i="114"/>
  <c r="BD23" i="112"/>
  <c r="AI23" i="114"/>
  <c r="AE22" i="120"/>
  <c r="AE23" i="119"/>
  <c r="AR23" i="112"/>
  <c r="AG23" i="112"/>
  <c r="G21" i="63"/>
  <c r="D21" i="62"/>
  <c r="AI10" i="116"/>
  <c r="AG10" i="115"/>
  <c r="BF9" i="63"/>
  <c r="BD9" i="62"/>
  <c r="BD23" i="62" s="1"/>
  <c r="BF23" i="62"/>
  <c r="BF22" i="116"/>
  <c r="BD22" i="115"/>
  <c r="BF13" i="116"/>
  <c r="BD13" i="115"/>
  <c r="AT9" i="63"/>
  <c r="AR9" i="62"/>
  <c r="AR23" i="62" s="1"/>
  <c r="AT23" i="62"/>
  <c r="AT11" i="64"/>
  <c r="AR11" i="63"/>
  <c r="AT9" i="116"/>
  <c r="AR9" i="115"/>
  <c r="G22" i="114"/>
  <c r="G23" i="114" s="1"/>
  <c r="D23" i="114" s="1"/>
  <c r="D22" i="112"/>
  <c r="G23" i="112"/>
  <c r="D23" i="112" s="1"/>
  <c r="AT13" i="116"/>
  <c r="AR13" i="115"/>
  <c r="G9" i="117"/>
  <c r="D9" i="116"/>
  <c r="AT21" i="116"/>
  <c r="AR21" i="115"/>
  <c r="BD11" i="114"/>
  <c r="BF11" i="115"/>
  <c r="BN9" i="63"/>
  <c r="BN23" i="62"/>
  <c r="BF18" i="64"/>
  <c r="BD18" i="63"/>
  <c r="AT11" i="116"/>
  <c r="AR11" i="115"/>
  <c r="G10" i="116"/>
  <c r="D10" i="115"/>
  <c r="AT12" i="116"/>
  <c r="AR12" i="115"/>
  <c r="D15" i="114"/>
  <c r="G15" i="115"/>
  <c r="AG9" i="115"/>
  <c r="AI9" i="116"/>
  <c r="AG20" i="116"/>
  <c r="AI20" i="117"/>
  <c r="AI18" i="117"/>
  <c r="AG18" i="116"/>
  <c r="G15" i="63"/>
  <c r="D15" i="62"/>
  <c r="BH9" i="70"/>
  <c r="BH23" i="69"/>
  <c r="BD9" i="115"/>
  <c r="BF9" i="116"/>
  <c r="S9" i="68"/>
  <c r="S23" i="67"/>
  <c r="AT19" i="64"/>
  <c r="AR19" i="63"/>
  <c r="BD10" i="115"/>
  <c r="BF10" i="116"/>
  <c r="D16" i="62"/>
  <c r="G16" i="63"/>
  <c r="BF20" i="64"/>
  <c r="BD20" i="63"/>
  <c r="AG15" i="115"/>
  <c r="AI15" i="116"/>
  <c r="BD16" i="114"/>
  <c r="BF16" i="115"/>
  <c r="G12" i="116"/>
  <c r="D12" i="115"/>
  <c r="AT12" i="64"/>
  <c r="AR12" i="63"/>
  <c r="BF13" i="64"/>
  <c r="BD13" i="63"/>
  <c r="AI10" i="64"/>
  <c r="AG10" i="63"/>
  <c r="G19" i="117"/>
  <c r="D19" i="116"/>
  <c r="G20" i="63"/>
  <c r="D20" i="62"/>
  <c r="AR22" i="114"/>
  <c r="AT22" i="115"/>
  <c r="G9" i="63"/>
  <c r="D9" i="62"/>
  <c r="G23" i="62"/>
  <c r="D23" i="62" s="1"/>
  <c r="D22" i="62"/>
  <c r="G22" i="63"/>
  <c r="AR10" i="114"/>
  <c r="AT10" i="115"/>
  <c r="G17" i="116"/>
  <c r="D17" i="115"/>
  <c r="BF12" i="64"/>
  <c r="BD12" i="63"/>
  <c r="AK9" i="73"/>
  <c r="AK23" i="71"/>
  <c r="BF15" i="64"/>
  <c r="BD15" i="63"/>
  <c r="AI11" i="64"/>
  <c r="AG11" i="63"/>
  <c r="BD17" i="115"/>
  <c r="BF17" i="116"/>
  <c r="BJ9" i="69"/>
  <c r="BJ23" i="68"/>
  <c r="BF21" i="64"/>
  <c r="BD21" i="63"/>
  <c r="G11" i="63"/>
  <c r="D11" i="62"/>
  <c r="AG17" i="114"/>
  <c r="AI17" i="115"/>
  <c r="AR10" i="63"/>
  <c r="AT10" i="64"/>
  <c r="AI19" i="64"/>
  <c r="AG19" i="63"/>
  <c r="AR13" i="63"/>
  <c r="AT13" i="64"/>
  <c r="BD18" i="115"/>
  <c r="BF18" i="116"/>
  <c r="BF14" i="116"/>
  <c r="BD14" i="115"/>
  <c r="AG9" i="62"/>
  <c r="AG23" i="62" s="1"/>
  <c r="AI9" i="63"/>
  <c r="AI23" i="62"/>
  <c r="AI16" i="116"/>
  <c r="AG16" i="115"/>
  <c r="AM9" i="65"/>
  <c r="AM23" i="64"/>
  <c r="G17" i="63"/>
  <c r="D17" i="62"/>
  <c r="AR14" i="115"/>
  <c r="AT14" i="116"/>
  <c r="AI22" i="64"/>
  <c r="AG22" i="63"/>
  <c r="G16" i="116"/>
  <c r="D16" i="115"/>
  <c r="G10" i="63"/>
  <c r="D10" i="62"/>
  <c r="AG15" i="63"/>
  <c r="AI15" i="64"/>
  <c r="AT20" i="64"/>
  <c r="AR20" i="63"/>
  <c r="AR15" i="114"/>
  <c r="AT15" i="115"/>
  <c r="AT15" i="64"/>
  <c r="AR15" i="63"/>
  <c r="D13" i="114"/>
  <c r="G13" i="115"/>
  <c r="G13" i="63"/>
  <c r="D13" i="62"/>
  <c r="AI14" i="64"/>
  <c r="AG14" i="63"/>
  <c r="V9" i="70"/>
  <c r="V23" i="69"/>
  <c r="G18" i="63"/>
  <c r="D18" i="62"/>
  <c r="BF12" i="116"/>
  <c r="BD12" i="115"/>
  <c r="BF19" i="64"/>
  <c r="BD19" i="63"/>
  <c r="AI17" i="64"/>
  <c r="AG17" i="63"/>
  <c r="D19" i="62"/>
  <c r="G19" i="63"/>
  <c r="AI19" i="116"/>
  <c r="AG19" i="115"/>
  <c r="AI11" i="116"/>
  <c r="AG11" i="115"/>
  <c r="BN22" i="116"/>
  <c r="BN23" i="115"/>
  <c r="M22" i="118"/>
  <c r="M23" i="117"/>
  <c r="BF20" i="116"/>
  <c r="BD20" i="115"/>
  <c r="AI14" i="117"/>
  <c r="AG14" i="116"/>
  <c r="BD21" i="114"/>
  <c r="BF21" i="115"/>
  <c r="AT21" i="64"/>
  <c r="AR21" i="63"/>
  <c r="BD14" i="63"/>
  <c r="BF14" i="64"/>
  <c r="G11" i="116"/>
  <c r="D11" i="115"/>
  <c r="BL9" i="67"/>
  <c r="BL23" i="66"/>
  <c r="BF16" i="64"/>
  <c r="BD16" i="63"/>
  <c r="AE9" i="66"/>
  <c r="AE23" i="65"/>
  <c r="BB9" i="70"/>
  <c r="BB23" i="69"/>
  <c r="BF15" i="116"/>
  <c r="BD15" i="115"/>
  <c r="AT22" i="64"/>
  <c r="AR22" i="63"/>
  <c r="G14" i="116"/>
  <c r="D14" i="115"/>
  <c r="G14" i="63"/>
  <c r="D14" i="62"/>
  <c r="AI13" i="116"/>
  <c r="AG13" i="115"/>
  <c r="AT17" i="116"/>
  <c r="AR17" i="115"/>
  <c r="G21" i="116"/>
  <c r="D21" i="115"/>
  <c r="BF22" i="64"/>
  <c r="BD22" i="63"/>
  <c r="AG12" i="63"/>
  <c r="AI12" i="64"/>
  <c r="G12" i="63"/>
  <c r="D12" i="62"/>
  <c r="AI21" i="116"/>
  <c r="AG21" i="115"/>
  <c r="BF10" i="64"/>
  <c r="BD10" i="63"/>
  <c r="P9" i="71"/>
  <c r="P23" i="70"/>
  <c r="AT19" i="116"/>
  <c r="AR19" i="115"/>
  <c r="G18" i="115"/>
  <c r="D18" i="114"/>
  <c r="Y9" i="66"/>
  <c r="Y23" i="65"/>
  <c r="AT20" i="115"/>
  <c r="AR20" i="114"/>
  <c r="D20" i="115"/>
  <c r="G20" i="116"/>
  <c r="AT14" i="64"/>
  <c r="AR14" i="63"/>
  <c r="AG12" i="114"/>
  <c r="AI12" i="115"/>
  <c r="BD17" i="63"/>
  <c r="BF17" i="64"/>
  <c r="BD11" i="63"/>
  <c r="BF11" i="64"/>
  <c r="AG22" i="114"/>
  <c r="AI22" i="115"/>
  <c r="AR16" i="63"/>
  <c r="AT16" i="64"/>
  <c r="AT17" i="64"/>
  <c r="AR17" i="63"/>
  <c r="AO9" i="74"/>
  <c r="AO23" i="73"/>
  <c r="AI13" i="64"/>
  <c r="AG13" i="63"/>
  <c r="AI20" i="64"/>
  <c r="AG20" i="63"/>
  <c r="AT16" i="117"/>
  <c r="AR16" i="116"/>
  <c r="BD19" i="116"/>
  <c r="BF19" i="117"/>
  <c r="AT18" i="64"/>
  <c r="AR18" i="63"/>
  <c r="AI16" i="64"/>
  <c r="AG16" i="63"/>
  <c r="AI21" i="64"/>
  <c r="AG21" i="63"/>
  <c r="AG18" i="63"/>
  <c r="AI18" i="64"/>
  <c r="AR18" i="116"/>
  <c r="AT18" i="117"/>
  <c r="AT23" i="114"/>
  <c r="M23" i="79" l="1"/>
  <c r="AZ9" i="78"/>
  <c r="AZ23" i="77"/>
  <c r="J23" i="79"/>
  <c r="BD23" i="114"/>
  <c r="BF23" i="115"/>
  <c r="M23" i="118"/>
  <c r="M22" i="119"/>
  <c r="AE23" i="120"/>
  <c r="AR23" i="114"/>
  <c r="AT23" i="115"/>
  <c r="AG23" i="114"/>
  <c r="G18" i="64"/>
  <c r="D18" i="63"/>
  <c r="AK9" i="74"/>
  <c r="AK23" i="73"/>
  <c r="G10" i="117"/>
  <c r="D10" i="116"/>
  <c r="D16" i="116"/>
  <c r="G16" i="117"/>
  <c r="BF13" i="65"/>
  <c r="BD13" i="64"/>
  <c r="BD9" i="116"/>
  <c r="BF9" i="117"/>
  <c r="V9" i="71"/>
  <c r="V23" i="70"/>
  <c r="AI19" i="65"/>
  <c r="AG19" i="64"/>
  <c r="BD12" i="64"/>
  <c r="BF12" i="65"/>
  <c r="AT11" i="117"/>
  <c r="AR11" i="116"/>
  <c r="AR9" i="116"/>
  <c r="AT9" i="117"/>
  <c r="AI22" i="65"/>
  <c r="AG22" i="64"/>
  <c r="AT10" i="65"/>
  <c r="AR10" i="64"/>
  <c r="AT12" i="65"/>
  <c r="AR12" i="64"/>
  <c r="AI14" i="65"/>
  <c r="AG14" i="64"/>
  <c r="AT14" i="117"/>
  <c r="AR14" i="116"/>
  <c r="G17" i="117"/>
  <c r="D17" i="116"/>
  <c r="BF18" i="65"/>
  <c r="BD18" i="64"/>
  <c r="AT11" i="65"/>
  <c r="AR11" i="64"/>
  <c r="AG17" i="115"/>
  <c r="AI17" i="116"/>
  <c r="AT10" i="116"/>
  <c r="AR10" i="115"/>
  <c r="G12" i="117"/>
  <c r="D12" i="116"/>
  <c r="BH9" i="71"/>
  <c r="BH23" i="70"/>
  <c r="BD15" i="116"/>
  <c r="BF15" i="117"/>
  <c r="BN22" i="117"/>
  <c r="BN23" i="116"/>
  <c r="G13" i="64"/>
  <c r="D13" i="63"/>
  <c r="BD16" i="115"/>
  <c r="BF16" i="116"/>
  <c r="AT22" i="65"/>
  <c r="AR22" i="64"/>
  <c r="AI12" i="65"/>
  <c r="AG12" i="64"/>
  <c r="G17" i="64"/>
  <c r="D17" i="63"/>
  <c r="D22" i="63"/>
  <c r="G22" i="64"/>
  <c r="G15" i="64"/>
  <c r="D15" i="63"/>
  <c r="BN23" i="63"/>
  <c r="BN9" i="64"/>
  <c r="AT9" i="64"/>
  <c r="AR9" i="63"/>
  <c r="AR23" i="63" s="1"/>
  <c r="AT23" i="63"/>
  <c r="AI14" i="118"/>
  <c r="AG14" i="117"/>
  <c r="D13" i="115"/>
  <c r="G13" i="116"/>
  <c r="G11" i="64"/>
  <c r="D11" i="63"/>
  <c r="AG15" i="116"/>
  <c r="AI15" i="117"/>
  <c r="BD11" i="115"/>
  <c r="BF11" i="116"/>
  <c r="AG12" i="115"/>
  <c r="AI12" i="116"/>
  <c r="AE9" i="67"/>
  <c r="AE23" i="66"/>
  <c r="AM9" i="66"/>
  <c r="AM23" i="65"/>
  <c r="AG18" i="117"/>
  <c r="AI18" i="118"/>
  <c r="AT16" i="118"/>
  <c r="AR16" i="117"/>
  <c r="BF16" i="65"/>
  <c r="BD16" i="64"/>
  <c r="AR20" i="115"/>
  <c r="AT20" i="116"/>
  <c r="D21" i="116"/>
  <c r="G21" i="117"/>
  <c r="BL9" i="68"/>
  <c r="BL23" i="67"/>
  <c r="AG19" i="116"/>
  <c r="AI19" i="117"/>
  <c r="BF21" i="65"/>
  <c r="BD21" i="64"/>
  <c r="AI20" i="118"/>
  <c r="AG20" i="117"/>
  <c r="BF13" i="117"/>
  <c r="BD13" i="116"/>
  <c r="BB9" i="71"/>
  <c r="BB23" i="70"/>
  <c r="D19" i="63"/>
  <c r="G19" i="64"/>
  <c r="AT15" i="65"/>
  <c r="AR15" i="64"/>
  <c r="AG16" i="116"/>
  <c r="AI16" i="117"/>
  <c r="G9" i="64"/>
  <c r="D9" i="63"/>
  <c r="G23" i="63"/>
  <c r="D23" i="63" s="1"/>
  <c r="BF20" i="65"/>
  <c r="BD20" i="64"/>
  <c r="AT21" i="117"/>
  <c r="AR21" i="116"/>
  <c r="Y9" i="67"/>
  <c r="Y23" i="66"/>
  <c r="AR17" i="116"/>
  <c r="AT17" i="117"/>
  <c r="D11" i="116"/>
  <c r="G11" i="117"/>
  <c r="AT15" i="116"/>
  <c r="AR15" i="115"/>
  <c r="BJ9" i="70"/>
  <c r="BJ23" i="69"/>
  <c r="AT22" i="116"/>
  <c r="AR22" i="115"/>
  <c r="G16" i="64"/>
  <c r="D16" i="63"/>
  <c r="AI23" i="115"/>
  <c r="BF22" i="117"/>
  <c r="BD22" i="116"/>
  <c r="BD17" i="64"/>
  <c r="BF17" i="65"/>
  <c r="AG21" i="116"/>
  <c r="AI21" i="117"/>
  <c r="AG11" i="116"/>
  <c r="AI11" i="117"/>
  <c r="BF14" i="65"/>
  <c r="BD14" i="64"/>
  <c r="AI9" i="64"/>
  <c r="AG9" i="63"/>
  <c r="AG23" i="63" s="1"/>
  <c r="AI23" i="63"/>
  <c r="BD17" i="116"/>
  <c r="BF17" i="117"/>
  <c r="AG9" i="116"/>
  <c r="AI9" i="117"/>
  <c r="AT14" i="65"/>
  <c r="AR14" i="64"/>
  <c r="AR16" i="64"/>
  <c r="AT16" i="65"/>
  <c r="AI13" i="117"/>
  <c r="AG13" i="116"/>
  <c r="AI17" i="65"/>
  <c r="AG17" i="64"/>
  <c r="BD10" i="116"/>
  <c r="BF10" i="117"/>
  <c r="D9" i="117"/>
  <c r="G9" i="118"/>
  <c r="G9" i="119" s="1"/>
  <c r="AT18" i="65"/>
  <c r="AR18" i="64"/>
  <c r="AI20" i="65"/>
  <c r="AG20" i="64"/>
  <c r="AG13" i="64"/>
  <c r="AI13" i="65"/>
  <c r="AR18" i="117"/>
  <c r="AT18" i="118"/>
  <c r="AG18" i="64"/>
  <c r="AI18" i="65"/>
  <c r="AT20" i="65"/>
  <c r="AR20" i="64"/>
  <c r="G20" i="64"/>
  <c r="D20" i="63"/>
  <c r="G15" i="116"/>
  <c r="D15" i="115"/>
  <c r="BF9" i="64"/>
  <c r="BD9" i="63"/>
  <c r="BD23" i="63" s="1"/>
  <c r="BF23" i="63"/>
  <c r="BF10" i="65"/>
  <c r="BD10" i="64"/>
  <c r="BD19" i="117"/>
  <c r="BF19" i="118"/>
  <c r="G12" i="64"/>
  <c r="D12" i="63"/>
  <c r="G18" i="116"/>
  <c r="D18" i="115"/>
  <c r="AG22" i="115"/>
  <c r="AI22" i="116"/>
  <c r="AT19" i="117"/>
  <c r="AR19" i="116"/>
  <c r="G14" i="64"/>
  <c r="D14" i="63"/>
  <c r="AT21" i="65"/>
  <c r="AR21" i="64"/>
  <c r="BF19" i="65"/>
  <c r="BD19" i="64"/>
  <c r="AI15" i="65"/>
  <c r="AG15" i="64"/>
  <c r="BD14" i="116"/>
  <c r="BF14" i="117"/>
  <c r="AI11" i="65"/>
  <c r="AG11" i="64"/>
  <c r="AT13" i="117"/>
  <c r="AR13" i="116"/>
  <c r="BD20" i="116"/>
  <c r="BF20" i="117"/>
  <c r="AO9" i="76"/>
  <c r="AO23" i="74"/>
  <c r="AT17" i="65"/>
  <c r="AR17" i="64"/>
  <c r="AI21" i="65"/>
  <c r="AG21" i="64"/>
  <c r="BD21" i="115"/>
  <c r="BF21" i="116"/>
  <c r="BF18" i="117"/>
  <c r="BD18" i="116"/>
  <c r="G19" i="118"/>
  <c r="D19" i="117"/>
  <c r="AR19" i="64"/>
  <c r="AT19" i="65"/>
  <c r="AG10" i="116"/>
  <c r="AI10" i="117"/>
  <c r="BF22" i="65"/>
  <c r="BD22" i="64"/>
  <c r="BD11" i="64"/>
  <c r="BF11" i="65"/>
  <c r="P9" i="73"/>
  <c r="P23" i="71"/>
  <c r="G14" i="117"/>
  <c r="D14" i="116"/>
  <c r="BD12" i="116"/>
  <c r="BF12" i="117"/>
  <c r="BF15" i="65"/>
  <c r="BD15" i="64"/>
  <c r="AR12" i="116"/>
  <c r="AT12" i="117"/>
  <c r="G20" i="117"/>
  <c r="D20" i="116"/>
  <c r="AI16" i="65"/>
  <c r="AG16" i="64"/>
  <c r="G10" i="64"/>
  <c r="D10" i="63"/>
  <c r="AT13" i="65"/>
  <c r="AR13" i="64"/>
  <c r="AG10" i="64"/>
  <c r="AI10" i="65"/>
  <c r="S9" i="69"/>
  <c r="S23" i="68"/>
  <c r="D22" i="114"/>
  <c r="G22" i="115"/>
  <c r="G23" i="115" s="1"/>
  <c r="D23" i="115" s="1"/>
  <c r="G21" i="64"/>
  <c r="D21" i="63"/>
  <c r="AZ23" i="78" l="1"/>
  <c r="AZ9" i="79"/>
  <c r="AG18" i="118"/>
  <c r="AI18" i="119"/>
  <c r="D19" i="118"/>
  <c r="G19" i="119"/>
  <c r="AG20" i="118"/>
  <c r="AI20" i="119"/>
  <c r="AG14" i="118"/>
  <c r="AI14" i="119"/>
  <c r="D9" i="119"/>
  <c r="G9" i="120"/>
  <c r="AR16" i="118"/>
  <c r="AT16" i="119"/>
  <c r="AR18" i="118"/>
  <c r="AT18" i="119"/>
  <c r="BD19" i="118"/>
  <c r="BF19" i="119"/>
  <c r="M22" i="120"/>
  <c r="M23" i="119"/>
  <c r="BD23" i="115"/>
  <c r="AR23" i="115"/>
  <c r="AG23" i="115"/>
  <c r="AG16" i="117"/>
  <c r="AI16" i="118"/>
  <c r="G11" i="65"/>
  <c r="D11" i="64"/>
  <c r="AT22" i="66"/>
  <c r="AR22" i="65"/>
  <c r="BD17" i="117"/>
  <c r="BF17" i="118"/>
  <c r="AR20" i="116"/>
  <c r="AT20" i="117"/>
  <c r="BF16" i="117"/>
  <c r="BD16" i="116"/>
  <c r="BD18" i="65"/>
  <c r="BF18" i="66"/>
  <c r="D10" i="64"/>
  <c r="G10" i="65"/>
  <c r="G13" i="117"/>
  <c r="D13" i="116"/>
  <c r="AG19" i="65"/>
  <c r="AI19" i="66"/>
  <c r="BJ9" i="71"/>
  <c r="BJ23" i="70"/>
  <c r="AT15" i="66"/>
  <c r="AR15" i="65"/>
  <c r="G17" i="118"/>
  <c r="D17" i="117"/>
  <c r="AT13" i="118"/>
  <c r="AR13" i="117"/>
  <c r="G19" i="65"/>
  <c r="D19" i="64"/>
  <c r="BF16" i="66"/>
  <c r="BD16" i="65"/>
  <c r="G13" i="65"/>
  <c r="D13" i="64"/>
  <c r="V9" i="73"/>
  <c r="V23" i="71"/>
  <c r="AI9" i="65"/>
  <c r="AG9" i="64"/>
  <c r="AG23" i="64" s="1"/>
  <c r="AI23" i="64"/>
  <c r="AR15" i="116"/>
  <c r="AT15" i="117"/>
  <c r="AT14" i="118"/>
  <c r="AR14" i="117"/>
  <c r="BD14" i="117"/>
  <c r="BF14" i="118"/>
  <c r="G20" i="118"/>
  <c r="D20" i="117"/>
  <c r="G11" i="118"/>
  <c r="D11" i="117"/>
  <c r="BN22" i="118"/>
  <c r="BN23" i="117"/>
  <c r="BF23" i="116"/>
  <c r="AG16" i="65"/>
  <c r="AI16" i="66"/>
  <c r="BF14" i="66"/>
  <c r="BD14" i="65"/>
  <c r="BB9" i="73"/>
  <c r="BB23" i="71"/>
  <c r="BD15" i="117"/>
  <c r="BF15" i="118"/>
  <c r="AI14" i="66"/>
  <c r="AG14" i="65"/>
  <c r="BD9" i="117"/>
  <c r="BF9" i="118"/>
  <c r="BF9" i="119" s="1"/>
  <c r="BD18" i="117"/>
  <c r="BF18" i="118"/>
  <c r="BF10" i="118"/>
  <c r="BD10" i="117"/>
  <c r="AG11" i="117"/>
  <c r="AI11" i="118"/>
  <c r="AT17" i="118"/>
  <c r="AR17" i="117"/>
  <c r="AT9" i="65"/>
  <c r="AR9" i="64"/>
  <c r="AR23" i="64" s="1"/>
  <c r="AT23" i="64"/>
  <c r="BF22" i="66"/>
  <c r="BD22" i="65"/>
  <c r="D9" i="118"/>
  <c r="BF13" i="118"/>
  <c r="BD13" i="117"/>
  <c r="BN9" i="65"/>
  <c r="BN23" i="64"/>
  <c r="AT12" i="66"/>
  <c r="AR12" i="65"/>
  <c r="G12" i="65"/>
  <c r="D12" i="64"/>
  <c r="AT18" i="66"/>
  <c r="AR18" i="65"/>
  <c r="G15" i="117"/>
  <c r="D15" i="116"/>
  <c r="AG21" i="117"/>
  <c r="AI21" i="118"/>
  <c r="AM9" i="67"/>
  <c r="AM23" i="66"/>
  <c r="BH9" i="73"/>
  <c r="BH23" i="71"/>
  <c r="BF13" i="66"/>
  <c r="BD13" i="65"/>
  <c r="BD12" i="117"/>
  <c r="BF12" i="118"/>
  <c r="Y9" i="68"/>
  <c r="Y23" i="67"/>
  <c r="AT10" i="66"/>
  <c r="AR10" i="65"/>
  <c r="G16" i="118"/>
  <c r="D16" i="117"/>
  <c r="AI20" i="66"/>
  <c r="AG20" i="65"/>
  <c r="BF10" i="66"/>
  <c r="BD10" i="65"/>
  <c r="BF19" i="66"/>
  <c r="BD19" i="65"/>
  <c r="BD15" i="65"/>
  <c r="BF15" i="66"/>
  <c r="AG21" i="65"/>
  <c r="AI21" i="66"/>
  <c r="G14" i="65"/>
  <c r="D14" i="64"/>
  <c r="D20" i="64"/>
  <c r="G20" i="65"/>
  <c r="BF17" i="66"/>
  <c r="BD17" i="65"/>
  <c r="AE9" i="68"/>
  <c r="AE23" i="67"/>
  <c r="G15" i="65"/>
  <c r="D15" i="64"/>
  <c r="D12" i="117"/>
  <c r="G12" i="118"/>
  <c r="AI11" i="66"/>
  <c r="AG11" i="65"/>
  <c r="AI15" i="66"/>
  <c r="AG15" i="65"/>
  <c r="AI13" i="118"/>
  <c r="AG13" i="117"/>
  <c r="AR21" i="117"/>
  <c r="AT21" i="118"/>
  <c r="AI12" i="117"/>
  <c r="AG12" i="116"/>
  <c r="G22" i="65"/>
  <c r="D22" i="64"/>
  <c r="AI22" i="66"/>
  <c r="AG22" i="65"/>
  <c r="AR19" i="65"/>
  <c r="AT19" i="66"/>
  <c r="G14" i="118"/>
  <c r="D14" i="117"/>
  <c r="AR17" i="65"/>
  <c r="AT17" i="66"/>
  <c r="AT19" i="118"/>
  <c r="AR19" i="117"/>
  <c r="AT20" i="66"/>
  <c r="AR20" i="65"/>
  <c r="AT16" i="66"/>
  <c r="AR16" i="65"/>
  <c r="BF21" i="66"/>
  <c r="BD21" i="65"/>
  <c r="AT10" i="117"/>
  <c r="AR10" i="116"/>
  <c r="AT23" i="116"/>
  <c r="G10" i="118"/>
  <c r="D10" i="117"/>
  <c r="AG10" i="117"/>
  <c r="AI10" i="118"/>
  <c r="BF21" i="117"/>
  <c r="BD21" i="116"/>
  <c r="G21" i="65"/>
  <c r="D21" i="64"/>
  <c r="AG22" i="116"/>
  <c r="AI22" i="117"/>
  <c r="AI18" i="66"/>
  <c r="AG18" i="65"/>
  <c r="BF22" i="118"/>
  <c r="BF22" i="119" s="1"/>
  <c r="BD22" i="117"/>
  <c r="AI19" i="118"/>
  <c r="AG19" i="117"/>
  <c r="BF11" i="117"/>
  <c r="BD11" i="116"/>
  <c r="AI17" i="117"/>
  <c r="AG17" i="116"/>
  <c r="AT9" i="118"/>
  <c r="AT9" i="119" s="1"/>
  <c r="AR9" i="117"/>
  <c r="AI17" i="66"/>
  <c r="AG17" i="65"/>
  <c r="S9" i="70"/>
  <c r="S23" i="69"/>
  <c r="P9" i="74"/>
  <c r="P23" i="73"/>
  <c r="AO9" i="77"/>
  <c r="AO23" i="76"/>
  <c r="BD20" i="65"/>
  <c r="BF20" i="66"/>
  <c r="D17" i="64"/>
  <c r="G17" i="65"/>
  <c r="AK9" i="76"/>
  <c r="AK23" i="74"/>
  <c r="AT13" i="66"/>
  <c r="AR13" i="65"/>
  <c r="BD9" i="64"/>
  <c r="BD23" i="64" s="1"/>
  <c r="BF9" i="65"/>
  <c r="BF23" i="64"/>
  <c r="D22" i="115"/>
  <c r="G22" i="116"/>
  <c r="G23" i="116" s="1"/>
  <c r="D23" i="116" s="1"/>
  <c r="BF11" i="66"/>
  <c r="BD11" i="65"/>
  <c r="BD20" i="117"/>
  <c r="BF20" i="118"/>
  <c r="AR14" i="65"/>
  <c r="AT14" i="66"/>
  <c r="AI15" i="118"/>
  <c r="AG15" i="117"/>
  <c r="AR22" i="116"/>
  <c r="AT22" i="117"/>
  <c r="AT21" i="66"/>
  <c r="AR21" i="65"/>
  <c r="AI23" i="116"/>
  <c r="BL9" i="69"/>
  <c r="BL23" i="68"/>
  <c r="AI12" i="66"/>
  <c r="AG12" i="65"/>
  <c r="AR11" i="117"/>
  <c r="AT11" i="118"/>
  <c r="G18" i="65"/>
  <c r="D18" i="64"/>
  <c r="AR12" i="117"/>
  <c r="AT12" i="118"/>
  <c r="AG10" i="65"/>
  <c r="AI10" i="66"/>
  <c r="G18" i="117"/>
  <c r="D18" i="116"/>
  <c r="AG13" i="65"/>
  <c r="AI13" i="66"/>
  <c r="AI9" i="118"/>
  <c r="AI9" i="119" s="1"/>
  <c r="AG9" i="117"/>
  <c r="G16" i="65"/>
  <c r="D16" i="64"/>
  <c r="G9" i="65"/>
  <c r="D9" i="64"/>
  <c r="G23" i="64"/>
  <c r="D23" i="64" s="1"/>
  <c r="G21" i="118"/>
  <c r="D21" i="117"/>
  <c r="AR11" i="65"/>
  <c r="AT11" i="66"/>
  <c r="BD12" i="65"/>
  <c r="BF12" i="66"/>
  <c r="AZ23" i="79" l="1"/>
  <c r="BD18" i="118"/>
  <c r="BF18" i="119"/>
  <c r="BN23" i="118"/>
  <c r="BN22" i="119"/>
  <c r="BD22" i="119" s="1"/>
  <c r="AI14" i="120"/>
  <c r="AG14" i="119"/>
  <c r="AR12" i="118"/>
  <c r="AT12" i="119"/>
  <c r="AG15" i="118"/>
  <c r="AI15" i="119"/>
  <c r="D14" i="118"/>
  <c r="G14" i="119"/>
  <c r="D17" i="118"/>
  <c r="G17" i="119"/>
  <c r="AT18" i="120"/>
  <c r="AR18" i="119"/>
  <c r="AG9" i="119"/>
  <c r="AI9" i="120"/>
  <c r="D10" i="118"/>
  <c r="G10" i="119"/>
  <c r="AR21" i="118"/>
  <c r="AT21" i="119"/>
  <c r="D12" i="118"/>
  <c r="G12" i="119"/>
  <c r="BF9" i="120"/>
  <c r="BD9" i="119"/>
  <c r="D11" i="118"/>
  <c r="G11" i="119"/>
  <c r="BD17" i="118"/>
  <c r="BF17" i="119"/>
  <c r="AI20" i="120"/>
  <c r="AG20" i="119"/>
  <c r="D21" i="118"/>
  <c r="G21" i="119"/>
  <c r="BD13" i="118"/>
  <c r="BF13" i="119"/>
  <c r="AR17" i="118"/>
  <c r="AT17" i="119"/>
  <c r="AT16" i="120"/>
  <c r="AR16" i="119"/>
  <c r="BD20" i="118"/>
  <c r="BF20" i="119"/>
  <c r="AG19" i="118"/>
  <c r="AI19" i="119"/>
  <c r="AG11" i="118"/>
  <c r="AI11" i="119"/>
  <c r="D20" i="118"/>
  <c r="G20" i="119"/>
  <c r="D19" i="119"/>
  <c r="G19" i="120"/>
  <c r="AR14" i="118"/>
  <c r="AT14" i="119"/>
  <c r="AG16" i="118"/>
  <c r="AI16" i="119"/>
  <c r="D16" i="118"/>
  <c r="G16" i="119"/>
  <c r="AR11" i="118"/>
  <c r="AT11" i="119"/>
  <c r="AR19" i="118"/>
  <c r="AT19" i="119"/>
  <c r="AG13" i="118"/>
  <c r="AI13" i="119"/>
  <c r="BD14" i="118"/>
  <c r="BF14" i="119"/>
  <c r="AR9" i="119"/>
  <c r="AT9" i="120"/>
  <c r="BF22" i="120"/>
  <c r="BD12" i="118"/>
  <c r="BF12" i="119"/>
  <c r="AG21" i="118"/>
  <c r="AI21" i="119"/>
  <c r="BD15" i="118"/>
  <c r="BF15" i="119"/>
  <c r="M23" i="120"/>
  <c r="D9" i="120"/>
  <c r="AI18" i="120"/>
  <c r="AG18" i="119"/>
  <c r="AG10" i="118"/>
  <c r="AI10" i="119"/>
  <c r="BD10" i="118"/>
  <c r="BF10" i="119"/>
  <c r="AR13" i="118"/>
  <c r="AT13" i="119"/>
  <c r="BF19" i="120"/>
  <c r="BD19" i="119"/>
  <c r="AG23" i="116"/>
  <c r="BF23" i="117"/>
  <c r="BD22" i="118"/>
  <c r="BD23" i="116"/>
  <c r="BH9" i="74"/>
  <c r="BH23" i="73"/>
  <c r="BD15" i="66"/>
  <c r="BF15" i="67"/>
  <c r="BF22" i="67"/>
  <c r="BD22" i="66"/>
  <c r="BB9" i="74"/>
  <c r="BB23" i="73"/>
  <c r="AI9" i="66"/>
  <c r="AG9" i="65"/>
  <c r="AG23" i="65" s="1"/>
  <c r="AI23" i="65"/>
  <c r="G13" i="118"/>
  <c r="D13" i="117"/>
  <c r="AM9" i="68"/>
  <c r="AM23" i="67"/>
  <c r="G10" i="66"/>
  <c r="D10" i="65"/>
  <c r="BF14" i="67"/>
  <c r="BD14" i="66"/>
  <c r="V9" i="74"/>
  <c r="V23" i="73"/>
  <c r="AR20" i="66"/>
  <c r="AT20" i="67"/>
  <c r="AI15" i="67"/>
  <c r="AG15" i="66"/>
  <c r="BF19" i="67"/>
  <c r="BD19" i="66"/>
  <c r="AT9" i="66"/>
  <c r="AR9" i="65"/>
  <c r="AR23" i="65" s="1"/>
  <c r="AT23" i="65"/>
  <c r="AG16" i="66"/>
  <c r="AI16" i="67"/>
  <c r="BD18" i="66"/>
  <c r="BF18" i="67"/>
  <c r="AI18" i="67"/>
  <c r="AG18" i="66"/>
  <c r="G13" i="66"/>
  <c r="D13" i="65"/>
  <c r="AI10" i="67"/>
  <c r="AG10" i="66"/>
  <c r="AI22" i="118"/>
  <c r="AG22" i="117"/>
  <c r="AI11" i="67"/>
  <c r="AG11" i="66"/>
  <c r="BF10" i="67"/>
  <c r="BD10" i="66"/>
  <c r="AR17" i="66"/>
  <c r="AT17" i="67"/>
  <c r="G15" i="118"/>
  <c r="D15" i="117"/>
  <c r="BF16" i="67"/>
  <c r="BD16" i="66"/>
  <c r="BD16" i="117"/>
  <c r="BF16" i="118"/>
  <c r="AT16" i="67"/>
  <c r="AR16" i="66"/>
  <c r="AO23" i="77"/>
  <c r="AO9" i="78"/>
  <c r="P9" i="76"/>
  <c r="P23" i="74"/>
  <c r="AI20" i="67"/>
  <c r="AG20" i="66"/>
  <c r="AR20" i="117"/>
  <c r="AT20" i="118"/>
  <c r="AT18" i="67"/>
  <c r="AR18" i="66"/>
  <c r="G19" i="66"/>
  <c r="D19" i="65"/>
  <c r="G15" i="66"/>
  <c r="D15" i="65"/>
  <c r="BF12" i="67"/>
  <c r="BD12" i="66"/>
  <c r="G12" i="66"/>
  <c r="D12" i="65"/>
  <c r="AR14" i="66"/>
  <c r="AT14" i="67"/>
  <c r="AI17" i="67"/>
  <c r="AG17" i="66"/>
  <c r="AE23" i="68"/>
  <c r="AE9" i="69"/>
  <c r="AT10" i="67"/>
  <c r="AR10" i="66"/>
  <c r="AR22" i="117"/>
  <c r="AT22" i="118"/>
  <c r="G18" i="66"/>
  <c r="D18" i="65"/>
  <c r="S9" i="71"/>
  <c r="S23" i="70"/>
  <c r="AT23" i="117"/>
  <c r="AT12" i="67"/>
  <c r="AR12" i="66"/>
  <c r="AT22" i="67"/>
  <c r="AR22" i="66"/>
  <c r="D17" i="65"/>
  <c r="G17" i="66"/>
  <c r="AR11" i="66"/>
  <c r="AT11" i="67"/>
  <c r="BF11" i="67"/>
  <c r="BD11" i="66"/>
  <c r="G9" i="66"/>
  <c r="D9" i="65"/>
  <c r="G23" i="65"/>
  <c r="D23" i="65" s="1"/>
  <c r="BL9" i="70"/>
  <c r="BL23" i="69"/>
  <c r="BF9" i="66"/>
  <c r="BD9" i="65"/>
  <c r="BD23" i="65" s="1"/>
  <c r="BF23" i="65"/>
  <c r="AG22" i="66"/>
  <c r="AI22" i="67"/>
  <c r="BF17" i="67"/>
  <c r="BD17" i="66"/>
  <c r="Y9" i="69"/>
  <c r="Y23" i="68"/>
  <c r="BD9" i="118"/>
  <c r="AT19" i="67"/>
  <c r="AR19" i="66"/>
  <c r="AR9" i="118"/>
  <c r="D20" i="65"/>
  <c r="G20" i="66"/>
  <c r="BN9" i="66"/>
  <c r="BN23" i="65"/>
  <c r="AT15" i="67"/>
  <c r="AR15" i="66"/>
  <c r="G11" i="66"/>
  <c r="D11" i="65"/>
  <c r="G16" i="66"/>
  <c r="D16" i="65"/>
  <c r="G22" i="66"/>
  <c r="D22" i="65"/>
  <c r="BD21" i="66"/>
  <c r="BF21" i="67"/>
  <c r="D18" i="117"/>
  <c r="G18" i="118"/>
  <c r="G21" i="66"/>
  <c r="D21" i="65"/>
  <c r="AT13" i="67"/>
  <c r="AR13" i="66"/>
  <c r="AI17" i="118"/>
  <c r="AG17" i="117"/>
  <c r="AR23" i="116"/>
  <c r="AI14" i="67"/>
  <c r="AG14" i="66"/>
  <c r="AR15" i="117"/>
  <c r="AT15" i="118"/>
  <c r="BJ9" i="73"/>
  <c r="BJ23" i="71"/>
  <c r="BD21" i="117"/>
  <c r="BF21" i="118"/>
  <c r="AG9" i="118"/>
  <c r="AR10" i="117"/>
  <c r="AT10" i="118"/>
  <c r="AG12" i="117"/>
  <c r="AI12" i="118"/>
  <c r="G14" i="66"/>
  <c r="D14" i="65"/>
  <c r="BF13" i="67"/>
  <c r="BD13" i="66"/>
  <c r="AG19" i="66"/>
  <c r="AI19" i="67"/>
  <c r="AI23" i="117"/>
  <c r="BF20" i="67"/>
  <c r="BD20" i="66"/>
  <c r="G22" i="117"/>
  <c r="G23" i="117" s="1"/>
  <c r="D23" i="117" s="1"/>
  <c r="D22" i="116"/>
  <c r="AI12" i="67"/>
  <c r="AG12" i="66"/>
  <c r="AG13" i="66"/>
  <c r="AI13" i="67"/>
  <c r="AT21" i="67"/>
  <c r="AR21" i="66"/>
  <c r="AK9" i="77"/>
  <c r="AK23" i="76"/>
  <c r="BD11" i="117"/>
  <c r="BF11" i="118"/>
  <c r="AI21" i="67"/>
  <c r="AG21" i="66"/>
  <c r="AR15" i="118" l="1"/>
  <c r="AT15" i="119"/>
  <c r="AG11" i="119"/>
  <c r="AI11" i="120"/>
  <c r="AR18" i="120"/>
  <c r="AG10" i="119"/>
  <c r="AI10" i="120"/>
  <c r="AG19" i="119"/>
  <c r="AI19" i="120"/>
  <c r="D17" i="119"/>
  <c r="G17" i="120"/>
  <c r="AT21" i="120"/>
  <c r="AR21" i="119"/>
  <c r="BD11" i="118"/>
  <c r="BF11" i="119"/>
  <c r="BD16" i="118"/>
  <c r="BF16" i="119"/>
  <c r="BF13" i="120"/>
  <c r="BD13" i="119"/>
  <c r="BF15" i="120"/>
  <c r="BD15" i="119"/>
  <c r="D10" i="119"/>
  <c r="G10" i="120"/>
  <c r="AR9" i="120"/>
  <c r="BF20" i="120"/>
  <c r="BD20" i="119"/>
  <c r="G14" i="120"/>
  <c r="D14" i="119"/>
  <c r="BD19" i="120"/>
  <c r="AI21" i="120"/>
  <c r="AG21" i="119"/>
  <c r="AT13" i="120"/>
  <c r="AR13" i="119"/>
  <c r="BF14" i="120"/>
  <c r="BD14" i="119"/>
  <c r="G16" i="120"/>
  <c r="D16" i="119"/>
  <c r="G20" i="120"/>
  <c r="D20" i="119"/>
  <c r="BD9" i="120"/>
  <c r="AG9" i="120"/>
  <c r="AI15" i="120"/>
  <c r="AG15" i="119"/>
  <c r="BF18" i="120"/>
  <c r="BD18" i="119"/>
  <c r="AR20" i="118"/>
  <c r="AT20" i="119"/>
  <c r="BF10" i="120"/>
  <c r="BD10" i="119"/>
  <c r="AI13" i="120"/>
  <c r="AG13" i="119"/>
  <c r="AG16" i="119"/>
  <c r="AI16" i="120"/>
  <c r="AT17" i="120"/>
  <c r="AR17" i="119"/>
  <c r="BF17" i="120"/>
  <c r="BD17" i="119"/>
  <c r="AT12" i="120"/>
  <c r="AR12" i="119"/>
  <c r="AR10" i="118"/>
  <c r="AT10" i="119"/>
  <c r="AT19" i="120"/>
  <c r="AR19" i="119"/>
  <c r="AT14" i="120"/>
  <c r="AR14" i="119"/>
  <c r="D11" i="119"/>
  <c r="G11" i="120"/>
  <c r="D18" i="118"/>
  <c r="G18" i="119"/>
  <c r="AG14" i="120"/>
  <c r="BD21" i="118"/>
  <c r="BF21" i="119"/>
  <c r="AR22" i="118"/>
  <c r="AT22" i="119"/>
  <c r="D13" i="118"/>
  <c r="G13" i="119"/>
  <c r="AT11" i="120"/>
  <c r="AR11" i="119"/>
  <c r="D19" i="120"/>
  <c r="D21" i="119"/>
  <c r="G21" i="120"/>
  <c r="BN22" i="120"/>
  <c r="BD22" i="120" s="1"/>
  <c r="BN23" i="119"/>
  <c r="AG18" i="120"/>
  <c r="AG17" i="118"/>
  <c r="AI17" i="119"/>
  <c r="AG12" i="118"/>
  <c r="AI12" i="119"/>
  <c r="D15" i="118"/>
  <c r="G15" i="119"/>
  <c r="AG22" i="118"/>
  <c r="AI22" i="119"/>
  <c r="BF12" i="120"/>
  <c r="BD12" i="119"/>
  <c r="AR16" i="120"/>
  <c r="AG20" i="120"/>
  <c r="G12" i="120"/>
  <c r="D12" i="119"/>
  <c r="AR23" i="117"/>
  <c r="BD23" i="117"/>
  <c r="AG23" i="117"/>
  <c r="BF23" i="118"/>
  <c r="P9" i="77"/>
  <c r="P23" i="76"/>
  <c r="AI10" i="68"/>
  <c r="AG10" i="67"/>
  <c r="AT11" i="68"/>
  <c r="AR11" i="67"/>
  <c r="BF14" i="68"/>
  <c r="BD14" i="67"/>
  <c r="G13" i="67"/>
  <c r="D13" i="66"/>
  <c r="G10" i="67"/>
  <c r="D10" i="66"/>
  <c r="AT13" i="68"/>
  <c r="AR13" i="67"/>
  <c r="AK9" i="78"/>
  <c r="AK23" i="77"/>
  <c r="AT16" i="68"/>
  <c r="AR16" i="67"/>
  <c r="AG18" i="67"/>
  <c r="AI18" i="68"/>
  <c r="BF18" i="68"/>
  <c r="BD18" i="67"/>
  <c r="AM9" i="69"/>
  <c r="AM23" i="68"/>
  <c r="D21" i="66"/>
  <c r="G21" i="67"/>
  <c r="AR22" i="67"/>
  <c r="AT22" i="68"/>
  <c r="G12" i="67"/>
  <c r="D12" i="66"/>
  <c r="G14" i="67"/>
  <c r="D14" i="66"/>
  <c r="AI16" i="68"/>
  <c r="AG16" i="67"/>
  <c r="BF11" i="68"/>
  <c r="BD11" i="67"/>
  <c r="AI13" i="68"/>
  <c r="AG13" i="67"/>
  <c r="AT12" i="68"/>
  <c r="AR12" i="67"/>
  <c r="BF12" i="68"/>
  <c r="BD12" i="67"/>
  <c r="BF16" i="68"/>
  <c r="BD16" i="67"/>
  <c r="AT14" i="68"/>
  <c r="AR14" i="67"/>
  <c r="AI22" i="68"/>
  <c r="AG22" i="67"/>
  <c r="Y9" i="70"/>
  <c r="Y23" i="69"/>
  <c r="BF17" i="68"/>
  <c r="BD17" i="67"/>
  <c r="S9" i="73"/>
  <c r="S23" i="71"/>
  <c r="AT17" i="68"/>
  <c r="AR17" i="67"/>
  <c r="AT9" i="67"/>
  <c r="AR9" i="66"/>
  <c r="AR23" i="66" s="1"/>
  <c r="AT23" i="66"/>
  <c r="AI9" i="67"/>
  <c r="AG9" i="66"/>
  <c r="AG23" i="66" s="1"/>
  <c r="AI23" i="66"/>
  <c r="G19" i="67"/>
  <c r="D19" i="66"/>
  <c r="AI23" i="118"/>
  <c r="BD20" i="67"/>
  <c r="BF20" i="68"/>
  <c r="BF9" i="67"/>
  <c r="BD9" i="66"/>
  <c r="BD23" i="66" s="1"/>
  <c r="BF23" i="66"/>
  <c r="G18" i="67"/>
  <c r="D18" i="66"/>
  <c r="BF19" i="68"/>
  <c r="BD19" i="67"/>
  <c r="BB9" i="76"/>
  <c r="BB23" i="74"/>
  <c r="AG17" i="67"/>
  <c r="AI17" i="68"/>
  <c r="G15" i="67"/>
  <c r="D15" i="66"/>
  <c r="AR15" i="67"/>
  <c r="AT15" i="68"/>
  <c r="AT18" i="68"/>
  <c r="AR18" i="67"/>
  <c r="BF10" i="68"/>
  <c r="BD10" i="67"/>
  <c r="AT19" i="68"/>
  <c r="AR19" i="67"/>
  <c r="AT21" i="68"/>
  <c r="AR21" i="67"/>
  <c r="G22" i="118"/>
  <c r="D22" i="117"/>
  <c r="BJ9" i="74"/>
  <c r="BJ23" i="73"/>
  <c r="AI19" i="68"/>
  <c r="AG19" i="67"/>
  <c r="AI14" i="68"/>
  <c r="AG14" i="67"/>
  <c r="BL9" i="71"/>
  <c r="BL23" i="70"/>
  <c r="AI15" i="68"/>
  <c r="AG15" i="67"/>
  <c r="BF22" i="68"/>
  <c r="BD22" i="67"/>
  <c r="G16" i="67"/>
  <c r="D16" i="66"/>
  <c r="BN9" i="67"/>
  <c r="BN23" i="66"/>
  <c r="AI11" i="68"/>
  <c r="AG11" i="67"/>
  <c r="AT20" i="68"/>
  <c r="AR20" i="67"/>
  <c r="BF15" i="68"/>
  <c r="BD15" i="67"/>
  <c r="G17" i="67"/>
  <c r="D17" i="66"/>
  <c r="BF21" i="68"/>
  <c r="BD21" i="67"/>
  <c r="AI12" i="68"/>
  <c r="AG12" i="67"/>
  <c r="G20" i="67"/>
  <c r="D20" i="66"/>
  <c r="AT10" i="68"/>
  <c r="AR10" i="67"/>
  <c r="G22" i="67"/>
  <c r="D22" i="66"/>
  <c r="G11" i="67"/>
  <c r="D11" i="66"/>
  <c r="AI21" i="68"/>
  <c r="AG21" i="67"/>
  <c r="D9" i="66"/>
  <c r="G9" i="67"/>
  <c r="G23" i="66"/>
  <c r="D23" i="66" s="1"/>
  <c r="AE9" i="70"/>
  <c r="AE23" i="69"/>
  <c r="AI20" i="68"/>
  <c r="AG20" i="67"/>
  <c r="AO9" i="79"/>
  <c r="AO23" i="78"/>
  <c r="BF13" i="68"/>
  <c r="BD13" i="67"/>
  <c r="AT23" i="118"/>
  <c r="V9" i="76"/>
  <c r="V23" i="74"/>
  <c r="BH23" i="74"/>
  <c r="BH9" i="76"/>
  <c r="BD23" i="118" l="1"/>
  <c r="AR23" i="118"/>
  <c r="AI23" i="119"/>
  <c r="AG23" i="118"/>
  <c r="BD12" i="120"/>
  <c r="AR11" i="120"/>
  <c r="AR19" i="120"/>
  <c r="AR17" i="120"/>
  <c r="BD14" i="120"/>
  <c r="D10" i="120"/>
  <c r="BF16" i="120"/>
  <c r="BD16" i="119"/>
  <c r="AG19" i="120"/>
  <c r="AT15" i="120"/>
  <c r="AR15" i="119"/>
  <c r="AT22" i="120"/>
  <c r="AR22" i="119"/>
  <c r="AG17" i="119"/>
  <c r="AI17" i="120"/>
  <c r="AG15" i="120"/>
  <c r="D12" i="120"/>
  <c r="AR21" i="120"/>
  <c r="BD10" i="120"/>
  <c r="D17" i="120"/>
  <c r="D13" i="119"/>
  <c r="G13" i="120"/>
  <c r="D18" i="119"/>
  <c r="G18" i="120"/>
  <c r="AT10" i="120"/>
  <c r="AR10" i="119"/>
  <c r="AT23" i="119"/>
  <c r="AG16" i="120"/>
  <c r="D14" i="120"/>
  <c r="D21" i="120"/>
  <c r="D11" i="120"/>
  <c r="BD20" i="120"/>
  <c r="BD15" i="120"/>
  <c r="AR12" i="120"/>
  <c r="AG13" i="120"/>
  <c r="D20" i="120"/>
  <c r="BF21" i="120"/>
  <c r="BD21" i="119"/>
  <c r="AG21" i="120"/>
  <c r="BD13" i="120"/>
  <c r="AG22" i="119"/>
  <c r="AI22" i="120"/>
  <c r="AR14" i="120"/>
  <c r="BD17" i="120"/>
  <c r="D16" i="120"/>
  <c r="AG11" i="120"/>
  <c r="AT20" i="120"/>
  <c r="AR20" i="119"/>
  <c r="G15" i="120"/>
  <c r="D15" i="119"/>
  <c r="D22" i="118"/>
  <c r="G22" i="119"/>
  <c r="AI12" i="120"/>
  <c r="AG12" i="119"/>
  <c r="BN23" i="120"/>
  <c r="BD18" i="120"/>
  <c r="AR13" i="120"/>
  <c r="BF11" i="120"/>
  <c r="BD11" i="119"/>
  <c r="AG10" i="120"/>
  <c r="BF23" i="119"/>
  <c r="AI18" i="69"/>
  <c r="AG18" i="68"/>
  <c r="AT12" i="69"/>
  <c r="AR12" i="68"/>
  <c r="AI13" i="69"/>
  <c r="AG13" i="68"/>
  <c r="AR16" i="68"/>
  <c r="AT16" i="69"/>
  <c r="AO23" i="79"/>
  <c r="BF11" i="69"/>
  <c r="BD11" i="68"/>
  <c r="AK9" i="79"/>
  <c r="AK23" i="78"/>
  <c r="AG9" i="67"/>
  <c r="AG23" i="67" s="1"/>
  <c r="AI9" i="68"/>
  <c r="AI23" i="67"/>
  <c r="G15" i="68"/>
  <c r="D15" i="67"/>
  <c r="S9" i="74"/>
  <c r="S23" i="73"/>
  <c r="AI16" i="69"/>
  <c r="AG16" i="68"/>
  <c r="AT13" i="69"/>
  <c r="AR13" i="68"/>
  <c r="BB9" i="77"/>
  <c r="BB23" i="76"/>
  <c r="AT20" i="69"/>
  <c r="AR20" i="68"/>
  <c r="BF17" i="69"/>
  <c r="BD17" i="68"/>
  <c r="G14" i="68"/>
  <c r="D14" i="67"/>
  <c r="G10" i="68"/>
  <c r="D10" i="67"/>
  <c r="AI17" i="69"/>
  <c r="AG17" i="68"/>
  <c r="AE9" i="71"/>
  <c r="AE23" i="70"/>
  <c r="G9" i="68"/>
  <c r="D9" i="67"/>
  <c r="G23" i="67"/>
  <c r="D23" i="67" s="1"/>
  <c r="BL9" i="73"/>
  <c r="BL23" i="71"/>
  <c r="AI20" i="69"/>
  <c r="AG20" i="68"/>
  <c r="AT17" i="69"/>
  <c r="AR17" i="68"/>
  <c r="Y9" i="71"/>
  <c r="Y23" i="70"/>
  <c r="D12" i="67"/>
  <c r="G12" i="68"/>
  <c r="D13" i="67"/>
  <c r="G13" i="68"/>
  <c r="AI12" i="69"/>
  <c r="AG12" i="68"/>
  <c r="BJ9" i="76"/>
  <c r="BJ23" i="74"/>
  <c r="G18" i="68"/>
  <c r="D18" i="67"/>
  <c r="G11" i="68"/>
  <c r="D11" i="67"/>
  <c r="BF9" i="68"/>
  <c r="BD9" i="67"/>
  <c r="BD23" i="67" s="1"/>
  <c r="BF23" i="67"/>
  <c r="AR22" i="68"/>
  <c r="AT22" i="69"/>
  <c r="BF21" i="69"/>
  <c r="BD21" i="68"/>
  <c r="AI19" i="69"/>
  <c r="AG19" i="68"/>
  <c r="BN23" i="67"/>
  <c r="BN9" i="68"/>
  <c r="AT19" i="69"/>
  <c r="AR19" i="68"/>
  <c r="BD20" i="68"/>
  <c r="BF20" i="69"/>
  <c r="AI22" i="69"/>
  <c r="AG22" i="68"/>
  <c r="BF14" i="69"/>
  <c r="BD14" i="68"/>
  <c r="AG21" i="68"/>
  <c r="AI21" i="69"/>
  <c r="D22" i="67"/>
  <c r="G22" i="68"/>
  <c r="G21" i="68"/>
  <c r="D21" i="67"/>
  <c r="AT21" i="69"/>
  <c r="AR21" i="68"/>
  <c r="D16" i="67"/>
  <c r="G16" i="68"/>
  <c r="BF10" i="69"/>
  <c r="BD10" i="68"/>
  <c r="AT14" i="69"/>
  <c r="AR14" i="68"/>
  <c r="AT11" i="69"/>
  <c r="AR11" i="68"/>
  <c r="BF19" i="69"/>
  <c r="BD19" i="68"/>
  <c r="AI11" i="69"/>
  <c r="AG11" i="68"/>
  <c r="BH23" i="76"/>
  <c r="BH9" i="77"/>
  <c r="AT10" i="69"/>
  <c r="AR10" i="68"/>
  <c r="BF22" i="69"/>
  <c r="BD22" i="68"/>
  <c r="AT18" i="69"/>
  <c r="AR18" i="68"/>
  <c r="G19" i="68"/>
  <c r="D19" i="67"/>
  <c r="BF16" i="69"/>
  <c r="BD16" i="68"/>
  <c r="AM9" i="70"/>
  <c r="AM23" i="69"/>
  <c r="AI10" i="69"/>
  <c r="AG10" i="68"/>
  <c r="AI14" i="69"/>
  <c r="AG14" i="68"/>
  <c r="V23" i="76"/>
  <c r="V9" i="77"/>
  <c r="BF13" i="69"/>
  <c r="BD13" i="68"/>
  <c r="G20" i="68"/>
  <c r="D20" i="67"/>
  <c r="AT15" i="69"/>
  <c r="AR15" i="68"/>
  <c r="AT9" i="68"/>
  <c r="AR9" i="67"/>
  <c r="AR23" i="67" s="1"/>
  <c r="AT23" i="67"/>
  <c r="G17" i="68"/>
  <c r="D17" i="67"/>
  <c r="BF15" i="69"/>
  <c r="BD15" i="68"/>
  <c r="G23" i="118"/>
  <c r="D23" i="118" s="1"/>
  <c r="AI15" i="69"/>
  <c r="AG15" i="68"/>
  <c r="BF12" i="69"/>
  <c r="BD12" i="68"/>
  <c r="BF18" i="69"/>
  <c r="BD18" i="68"/>
  <c r="P9" i="78"/>
  <c r="P23" i="77"/>
  <c r="BD23" i="119" l="1"/>
  <c r="D13" i="120"/>
  <c r="BD16" i="120"/>
  <c r="D15" i="120"/>
  <c r="AG23" i="119"/>
  <c r="AR10" i="120"/>
  <c r="AT23" i="120"/>
  <c r="AR15" i="120"/>
  <c r="AG17" i="120"/>
  <c r="BD11" i="120"/>
  <c r="AR20" i="120"/>
  <c r="AG12" i="120"/>
  <c r="AI23" i="120"/>
  <c r="D18" i="120"/>
  <c r="AG22" i="120"/>
  <c r="AR22" i="120"/>
  <c r="AR23" i="119"/>
  <c r="D22" i="119"/>
  <c r="G22" i="120"/>
  <c r="G23" i="119"/>
  <c r="D23" i="119" s="1"/>
  <c r="BD21" i="120"/>
  <c r="BF23" i="120"/>
  <c r="BF14" i="70"/>
  <c r="BD14" i="69"/>
  <c r="AG22" i="69"/>
  <c r="AI22" i="70"/>
  <c r="AG15" i="69"/>
  <c r="AI15" i="70"/>
  <c r="AI9" i="69"/>
  <c r="AG9" i="68"/>
  <c r="AG23" i="68" s="1"/>
  <c r="AI23" i="68"/>
  <c r="AI11" i="70"/>
  <c r="AG11" i="69"/>
  <c r="BF12" i="70"/>
  <c r="BD12" i="69"/>
  <c r="AE9" i="73"/>
  <c r="AE23" i="71"/>
  <c r="G10" i="69"/>
  <c r="D10" i="68"/>
  <c r="S9" i="76"/>
  <c r="S23" i="74"/>
  <c r="AK23" i="79"/>
  <c r="BF10" i="70"/>
  <c r="BD10" i="69"/>
  <c r="G12" i="69"/>
  <c r="D12" i="68"/>
  <c r="D14" i="68"/>
  <c r="G14" i="69"/>
  <c r="BF11" i="70"/>
  <c r="BD11" i="69"/>
  <c r="G9" i="69"/>
  <c r="D9" i="68"/>
  <c r="G23" i="68"/>
  <c r="D23" i="68" s="1"/>
  <c r="BJ9" i="77"/>
  <c r="BJ23" i="76"/>
  <c r="BN23" i="68"/>
  <c r="BN9" i="69"/>
  <c r="AI19" i="70"/>
  <c r="AG19" i="69"/>
  <c r="BF17" i="70"/>
  <c r="BD17" i="69"/>
  <c r="AI17" i="70"/>
  <c r="AG17" i="69"/>
  <c r="AT11" i="70"/>
  <c r="AR11" i="69"/>
  <c r="AM23" i="70"/>
  <c r="AM9" i="71"/>
  <c r="G17" i="69"/>
  <c r="D17" i="68"/>
  <c r="G19" i="69"/>
  <c r="D19" i="68"/>
  <c r="AT18" i="70"/>
  <c r="AR18" i="69"/>
  <c r="AT21" i="70"/>
  <c r="AR21" i="69"/>
  <c r="BF21" i="70"/>
  <c r="BD21" i="69"/>
  <c r="AT20" i="70"/>
  <c r="AR20" i="69"/>
  <c r="AT16" i="70"/>
  <c r="AR16" i="69"/>
  <c r="G15" i="69"/>
  <c r="D15" i="68"/>
  <c r="AI12" i="70"/>
  <c r="AG12" i="69"/>
  <c r="G16" i="69"/>
  <c r="D16" i="68"/>
  <c r="AT22" i="70"/>
  <c r="AR22" i="69"/>
  <c r="AT17" i="70"/>
  <c r="AR17" i="69"/>
  <c r="BD19" i="69"/>
  <c r="BF19" i="70"/>
  <c r="BF22" i="70"/>
  <c r="BD22" i="69"/>
  <c r="G21" i="69"/>
  <c r="D21" i="68"/>
  <c r="BB9" i="78"/>
  <c r="BB23" i="77"/>
  <c r="BF18" i="70"/>
  <c r="BD18" i="69"/>
  <c r="AI14" i="70"/>
  <c r="AG14" i="69"/>
  <c r="G22" i="69"/>
  <c r="D22" i="68"/>
  <c r="AI20" i="70"/>
  <c r="AG20" i="69"/>
  <c r="AI13" i="70"/>
  <c r="AG13" i="69"/>
  <c r="AT15" i="70"/>
  <c r="AR15" i="69"/>
  <c r="G20" i="69"/>
  <c r="D20" i="68"/>
  <c r="AT10" i="70"/>
  <c r="AR10" i="69"/>
  <c r="AT13" i="70"/>
  <c r="AR13" i="69"/>
  <c r="BF20" i="70"/>
  <c r="BD20" i="69"/>
  <c r="G13" i="69"/>
  <c r="D13" i="68"/>
  <c r="AT9" i="69"/>
  <c r="AR9" i="68"/>
  <c r="AR23" i="68" s="1"/>
  <c r="AT23" i="68"/>
  <c r="BH9" i="78"/>
  <c r="BH23" i="77"/>
  <c r="AI21" i="70"/>
  <c r="AG21" i="69"/>
  <c r="BF9" i="69"/>
  <c r="BD9" i="68"/>
  <c r="BD23" i="68" s="1"/>
  <c r="BF23" i="68"/>
  <c r="BL9" i="74"/>
  <c r="BL23" i="73"/>
  <c r="AT12" i="70"/>
  <c r="AR12" i="69"/>
  <c r="AG10" i="69"/>
  <c r="AI10" i="70"/>
  <c r="AT19" i="70"/>
  <c r="AR19" i="69"/>
  <c r="BF16" i="70"/>
  <c r="BD16" i="69"/>
  <c r="P9" i="79"/>
  <c r="P23" i="78"/>
  <c r="BF13" i="70"/>
  <c r="BD13" i="69"/>
  <c r="AG16" i="69"/>
  <c r="AI16" i="70"/>
  <c r="G18" i="69"/>
  <c r="D18" i="68"/>
  <c r="AT14" i="70"/>
  <c r="AR14" i="69"/>
  <c r="BD15" i="69"/>
  <c r="BF15" i="70"/>
  <c r="Y9" i="73"/>
  <c r="Y23" i="71"/>
  <c r="V9" i="78"/>
  <c r="V23" i="77"/>
  <c r="D11" i="68"/>
  <c r="G11" i="69"/>
  <c r="AI18" i="70"/>
  <c r="AG18" i="69"/>
  <c r="AG23" i="120" l="1"/>
  <c r="D22" i="120"/>
  <c r="AR23" i="120"/>
  <c r="BD23" i="120"/>
  <c r="G23" i="120"/>
  <c r="D23" i="120" s="1"/>
  <c r="G10" i="70"/>
  <c r="D10" i="69"/>
  <c r="G13" i="70"/>
  <c r="D13" i="69"/>
  <c r="AE9" i="74"/>
  <c r="AE23" i="73"/>
  <c r="BB9" i="79"/>
  <c r="BB23" i="78"/>
  <c r="V9" i="79"/>
  <c r="V23" i="78"/>
  <c r="AT21" i="71"/>
  <c r="AR21" i="70"/>
  <c r="BJ9" i="78"/>
  <c r="BJ23" i="77"/>
  <c r="BF12" i="71"/>
  <c r="BD12" i="70"/>
  <c r="AT20" i="71"/>
  <c r="AR20" i="70"/>
  <c r="AT18" i="71"/>
  <c r="AR18" i="70"/>
  <c r="AI19" i="71"/>
  <c r="AG19" i="70"/>
  <c r="AT12" i="71"/>
  <c r="AR12" i="70"/>
  <c r="G9" i="70"/>
  <c r="D9" i="69"/>
  <c r="G23" i="69"/>
  <c r="D23" i="69" s="1"/>
  <c r="AI11" i="71"/>
  <c r="AG11" i="70"/>
  <c r="AT16" i="71"/>
  <c r="AR16" i="70"/>
  <c r="BF20" i="71"/>
  <c r="BD20" i="70"/>
  <c r="AT15" i="71"/>
  <c r="AR15" i="70"/>
  <c r="G19" i="70"/>
  <c r="D19" i="69"/>
  <c r="AI18" i="71"/>
  <c r="AG18" i="70"/>
  <c r="BD22" i="70"/>
  <c r="BF22" i="71"/>
  <c r="BL9" i="76"/>
  <c r="BL23" i="74"/>
  <c r="BD11" i="70"/>
  <c r="BF11" i="71"/>
  <c r="D11" i="69"/>
  <c r="G11" i="70"/>
  <c r="BN23" i="69"/>
  <c r="BN9" i="70"/>
  <c r="AI13" i="71"/>
  <c r="AG13" i="70"/>
  <c r="AT22" i="71"/>
  <c r="AR22" i="70"/>
  <c r="D17" i="69"/>
  <c r="G17" i="70"/>
  <c r="D14" i="69"/>
  <c r="G14" i="70"/>
  <c r="AI9" i="70"/>
  <c r="AG9" i="69"/>
  <c r="AG23" i="69" s="1"/>
  <c r="AI23" i="69"/>
  <c r="AI10" i="71"/>
  <c r="AG10" i="70"/>
  <c r="BF19" i="71"/>
  <c r="BD19" i="70"/>
  <c r="AI16" i="71"/>
  <c r="AG16" i="70"/>
  <c r="AI21" i="71"/>
  <c r="AG21" i="70"/>
  <c r="AM9" i="73"/>
  <c r="AM23" i="71"/>
  <c r="AI15" i="71"/>
  <c r="AG15" i="70"/>
  <c r="BF17" i="71"/>
  <c r="BD17" i="70"/>
  <c r="Y9" i="74"/>
  <c r="Y23" i="73"/>
  <c r="AT14" i="71"/>
  <c r="AR14" i="70"/>
  <c r="AI20" i="71"/>
  <c r="AG20" i="70"/>
  <c r="D16" i="69"/>
  <c r="G16" i="70"/>
  <c r="S9" i="77"/>
  <c r="S23" i="76"/>
  <c r="AT13" i="71"/>
  <c r="AR13" i="70"/>
  <c r="AT17" i="71"/>
  <c r="AR17" i="70"/>
  <c r="D18" i="69"/>
  <c r="G18" i="70"/>
  <c r="BH9" i="79"/>
  <c r="BH23" i="78"/>
  <c r="G12" i="70"/>
  <c r="D12" i="69"/>
  <c r="AI22" i="71"/>
  <c r="AG22" i="70"/>
  <c r="BF16" i="71"/>
  <c r="BD16" i="70"/>
  <c r="BF21" i="71"/>
  <c r="BD21" i="70"/>
  <c r="BD9" i="69"/>
  <c r="BD23" i="69" s="1"/>
  <c r="BF23" i="69"/>
  <c r="BF9" i="70"/>
  <c r="BF13" i="71"/>
  <c r="BD13" i="70"/>
  <c r="G22" i="70"/>
  <c r="D22" i="69"/>
  <c r="AI12" i="71"/>
  <c r="AG12" i="70"/>
  <c r="AT11" i="71"/>
  <c r="AR11" i="70"/>
  <c r="BF15" i="71"/>
  <c r="BD15" i="70"/>
  <c r="BF10" i="71"/>
  <c r="BD10" i="70"/>
  <c r="BF18" i="71"/>
  <c r="BD18" i="70"/>
  <c r="AT19" i="71"/>
  <c r="AR19" i="70"/>
  <c r="D21" i="69"/>
  <c r="G21" i="70"/>
  <c r="AR10" i="70"/>
  <c r="AT10" i="71"/>
  <c r="G20" i="70"/>
  <c r="D20" i="69"/>
  <c r="P23" i="79"/>
  <c r="AT9" i="70"/>
  <c r="AR9" i="69"/>
  <c r="AR23" i="69" s="1"/>
  <c r="AT23" i="69"/>
  <c r="AG14" i="70"/>
  <c r="AI14" i="71"/>
  <c r="G15" i="70"/>
  <c r="D15" i="69"/>
  <c r="AI17" i="71"/>
  <c r="AG17" i="70"/>
  <c r="BF14" i="71"/>
  <c r="BD14" i="70"/>
  <c r="BF21" i="73" l="1"/>
  <c r="BD21" i="71"/>
  <c r="AT20" i="73"/>
  <c r="AR20" i="71"/>
  <c r="AT18" i="73"/>
  <c r="AR18" i="71"/>
  <c r="BF12" i="73"/>
  <c r="BD12" i="71"/>
  <c r="AR19" i="71"/>
  <c r="AT19" i="73"/>
  <c r="AT15" i="73"/>
  <c r="AR15" i="71"/>
  <c r="AI20" i="73"/>
  <c r="AG20" i="71"/>
  <c r="BJ9" i="79"/>
  <c r="BJ23" i="78"/>
  <c r="AT14" i="73"/>
  <c r="AR14" i="71"/>
  <c r="AR22" i="71"/>
  <c r="AT22" i="73"/>
  <c r="BF20" i="73"/>
  <c r="BD20" i="71"/>
  <c r="BF16" i="73"/>
  <c r="BD16" i="71"/>
  <c r="AI22" i="73"/>
  <c r="AG22" i="71"/>
  <c r="BH23" i="79"/>
  <c r="AT21" i="73"/>
  <c r="AR21" i="71"/>
  <c r="AG18" i="71"/>
  <c r="AI18" i="73"/>
  <c r="AI13" i="73"/>
  <c r="AG13" i="71"/>
  <c r="AR16" i="71"/>
  <c r="AT16" i="73"/>
  <c r="G14" i="71"/>
  <c r="D14" i="70"/>
  <c r="AM9" i="74"/>
  <c r="AM23" i="73"/>
  <c r="BN9" i="71"/>
  <c r="BN23" i="70"/>
  <c r="V23" i="79"/>
  <c r="BD14" i="71"/>
  <c r="BF14" i="73"/>
  <c r="BF18" i="73"/>
  <c r="BD18" i="71"/>
  <c r="BF10" i="73"/>
  <c r="BD10" i="71"/>
  <c r="BF15" i="73"/>
  <c r="BD15" i="71"/>
  <c r="AI11" i="73"/>
  <c r="AG11" i="71"/>
  <c r="AI14" i="73"/>
  <c r="AG14" i="71"/>
  <c r="AG21" i="71"/>
  <c r="AI21" i="73"/>
  <c r="G11" i="71"/>
  <c r="D11" i="70"/>
  <c r="BB23" i="79"/>
  <c r="AI17" i="73"/>
  <c r="AG17" i="71"/>
  <c r="G15" i="71"/>
  <c r="D15" i="70"/>
  <c r="AG15" i="71"/>
  <c r="AI15" i="73"/>
  <c r="D22" i="70"/>
  <c r="G22" i="71"/>
  <c r="G12" i="71"/>
  <c r="D12" i="70"/>
  <c r="G18" i="71"/>
  <c r="D18" i="70"/>
  <c r="AR13" i="71"/>
  <c r="AT13" i="73"/>
  <c r="AI16" i="73"/>
  <c r="AG16" i="71"/>
  <c r="BF11" i="73"/>
  <c r="BD11" i="71"/>
  <c r="G9" i="71"/>
  <c r="D9" i="70"/>
  <c r="G23" i="70"/>
  <c r="D23" i="70" s="1"/>
  <c r="AE9" i="76"/>
  <c r="AE23" i="74"/>
  <c r="G17" i="71"/>
  <c r="D17" i="70"/>
  <c r="AT9" i="71"/>
  <c r="AR9" i="70"/>
  <c r="AR23" i="70" s="1"/>
  <c r="AT23" i="70"/>
  <c r="AT17" i="73"/>
  <c r="AR17" i="71"/>
  <c r="G20" i="71"/>
  <c r="D20" i="70"/>
  <c r="BF13" i="73"/>
  <c r="BD13" i="71"/>
  <c r="BD17" i="71"/>
  <c r="BF17" i="73"/>
  <c r="AT10" i="73"/>
  <c r="AR10" i="71"/>
  <c r="BF9" i="71"/>
  <c r="BD9" i="70"/>
  <c r="BD23" i="70" s="1"/>
  <c r="BF23" i="70"/>
  <c r="S9" i="78"/>
  <c r="S23" i="77"/>
  <c r="BF19" i="73"/>
  <c r="BD19" i="71"/>
  <c r="AT12" i="73"/>
  <c r="AR12" i="71"/>
  <c r="D13" i="70"/>
  <c r="G13" i="71"/>
  <c r="AI9" i="71"/>
  <c r="AG9" i="70"/>
  <c r="AG23" i="70" s="1"/>
  <c r="AI23" i="70"/>
  <c r="Y9" i="76"/>
  <c r="Y23" i="74"/>
  <c r="AT11" i="73"/>
  <c r="AR11" i="71"/>
  <c r="D16" i="70"/>
  <c r="G16" i="71"/>
  <c r="BL9" i="77"/>
  <c r="BL23" i="76"/>
  <c r="D19" i="70"/>
  <c r="G19" i="71"/>
  <c r="AG12" i="71"/>
  <c r="AI12" i="73"/>
  <c r="G21" i="71"/>
  <c r="D21" i="70"/>
  <c r="AI10" i="73"/>
  <c r="AG10" i="71"/>
  <c r="BF22" i="73"/>
  <c r="BD22" i="71"/>
  <c r="AI19" i="73"/>
  <c r="AG19" i="71"/>
  <c r="G10" i="71"/>
  <c r="D10" i="70"/>
  <c r="AR22" i="73" l="1"/>
  <c r="AT22" i="74"/>
  <c r="AT14" i="74"/>
  <c r="AR14" i="73"/>
  <c r="AT10" i="74"/>
  <c r="AR10" i="73"/>
  <c r="BJ23" i="79"/>
  <c r="AT11" i="74"/>
  <c r="AR11" i="73"/>
  <c r="AG16" i="73"/>
  <c r="AI16" i="74"/>
  <c r="AG13" i="73"/>
  <c r="AI13" i="74"/>
  <c r="AI20" i="74"/>
  <c r="AG20" i="73"/>
  <c r="AM9" i="76"/>
  <c r="AM23" i="74"/>
  <c r="G10" i="73"/>
  <c r="D10" i="71"/>
  <c r="AI18" i="74"/>
  <c r="AG18" i="73"/>
  <c r="AT16" i="74"/>
  <c r="AR16" i="73"/>
  <c r="AT17" i="74"/>
  <c r="AR17" i="73"/>
  <c r="AT15" i="74"/>
  <c r="AR15" i="73"/>
  <c r="AI21" i="74"/>
  <c r="AG21" i="73"/>
  <c r="AT19" i="74"/>
  <c r="AR19" i="73"/>
  <c r="G11" i="73"/>
  <c r="D11" i="71"/>
  <c r="BF10" i="74"/>
  <c r="BD10" i="73"/>
  <c r="AT21" i="74"/>
  <c r="AR21" i="73"/>
  <c r="AI19" i="74"/>
  <c r="AG19" i="73"/>
  <c r="G13" i="73"/>
  <c r="D13" i="71"/>
  <c r="AT9" i="73"/>
  <c r="AR9" i="71"/>
  <c r="AR23" i="71" s="1"/>
  <c r="AT23" i="71"/>
  <c r="AG15" i="73"/>
  <c r="AI15" i="74"/>
  <c r="G14" i="73"/>
  <c r="D14" i="71"/>
  <c r="AI9" i="73"/>
  <c r="AG9" i="71"/>
  <c r="AG23" i="71" s="1"/>
  <c r="AI23" i="71"/>
  <c r="BF18" i="74"/>
  <c r="BD18" i="73"/>
  <c r="BF12" i="74"/>
  <c r="BD12" i="73"/>
  <c r="Y9" i="77"/>
  <c r="Y23" i="76"/>
  <c r="D20" i="71"/>
  <c r="G20" i="73"/>
  <c r="BD15" i="73"/>
  <c r="BF15" i="74"/>
  <c r="AI12" i="74"/>
  <c r="AG12" i="73"/>
  <c r="BF19" i="74"/>
  <c r="BD19" i="73"/>
  <c r="D17" i="71"/>
  <c r="G17" i="73"/>
  <c r="BD14" i="73"/>
  <c r="BF14" i="74"/>
  <c r="BD11" i="73"/>
  <c r="BF11" i="74"/>
  <c r="AI14" i="74"/>
  <c r="AG14" i="73"/>
  <c r="G18" i="73"/>
  <c r="D18" i="71"/>
  <c r="AT12" i="74"/>
  <c r="AR12" i="73"/>
  <c r="G15" i="73"/>
  <c r="D15" i="71"/>
  <c r="AI22" i="74"/>
  <c r="AG22" i="73"/>
  <c r="AT18" i="74"/>
  <c r="AR18" i="73"/>
  <c r="BF17" i="74"/>
  <c r="BD17" i="73"/>
  <c r="AT13" i="74"/>
  <c r="AR13" i="73"/>
  <c r="G12" i="73"/>
  <c r="D12" i="71"/>
  <c r="AI10" i="74"/>
  <c r="AG10" i="73"/>
  <c r="G19" i="73"/>
  <c r="D19" i="71"/>
  <c r="S9" i="79"/>
  <c r="S23" i="78"/>
  <c r="AE23" i="76"/>
  <c r="AE9" i="77"/>
  <c r="AI11" i="74"/>
  <c r="AG11" i="73"/>
  <c r="BF22" i="74"/>
  <c r="BD22" i="73"/>
  <c r="AI17" i="74"/>
  <c r="AG17" i="73"/>
  <c r="BF16" i="74"/>
  <c r="BD16" i="73"/>
  <c r="AT20" i="74"/>
  <c r="AR20" i="73"/>
  <c r="BD13" i="73"/>
  <c r="BF13" i="74"/>
  <c r="G16" i="73"/>
  <c r="D16" i="71"/>
  <c r="D22" i="71"/>
  <c r="G22" i="73"/>
  <c r="G21" i="73"/>
  <c r="D21" i="71"/>
  <c r="BL9" i="78"/>
  <c r="BL23" i="77"/>
  <c r="BF9" i="73"/>
  <c r="BD9" i="71"/>
  <c r="BD23" i="71" s="1"/>
  <c r="BF23" i="71"/>
  <c r="G9" i="73"/>
  <c r="D9" i="71"/>
  <c r="G23" i="71"/>
  <c r="D23" i="71" s="1"/>
  <c r="BN23" i="71"/>
  <c r="BN9" i="73"/>
  <c r="BD20" i="73"/>
  <c r="BF20" i="74"/>
  <c r="BF21" i="74"/>
  <c r="BD21" i="73"/>
  <c r="D20" i="73" l="1"/>
  <c r="G20" i="74"/>
  <c r="G10" i="74"/>
  <c r="D10" i="73"/>
  <c r="AM9" i="77"/>
  <c r="AM23" i="76"/>
  <c r="D21" i="73"/>
  <c r="G21" i="74"/>
  <c r="AG20" i="74"/>
  <c r="AI20" i="76"/>
  <c r="AI13" i="76"/>
  <c r="AG13" i="74"/>
  <c r="G15" i="74"/>
  <c r="D15" i="73"/>
  <c r="AT21" i="76"/>
  <c r="AR21" i="74"/>
  <c r="D19" i="73"/>
  <c r="G19" i="74"/>
  <c r="D11" i="73"/>
  <c r="G11" i="74"/>
  <c r="BF9" i="74"/>
  <c r="BD9" i="73"/>
  <c r="BD23" i="73" s="1"/>
  <c r="BF23" i="73"/>
  <c r="AR12" i="74"/>
  <c r="AT12" i="76"/>
  <c r="S23" i="79"/>
  <c r="AI16" i="76"/>
  <c r="AG16" i="74"/>
  <c r="AE23" i="77"/>
  <c r="AE9" i="78"/>
  <c r="AT19" i="76"/>
  <c r="AR19" i="74"/>
  <c r="Y9" i="78"/>
  <c r="Y23" i="77"/>
  <c r="BF14" i="76"/>
  <c r="BD14" i="74"/>
  <c r="AI9" i="74"/>
  <c r="AG9" i="73"/>
  <c r="AG23" i="73" s="1"/>
  <c r="AI23" i="73"/>
  <c r="AI11" i="76"/>
  <c r="AG11" i="74"/>
  <c r="G22" i="74"/>
  <c r="D22" i="73"/>
  <c r="AG21" i="74"/>
  <c r="AI21" i="76"/>
  <c r="AT11" i="76"/>
  <c r="AR11" i="74"/>
  <c r="AG14" i="74"/>
  <c r="AI14" i="76"/>
  <c r="G16" i="74"/>
  <c r="D16" i="73"/>
  <c r="G17" i="74"/>
  <c r="D17" i="73"/>
  <c r="D14" i="73"/>
  <c r="G14" i="74"/>
  <c r="G18" i="74"/>
  <c r="D18" i="73"/>
  <c r="BF11" i="76"/>
  <c r="BD11" i="74"/>
  <c r="AI15" i="76"/>
  <c r="AG15" i="74"/>
  <c r="AR15" i="74"/>
  <c r="AT15" i="76"/>
  <c r="BF20" i="76"/>
  <c r="BD20" i="74"/>
  <c r="BN23" i="73"/>
  <c r="BN9" i="74"/>
  <c r="BF12" i="76"/>
  <c r="BD12" i="74"/>
  <c r="BF16" i="76"/>
  <c r="BD16" i="74"/>
  <c r="BF17" i="76"/>
  <c r="BD17" i="74"/>
  <c r="BD19" i="74"/>
  <c r="BF19" i="76"/>
  <c r="AT17" i="76"/>
  <c r="AR17" i="74"/>
  <c r="AT10" i="76"/>
  <c r="AR10" i="74"/>
  <c r="BF18" i="76"/>
  <c r="BD18" i="74"/>
  <c r="BF13" i="76"/>
  <c r="BD13" i="74"/>
  <c r="BL9" i="79"/>
  <c r="BL23" i="78"/>
  <c r="AI10" i="76"/>
  <c r="AG10" i="74"/>
  <c r="BF21" i="76"/>
  <c r="BD21" i="74"/>
  <c r="AT20" i="76"/>
  <c r="AR20" i="74"/>
  <c r="AG17" i="74"/>
  <c r="AI17" i="76"/>
  <c r="AR18" i="74"/>
  <c r="AT18" i="76"/>
  <c r="AG12" i="74"/>
  <c r="AI12" i="76"/>
  <c r="AT9" i="74"/>
  <c r="AR9" i="73"/>
  <c r="AR23" i="73" s="1"/>
  <c r="AT23" i="73"/>
  <c r="AT16" i="76"/>
  <c r="AR16" i="74"/>
  <c r="AT14" i="76"/>
  <c r="AR14" i="74"/>
  <c r="BF10" i="76"/>
  <c r="BD10" i="74"/>
  <c r="AT13" i="76"/>
  <c r="AR13" i="74"/>
  <c r="G9" i="74"/>
  <c r="D9" i="73"/>
  <c r="G23" i="73"/>
  <c r="D23" i="73" s="1"/>
  <c r="BF15" i="76"/>
  <c r="BD15" i="74"/>
  <c r="AT22" i="76"/>
  <c r="AR22" i="74"/>
  <c r="AI19" i="76"/>
  <c r="AG19" i="74"/>
  <c r="D12" i="73"/>
  <c r="G12" i="74"/>
  <c r="BF22" i="76"/>
  <c r="BD22" i="74"/>
  <c r="AI22" i="76"/>
  <c r="AG22" i="74"/>
  <c r="G13" i="74"/>
  <c r="D13" i="73"/>
  <c r="AI18" i="76"/>
  <c r="AG18" i="74"/>
  <c r="AI12" i="77" l="1"/>
  <c r="AG12" i="76"/>
  <c r="AR21" i="76"/>
  <c r="AT21" i="77"/>
  <c r="D12" i="74"/>
  <c r="G12" i="76"/>
  <c r="AT9" i="76"/>
  <c r="AR9" i="74"/>
  <c r="AR23" i="74" s="1"/>
  <c r="AT23" i="74"/>
  <c r="BF14" i="77"/>
  <c r="BD14" i="76"/>
  <c r="D15" i="74"/>
  <c r="G15" i="76"/>
  <c r="G19" i="76"/>
  <c r="D19" i="74"/>
  <c r="AR19" i="76"/>
  <c r="AT19" i="77"/>
  <c r="BF15" i="77"/>
  <c r="BD15" i="76"/>
  <c r="AE9" i="79"/>
  <c r="AE23" i="78"/>
  <c r="AG13" i="76"/>
  <c r="AI13" i="77"/>
  <c r="D14" i="74"/>
  <c r="G14" i="76"/>
  <c r="AG20" i="76"/>
  <c r="AI20" i="77"/>
  <c r="AG9" i="74"/>
  <c r="AG23" i="74" s="1"/>
  <c r="AI9" i="76"/>
  <c r="AI23" i="74"/>
  <c r="AR18" i="76"/>
  <c r="AT18" i="77"/>
  <c r="AI17" i="77"/>
  <c r="AG17" i="76"/>
  <c r="BD12" i="76"/>
  <c r="BF12" i="77"/>
  <c r="AR22" i="76"/>
  <c r="AT22" i="77"/>
  <c r="AT20" i="77"/>
  <c r="AR20" i="76"/>
  <c r="BN23" i="74"/>
  <c r="BN9" i="76"/>
  <c r="AI16" i="77"/>
  <c r="AG16" i="76"/>
  <c r="D21" i="74"/>
  <c r="G21" i="76"/>
  <c r="AT10" i="77"/>
  <c r="AR10" i="76"/>
  <c r="AR11" i="76"/>
  <c r="AT11" i="77"/>
  <c r="BF17" i="77"/>
  <c r="BD17" i="76"/>
  <c r="BD16" i="76"/>
  <c r="BF16" i="77"/>
  <c r="AI21" i="77"/>
  <c r="AG21" i="76"/>
  <c r="AT13" i="77"/>
  <c r="AR13" i="76"/>
  <c r="G13" i="76"/>
  <c r="D13" i="74"/>
  <c r="BL23" i="79"/>
  <c r="BD20" i="76"/>
  <c r="BF20" i="77"/>
  <c r="AR12" i="76"/>
  <c r="AT12" i="77"/>
  <c r="AM9" i="78"/>
  <c r="AM23" i="77"/>
  <c r="BD19" i="76"/>
  <c r="BF19" i="77"/>
  <c r="G9" i="76"/>
  <c r="D9" i="74"/>
  <c r="G23" i="74"/>
  <c r="D23" i="74" s="1"/>
  <c r="AT14" i="77"/>
  <c r="AR14" i="76"/>
  <c r="AT15" i="77"/>
  <c r="AR15" i="76"/>
  <c r="BF11" i="77"/>
  <c r="BD11" i="76"/>
  <c r="AT17" i="77"/>
  <c r="AR17" i="76"/>
  <c r="G17" i="76"/>
  <c r="D17" i="74"/>
  <c r="AG14" i="76"/>
  <c r="AI14" i="77"/>
  <c r="BF10" i="77"/>
  <c r="BD10" i="76"/>
  <c r="AI22" i="77"/>
  <c r="AG22" i="76"/>
  <c r="BD13" i="76"/>
  <c r="BF13" i="77"/>
  <c r="G22" i="76"/>
  <c r="D22" i="74"/>
  <c r="G10" i="76"/>
  <c r="D10" i="74"/>
  <c r="G11" i="76"/>
  <c r="D11" i="74"/>
  <c r="AI19" i="77"/>
  <c r="AG19" i="76"/>
  <c r="G16" i="76"/>
  <c r="D16" i="74"/>
  <c r="AG10" i="76"/>
  <c r="AI10" i="77"/>
  <c r="AT16" i="77"/>
  <c r="AR16" i="76"/>
  <c r="G20" i="76"/>
  <c r="D20" i="74"/>
  <c r="G18" i="76"/>
  <c r="D18" i="74"/>
  <c r="Y9" i="79"/>
  <c r="Y23" i="78"/>
  <c r="BF21" i="77"/>
  <c r="BD21" i="76"/>
  <c r="AG18" i="76"/>
  <c r="AI18" i="77"/>
  <c r="BD22" i="76"/>
  <c r="BF22" i="77"/>
  <c r="BF18" i="77"/>
  <c r="BD18" i="76"/>
  <c r="AG15" i="76"/>
  <c r="AI15" i="77"/>
  <c r="AG11" i="76"/>
  <c r="AI11" i="77"/>
  <c r="BD9" i="74"/>
  <c r="BD23" i="74" s="1"/>
  <c r="BF9" i="76"/>
  <c r="BF23" i="74"/>
  <c r="AT20" i="78" l="1"/>
  <c r="AR20" i="77"/>
  <c r="BF11" i="78"/>
  <c r="BD11" i="77"/>
  <c r="G19" i="77"/>
  <c r="D19" i="76"/>
  <c r="G16" i="77"/>
  <c r="D16" i="76"/>
  <c r="AT13" i="78"/>
  <c r="AR13" i="77"/>
  <c r="G15" i="77"/>
  <c r="D15" i="76"/>
  <c r="BD15" i="77"/>
  <c r="BF15" i="78"/>
  <c r="AT18" i="78"/>
  <c r="AR18" i="77"/>
  <c r="AE23" i="79"/>
  <c r="BF18" i="78"/>
  <c r="BD18" i="77"/>
  <c r="D11" i="76"/>
  <c r="G11" i="77"/>
  <c r="G13" i="77"/>
  <c r="D13" i="76"/>
  <c r="BF22" i="78"/>
  <c r="BD22" i="77"/>
  <c r="AR15" i="77"/>
  <c r="AT15" i="78"/>
  <c r="AR14" i="77"/>
  <c r="AT14" i="78"/>
  <c r="BF14" i="78"/>
  <c r="BD14" i="77"/>
  <c r="AT22" i="78"/>
  <c r="AR22" i="77"/>
  <c r="G10" i="77"/>
  <c r="D10" i="76"/>
  <c r="AI9" i="77"/>
  <c r="AG9" i="76"/>
  <c r="AG23" i="76" s="1"/>
  <c r="AI23" i="76"/>
  <c r="BF16" i="78"/>
  <c r="BD16" i="77"/>
  <c r="AI19" i="78"/>
  <c r="AG19" i="77"/>
  <c r="BF12" i="78"/>
  <c r="BD12" i="77"/>
  <c r="G9" i="77"/>
  <c r="D9" i="76"/>
  <c r="G23" i="76"/>
  <c r="D23" i="76" s="1"/>
  <c r="AM9" i="79"/>
  <c r="AM23" i="78"/>
  <c r="AT10" i="78"/>
  <c r="AR10" i="77"/>
  <c r="AI20" i="78"/>
  <c r="AG20" i="77"/>
  <c r="AR9" i="76"/>
  <c r="AR23" i="76" s="1"/>
  <c r="AT9" i="77"/>
  <c r="AT23" i="76"/>
  <c r="AI21" i="78"/>
  <c r="AG21" i="77"/>
  <c r="D20" i="76"/>
  <c r="G20" i="77"/>
  <c r="BF10" i="78"/>
  <c r="BD10" i="77"/>
  <c r="AR12" i="77"/>
  <c r="AT12" i="78"/>
  <c r="D21" i="76"/>
  <c r="G21" i="77"/>
  <c r="G12" i="77"/>
  <c r="D12" i="76"/>
  <c r="AT17" i="78"/>
  <c r="AR17" i="77"/>
  <c r="AG17" i="77"/>
  <c r="AI17" i="78"/>
  <c r="AT11" i="78"/>
  <c r="AR11" i="77"/>
  <c r="G18" i="77"/>
  <c r="D18" i="76"/>
  <c r="BF9" i="77"/>
  <c r="BD9" i="76"/>
  <c r="BD23" i="76" s="1"/>
  <c r="BF23" i="76"/>
  <c r="AI14" i="78"/>
  <c r="AG14" i="77"/>
  <c r="G14" i="77"/>
  <c r="D14" i="76"/>
  <c r="BF17" i="78"/>
  <c r="BD17" i="77"/>
  <c r="AT16" i="78"/>
  <c r="AR16" i="77"/>
  <c r="BF20" i="78"/>
  <c r="BD20" i="77"/>
  <c r="AT21" i="78"/>
  <c r="AR21" i="77"/>
  <c r="BD21" i="77"/>
  <c r="BF21" i="78"/>
  <c r="BF13" i="78"/>
  <c r="BD13" i="77"/>
  <c r="BD19" i="77"/>
  <c r="BF19" i="78"/>
  <c r="AG22" i="77"/>
  <c r="AI22" i="78"/>
  <c r="AI11" i="78"/>
  <c r="AG11" i="77"/>
  <c r="AI10" i="78"/>
  <c r="AG10" i="77"/>
  <c r="AG16" i="77"/>
  <c r="AI16" i="78"/>
  <c r="AI13" i="78"/>
  <c r="AG13" i="77"/>
  <c r="D17" i="76"/>
  <c r="G17" i="77"/>
  <c r="BN23" i="76"/>
  <c r="BN9" i="77"/>
  <c r="AT19" i="78"/>
  <c r="AR19" i="77"/>
  <c r="AG18" i="77"/>
  <c r="AI18" i="78"/>
  <c r="G22" i="77"/>
  <c r="D22" i="76"/>
  <c r="Y23" i="79"/>
  <c r="AI15" i="78"/>
  <c r="AG15" i="77"/>
  <c r="AI12" i="78"/>
  <c r="AG12" i="77"/>
  <c r="AT18" i="79" l="1"/>
  <c r="AR18" i="78"/>
  <c r="AT11" i="79"/>
  <c r="AR11" i="78"/>
  <c r="BD15" i="78"/>
  <c r="BF15" i="79"/>
  <c r="BF9" i="78"/>
  <c r="BF23" i="77"/>
  <c r="BD9" i="77"/>
  <c r="BD23" i="77" s="1"/>
  <c r="G18" i="78"/>
  <c r="D18" i="77"/>
  <c r="AT22" i="79"/>
  <c r="AR22" i="78"/>
  <c r="AG21" i="78"/>
  <c r="AI21" i="79"/>
  <c r="BD19" i="78"/>
  <c r="BF19" i="79"/>
  <c r="BF14" i="79"/>
  <c r="BD14" i="78"/>
  <c r="G15" i="78"/>
  <c r="D15" i="77"/>
  <c r="AI22" i="79"/>
  <c r="AG22" i="78"/>
  <c r="BF13" i="79"/>
  <c r="BD13" i="78"/>
  <c r="AR19" i="78"/>
  <c r="AT19" i="79"/>
  <c r="AR14" i="78"/>
  <c r="AT14" i="79"/>
  <c r="BF21" i="79"/>
  <c r="BD21" i="78"/>
  <c r="AM23" i="79"/>
  <c r="AT13" i="79"/>
  <c r="AR13" i="78"/>
  <c r="AI18" i="79"/>
  <c r="AG18" i="78"/>
  <c r="AR15" i="78"/>
  <c r="AT15" i="79"/>
  <c r="G22" i="78"/>
  <c r="D22" i="77"/>
  <c r="AT16" i="79"/>
  <c r="AR16" i="78"/>
  <c r="D21" i="77"/>
  <c r="G21" i="78"/>
  <c r="G16" i="78"/>
  <c r="D16" i="77"/>
  <c r="BD16" i="78"/>
  <c r="BF16" i="79"/>
  <c r="AG20" i="78"/>
  <c r="AI20" i="79"/>
  <c r="AR21" i="78"/>
  <c r="AT21" i="79"/>
  <c r="AG16" i="78"/>
  <c r="AI16" i="79"/>
  <c r="G9" i="78"/>
  <c r="D9" i="77"/>
  <c r="G23" i="77"/>
  <c r="D23" i="77" s="1"/>
  <c r="AI13" i="79"/>
  <c r="AG13" i="78"/>
  <c r="BF17" i="79"/>
  <c r="BD17" i="78"/>
  <c r="AT12" i="79"/>
  <c r="AR12" i="78"/>
  <c r="BD22" i="78"/>
  <c r="BF22" i="79"/>
  <c r="G19" i="78"/>
  <c r="D19" i="77"/>
  <c r="BN23" i="77"/>
  <c r="BN9" i="78"/>
  <c r="G17" i="78"/>
  <c r="D17" i="77"/>
  <c r="G12" i="78"/>
  <c r="D12" i="77"/>
  <c r="BF12" i="79"/>
  <c r="BD12" i="78"/>
  <c r="BD18" i="78"/>
  <c r="BF18" i="79"/>
  <c r="AT9" i="78"/>
  <c r="AR9" i="77"/>
  <c r="AR23" i="77" s="1"/>
  <c r="AT23" i="77"/>
  <c r="AR17" i="78"/>
  <c r="AT17" i="79"/>
  <c r="AI12" i="79"/>
  <c r="AG12" i="78"/>
  <c r="AI10" i="79"/>
  <c r="AG10" i="78"/>
  <c r="G14" i="78"/>
  <c r="D14" i="77"/>
  <c r="D13" i="77"/>
  <c r="G13" i="78"/>
  <c r="BF11" i="79"/>
  <c r="BD11" i="78"/>
  <c r="D10" i="77"/>
  <c r="G10" i="78"/>
  <c r="BF10" i="79"/>
  <c r="BD10" i="78"/>
  <c r="AG19" i="78"/>
  <c r="AI19" i="79"/>
  <c r="G11" i="78"/>
  <c r="D11" i="77"/>
  <c r="AI9" i="78"/>
  <c r="AG9" i="77"/>
  <c r="AG23" i="77" s="1"/>
  <c r="AI23" i="77"/>
  <c r="AG17" i="78"/>
  <c r="AI17" i="79"/>
  <c r="AT10" i="79"/>
  <c r="AR10" i="78"/>
  <c r="BF20" i="79"/>
  <c r="BD20" i="78"/>
  <c r="AI15" i="79"/>
  <c r="AG15" i="78"/>
  <c r="AI11" i="79"/>
  <c r="AG11" i="78"/>
  <c r="AI14" i="79"/>
  <c r="AG14" i="78"/>
  <c r="D20" i="77"/>
  <c r="G20" i="78"/>
  <c r="AT20" i="79"/>
  <c r="AR20" i="78"/>
  <c r="AG18" i="79" l="1"/>
  <c r="AG21" i="79"/>
  <c r="G11" i="79"/>
  <c r="D11" i="78"/>
  <c r="G15" i="79"/>
  <c r="D15" i="78"/>
  <c r="G20" i="79"/>
  <c r="D20" i="78"/>
  <c r="BD10" i="79"/>
  <c r="AG11" i="79"/>
  <c r="AR20" i="79"/>
  <c r="AR22" i="79"/>
  <c r="G22" i="79"/>
  <c r="D22" i="78"/>
  <c r="AG16" i="79"/>
  <c r="G12" i="79"/>
  <c r="D12" i="78"/>
  <c r="BN9" i="79"/>
  <c r="BN23" i="78"/>
  <c r="BD21" i="79"/>
  <c r="G18" i="79"/>
  <c r="D18" i="78"/>
  <c r="BD18" i="79"/>
  <c r="AR14" i="79"/>
  <c r="G9" i="79"/>
  <c r="D9" i="78"/>
  <c r="G23" i="78"/>
  <c r="D23" i="78" s="1"/>
  <c r="AR13" i="79"/>
  <c r="BD11" i="79"/>
  <c r="G13" i="79"/>
  <c r="D13" i="78"/>
  <c r="AG19" i="79"/>
  <c r="D19" i="78"/>
  <c r="G19" i="79"/>
  <c r="AR19" i="79"/>
  <c r="BF9" i="79"/>
  <c r="BD9" i="78"/>
  <c r="BD23" i="78" s="1"/>
  <c r="BF23" i="78"/>
  <c r="AG15" i="79"/>
  <c r="AG17" i="79"/>
  <c r="AG10" i="79"/>
  <c r="BD22" i="79"/>
  <c r="G16" i="79"/>
  <c r="D16" i="78"/>
  <c r="BD15" i="79"/>
  <c r="AG13" i="79"/>
  <c r="AG20" i="79"/>
  <c r="BD20" i="79"/>
  <c r="G21" i="79"/>
  <c r="D21" i="78"/>
  <c r="AT9" i="79"/>
  <c r="AR9" i="78"/>
  <c r="AR23" i="78" s="1"/>
  <c r="AT23" i="78"/>
  <c r="D10" i="78"/>
  <c r="G10" i="79"/>
  <c r="AR21" i="79"/>
  <c r="G17" i="79"/>
  <c r="D17" i="78"/>
  <c r="AR10" i="79"/>
  <c r="AG12" i="79"/>
  <c r="BD13" i="79"/>
  <c r="AR15" i="79"/>
  <c r="AR17" i="79"/>
  <c r="AR12" i="79"/>
  <c r="AR11" i="79"/>
  <c r="BD14" i="79"/>
  <c r="BD12" i="79"/>
  <c r="D14" i="78"/>
  <c r="G14" i="79"/>
  <c r="AI9" i="79"/>
  <c r="AG9" i="78"/>
  <c r="AG23" i="78" s="1"/>
  <c r="AI23" i="78"/>
  <c r="AR16" i="79"/>
  <c r="AG22" i="79"/>
  <c r="BD19" i="79"/>
  <c r="AG14" i="79"/>
  <c r="BD16" i="79"/>
  <c r="BD17" i="79"/>
  <c r="AR18" i="79"/>
  <c r="D18" i="79" l="1"/>
  <c r="D20" i="79"/>
  <c r="D19" i="79"/>
  <c r="D15" i="79"/>
  <c r="D10" i="79"/>
  <c r="AR9" i="79"/>
  <c r="AR23" i="79" s="1"/>
  <c r="AT23" i="79"/>
  <c r="D22" i="79"/>
  <c r="BN23" i="79"/>
  <c r="D11" i="79"/>
  <c r="D17" i="79"/>
  <c r="D9" i="79"/>
  <c r="G23" i="79"/>
  <c r="D23" i="79" s="1"/>
  <c r="BF23" i="79"/>
  <c r="BD9" i="79"/>
  <c r="BD23" i="79" s="1"/>
  <c r="D12" i="79"/>
  <c r="AG9" i="79"/>
  <c r="AG23" i="79" s="1"/>
  <c r="AI23" i="79"/>
  <c r="D13" i="79"/>
  <c r="D21" i="79"/>
  <c r="D14" i="79"/>
  <c r="D16" i="79"/>
</calcChain>
</file>

<file path=xl/sharedStrings.xml><?xml version="1.0" encoding="utf-8"?>
<sst xmlns="http://schemas.openxmlformats.org/spreadsheetml/2006/main" count="9452" uniqueCount="103">
  <si>
    <t>Худудий бўлинмалар ходимлари томонидан ахборот технологиялари соҳасидаги жиноятларни олдини олиш бўйича амалга оширилган ишлар</t>
  </si>
  <si>
    <t>Худудий бўлинмалар  ходимлари томонидан ахборот технологиялари соҳасидаги жиноятларни олдини олиш бўйича амалга оширилган ишлар</t>
  </si>
  <si>
    <t>Ҳ И С О Б О Т   Ж А Д В А Л И</t>
  </si>
  <si>
    <t>ҲИСОБОТ ЖАДВАЛИ</t>
  </si>
  <si>
    <r>
      <rPr>
        <b/>
        <sz val="12"/>
        <rFont val="Cambria"/>
        <family val="1"/>
        <charset val="204"/>
      </rPr>
      <t xml:space="preserve">1-жадвал </t>
    </r>
    <r>
      <rPr>
        <b/>
        <i/>
        <sz val="12"/>
        <color rgb="FFFF0000"/>
        <rFont val="Cambria"/>
        <family val="1"/>
        <charset val="204"/>
      </rPr>
      <t>01.03.2026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</si>
  <si>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01.03.2026 йил</t>
    </r>
  </si>
  <si>
    <t xml:space="preserve">Худудлар </t>
  </si>
  <si>
    <t xml:space="preserve">   Ўтказилган учрашувлар сони март ойи учун </t>
  </si>
  <si>
    <t>Учрашувда иштирок этган фуқаролар сони</t>
  </si>
  <si>
    <t>Оммавий ахборот воситаларида чиқишлар сони</t>
  </si>
  <si>
    <t>Тарқатилган материаллар</t>
  </si>
  <si>
    <t>Суҳбатлар</t>
  </si>
  <si>
    <t>ЖАМИ</t>
  </si>
  <si>
    <t>маҳаллалар</t>
  </si>
  <si>
    <t>олий таълим муассасалари</t>
  </si>
  <si>
    <t>академик лицейлар</t>
  </si>
  <si>
    <t>ўрта таълим муассасалари</t>
  </si>
  <si>
    <t>мактабгача таълим муассасалари</t>
  </si>
  <si>
    <t>касалхона ва поликлиника</t>
  </si>
  <si>
    <t>бозорлар</t>
  </si>
  <si>
    <t>ҲМҚОрганлари</t>
  </si>
  <si>
    <t>бошқа идора ва ташкилотлар</t>
  </si>
  <si>
    <t xml:space="preserve"> учрашувлар давомида </t>
  </si>
  <si>
    <t xml:space="preserve">Онлайн тарғибот давомида </t>
  </si>
  <si>
    <t>18 ёшгача</t>
  </si>
  <si>
    <t>18 ёшдан катта</t>
  </si>
  <si>
    <t>Жами</t>
  </si>
  <si>
    <t>телевидения</t>
  </si>
  <si>
    <t>радио</t>
  </si>
  <si>
    <t>газета</t>
  </si>
  <si>
    <t>журнал</t>
  </si>
  <si>
    <t>интернет (ижтимоий тармоқлар)</t>
  </si>
  <si>
    <t>Видеоролик ва Кон</t>
  </si>
  <si>
    <t>Баннер</t>
  </si>
  <si>
    <t>Флаер</t>
  </si>
  <si>
    <t>Буклет</t>
  </si>
  <si>
    <t>Бошқа</t>
  </si>
  <si>
    <t>Пробация рўйғатида турувчи шахслар билан ўтказилган суҳбат</t>
  </si>
  <si>
    <t>сони</t>
  </si>
  <si>
    <t>бир кунда</t>
  </si>
  <si>
    <t>ой бошидан</t>
  </si>
  <si>
    <t>Сони</t>
  </si>
  <si>
    <t xml:space="preserve">ИИВ </t>
  </si>
  <si>
    <t xml:space="preserve">ҚКР </t>
  </si>
  <si>
    <t xml:space="preserve">Тошкент шаҳри </t>
  </si>
  <si>
    <t xml:space="preserve">Тошкент вилояти </t>
  </si>
  <si>
    <t xml:space="preserve">Андижон вилояти </t>
  </si>
  <si>
    <t xml:space="preserve">Бухоро вилояти </t>
  </si>
  <si>
    <t xml:space="preserve">Жиззах вилояти </t>
  </si>
  <si>
    <t xml:space="preserve">Қашқадарё вилояти </t>
  </si>
  <si>
    <t xml:space="preserve">умумий утирганлар билан </t>
  </si>
  <si>
    <t xml:space="preserve">Навоий вилояти </t>
  </si>
  <si>
    <t xml:space="preserve">Наманган вилояти </t>
  </si>
  <si>
    <t xml:space="preserve">Самарқанд вилояти </t>
  </si>
  <si>
    <t xml:space="preserve">Сирдарё вилояти </t>
  </si>
  <si>
    <t xml:space="preserve">Сурхондарё вилояти </t>
  </si>
  <si>
    <t xml:space="preserve">1862 та давлатники </t>
  </si>
  <si>
    <t xml:space="preserve">1302 та хусусий </t>
  </si>
  <si>
    <t xml:space="preserve">Фарғона </t>
  </si>
  <si>
    <t xml:space="preserve">Хоразм </t>
  </si>
  <si>
    <t>Видеоролик ва кон</t>
  </si>
  <si>
    <t xml:space="preserve">Видео ва конт </t>
  </si>
  <si>
    <t xml:space="preserve">бозорлар ва савдо </t>
  </si>
  <si>
    <t>маҳаллалар ва хонадон</t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</si>
  <si>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01.05.2026 йил</t>
    </r>
  </si>
  <si>
    <t>02</t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</si>
  <si>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02.05.2026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</si>
  <si>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03.05.2026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</si>
  <si>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04.05.2026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</si>
  <si>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05.05.2026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</si>
  <si>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06.05.2026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</si>
  <si>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07.05.2026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</si>
  <si>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08.05.2026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</si>
  <si>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09.05.2026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</si>
  <si>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10.05.2026 йил</t>
    </r>
  </si>
  <si>
    <r>
      <rPr>
        <b/>
        <sz val="12"/>
        <rFont val="Cambria"/>
        <family val="1"/>
        <charset val="204"/>
      </rPr>
      <t>2-жадвал</t>
    </r>
    <r>
      <rPr>
        <b/>
        <i/>
        <sz val="12"/>
        <color rgb="FFFF0000"/>
        <rFont val="Cambria"/>
        <family val="1"/>
        <charset val="204"/>
      </rPr>
      <t xml:space="preserve"> 11.05.2026 йил</t>
    </r>
  </si>
  <si>
    <t xml:space="preserve">Видеоролик ва контент </t>
  </si>
  <si>
    <t>ҚҚР</t>
  </si>
  <si>
    <t xml:space="preserve">  </t>
  </si>
  <si>
    <r>
      <t>2-жадвал</t>
    </r>
    <r>
      <rPr>
        <b/>
        <i/>
        <sz val="12"/>
        <color rgb="FFFF0000"/>
        <rFont val="Cambria"/>
        <family val="1"/>
        <charset val="204"/>
      </rPr>
      <t xml:space="preserve"> 05.05.2026 йил</t>
    </r>
  </si>
  <si>
    <t>Аҳоли сони</t>
  </si>
  <si>
    <t xml:space="preserve">Шундан </t>
  </si>
  <si>
    <t>ҲМҚО</t>
  </si>
  <si>
    <t>Шундан, қизил МФЙлар</t>
  </si>
  <si>
    <t>Қизил МФЙлар</t>
  </si>
  <si>
    <t>Маҳаллалар</t>
  </si>
  <si>
    <r>
      <t xml:space="preserve">ИИО бошлиқларининг шахсан аҳолига </t>
    </r>
    <r>
      <rPr>
        <b/>
        <sz val="11"/>
        <color rgb="FFC00000"/>
        <rFont val="Cambria"/>
        <family val="1"/>
        <charset val="204"/>
      </rPr>
      <t>ТВ орқали</t>
    </r>
    <r>
      <rPr>
        <b/>
        <sz val="11"/>
        <color rgb="FF000000"/>
        <rFont val="Cambria"/>
        <family val="1"/>
        <charset val="204"/>
      </rPr>
      <t xml:space="preserve"> мурожаати</t>
    </r>
  </si>
  <si>
    <t>Шундан</t>
  </si>
  <si>
    <t>Т/Р</t>
  </si>
  <si>
    <t>"Хавфсиз ва соғлом юрт" тезкор-профилактик тадбири давомида республика миқёсида ахборот технологиялари соҳасидаги жиноятларга қарши курашиш соҳасида амалга оширилган ишлар</t>
  </si>
  <si>
    <t>Учрашувларда қамраб олинган аҳоли сони</t>
  </si>
  <si>
    <t xml:space="preserve"> Таълим муассасалари</t>
  </si>
  <si>
    <t>бозорлар ва йирик савдо мажмуалари</t>
  </si>
  <si>
    <t>истироҳат боғлари ва кунгил очар жойлар</t>
  </si>
  <si>
    <t xml:space="preserve">масжидлар </t>
  </si>
  <si>
    <t>Жамоат транспортлари</t>
  </si>
  <si>
    <t>Пробация рўйҳатида турувчи шахслар билан ўтказилган суҳбат</t>
  </si>
  <si>
    <r>
      <t>Тадбир давомида жалб қилинган хизматлар                  (</t>
    </r>
    <r>
      <rPr>
        <b/>
        <i/>
        <sz val="11"/>
        <color theme="1"/>
        <rFont val="Cambria"/>
        <family val="1"/>
        <charset val="204"/>
        <scheme val="major"/>
      </rPr>
      <t>ИИО соҳавий хизматлар</t>
    </r>
    <r>
      <rPr>
        <b/>
        <sz val="11"/>
        <color theme="1"/>
        <rFont val="Cambria"/>
        <family val="1"/>
        <charset val="204"/>
        <scheme val="major"/>
      </rPr>
      <t xml:space="preserve">)  </t>
    </r>
  </si>
  <si>
    <t xml:space="preserve">   Ўтказилган учрашувлар сони июль ойи учун </t>
  </si>
  <si>
    <t>туман</t>
  </si>
  <si>
    <t>шаҳар</t>
  </si>
  <si>
    <t xml:space="preserve">КР </t>
  </si>
  <si>
    <t xml:space="preserve">сайбер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</si>
</sst>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0">
    <font>
      <sz val="11"/>
      <name val="Calibri"/>
      <charset val="134"/>
    </font>
    <font>
      <b/>
      <sz val="12"/>
      <color rgb="FF0070C0"/>
      <name val="Cambria"/>
      <family val="1"/>
      <charset val="204"/>
    </font>
    <font>
      <b/>
      <sz val="12"/>
      <name val="Cambria"/>
      <family val="1"/>
      <charset val="204"/>
    </font>
    <font>
      <b/>
      <sz val="11"/>
      <color rgb="FF000000"/>
      <name val="Cambria"/>
      <family val="1"/>
      <charset val="204"/>
    </font>
    <font>
      <b/>
      <sz val="11"/>
      <color theme="1"/>
      <name val="Cambria"/>
      <family val="1"/>
      <charset val="204"/>
      <scheme val="major"/>
    </font>
    <font>
      <sz val="11"/>
      <color rgb="FF000000"/>
      <name val="Cambria"/>
      <family val="1"/>
      <charset val="204"/>
    </font>
    <font>
      <sz val="11"/>
      <color theme="1"/>
      <name val="Cambria"/>
      <family val="1"/>
      <charset val="204"/>
      <scheme val="major"/>
    </font>
    <font>
      <sz val="11"/>
      <name val="Cambria"/>
      <family val="1"/>
      <charset val="204"/>
    </font>
    <font>
      <b/>
      <sz val="11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b/>
      <i/>
      <sz val="12"/>
      <color rgb="FFFF0000"/>
      <name val="Cambria"/>
      <family val="1"/>
      <charset val="204"/>
    </font>
    <font>
      <b/>
      <sz val="11"/>
      <color rgb="FFC00000"/>
      <name val="Cambria"/>
      <family val="1"/>
      <charset val="204"/>
    </font>
    <font>
      <b/>
      <sz val="12"/>
      <color rgb="FFC00000"/>
      <name val="Cambria"/>
      <family val="1"/>
      <charset val="204"/>
    </font>
    <font>
      <sz val="11"/>
      <name val="Calibri"/>
      <family val="2"/>
      <charset val="204"/>
    </font>
    <font>
      <b/>
      <sz val="11"/>
      <color rgb="FF7030A0"/>
      <name val="Cambria"/>
      <family val="1"/>
      <charset val="204"/>
    </font>
    <font>
      <b/>
      <sz val="14"/>
      <color rgb="FF7030A0"/>
      <name val="Cambria"/>
      <family val="1"/>
      <charset val="204"/>
    </font>
    <font>
      <b/>
      <i/>
      <sz val="11"/>
      <color theme="1"/>
      <name val="Cambria"/>
      <family val="1"/>
      <charset val="204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27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0" fillId="0" borderId="0"/>
    <xf numFmtId="0" fontId="11" fillId="0" borderId="0">
      <protection locked="0"/>
    </xf>
    <xf numFmtId="0" fontId="12" fillId="0" borderId="0">
      <protection locked="0"/>
    </xf>
  </cellStyleXfs>
  <cellXfs count="208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5" fillId="6" borderId="16" xfId="0" applyFont="1" applyFill="1" applyBorder="1" applyAlignment="1">
      <alignment horizontal="center" vertical="center" textRotation="90"/>
    </xf>
    <xf numFmtId="0" fontId="5" fillId="0" borderId="18" xfId="0" applyFont="1" applyBorder="1" applyAlignment="1">
      <alignment horizontal="center" vertical="center" textRotation="90"/>
    </xf>
    <xf numFmtId="0" fontId="5" fillId="7" borderId="17" xfId="0" applyFont="1" applyFill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6" fillId="8" borderId="16" xfId="0" applyFont="1" applyFill="1" applyBorder="1" applyAlignment="1">
      <alignment horizontal="center" vertical="center" textRotation="90"/>
    </xf>
    <xf numFmtId="0" fontId="6" fillId="2" borderId="18" xfId="0" applyFont="1" applyFill="1" applyBorder="1" applyAlignment="1">
      <alignment horizontal="center" vertical="center" textRotation="90"/>
    </xf>
    <xf numFmtId="0" fontId="6" fillId="7" borderId="17" xfId="0" applyFont="1" applyFill="1" applyBorder="1" applyAlignment="1">
      <alignment horizontal="center" vertical="center" textRotation="90"/>
    </xf>
    <xf numFmtId="0" fontId="7" fillId="0" borderId="21" xfId="3" applyFont="1" applyBorder="1" applyAlignment="1" applyProtection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7" fillId="6" borderId="22" xfId="2" applyFont="1" applyFill="1" applyBorder="1" applyAlignment="1" applyProtection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7" fillId="0" borderId="28" xfId="3" applyFont="1" applyBorder="1" applyAlignment="1" applyProtection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6" borderId="29" xfId="2" applyFont="1" applyFill="1" applyBorder="1" applyAlignment="1" applyProtection="1">
      <alignment horizontal="center" vertical="center"/>
    </xf>
    <xf numFmtId="0" fontId="7" fillId="6" borderId="29" xfId="2" applyFont="1" applyFill="1" applyBorder="1" applyAlignment="1" applyProtection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7" fillId="0" borderId="32" xfId="3" applyFont="1" applyBorder="1" applyAlignment="1" applyProtection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6" borderId="33" xfId="2" applyFont="1" applyFill="1" applyBorder="1" applyAlignment="1" applyProtection="1">
      <alignment horizontal="center" vertical="center"/>
    </xf>
    <xf numFmtId="0" fontId="7" fillId="6" borderId="33" xfId="2" applyFont="1" applyFill="1" applyBorder="1" applyAlignment="1" applyProtection="1">
      <alignment horizontal="center" vertical="center"/>
    </xf>
    <xf numFmtId="0" fontId="5" fillId="0" borderId="34" xfId="0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164" fontId="3" fillId="7" borderId="24" xfId="0" applyNumberFormat="1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7" fillId="2" borderId="28" xfId="3" applyFont="1" applyFill="1" applyBorder="1" applyAlignment="1" applyProtection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8" borderId="29" xfId="2" applyFont="1" applyFill="1" applyBorder="1" applyAlignment="1" applyProtection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8" borderId="29" xfId="2" applyFont="1" applyFill="1" applyBorder="1" applyAlignment="1" applyProtection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7" fillId="10" borderId="29" xfId="2" applyFont="1" applyFill="1" applyBorder="1" applyAlignment="1" applyProtection="1">
      <alignment horizontal="center" vertical="center"/>
    </xf>
    <xf numFmtId="0" fontId="8" fillId="0" borderId="38" xfId="3" applyFont="1" applyBorder="1" applyAlignment="1" applyProtection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" fillId="2" borderId="30" xfId="0" quotePrefix="1" applyFont="1" applyFill="1" applyBorder="1" applyAlignment="1">
      <alignment horizontal="center" vertical="center"/>
    </xf>
    <xf numFmtId="0" fontId="5" fillId="7" borderId="24" xfId="0" quotePrefix="1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 textRotation="90"/>
    </xf>
    <xf numFmtId="0" fontId="5" fillId="7" borderId="30" xfId="0" applyFont="1" applyFill="1" applyBorder="1" applyAlignment="1">
      <alignment horizontal="center" vertical="center" textRotation="90"/>
    </xf>
    <xf numFmtId="0" fontId="5" fillId="0" borderId="30" xfId="0" applyFont="1" applyBorder="1" applyAlignment="1">
      <alignment horizontal="center" vertical="center" textRotation="90"/>
    </xf>
    <xf numFmtId="0" fontId="6" fillId="8" borderId="30" xfId="0" applyFont="1" applyFill="1" applyBorder="1" applyAlignment="1">
      <alignment horizontal="center" vertical="center" textRotation="90"/>
    </xf>
    <xf numFmtId="0" fontId="5" fillId="6" borderId="30" xfId="2" applyFont="1" applyFill="1" applyBorder="1" applyAlignment="1" applyProtection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7" fillId="6" borderId="30" xfId="2" applyFont="1" applyFill="1" applyBorder="1" applyAlignment="1" applyProtection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5" fillId="8" borderId="30" xfId="2" applyFont="1" applyFill="1" applyBorder="1" applyAlignment="1" applyProtection="1">
      <alignment horizontal="center" vertical="center"/>
    </xf>
    <xf numFmtId="0" fontId="7" fillId="8" borderId="30" xfId="2" applyFont="1" applyFill="1" applyBorder="1" applyAlignment="1" applyProtection="1">
      <alignment horizontal="center" vertical="center"/>
    </xf>
    <xf numFmtId="0" fontId="8" fillId="0" borderId="30" xfId="3" applyFont="1" applyBorder="1" applyAlignment="1" applyProtection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 textRotation="90"/>
    </xf>
    <xf numFmtId="0" fontId="7" fillId="0" borderId="30" xfId="3" applyFont="1" applyBorder="1" applyAlignment="1" applyProtection="1">
      <alignment horizontal="left" vertical="center"/>
    </xf>
    <xf numFmtId="0" fontId="7" fillId="2" borderId="30" xfId="3" applyFont="1" applyFill="1" applyBorder="1" applyAlignment="1" applyProtection="1">
      <alignment horizontal="left" vertical="center"/>
    </xf>
    <xf numFmtId="0" fontId="0" fillId="0" borderId="30" xfId="0" applyBorder="1" applyAlignment="1">
      <alignment horizontal="center" vertical="center" wrapText="1"/>
    </xf>
    <xf numFmtId="0" fontId="1" fillId="2" borderId="0" xfId="0" applyFont="1" applyFill="1">
      <alignment vertical="center"/>
    </xf>
    <xf numFmtId="0" fontId="17" fillId="0" borderId="30" xfId="0" applyFont="1" applyBorder="1" applyAlignment="1">
      <alignment horizontal="center" vertical="center" textRotation="90"/>
    </xf>
    <xf numFmtId="0" fontId="15" fillId="0" borderId="30" xfId="0" applyFont="1" applyBorder="1" applyAlignment="1">
      <alignment horizontal="center" vertical="center" textRotation="90"/>
    </xf>
    <xf numFmtId="0" fontId="14" fillId="13" borderId="30" xfId="0" applyFont="1" applyFill="1" applyBorder="1" applyAlignment="1">
      <alignment horizontal="center" vertical="center" textRotation="90"/>
    </xf>
    <xf numFmtId="0" fontId="14" fillId="13" borderId="30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 textRotation="90"/>
    </xf>
    <xf numFmtId="0" fontId="7" fillId="0" borderId="30" xfId="3" applyFont="1" applyBorder="1" applyAlignment="1" applyProtection="1">
      <alignment horizontal="left" vertical="center" wrapText="1"/>
    </xf>
    <xf numFmtId="0" fontId="7" fillId="2" borderId="30" xfId="3" applyFont="1" applyFill="1" applyBorder="1" applyAlignment="1" applyProtection="1">
      <alignment horizontal="left" vertical="center" wrapText="1"/>
    </xf>
    <xf numFmtId="0" fontId="13" fillId="0" borderId="0" xfId="0" applyFont="1">
      <alignment vertical="center"/>
    </xf>
    <xf numFmtId="0" fontId="2" fillId="0" borderId="0" xfId="0" applyFont="1">
      <alignment vertical="center"/>
    </xf>
    <xf numFmtId="0" fontId="1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9" fillId="0" borderId="4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3" fontId="18" fillId="13" borderId="30" xfId="0" applyNumberFormat="1" applyFont="1" applyFill="1" applyBorder="1" applyAlignment="1">
      <alignment horizontal="center" vertical="center"/>
    </xf>
    <xf numFmtId="3" fontId="18" fillId="14" borderId="30" xfId="0" applyNumberFormat="1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90"/>
    </xf>
    <xf numFmtId="0" fontId="5" fillId="0" borderId="46" xfId="0" applyFont="1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13" borderId="30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3" fillId="12" borderId="30" xfId="0" applyFont="1" applyFill="1" applyBorder="1" applyAlignment="1">
      <alignment horizontal="center" vertical="center"/>
    </xf>
    <xf numFmtId="0" fontId="3" fillId="12" borderId="45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0" fontId="3" fillId="12" borderId="43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12" borderId="45" xfId="0" applyFont="1" applyFill="1" applyBorder="1" applyAlignment="1">
      <alignment horizontal="center" vertical="center" wrapText="1"/>
    </xf>
    <xf numFmtId="0" fontId="3" fillId="12" borderId="43" xfId="0" applyFont="1" applyFill="1" applyBorder="1" applyAlignment="1">
      <alignment horizontal="center" vertical="center" wrapText="1"/>
    </xf>
    <xf numFmtId="0" fontId="3" fillId="12" borderId="25" xfId="0" applyFont="1" applyFill="1" applyBorder="1" applyAlignment="1">
      <alignment horizontal="center" vertical="center" wrapText="1"/>
    </xf>
    <xf numFmtId="0" fontId="3" fillId="12" borderId="44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2" borderId="46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12" borderId="30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4" fillId="4" borderId="4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</cellXfs>
  <cellStyles count="4">
    <cellStyle name="Normal" xfId="0" builtinId="0"/>
    <cellStyle name="Обычный 2" xfId="1" xr:uid="{00000000-0005-0000-0000-000001000000}"/>
    <cellStyle name="Обычный_Динамика 1-Территория 2000-2010 2" xfId="2" xr:uid="{00000000-0005-0000-0000-000002000000}"/>
    <cellStyle name="Обычный_Лист1 2" xfId="3" xr:uid="{00000000-0005-0000-0000-000003000000}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4"/>
  <sheetViews>
    <sheetView zoomScale="115" zoomScaleNormal="115" workbookViewId="0">
      <pane xSplit="4" ySplit="8" topLeftCell="AP16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9.140625" customWidth="1"/>
    <col min="4" max="4" width="10.140625" customWidth="1"/>
    <col min="5" max="6" width="6.28515625" customWidth="1"/>
    <col min="7" max="7" width="9.28515625" customWidth="1"/>
    <col min="8" max="28" width="6.28515625" customWidth="1"/>
    <col min="29" max="29" width="7.7109375" customWidth="1"/>
    <col min="30" max="30" width="6.28515625" customWidth="1"/>
    <col min="31" max="31" width="8.710937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6.85546875" customWidth="1"/>
    <col min="39" max="39" width="15.28515625" customWidth="1"/>
    <col min="40" max="41" width="12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32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0</v>
      </c>
      <c r="D9" s="31" t="e">
        <f t="shared" si="0"/>
        <v>#REF!</v>
      </c>
      <c r="E9" s="32">
        <v>452</v>
      </c>
      <c r="F9" s="22"/>
      <c r="G9" s="23" t="e">
        <f>F9+#REF!</f>
        <v>#REF!</v>
      </c>
      <c r="H9" s="33">
        <v>12</v>
      </c>
      <c r="I9" s="34"/>
      <c r="J9" s="23" t="e">
        <f>I9+#REF!</f>
        <v>#REF!</v>
      </c>
      <c r="K9" s="33">
        <v>2</v>
      </c>
      <c r="L9" s="22"/>
      <c r="M9" s="23" t="e">
        <f>L9+#REF!</f>
        <v>#REF!</v>
      </c>
      <c r="N9" s="33">
        <v>735</v>
      </c>
      <c r="O9" s="22"/>
      <c r="P9" s="23" t="e">
        <f>O9+#REF!</f>
        <v>#REF!</v>
      </c>
      <c r="Q9" s="33">
        <v>502</v>
      </c>
      <c r="R9" s="22"/>
      <c r="S9" s="23" t="e">
        <f>R9+#REF!</f>
        <v>#REF!</v>
      </c>
      <c r="T9" s="33">
        <v>197</v>
      </c>
      <c r="U9" s="22"/>
      <c r="V9" s="23" t="e">
        <f>U9+#REF!</f>
        <v>#REF!</v>
      </c>
      <c r="W9" s="33">
        <v>47</v>
      </c>
      <c r="X9" s="22"/>
      <c r="Y9" s="23" t="e">
        <f>X9+#REF!</f>
        <v>#REF!</v>
      </c>
      <c r="Z9" s="33">
        <v>34</v>
      </c>
      <c r="AA9" s="22"/>
      <c r="AB9" s="23" t="e">
        <f>AA9+#REF!</f>
        <v>#REF!</v>
      </c>
      <c r="AC9" s="33">
        <v>1860</v>
      </c>
      <c r="AD9" s="22"/>
      <c r="AE9" s="23" t="e">
        <f>AD9+#REF!</f>
        <v>#REF!</v>
      </c>
      <c r="AF9" s="19">
        <v>0</v>
      </c>
      <c r="AG9" s="20">
        <v>0</v>
      </c>
      <c r="AH9" s="24"/>
      <c r="AI9" s="23" t="e">
        <f>AH9+#REF!</f>
        <v>#REF!</v>
      </c>
      <c r="AJ9" s="24"/>
      <c r="AK9" s="23" t="e">
        <f>AJ9+#REF!</f>
        <v>#REF!</v>
      </c>
      <c r="AL9" s="22"/>
      <c r="AM9" s="23" t="e">
        <f>AL9+#REF!</f>
        <v>#REF!</v>
      </c>
      <c r="AN9" s="22"/>
      <c r="AO9" s="23" t="e">
        <f>AN9+#REF!</f>
        <v>#REF!</v>
      </c>
      <c r="AP9" s="28" t="s">
        <v>43</v>
      </c>
      <c r="AQ9" s="19">
        <v>0</v>
      </c>
      <c r="AR9" s="20">
        <v>0</v>
      </c>
      <c r="AS9" s="34"/>
      <c r="AT9" s="23" t="e">
        <f>AS9+#REF!</f>
        <v>#REF!</v>
      </c>
      <c r="AU9" s="34"/>
      <c r="AV9" s="23" t="e">
        <f>AU9+#REF!</f>
        <v>#REF!</v>
      </c>
      <c r="AW9" s="34"/>
      <c r="AX9" s="23" t="e">
        <f>AW9+#REF!</f>
        <v>#REF!</v>
      </c>
      <c r="AY9" s="34"/>
      <c r="AZ9" s="23" t="e">
        <f>AY9+#REF!</f>
        <v>#REF!</v>
      </c>
      <c r="BA9" s="34"/>
      <c r="BB9" s="23" t="e">
        <f>BA9+#REF!</f>
        <v>#REF!</v>
      </c>
      <c r="BC9" s="19">
        <v>0</v>
      </c>
      <c r="BD9" s="20">
        <v>0</v>
      </c>
      <c r="BE9" s="22"/>
      <c r="BF9" s="23" t="e">
        <f>BE9+#REF!</f>
        <v>#REF!</v>
      </c>
      <c r="BG9" s="34"/>
      <c r="BH9" s="23" t="e">
        <f>BG9+#REF!</f>
        <v>#REF!</v>
      </c>
      <c r="BI9" s="22"/>
      <c r="BJ9" s="23" t="e">
        <f>BI9+#REF!</f>
        <v>#REF!</v>
      </c>
      <c r="BK9" s="22"/>
      <c r="BL9" s="23" t="e">
        <f>BK9+#REF!</f>
        <v>#REF!</v>
      </c>
      <c r="BM9" s="22"/>
      <c r="BN9" s="23" t="e">
        <f>BM9+#REF!</f>
        <v>#REF!</v>
      </c>
      <c r="BO9" s="36">
        <v>14</v>
      </c>
      <c r="BP9" s="37"/>
      <c r="BQ9" s="23" t="e">
        <f>BP9+#REF!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0</v>
      </c>
      <c r="D10" s="31" t="e">
        <f t="shared" si="0"/>
        <v>#REF!</v>
      </c>
      <c r="E10" s="32">
        <v>585</v>
      </c>
      <c r="F10" s="22">
        <v>0</v>
      </c>
      <c r="G10" s="23" t="e">
        <f>F10+#REF!</f>
        <v>#REF!</v>
      </c>
      <c r="H10" s="33">
        <v>93</v>
      </c>
      <c r="I10" s="34">
        <v>0</v>
      </c>
      <c r="J10" s="23" t="e">
        <f>I10+#REF!</f>
        <v>#REF!</v>
      </c>
      <c r="K10" s="33">
        <v>34</v>
      </c>
      <c r="L10" s="22">
        <v>0</v>
      </c>
      <c r="M10" s="23" t="e">
        <f>L10+#REF!</f>
        <v>#REF!</v>
      </c>
      <c r="N10" s="33">
        <v>352</v>
      </c>
      <c r="O10" s="22">
        <v>0</v>
      </c>
      <c r="P10" s="23" t="e">
        <f>O10+#REF!</f>
        <v>#REF!</v>
      </c>
      <c r="Q10" s="33">
        <v>549</v>
      </c>
      <c r="R10" s="22">
        <v>0</v>
      </c>
      <c r="S10" s="23" t="e">
        <f>R10+#REF!</f>
        <v>#REF!</v>
      </c>
      <c r="T10" s="33">
        <v>198</v>
      </c>
      <c r="U10" s="22">
        <v>0</v>
      </c>
      <c r="V10" s="23" t="e">
        <f>U10+#REF!</f>
        <v>#REF!</v>
      </c>
      <c r="W10" s="38">
        <v>55</v>
      </c>
      <c r="X10" s="22">
        <v>0</v>
      </c>
      <c r="Y10" s="23" t="e">
        <f>X10+#REF!</f>
        <v>#REF!</v>
      </c>
      <c r="Z10" s="38">
        <v>71</v>
      </c>
      <c r="AA10" s="22">
        <v>0</v>
      </c>
      <c r="AB10" s="23" t="e">
        <f>AA10+#REF!</f>
        <v>#REF!</v>
      </c>
      <c r="AC10" s="38">
        <v>1690</v>
      </c>
      <c r="AD10" s="22">
        <v>0</v>
      </c>
      <c r="AE10" s="23" t="e">
        <f>AD10+#REF!</f>
        <v>#REF!</v>
      </c>
      <c r="AF10" s="19">
        <v>0</v>
      </c>
      <c r="AG10" s="20">
        <v>0</v>
      </c>
      <c r="AH10" s="24">
        <v>0</v>
      </c>
      <c r="AI10" s="23" t="e">
        <f>AH10+#REF!</f>
        <v>#REF!</v>
      </c>
      <c r="AJ10" s="24">
        <v>0</v>
      </c>
      <c r="AK10" s="23" t="e">
        <f>AJ10+#REF!</f>
        <v>#REF!</v>
      </c>
      <c r="AL10" s="22">
        <v>0</v>
      </c>
      <c r="AM10" s="23" t="e">
        <f>AL10+#REF!</f>
        <v>#REF!</v>
      </c>
      <c r="AN10" s="22">
        <v>0</v>
      </c>
      <c r="AO10" s="23" t="e">
        <f>AN10+#REF!</f>
        <v>#REF!</v>
      </c>
      <c r="AP10" s="28" t="s">
        <v>44</v>
      </c>
      <c r="AQ10" s="19">
        <v>0</v>
      </c>
      <c r="AR10" s="20">
        <v>0</v>
      </c>
      <c r="AS10" s="34">
        <v>0</v>
      </c>
      <c r="AT10" s="23" t="e">
        <f>AS10+#REF!</f>
        <v>#REF!</v>
      </c>
      <c r="AU10" s="34">
        <v>0</v>
      </c>
      <c r="AV10" s="23" t="e">
        <f>AU10+#REF!</f>
        <v>#REF!</v>
      </c>
      <c r="AW10" s="34">
        <v>0</v>
      </c>
      <c r="AX10" s="23" t="e">
        <f>AW10+#REF!</f>
        <v>#REF!</v>
      </c>
      <c r="AY10" s="34">
        <v>0</v>
      </c>
      <c r="AZ10" s="23" t="e">
        <f>AY10+#REF!</f>
        <v>#REF!</v>
      </c>
      <c r="BA10" s="34">
        <v>0</v>
      </c>
      <c r="BB10" s="23" t="e">
        <f>BA10+#REF!</f>
        <v>#REF!</v>
      </c>
      <c r="BC10" s="19">
        <v>0</v>
      </c>
      <c r="BD10" s="20">
        <v>0</v>
      </c>
      <c r="BE10" s="22">
        <v>0</v>
      </c>
      <c r="BF10" s="23" t="e">
        <f>BE10+#REF!</f>
        <v>#REF!</v>
      </c>
      <c r="BG10" s="34">
        <v>0</v>
      </c>
      <c r="BH10" s="23" t="e">
        <f>BG10+#REF!</f>
        <v>#REF!</v>
      </c>
      <c r="BI10" s="22">
        <v>0</v>
      </c>
      <c r="BJ10" s="23" t="e">
        <f>BI10+#REF!</f>
        <v>#REF!</v>
      </c>
      <c r="BK10" s="22">
        <v>0</v>
      </c>
      <c r="BL10" s="23" t="e">
        <f>BK10+#REF!</f>
        <v>#REF!</v>
      </c>
      <c r="BM10" s="22">
        <v>0</v>
      </c>
      <c r="BN10" s="23" t="e">
        <f>BM10+#REF!</f>
        <v>#REF!</v>
      </c>
      <c r="BO10" s="36">
        <v>32</v>
      </c>
      <c r="BP10" s="37">
        <v>0</v>
      </c>
      <c r="BQ10" s="23" t="e">
        <f>BP10+#REF!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155</v>
      </c>
      <c r="D11" s="31" t="e">
        <f t="shared" si="0"/>
        <v>#REF!</v>
      </c>
      <c r="E11" s="32">
        <v>883</v>
      </c>
      <c r="F11" s="22">
        <v>55</v>
      </c>
      <c r="G11" s="23" t="e">
        <f>F11+#REF!</f>
        <v>#REF!</v>
      </c>
      <c r="H11" s="33">
        <v>16</v>
      </c>
      <c r="I11" s="34">
        <v>0</v>
      </c>
      <c r="J11" s="23" t="e">
        <f>I11+#REF!</f>
        <v>#REF!</v>
      </c>
      <c r="K11" s="33">
        <v>3</v>
      </c>
      <c r="L11" s="22">
        <v>0</v>
      </c>
      <c r="M11" s="23" t="e">
        <f>L11+#REF!</f>
        <v>#REF!</v>
      </c>
      <c r="N11" s="33">
        <v>875</v>
      </c>
      <c r="O11" s="22">
        <v>0</v>
      </c>
      <c r="P11" s="23" t="e">
        <f>O11+#REF!</f>
        <v>#REF!</v>
      </c>
      <c r="Q11" s="33">
        <v>2424</v>
      </c>
      <c r="R11" s="22">
        <v>0</v>
      </c>
      <c r="S11" s="23" t="e">
        <f>R11+#REF!</f>
        <v>#REF!</v>
      </c>
      <c r="T11" s="33">
        <v>69</v>
      </c>
      <c r="U11" s="22">
        <v>0</v>
      </c>
      <c r="V11" s="23" t="e">
        <f>U11+#REF!</f>
        <v>#REF!</v>
      </c>
      <c r="W11" s="38">
        <v>133</v>
      </c>
      <c r="X11" s="22">
        <v>91</v>
      </c>
      <c r="Y11" s="23" t="e">
        <f>X11+#REF!</f>
        <v>#REF!</v>
      </c>
      <c r="Z11" s="38">
        <v>1116</v>
      </c>
      <c r="AA11" s="22">
        <v>0</v>
      </c>
      <c r="AB11" s="23" t="e">
        <f>AA11+#REF!</f>
        <v>#REF!</v>
      </c>
      <c r="AC11" s="38">
        <v>9862</v>
      </c>
      <c r="AD11" s="22">
        <v>9</v>
      </c>
      <c r="AE11" s="23" t="e">
        <f>AD11+#REF!</f>
        <v>#REF!</v>
      </c>
      <c r="AF11" s="19">
        <v>173200</v>
      </c>
      <c r="AG11" s="20">
        <v>173200</v>
      </c>
      <c r="AH11" s="24">
        <v>6200</v>
      </c>
      <c r="AI11" s="23" t="e">
        <f>AH11+#REF!</f>
        <v>#REF!</v>
      </c>
      <c r="AJ11" s="24">
        <v>9000</v>
      </c>
      <c r="AK11" s="23" t="e">
        <f>AJ11+#REF!</f>
        <v>#REF!</v>
      </c>
      <c r="AL11" s="22">
        <v>53000</v>
      </c>
      <c r="AM11" s="23" t="e">
        <f>AL11+#REF!</f>
        <v>#REF!</v>
      </c>
      <c r="AN11" s="22">
        <v>105000</v>
      </c>
      <c r="AO11" s="23" t="e">
        <f>AN11+#REF!</f>
        <v>#REF!</v>
      </c>
      <c r="AP11" s="28" t="s">
        <v>45</v>
      </c>
      <c r="AQ11" s="19">
        <v>11</v>
      </c>
      <c r="AR11" s="20">
        <v>11</v>
      </c>
      <c r="AS11" s="34">
        <v>0</v>
      </c>
      <c r="AT11" s="23" t="e">
        <f>AS11+#REF!</f>
        <v>#REF!</v>
      </c>
      <c r="AU11" s="34">
        <v>0</v>
      </c>
      <c r="AV11" s="23" t="e">
        <f>AU11+#REF!</f>
        <v>#REF!</v>
      </c>
      <c r="AW11" s="34">
        <v>0</v>
      </c>
      <c r="AX11" s="23" t="e">
        <f>AW11+#REF!</f>
        <v>#REF!</v>
      </c>
      <c r="AY11" s="34">
        <v>0</v>
      </c>
      <c r="AZ11" s="23" t="e">
        <f>AY11+#REF!</f>
        <v>#REF!</v>
      </c>
      <c r="BA11" s="34">
        <v>11</v>
      </c>
      <c r="BB11" s="23" t="e">
        <f>BA11+#REF!</f>
        <v>#REF!</v>
      </c>
      <c r="BC11" s="19">
        <v>6343</v>
      </c>
      <c r="BD11" s="20">
        <v>6343</v>
      </c>
      <c r="BE11" s="22">
        <v>12</v>
      </c>
      <c r="BF11" s="23" t="e">
        <f>BE11+#REF!</f>
        <v>#REF!</v>
      </c>
      <c r="BG11" s="34">
        <v>6</v>
      </c>
      <c r="BH11" s="23" t="e">
        <f>BG11+#REF!</f>
        <v>#REF!</v>
      </c>
      <c r="BI11" s="22">
        <v>6200</v>
      </c>
      <c r="BJ11" s="23" t="e">
        <f>BI11+#REF!</f>
        <v>#REF!</v>
      </c>
      <c r="BK11" s="22">
        <v>125</v>
      </c>
      <c r="BL11" s="23" t="e">
        <f>BK11+#REF!</f>
        <v>#REF!</v>
      </c>
      <c r="BM11" s="22">
        <v>0</v>
      </c>
      <c r="BN11" s="23" t="e">
        <f>BM11+#REF!</f>
        <v>#REF!</v>
      </c>
      <c r="BO11" s="36">
        <v>11506</v>
      </c>
      <c r="BP11" s="37">
        <v>8</v>
      </c>
      <c r="BQ11" s="23" t="e">
        <f>BP11+#REF!</f>
        <v>#REF!</v>
      </c>
    </row>
    <row r="12" spans="1:70" ht="27" customHeight="1">
      <c r="A12" s="28" t="s">
        <v>46</v>
      </c>
      <c r="B12" s="29">
        <f t="shared" si="0"/>
        <v>30164</v>
      </c>
      <c r="C12" s="30">
        <f t="shared" si="0"/>
        <v>237</v>
      </c>
      <c r="D12" s="31" t="e">
        <f t="shared" si="0"/>
        <v>#REF!</v>
      </c>
      <c r="E12" s="32">
        <v>909</v>
      </c>
      <c r="F12" s="22">
        <v>48</v>
      </c>
      <c r="G12" s="23" t="e">
        <f>F12+#REF!</f>
        <v>#REF!</v>
      </c>
      <c r="H12" s="33">
        <v>80</v>
      </c>
      <c r="I12" s="34">
        <v>5</v>
      </c>
      <c r="J12" s="23" t="e">
        <f>I12+#REF!</f>
        <v>#REF!</v>
      </c>
      <c r="K12" s="33">
        <v>5</v>
      </c>
      <c r="L12" s="22">
        <v>0</v>
      </c>
      <c r="M12" s="23" t="e">
        <f>L12+#REF!</f>
        <v>#REF!</v>
      </c>
      <c r="N12" s="33">
        <v>820</v>
      </c>
      <c r="O12" s="22">
        <v>22</v>
      </c>
      <c r="P12" s="23" t="e">
        <f>O12+#REF!</f>
        <v>#REF!</v>
      </c>
      <c r="Q12" s="33">
        <v>549</v>
      </c>
      <c r="R12" s="22">
        <v>0</v>
      </c>
      <c r="S12" s="23" t="e">
        <f>R12+#REF!</f>
        <v>#REF!</v>
      </c>
      <c r="T12" s="33">
        <v>992</v>
      </c>
      <c r="U12" s="22">
        <v>0</v>
      </c>
      <c r="V12" s="23" t="e">
        <f>U12+#REF!</f>
        <v>#REF!</v>
      </c>
      <c r="W12" s="33">
        <v>38</v>
      </c>
      <c r="X12" s="22">
        <v>131</v>
      </c>
      <c r="Y12" s="23" t="e">
        <f>X12+#REF!</f>
        <v>#REF!</v>
      </c>
      <c r="Z12" s="33">
        <v>68</v>
      </c>
      <c r="AA12" s="22">
        <v>0</v>
      </c>
      <c r="AB12" s="23" t="e">
        <f>AA12+#REF!</f>
        <v>#REF!</v>
      </c>
      <c r="AC12" s="33">
        <v>26703</v>
      </c>
      <c r="AD12" s="22">
        <v>31</v>
      </c>
      <c r="AE12" s="23" t="e">
        <f>AD12+#REF!</f>
        <v>#REF!</v>
      </c>
      <c r="AF12" s="19">
        <v>30200</v>
      </c>
      <c r="AG12" s="20">
        <v>30200</v>
      </c>
      <c r="AH12" s="24">
        <v>8000</v>
      </c>
      <c r="AI12" s="23" t="e">
        <f>AH12+#REF!</f>
        <v>#REF!</v>
      </c>
      <c r="AJ12" s="24">
        <v>9500</v>
      </c>
      <c r="AK12" s="23" t="e">
        <f>AJ12+#REF!</f>
        <v>#REF!</v>
      </c>
      <c r="AL12" s="22">
        <v>6350</v>
      </c>
      <c r="AM12" s="23" t="e">
        <f>AL12+#REF!</f>
        <v>#REF!</v>
      </c>
      <c r="AN12" s="22">
        <v>6350</v>
      </c>
      <c r="AO12" s="23" t="e">
        <f>AN12+#REF!</f>
        <v>#REF!</v>
      </c>
      <c r="AP12" s="28" t="s">
        <v>46</v>
      </c>
      <c r="AQ12" s="19">
        <v>128</v>
      </c>
      <c r="AR12" s="20">
        <v>128</v>
      </c>
      <c r="AS12" s="34">
        <v>0</v>
      </c>
      <c r="AT12" s="23" t="e">
        <f>AS12+#REF!</f>
        <v>#REF!</v>
      </c>
      <c r="AU12" s="34">
        <v>0</v>
      </c>
      <c r="AV12" s="23" t="e">
        <f>AU12+#REF!</f>
        <v>#REF!</v>
      </c>
      <c r="AW12" s="34">
        <v>0</v>
      </c>
      <c r="AX12" s="23" t="e">
        <f>AW12+#REF!</f>
        <v>#REF!</v>
      </c>
      <c r="AY12" s="34">
        <v>0</v>
      </c>
      <c r="AZ12" s="23" t="e">
        <f>AY12+#REF!</f>
        <v>#REF!</v>
      </c>
      <c r="BA12" s="34">
        <v>128</v>
      </c>
      <c r="BB12" s="23" t="e">
        <f>BA12+#REF!</f>
        <v>#REF!</v>
      </c>
      <c r="BC12" s="19">
        <v>3802</v>
      </c>
      <c r="BD12" s="20">
        <v>3802</v>
      </c>
      <c r="BE12" s="22">
        <v>89</v>
      </c>
      <c r="BF12" s="23" t="e">
        <f>BE12+#REF!</f>
        <v>#REF!</v>
      </c>
      <c r="BG12" s="34">
        <v>13</v>
      </c>
      <c r="BH12" s="23" t="e">
        <f>BG12+#REF!</f>
        <v>#REF!</v>
      </c>
      <c r="BI12" s="22">
        <v>3200</v>
      </c>
      <c r="BJ12" s="23" t="e">
        <f>BI12+#REF!</f>
        <v>#REF!</v>
      </c>
      <c r="BK12" s="22">
        <v>500</v>
      </c>
      <c r="BL12" s="23" t="e">
        <f>BK12+#REF!</f>
        <v>#REF!</v>
      </c>
      <c r="BM12" s="22">
        <v>0</v>
      </c>
      <c r="BN12" s="23" t="e">
        <f>BM12+#REF!</f>
        <v>#REF!</v>
      </c>
      <c r="BO12" s="36"/>
      <c r="BP12" s="37">
        <v>2</v>
      </c>
      <c r="BQ12" s="23" t="e">
        <f>BP12+#REF!</f>
        <v>#REF!</v>
      </c>
    </row>
    <row r="13" spans="1:70" ht="24.75" customHeight="1">
      <c r="A13" s="28" t="s">
        <v>47</v>
      </c>
      <c r="B13" s="29">
        <f t="shared" si="0"/>
        <v>2044</v>
      </c>
      <c r="C13" s="30">
        <f t="shared" si="0"/>
        <v>5</v>
      </c>
      <c r="D13" s="31" t="e">
        <f t="shared" si="0"/>
        <v>#REF!</v>
      </c>
      <c r="E13" s="32">
        <v>516</v>
      </c>
      <c r="F13" s="22">
        <v>2</v>
      </c>
      <c r="G13" s="23" t="e">
        <f>F13+#REF!</f>
        <v>#REF!</v>
      </c>
      <c r="H13" s="33">
        <v>10</v>
      </c>
      <c r="I13" s="34">
        <v>0</v>
      </c>
      <c r="J13" s="23" t="e">
        <f>I13+#REF!</f>
        <v>#REF!</v>
      </c>
      <c r="K13" s="33">
        <v>38</v>
      </c>
      <c r="L13" s="22">
        <v>0</v>
      </c>
      <c r="M13" s="23" t="e">
        <f>L13+#REF!</f>
        <v>#REF!</v>
      </c>
      <c r="N13" s="33">
        <v>581</v>
      </c>
      <c r="O13" s="22">
        <v>1</v>
      </c>
      <c r="P13" s="23" t="e">
        <f>O13+#REF!</f>
        <v>#REF!</v>
      </c>
      <c r="Q13" s="33">
        <v>525</v>
      </c>
      <c r="R13" s="22">
        <v>0</v>
      </c>
      <c r="S13" s="23" t="e">
        <f>R13+#REF!</f>
        <v>#REF!</v>
      </c>
      <c r="T13" s="33">
        <v>263</v>
      </c>
      <c r="U13" s="22">
        <v>0</v>
      </c>
      <c r="V13" s="23" t="e">
        <f>U13+#REF!</f>
        <v>#REF!</v>
      </c>
      <c r="W13" s="33">
        <v>43</v>
      </c>
      <c r="X13" s="22">
        <v>0</v>
      </c>
      <c r="Y13" s="23" t="e">
        <f>X13+#REF!</f>
        <v>#REF!</v>
      </c>
      <c r="Z13" s="33">
        <v>17</v>
      </c>
      <c r="AA13" s="22">
        <v>0</v>
      </c>
      <c r="AB13" s="23" t="e">
        <f>AA13+#REF!</f>
        <v>#REF!</v>
      </c>
      <c r="AC13" s="33">
        <v>51</v>
      </c>
      <c r="AD13" s="22">
        <v>2</v>
      </c>
      <c r="AE13" s="23" t="e">
        <f>AD13+#REF!</f>
        <v>#REF!</v>
      </c>
      <c r="AF13" s="19">
        <v>228000</v>
      </c>
      <c r="AG13" s="20">
        <v>228000</v>
      </c>
      <c r="AH13" s="24">
        <v>700</v>
      </c>
      <c r="AI13" s="23" t="e">
        <f>AH13+#REF!</f>
        <v>#REF!</v>
      </c>
      <c r="AJ13" s="24">
        <v>7300</v>
      </c>
      <c r="AK13" s="23" t="e">
        <f>AJ13+#REF!</f>
        <v>#REF!</v>
      </c>
      <c r="AL13" s="22">
        <v>20000</v>
      </c>
      <c r="AM13" s="23" t="e">
        <f>AL13+#REF!</f>
        <v>#REF!</v>
      </c>
      <c r="AN13" s="22">
        <v>200000</v>
      </c>
      <c r="AO13" s="23" t="e">
        <f>AN13+#REF!</f>
        <v>#REF!</v>
      </c>
      <c r="AP13" s="28" t="s">
        <v>47</v>
      </c>
      <c r="AQ13" s="19">
        <v>12</v>
      </c>
      <c r="AR13" s="20">
        <v>12</v>
      </c>
      <c r="AS13" s="34">
        <v>1</v>
      </c>
      <c r="AT13" s="23" t="e">
        <f>AS13+#REF!</f>
        <v>#REF!</v>
      </c>
      <c r="AU13" s="34">
        <v>1</v>
      </c>
      <c r="AV13" s="23" t="e">
        <f>AU13+#REF!</f>
        <v>#REF!</v>
      </c>
      <c r="AW13" s="34">
        <v>0</v>
      </c>
      <c r="AX13" s="23" t="e">
        <f>AW13+#REF!</f>
        <v>#REF!</v>
      </c>
      <c r="AY13" s="34">
        <v>0</v>
      </c>
      <c r="AZ13" s="23" t="e">
        <f>AY13+#REF!</f>
        <v>#REF!</v>
      </c>
      <c r="BA13" s="34">
        <v>10</v>
      </c>
      <c r="BB13" s="23" t="e">
        <f>BA13+#REF!</f>
        <v>#REF!</v>
      </c>
      <c r="BC13" s="19">
        <v>8304</v>
      </c>
      <c r="BD13" s="20">
        <v>8304</v>
      </c>
      <c r="BE13" s="22">
        <v>200</v>
      </c>
      <c r="BF13" s="23" t="e">
        <f>BE13+#REF!</f>
        <v>#REF!</v>
      </c>
      <c r="BG13" s="34">
        <v>4</v>
      </c>
      <c r="BH13" s="23" t="e">
        <f>BG13+#REF!</f>
        <v>#REF!</v>
      </c>
      <c r="BI13" s="22">
        <v>8000</v>
      </c>
      <c r="BJ13" s="23" t="e">
        <f>BI13+#REF!</f>
        <v>#REF!</v>
      </c>
      <c r="BK13" s="22">
        <v>100</v>
      </c>
      <c r="BL13" s="23" t="e">
        <f>BK13+#REF!</f>
        <v>#REF!</v>
      </c>
      <c r="BM13" s="22">
        <v>0</v>
      </c>
      <c r="BN13" s="23" t="e">
        <f>BM13+#REF!</f>
        <v>#REF!</v>
      </c>
      <c r="BO13" s="36"/>
      <c r="BP13" s="37">
        <v>1</v>
      </c>
      <c r="BQ13" s="23" t="e">
        <f>BP13+#REF!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146</v>
      </c>
      <c r="D14" s="42" t="e">
        <f t="shared" si="0"/>
        <v>#REF!</v>
      </c>
      <c r="E14" s="43">
        <v>304</v>
      </c>
      <c r="F14" s="22">
        <v>117</v>
      </c>
      <c r="G14" s="23" t="e">
        <f>F14+#REF!</f>
        <v>#REF!</v>
      </c>
      <c r="H14" s="44">
        <v>5</v>
      </c>
      <c r="I14" s="45">
        <v>0</v>
      </c>
      <c r="J14" s="23" t="e">
        <f>I14+#REF!</f>
        <v>#REF!</v>
      </c>
      <c r="K14" s="44">
        <v>34</v>
      </c>
      <c r="L14" s="22">
        <v>0</v>
      </c>
      <c r="M14" s="23" t="e">
        <f>L14+#REF!</f>
        <v>#REF!</v>
      </c>
      <c r="N14" s="44">
        <v>583</v>
      </c>
      <c r="O14" s="22">
        <v>0</v>
      </c>
      <c r="P14" s="23" t="e">
        <f>O14+#REF!</f>
        <v>#REF!</v>
      </c>
      <c r="Q14" s="44">
        <v>254</v>
      </c>
      <c r="R14" s="22">
        <v>0</v>
      </c>
      <c r="S14" s="23" t="e">
        <f>R14+#REF!</f>
        <v>#REF!</v>
      </c>
      <c r="T14" s="44">
        <v>196</v>
      </c>
      <c r="U14" s="22">
        <v>0</v>
      </c>
      <c r="V14" s="23" t="e">
        <f>U14+#REF!</f>
        <v>#REF!</v>
      </c>
      <c r="W14" s="44">
        <v>30</v>
      </c>
      <c r="X14" s="22">
        <v>25</v>
      </c>
      <c r="Y14" s="23" t="e">
        <f>X14+#REF!</f>
        <v>#REF!</v>
      </c>
      <c r="Z14" s="44">
        <v>10</v>
      </c>
      <c r="AA14" s="22">
        <v>0</v>
      </c>
      <c r="AB14" s="23" t="e">
        <f>AA14+#REF!</f>
        <v>#REF!</v>
      </c>
      <c r="AC14" s="44">
        <v>2500</v>
      </c>
      <c r="AD14" s="22">
        <v>4</v>
      </c>
      <c r="AE14" s="23" t="e">
        <f>AD14+#REF!</f>
        <v>#REF!</v>
      </c>
      <c r="AF14" s="19">
        <v>190290</v>
      </c>
      <c r="AG14" s="20">
        <v>190290</v>
      </c>
      <c r="AH14" s="24">
        <v>1420</v>
      </c>
      <c r="AI14" s="23" t="e">
        <f>AH14+#REF!</f>
        <v>#REF!</v>
      </c>
      <c r="AJ14" s="24">
        <v>12520</v>
      </c>
      <c r="AK14" s="23" t="e">
        <f>AJ14+#REF!</f>
        <v>#REF!</v>
      </c>
      <c r="AL14" s="46">
        <v>11220</v>
      </c>
      <c r="AM14" s="23" t="e">
        <f>AL14+#REF!</f>
        <v>#REF!</v>
      </c>
      <c r="AN14" s="46">
        <v>165130</v>
      </c>
      <c r="AO14" s="23" t="e">
        <f>AN14+#REF!</f>
        <v>#REF!</v>
      </c>
      <c r="AP14" s="39" t="s">
        <v>48</v>
      </c>
      <c r="AQ14" s="19">
        <v>12</v>
      </c>
      <c r="AR14" s="20">
        <v>12</v>
      </c>
      <c r="AS14" s="45">
        <v>1</v>
      </c>
      <c r="AT14" s="23" t="e">
        <f>AS14+#REF!</f>
        <v>#REF!</v>
      </c>
      <c r="AU14" s="45">
        <v>0</v>
      </c>
      <c r="AV14" s="23" t="e">
        <f>AU14+#REF!</f>
        <v>#REF!</v>
      </c>
      <c r="AW14" s="45">
        <v>1</v>
      </c>
      <c r="AX14" s="23" t="e">
        <f>AW14+#REF!</f>
        <v>#REF!</v>
      </c>
      <c r="AY14" s="45">
        <v>0</v>
      </c>
      <c r="AZ14" s="23" t="e">
        <f>AY14+#REF!</f>
        <v>#REF!</v>
      </c>
      <c r="BA14" s="45">
        <v>10</v>
      </c>
      <c r="BB14" s="23" t="e">
        <f>BA14+#REF!</f>
        <v>#REF!</v>
      </c>
      <c r="BC14" s="19">
        <v>5302</v>
      </c>
      <c r="BD14" s="20">
        <v>5302</v>
      </c>
      <c r="BE14" s="22">
        <v>12</v>
      </c>
      <c r="BF14" s="23" t="e">
        <f>BE14+#REF!</f>
        <v>#REF!</v>
      </c>
      <c r="BG14" s="45">
        <v>5</v>
      </c>
      <c r="BH14" s="23" t="e">
        <f>BG14+#REF!</f>
        <v>#REF!</v>
      </c>
      <c r="BI14" s="22">
        <v>5240</v>
      </c>
      <c r="BJ14" s="23" t="e">
        <f>BI14+#REF!</f>
        <v>#REF!</v>
      </c>
      <c r="BK14" s="22">
        <v>45</v>
      </c>
      <c r="BL14" s="23" t="e">
        <f>BK14+#REF!</f>
        <v>#REF!</v>
      </c>
      <c r="BM14" s="22">
        <v>0</v>
      </c>
      <c r="BN14" s="23" t="e">
        <f>BM14+#REF!</f>
        <v>#REF!</v>
      </c>
      <c r="BO14" s="48">
        <v>2</v>
      </c>
      <c r="BP14" s="49">
        <v>1</v>
      </c>
      <c r="BQ14" s="23" t="e">
        <f>BP14+#REF!</f>
        <v>#REF!</v>
      </c>
    </row>
    <row r="15" spans="1:70" s="1" customFormat="1" ht="25.5" customHeight="1">
      <c r="A15" s="50" t="s">
        <v>49</v>
      </c>
      <c r="B15" s="51">
        <f t="shared" si="0"/>
        <v>3897</v>
      </c>
      <c r="C15" s="52">
        <f t="shared" si="0"/>
        <v>496</v>
      </c>
      <c r="D15" s="53" t="e">
        <f t="shared" si="0"/>
        <v>#REF!</v>
      </c>
      <c r="E15" s="54">
        <v>776</v>
      </c>
      <c r="F15" s="55">
        <v>316</v>
      </c>
      <c r="G15" s="23" t="e">
        <f>F15+#REF!</f>
        <v>#REF!</v>
      </c>
      <c r="H15" s="56">
        <v>9</v>
      </c>
      <c r="I15" s="57">
        <v>0</v>
      </c>
      <c r="J15" s="23" t="e">
        <f>I15+#REF!</f>
        <v>#REF!</v>
      </c>
      <c r="K15" s="56">
        <v>6</v>
      </c>
      <c r="L15" s="55">
        <v>0</v>
      </c>
      <c r="M15" s="23" t="e">
        <f>L15+#REF!</f>
        <v>#REF!</v>
      </c>
      <c r="N15" s="56">
        <v>1305</v>
      </c>
      <c r="O15" s="55">
        <v>0</v>
      </c>
      <c r="P15" s="23" t="e">
        <f>O15+#REF!</f>
        <v>#REF!</v>
      </c>
      <c r="Q15" s="56">
        <v>447</v>
      </c>
      <c r="R15" s="55">
        <v>0</v>
      </c>
      <c r="S15" s="23" t="e">
        <f>R15+#REF!</f>
        <v>#REF!</v>
      </c>
      <c r="T15" s="56">
        <v>337</v>
      </c>
      <c r="U15" s="55">
        <v>0</v>
      </c>
      <c r="V15" s="23" t="e">
        <f>U15+#REF!</f>
        <v>#REF!</v>
      </c>
      <c r="W15" s="56">
        <v>78</v>
      </c>
      <c r="X15" s="55">
        <v>0</v>
      </c>
      <c r="Y15" s="23" t="e">
        <f>X15+#REF!</f>
        <v>#REF!</v>
      </c>
      <c r="Z15" s="56">
        <v>141</v>
      </c>
      <c r="AA15" s="55">
        <v>0</v>
      </c>
      <c r="AB15" s="23" t="e">
        <f>AA15+#REF!</f>
        <v>#REF!</v>
      </c>
      <c r="AC15" s="56">
        <v>798</v>
      </c>
      <c r="AD15" s="55">
        <v>180</v>
      </c>
      <c r="AE15" s="23" t="e">
        <f>AD15+#REF!</f>
        <v>#REF!</v>
      </c>
      <c r="AF15" s="58">
        <v>1571173</v>
      </c>
      <c r="AG15" s="59">
        <v>1565673</v>
      </c>
      <c r="AH15" s="60">
        <v>1049</v>
      </c>
      <c r="AI15" s="23" t="e">
        <f>AH15+#REF!</f>
        <v>#REF!</v>
      </c>
      <c r="AJ15" s="60">
        <v>5500</v>
      </c>
      <c r="AK15" s="23" t="e">
        <f>AJ15+#REF!</f>
        <v>#REF!</v>
      </c>
      <c r="AL15" s="55">
        <v>782312</v>
      </c>
      <c r="AM15" s="23" t="e">
        <f>AL15+#REF!</f>
        <v>#REF!</v>
      </c>
      <c r="AN15" s="55">
        <v>782312</v>
      </c>
      <c r="AO15" s="23" t="e">
        <f>AN15+#REF!</f>
        <v>#REF!</v>
      </c>
      <c r="AP15" s="50" t="s">
        <v>49</v>
      </c>
      <c r="AQ15" s="58">
        <v>4</v>
      </c>
      <c r="AR15" s="59">
        <v>4</v>
      </c>
      <c r="AS15" s="57">
        <v>0</v>
      </c>
      <c r="AT15" s="23" t="e">
        <f>AS15+#REF!</f>
        <v>#REF!</v>
      </c>
      <c r="AU15" s="57">
        <v>0</v>
      </c>
      <c r="AV15" s="23" t="e">
        <f>AU15+#REF!</f>
        <v>#REF!</v>
      </c>
      <c r="AW15" s="57">
        <v>0</v>
      </c>
      <c r="AX15" s="23" t="e">
        <f>AW15+#REF!</f>
        <v>#REF!</v>
      </c>
      <c r="AY15" s="57">
        <v>0</v>
      </c>
      <c r="AZ15" s="23" t="e">
        <f>AY15+#REF!</f>
        <v>#REF!</v>
      </c>
      <c r="BA15" s="57">
        <v>4</v>
      </c>
      <c r="BB15" s="23" t="e">
        <f>BA15+#REF!</f>
        <v>#REF!</v>
      </c>
      <c r="BC15" s="58">
        <v>4494</v>
      </c>
      <c r="BD15" s="59">
        <v>4494</v>
      </c>
      <c r="BE15" s="55">
        <v>88</v>
      </c>
      <c r="BF15" s="23" t="e">
        <f>BE15+#REF!</f>
        <v>#REF!</v>
      </c>
      <c r="BG15" s="57">
        <v>6</v>
      </c>
      <c r="BH15" s="23" t="e">
        <f>BG15+#REF!</f>
        <v>#REF!</v>
      </c>
      <c r="BI15" s="55">
        <v>2200</v>
      </c>
      <c r="BJ15" s="23" t="e">
        <f>BI15+#REF!</f>
        <v>#REF!</v>
      </c>
      <c r="BK15" s="55">
        <v>2200</v>
      </c>
      <c r="BL15" s="23" t="e">
        <f>BK15+#REF!</f>
        <v>#REF!</v>
      </c>
      <c r="BM15" s="55">
        <v>0</v>
      </c>
      <c r="BN15" s="23" t="e">
        <f>BM15+#REF!</f>
        <v>#REF!</v>
      </c>
      <c r="BO15" s="36">
        <v>6274</v>
      </c>
      <c r="BP15" s="37">
        <v>2</v>
      </c>
      <c r="BQ15" s="23" t="e">
        <f>BP15+#REF!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154</v>
      </c>
      <c r="D16" s="31" t="e">
        <f t="shared" si="0"/>
        <v>#REF!</v>
      </c>
      <c r="E16" s="32">
        <v>310</v>
      </c>
      <c r="F16" s="22">
        <v>61</v>
      </c>
      <c r="G16" s="23" t="e">
        <f>F16+#REF!</f>
        <v>#REF!</v>
      </c>
      <c r="H16" s="33">
        <v>5</v>
      </c>
      <c r="I16" s="34">
        <v>0</v>
      </c>
      <c r="J16" s="23" t="e">
        <f>I16+#REF!</f>
        <v>#REF!</v>
      </c>
      <c r="K16" s="33">
        <v>3</v>
      </c>
      <c r="L16" s="22">
        <v>0</v>
      </c>
      <c r="M16" s="23" t="e">
        <f>L16+#REF!</f>
        <v>#REF!</v>
      </c>
      <c r="N16" s="33">
        <v>384</v>
      </c>
      <c r="O16" s="22">
        <v>0</v>
      </c>
      <c r="P16" s="23" t="e">
        <f>O16+#REF!</f>
        <v>#REF!</v>
      </c>
      <c r="Q16" s="33">
        <v>245</v>
      </c>
      <c r="R16" s="22">
        <v>0</v>
      </c>
      <c r="S16" s="23" t="e">
        <f>R16+#REF!</f>
        <v>#REF!</v>
      </c>
      <c r="T16" s="33">
        <v>397</v>
      </c>
      <c r="U16" s="22">
        <v>0</v>
      </c>
      <c r="V16" s="23" t="e">
        <f>U16+#REF!</f>
        <v>#REF!</v>
      </c>
      <c r="W16" s="33">
        <v>24</v>
      </c>
      <c r="X16" s="22">
        <v>36</v>
      </c>
      <c r="Y16" s="23" t="e">
        <f>X16+#REF!</f>
        <v>#REF!</v>
      </c>
      <c r="Z16" s="33">
        <v>18</v>
      </c>
      <c r="AA16" s="22">
        <v>0</v>
      </c>
      <c r="AB16" s="23" t="e">
        <f>AA16+#REF!</f>
        <v>#REF!</v>
      </c>
      <c r="AC16" s="33">
        <v>18515</v>
      </c>
      <c r="AD16" s="22">
        <v>57</v>
      </c>
      <c r="AE16" s="23" t="e">
        <f>AD16+#REF!</f>
        <v>#REF!</v>
      </c>
      <c r="AF16" s="19">
        <v>65462</v>
      </c>
      <c r="AG16" s="20">
        <v>65462</v>
      </c>
      <c r="AH16" s="24">
        <v>316</v>
      </c>
      <c r="AI16" s="23" t="e">
        <f>AH16+#REF!</f>
        <v>#REF!</v>
      </c>
      <c r="AJ16" s="24">
        <v>1226</v>
      </c>
      <c r="AK16" s="23" t="e">
        <f>AJ16+#REF!</f>
        <v>#REF!</v>
      </c>
      <c r="AL16" s="22">
        <v>4230</v>
      </c>
      <c r="AM16" s="23" t="e">
        <f>AL16+#REF!</f>
        <v>#REF!</v>
      </c>
      <c r="AN16" s="22">
        <v>59690</v>
      </c>
      <c r="AO16" s="23" t="e">
        <f>AN16+#REF!</f>
        <v>#REF!</v>
      </c>
      <c r="AP16" s="28" t="s">
        <v>51</v>
      </c>
      <c r="AQ16" s="19">
        <v>75</v>
      </c>
      <c r="AR16" s="20">
        <v>75</v>
      </c>
      <c r="AS16" s="34">
        <v>0</v>
      </c>
      <c r="AT16" s="23" t="e">
        <f>AS16+#REF!</f>
        <v>#REF!</v>
      </c>
      <c r="AU16" s="34">
        <v>0</v>
      </c>
      <c r="AV16" s="23" t="e">
        <f>AU16+#REF!</f>
        <v>#REF!</v>
      </c>
      <c r="AW16" s="34">
        <v>0</v>
      </c>
      <c r="AX16" s="23" t="e">
        <f>AW16+#REF!</f>
        <v>#REF!</v>
      </c>
      <c r="AY16" s="34">
        <v>0</v>
      </c>
      <c r="AZ16" s="23" t="e">
        <f>AY16+#REF!</f>
        <v>#REF!</v>
      </c>
      <c r="BA16" s="34">
        <v>75</v>
      </c>
      <c r="BB16" s="23" t="e">
        <f>BA16+#REF!</f>
        <v>#REF!</v>
      </c>
      <c r="BC16" s="19">
        <v>1567</v>
      </c>
      <c r="BD16" s="20">
        <v>1567</v>
      </c>
      <c r="BE16" s="22">
        <v>85</v>
      </c>
      <c r="BF16" s="23" t="e">
        <f>BE16+#REF!</f>
        <v>#REF!</v>
      </c>
      <c r="BG16" s="34">
        <v>2</v>
      </c>
      <c r="BH16" s="23" t="e">
        <f>BG16+#REF!</f>
        <v>#REF!</v>
      </c>
      <c r="BI16" s="22">
        <v>1230</v>
      </c>
      <c r="BJ16" s="23" t="e">
        <f>BI16+#REF!</f>
        <v>#REF!</v>
      </c>
      <c r="BK16" s="22">
        <v>250</v>
      </c>
      <c r="BL16" s="23" t="e">
        <f>BK16+#REF!</f>
        <v>#REF!</v>
      </c>
      <c r="BM16" s="22">
        <v>0</v>
      </c>
      <c r="BN16" s="23" t="e">
        <f>BM16+#REF!</f>
        <v>#REF!</v>
      </c>
      <c r="BO16" s="36">
        <v>2546</v>
      </c>
      <c r="BP16" s="37">
        <v>0</v>
      </c>
      <c r="BQ16" s="23" t="e">
        <f>BP16+#REF!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156</v>
      </c>
      <c r="D17" s="31" t="e">
        <f t="shared" si="0"/>
        <v>#REF!</v>
      </c>
      <c r="E17" s="32">
        <v>754</v>
      </c>
      <c r="F17" s="22">
        <v>86</v>
      </c>
      <c r="G17" s="23" t="e">
        <f>F17+#REF!</f>
        <v>#REF!</v>
      </c>
      <c r="H17" s="33">
        <v>9</v>
      </c>
      <c r="I17" s="34">
        <v>0</v>
      </c>
      <c r="J17" s="23" t="e">
        <f>I17+#REF!</f>
        <v>#REF!</v>
      </c>
      <c r="K17" s="33">
        <v>5</v>
      </c>
      <c r="L17" s="22">
        <v>0</v>
      </c>
      <c r="M17" s="23" t="e">
        <f>L17+#REF!</f>
        <v>#REF!</v>
      </c>
      <c r="N17" s="33">
        <v>768</v>
      </c>
      <c r="O17" s="22">
        <v>0</v>
      </c>
      <c r="P17" s="23" t="e">
        <f>O17+#REF!</f>
        <v>#REF!</v>
      </c>
      <c r="Q17" s="33">
        <v>624</v>
      </c>
      <c r="R17" s="22">
        <v>0</v>
      </c>
      <c r="S17" s="23" t="e">
        <f>R17+#REF!</f>
        <v>#REF!</v>
      </c>
      <c r="T17" s="33">
        <v>742</v>
      </c>
      <c r="U17" s="22">
        <v>0</v>
      </c>
      <c r="V17" s="23" t="e">
        <f>U17+#REF!</f>
        <v>#REF!</v>
      </c>
      <c r="W17" s="33">
        <v>54</v>
      </c>
      <c r="X17" s="22">
        <v>0</v>
      </c>
      <c r="Y17" s="23" t="e">
        <f>X17+#REF!</f>
        <v>#REF!</v>
      </c>
      <c r="Z17" s="33">
        <v>66</v>
      </c>
      <c r="AA17" s="22">
        <v>0</v>
      </c>
      <c r="AB17" s="23" t="e">
        <f>AA17+#REF!</f>
        <v>#REF!</v>
      </c>
      <c r="AC17" s="33">
        <v>2580</v>
      </c>
      <c r="AD17" s="22">
        <v>70</v>
      </c>
      <c r="AE17" s="23" t="e">
        <f>AD17+#REF!</f>
        <v>#REF!</v>
      </c>
      <c r="AF17" s="19">
        <v>174300</v>
      </c>
      <c r="AG17" s="20">
        <v>174300</v>
      </c>
      <c r="AH17" s="24">
        <v>9500</v>
      </c>
      <c r="AI17" s="23" t="e">
        <f>AH17+#REF!</f>
        <v>#REF!</v>
      </c>
      <c r="AJ17" s="24">
        <v>9800</v>
      </c>
      <c r="AK17" s="23" t="e">
        <f>AJ17+#REF!</f>
        <v>#REF!</v>
      </c>
      <c r="AL17" s="22">
        <v>80000</v>
      </c>
      <c r="AM17" s="23" t="e">
        <f>AL17+#REF!</f>
        <v>#REF!</v>
      </c>
      <c r="AN17" s="22">
        <v>75000</v>
      </c>
      <c r="AO17" s="23" t="e">
        <f>AN17+#REF!</f>
        <v>#REF!</v>
      </c>
      <c r="AP17" s="28" t="s">
        <v>52</v>
      </c>
      <c r="AQ17" s="19">
        <v>15</v>
      </c>
      <c r="AR17" s="20">
        <v>15</v>
      </c>
      <c r="AS17" s="34">
        <v>1</v>
      </c>
      <c r="AT17" s="23" t="e">
        <f>AS17+#REF!</f>
        <v>#REF!</v>
      </c>
      <c r="AU17" s="34">
        <v>0</v>
      </c>
      <c r="AV17" s="23" t="e">
        <f>AU17+#REF!</f>
        <v>#REF!</v>
      </c>
      <c r="AW17" s="34">
        <v>0</v>
      </c>
      <c r="AX17" s="23" t="e">
        <f>AW17+#REF!</f>
        <v>#REF!</v>
      </c>
      <c r="AY17" s="34">
        <v>0</v>
      </c>
      <c r="AZ17" s="23" t="e">
        <f>AY17+#REF!</f>
        <v>#REF!</v>
      </c>
      <c r="BA17" s="34">
        <v>14</v>
      </c>
      <c r="BB17" s="23" t="e">
        <f>BA17+#REF!</f>
        <v>#REF!</v>
      </c>
      <c r="BC17" s="19">
        <v>1392</v>
      </c>
      <c r="BD17" s="20">
        <v>1392</v>
      </c>
      <c r="BE17" s="22">
        <v>38</v>
      </c>
      <c r="BF17" s="23" t="e">
        <f>BE17+#REF!</f>
        <v>#REF!</v>
      </c>
      <c r="BG17" s="34">
        <v>4</v>
      </c>
      <c r="BH17" s="23" t="e">
        <f>BG17+#REF!</f>
        <v>#REF!</v>
      </c>
      <c r="BI17" s="22">
        <v>1200</v>
      </c>
      <c r="BJ17" s="23" t="e">
        <f>BI17+#REF!</f>
        <v>#REF!</v>
      </c>
      <c r="BK17" s="22">
        <v>150</v>
      </c>
      <c r="BL17" s="23" t="e">
        <f>BK17+#REF!</f>
        <v>#REF!</v>
      </c>
      <c r="BM17" s="22">
        <v>0</v>
      </c>
      <c r="BN17" s="23" t="e">
        <f>BM17+#REF!</f>
        <v>#REF!</v>
      </c>
      <c r="BO17" s="36">
        <v>8022</v>
      </c>
      <c r="BP17" s="37">
        <v>0</v>
      </c>
      <c r="BQ17" s="23" t="e">
        <f>BP17+#REF!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584</v>
      </c>
      <c r="D18" s="20" t="e">
        <f t="shared" si="0"/>
        <v>#REF!</v>
      </c>
      <c r="E18" s="21">
        <v>1063</v>
      </c>
      <c r="F18" s="22">
        <v>411</v>
      </c>
      <c r="G18" s="23" t="e">
        <f>F18+#REF!</f>
        <v>#REF!</v>
      </c>
      <c r="H18" s="21">
        <v>19</v>
      </c>
      <c r="I18" s="22">
        <v>0</v>
      </c>
      <c r="J18" s="23" t="e">
        <f>I18+#REF!</f>
        <v>#REF!</v>
      </c>
      <c r="K18" s="21">
        <v>8</v>
      </c>
      <c r="L18" s="22">
        <v>0</v>
      </c>
      <c r="M18" s="23" t="e">
        <f>L18+#REF!</f>
        <v>#REF!</v>
      </c>
      <c r="N18" s="21">
        <v>1331</v>
      </c>
      <c r="O18" s="22">
        <v>0</v>
      </c>
      <c r="P18" s="23" t="e">
        <f>O18+#REF!</f>
        <v>#REF!</v>
      </c>
      <c r="Q18" s="21">
        <v>777</v>
      </c>
      <c r="R18" s="22">
        <v>0</v>
      </c>
      <c r="S18" s="23" t="e">
        <f>R18+#REF!</f>
        <v>#REF!</v>
      </c>
      <c r="T18" s="21">
        <v>318</v>
      </c>
      <c r="U18" s="22">
        <v>0</v>
      </c>
      <c r="V18" s="23" t="e">
        <f>U18+#REF!</f>
        <v>#REF!</v>
      </c>
      <c r="W18" s="21">
        <v>60</v>
      </c>
      <c r="X18" s="22">
        <v>173</v>
      </c>
      <c r="Y18" s="23" t="e">
        <f>X18+#REF!</f>
        <v>#REF!</v>
      </c>
      <c r="Z18" s="21">
        <v>72</v>
      </c>
      <c r="AA18" s="22">
        <v>0</v>
      </c>
      <c r="AB18" s="23" t="e">
        <f>AA18+#REF!</f>
        <v>#REF!</v>
      </c>
      <c r="AC18" s="21">
        <v>143</v>
      </c>
      <c r="AD18" s="22">
        <v>0</v>
      </c>
      <c r="AE18" s="23" t="e">
        <f>AD18+#REF!</f>
        <v>#REF!</v>
      </c>
      <c r="AF18" s="19">
        <v>418649</v>
      </c>
      <c r="AG18" s="20">
        <v>418649</v>
      </c>
      <c r="AH18" s="24">
        <v>1210</v>
      </c>
      <c r="AI18" s="23" t="e">
        <f>AH18+#REF!</f>
        <v>#REF!</v>
      </c>
      <c r="AJ18" s="24">
        <v>6014</v>
      </c>
      <c r="AK18" s="23" t="e">
        <f>AJ18+#REF!</f>
        <v>#REF!</v>
      </c>
      <c r="AL18" s="22">
        <v>17255</v>
      </c>
      <c r="AM18" s="23" t="e">
        <f>AL18+#REF!</f>
        <v>#REF!</v>
      </c>
      <c r="AN18" s="22">
        <v>394170</v>
      </c>
      <c r="AO18" s="23" t="e">
        <f>AN18+#REF!</f>
        <v>#REF!</v>
      </c>
      <c r="AP18" s="17" t="s">
        <v>53</v>
      </c>
      <c r="AQ18" s="19">
        <v>16</v>
      </c>
      <c r="AR18" s="20">
        <v>16</v>
      </c>
      <c r="AS18" s="22">
        <v>1</v>
      </c>
      <c r="AT18" s="23" t="e">
        <f>AS18+#REF!</f>
        <v>#REF!</v>
      </c>
      <c r="AU18" s="22">
        <v>0</v>
      </c>
      <c r="AV18" s="23" t="e">
        <f>AU18+#REF!</f>
        <v>#REF!</v>
      </c>
      <c r="AW18" s="22">
        <v>0</v>
      </c>
      <c r="AX18" s="23" t="e">
        <f>AW18+#REF!</f>
        <v>#REF!</v>
      </c>
      <c r="AY18" s="22">
        <v>0</v>
      </c>
      <c r="AZ18" s="23" t="e">
        <f>AY18+#REF!</f>
        <v>#REF!</v>
      </c>
      <c r="BA18" s="22">
        <v>15</v>
      </c>
      <c r="BB18" s="23" t="e">
        <f>BA18+#REF!</f>
        <v>#REF!</v>
      </c>
      <c r="BC18" s="19">
        <v>5569</v>
      </c>
      <c r="BD18" s="20">
        <v>5569</v>
      </c>
      <c r="BE18" s="22">
        <v>0</v>
      </c>
      <c r="BF18" s="23" t="e">
        <f>BE18+#REF!</f>
        <v>#REF!</v>
      </c>
      <c r="BG18" s="22">
        <v>0</v>
      </c>
      <c r="BH18" s="23" t="e">
        <f>BG18+#REF!</f>
        <v>#REF!</v>
      </c>
      <c r="BI18" s="22">
        <v>5215</v>
      </c>
      <c r="BJ18" s="23" t="e">
        <f>BI18+#REF!</f>
        <v>#REF!</v>
      </c>
      <c r="BK18" s="22">
        <v>354</v>
      </c>
      <c r="BL18" s="23" t="e">
        <f>BK18+#REF!</f>
        <v>#REF!</v>
      </c>
      <c r="BM18" s="22">
        <v>0</v>
      </c>
      <c r="BN18" s="23" t="e">
        <f>BM18+#REF!</f>
        <v>#REF!</v>
      </c>
      <c r="BO18" s="36">
        <v>442</v>
      </c>
      <c r="BP18" s="37">
        <v>0</v>
      </c>
      <c r="BQ18" s="23" t="e">
        <f>BP18+#REF!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28</v>
      </c>
      <c r="D19" s="31" t="e">
        <f t="shared" si="0"/>
        <v>#REF!</v>
      </c>
      <c r="E19" s="33">
        <v>221</v>
      </c>
      <c r="F19" s="22">
        <v>8</v>
      </c>
      <c r="G19" s="23" t="e">
        <f>F19+#REF!</f>
        <v>#REF!</v>
      </c>
      <c r="H19" s="33">
        <v>5</v>
      </c>
      <c r="I19" s="34">
        <v>0</v>
      </c>
      <c r="J19" s="23" t="e">
        <f>I19+#REF!</f>
        <v>#REF!</v>
      </c>
      <c r="K19" s="33">
        <v>4</v>
      </c>
      <c r="L19" s="22">
        <v>0</v>
      </c>
      <c r="M19" s="23" t="e">
        <f>L19+#REF!</f>
        <v>#REF!</v>
      </c>
      <c r="N19" s="33">
        <v>313</v>
      </c>
      <c r="O19" s="22">
        <v>0</v>
      </c>
      <c r="P19" s="23" t="e">
        <f>O19+#REF!</f>
        <v>#REF!</v>
      </c>
      <c r="Q19" s="33">
        <v>203</v>
      </c>
      <c r="R19" s="22">
        <v>0</v>
      </c>
      <c r="S19" s="23" t="e">
        <f>R19+#REF!</f>
        <v>#REF!</v>
      </c>
      <c r="T19" s="33">
        <v>241</v>
      </c>
      <c r="U19" s="22">
        <v>0</v>
      </c>
      <c r="V19" s="23" t="e">
        <f>U19+#REF!</f>
        <v>#REF!</v>
      </c>
      <c r="W19" s="33">
        <v>14</v>
      </c>
      <c r="X19" s="22">
        <v>7</v>
      </c>
      <c r="Y19" s="23" t="e">
        <f>X19+#REF!</f>
        <v>#REF!</v>
      </c>
      <c r="Z19" s="33">
        <v>7</v>
      </c>
      <c r="AA19" s="22">
        <v>0</v>
      </c>
      <c r="AB19" s="23" t="e">
        <f>AA19+#REF!</f>
        <v>#REF!</v>
      </c>
      <c r="AC19" s="33">
        <v>32</v>
      </c>
      <c r="AD19" s="22">
        <v>13</v>
      </c>
      <c r="AE19" s="23" t="e">
        <f>AD19+#REF!</f>
        <v>#REF!</v>
      </c>
      <c r="AF19" s="19">
        <v>4000</v>
      </c>
      <c r="AG19" s="20">
        <v>4000</v>
      </c>
      <c r="AH19" s="24">
        <v>600</v>
      </c>
      <c r="AI19" s="23" t="e">
        <f>AH19+#REF!</f>
        <v>#REF!</v>
      </c>
      <c r="AJ19" s="24">
        <v>600</v>
      </c>
      <c r="AK19" s="23" t="e">
        <f>AJ19+#REF!</f>
        <v>#REF!</v>
      </c>
      <c r="AL19" s="22">
        <v>1400</v>
      </c>
      <c r="AM19" s="23" t="e">
        <f>AL19+#REF!</f>
        <v>#REF!</v>
      </c>
      <c r="AN19" s="22">
        <v>1400</v>
      </c>
      <c r="AO19" s="23" t="e">
        <f>AN19+#REF!</f>
        <v>#REF!</v>
      </c>
      <c r="AP19" s="28" t="s">
        <v>54</v>
      </c>
      <c r="AQ19" s="19">
        <v>0</v>
      </c>
      <c r="AR19" s="20">
        <v>0</v>
      </c>
      <c r="AS19" s="34"/>
      <c r="AT19" s="23" t="e">
        <f>AS19+#REF!</f>
        <v>#REF!</v>
      </c>
      <c r="AU19" s="34"/>
      <c r="AV19" s="23" t="e">
        <f>AU19+#REF!</f>
        <v>#REF!</v>
      </c>
      <c r="AW19" s="34"/>
      <c r="AX19" s="23" t="e">
        <f>AW19+#REF!</f>
        <v>#REF!</v>
      </c>
      <c r="AY19" s="34"/>
      <c r="AZ19" s="23" t="e">
        <f>AY19+#REF!</f>
        <v>#REF!</v>
      </c>
      <c r="BA19" s="34"/>
      <c r="BB19" s="23" t="e">
        <f>BA19+#REF!</f>
        <v>#REF!</v>
      </c>
      <c r="BC19" s="19">
        <v>0</v>
      </c>
      <c r="BD19" s="20">
        <v>0</v>
      </c>
      <c r="BE19" s="22"/>
      <c r="BF19" s="23" t="e">
        <f>BE19+#REF!</f>
        <v>#REF!</v>
      </c>
      <c r="BG19" s="34"/>
      <c r="BH19" s="23" t="e">
        <f>BG19+#REF!</f>
        <v>#REF!</v>
      </c>
      <c r="BI19" s="22"/>
      <c r="BJ19" s="23" t="e">
        <f>BI19+#REF!</f>
        <v>#REF!</v>
      </c>
      <c r="BK19" s="22"/>
      <c r="BL19" s="23" t="e">
        <f>BK19+#REF!</f>
        <v>#REF!</v>
      </c>
      <c r="BM19" s="22"/>
      <c r="BN19" s="23" t="e">
        <f>BM19+#REF!</f>
        <v>#REF!</v>
      </c>
      <c r="BO19" s="36">
        <v>2898</v>
      </c>
      <c r="BP19" s="37"/>
      <c r="BQ19" s="23" t="e">
        <f>BP19+#REF!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375</v>
      </c>
      <c r="D20" s="31" t="e">
        <f t="shared" si="0"/>
        <v>#REF!</v>
      </c>
      <c r="E20" s="32">
        <v>723</v>
      </c>
      <c r="F20" s="22">
        <v>219</v>
      </c>
      <c r="G20" s="23" t="e">
        <f>F20+#REF!</f>
        <v>#REF!</v>
      </c>
      <c r="H20" s="33">
        <v>5</v>
      </c>
      <c r="I20" s="34">
        <v>1</v>
      </c>
      <c r="J20" s="23" t="e">
        <f>I20+#REF!</f>
        <v>#REF!</v>
      </c>
      <c r="K20" s="33">
        <v>3</v>
      </c>
      <c r="L20" s="22">
        <v>0</v>
      </c>
      <c r="M20" s="23" t="e">
        <f>L20+#REF!</f>
        <v>#REF!</v>
      </c>
      <c r="N20" s="33">
        <v>975</v>
      </c>
      <c r="O20" s="22">
        <v>80</v>
      </c>
      <c r="P20" s="23" t="e">
        <f>O20+#REF!</f>
        <v>#REF!</v>
      </c>
      <c r="Q20" s="61">
        <v>1862</v>
      </c>
      <c r="R20" s="22">
        <v>4</v>
      </c>
      <c r="S20" s="23" t="e">
        <f>R20+#REF!</f>
        <v>#REF!</v>
      </c>
      <c r="T20" s="33">
        <v>35</v>
      </c>
      <c r="U20" s="22">
        <v>4</v>
      </c>
      <c r="V20" s="23" t="e">
        <f>U20+#REF!</f>
        <v>#REF!</v>
      </c>
      <c r="W20" s="33">
        <v>64</v>
      </c>
      <c r="X20" s="22">
        <v>6</v>
      </c>
      <c r="Y20" s="23" t="e">
        <f>X20+#REF!</f>
        <v>#REF!</v>
      </c>
      <c r="Z20" s="33">
        <v>15</v>
      </c>
      <c r="AA20" s="22">
        <v>1</v>
      </c>
      <c r="AB20" s="23" t="e">
        <f>AA20+#REF!</f>
        <v>#REF!</v>
      </c>
      <c r="AC20" s="33">
        <v>1546</v>
      </c>
      <c r="AD20" s="22">
        <v>60</v>
      </c>
      <c r="AE20" s="23" t="e">
        <f>AD20+#REF!</f>
        <v>#REF!</v>
      </c>
      <c r="AF20" s="19">
        <v>13980</v>
      </c>
      <c r="AG20" s="20">
        <v>13980</v>
      </c>
      <c r="AH20" s="24">
        <v>5890</v>
      </c>
      <c r="AI20" s="23" t="e">
        <f>AH20+#REF!</f>
        <v>#REF!</v>
      </c>
      <c r="AJ20" s="24">
        <v>7490</v>
      </c>
      <c r="AK20" s="23" t="e">
        <f>AJ20+#REF!</f>
        <v>#REF!</v>
      </c>
      <c r="AL20" s="22">
        <v>450</v>
      </c>
      <c r="AM20" s="23" t="e">
        <f>AL20+#REF!</f>
        <v>#REF!</v>
      </c>
      <c r="AN20" s="22">
        <v>150</v>
      </c>
      <c r="AO20" s="23" t="e">
        <f>AN20+#REF!</f>
        <v>#REF!</v>
      </c>
      <c r="AP20" s="28" t="s">
        <v>55</v>
      </c>
      <c r="AQ20" s="19">
        <v>258</v>
      </c>
      <c r="AR20" s="20">
        <v>258</v>
      </c>
      <c r="AS20" s="34">
        <v>1</v>
      </c>
      <c r="AT20" s="23" t="e">
        <f>AS20+#REF!</f>
        <v>#REF!</v>
      </c>
      <c r="AU20" s="34">
        <v>1</v>
      </c>
      <c r="AV20" s="23" t="e">
        <f>AU20+#REF!</f>
        <v>#REF!</v>
      </c>
      <c r="AW20" s="34">
        <v>1</v>
      </c>
      <c r="AX20" s="23" t="e">
        <f>AW20+#REF!</f>
        <v>#REF!</v>
      </c>
      <c r="AY20" s="34"/>
      <c r="AZ20" s="23" t="e">
        <f>AY20+#REF!</f>
        <v>#REF!</v>
      </c>
      <c r="BA20" s="34">
        <v>255</v>
      </c>
      <c r="BB20" s="23" t="e">
        <f>BA20+#REF!</f>
        <v>#REF!</v>
      </c>
      <c r="BC20" s="19">
        <v>2544</v>
      </c>
      <c r="BD20" s="20">
        <v>2544</v>
      </c>
      <c r="BE20" s="22">
        <v>4</v>
      </c>
      <c r="BF20" s="23" t="e">
        <f>BE20+#REF!</f>
        <v>#REF!</v>
      </c>
      <c r="BG20" s="34"/>
      <c r="BH20" s="23" t="e">
        <f>BG20+#REF!</f>
        <v>#REF!</v>
      </c>
      <c r="BI20" s="22">
        <v>1250</v>
      </c>
      <c r="BJ20" s="23" t="e">
        <f>BI20+#REF!</f>
        <v>#REF!</v>
      </c>
      <c r="BK20" s="22">
        <v>1290</v>
      </c>
      <c r="BL20" s="23" t="e">
        <f>BK20+#REF!</f>
        <v>#REF!</v>
      </c>
      <c r="BM20" s="22"/>
      <c r="BN20" s="23" t="e">
        <f>BM20+#REF!</f>
        <v>#REF!</v>
      </c>
      <c r="BO20" s="36">
        <v>5854</v>
      </c>
      <c r="BP20" s="37"/>
      <c r="BQ20" s="23" t="e">
        <f>BP20+#REF!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226</v>
      </c>
      <c r="D21" s="31" t="e">
        <f t="shared" si="0"/>
        <v>#REF!</v>
      </c>
      <c r="E21" s="32">
        <v>1017</v>
      </c>
      <c r="F21" s="22">
        <v>220</v>
      </c>
      <c r="G21" s="23" t="e">
        <f>F21+#REF!</f>
        <v>#REF!</v>
      </c>
      <c r="H21" s="33">
        <v>8</v>
      </c>
      <c r="I21" s="34">
        <v>5</v>
      </c>
      <c r="J21" s="23" t="e">
        <f>I21+#REF!</f>
        <v>#REF!</v>
      </c>
      <c r="K21" s="33">
        <v>4</v>
      </c>
      <c r="L21" s="22">
        <v>0</v>
      </c>
      <c r="M21" s="23" t="e">
        <f>L21+#REF!</f>
        <v>#REF!</v>
      </c>
      <c r="N21" s="33">
        <v>963</v>
      </c>
      <c r="O21" s="22">
        <v>0</v>
      </c>
      <c r="P21" s="23" t="e">
        <f>O21+#REF!</f>
        <v>#REF!</v>
      </c>
      <c r="Q21" s="33">
        <v>912</v>
      </c>
      <c r="R21" s="22">
        <v>0</v>
      </c>
      <c r="S21" s="23" t="e">
        <f>R21+#REF!</f>
        <v>#REF!</v>
      </c>
      <c r="T21" s="33">
        <v>199</v>
      </c>
      <c r="U21" s="22">
        <v>0</v>
      </c>
      <c r="V21" s="23" t="e">
        <f>U21+#REF!</f>
        <v>#REF!</v>
      </c>
      <c r="W21" s="33">
        <v>101</v>
      </c>
      <c r="X21" s="22">
        <v>0</v>
      </c>
      <c r="Y21" s="23" t="e">
        <f>X21+#REF!</f>
        <v>#REF!</v>
      </c>
      <c r="Z21" s="33">
        <v>42</v>
      </c>
      <c r="AA21" s="22">
        <v>0</v>
      </c>
      <c r="AB21" s="23" t="e">
        <f>AA21+#REF!</f>
        <v>#REF!</v>
      </c>
      <c r="AC21" s="33">
        <v>20</v>
      </c>
      <c r="AD21" s="22">
        <v>1</v>
      </c>
      <c r="AE21" s="23" t="e">
        <f>AD21+#REF!</f>
        <v>#REF!</v>
      </c>
      <c r="AF21" s="19">
        <v>260000</v>
      </c>
      <c r="AG21" s="20">
        <v>260000</v>
      </c>
      <c r="AH21" s="24">
        <v>2000</v>
      </c>
      <c r="AI21" s="23" t="e">
        <f>AH21+#REF!</f>
        <v>#REF!</v>
      </c>
      <c r="AJ21" s="24">
        <v>58000</v>
      </c>
      <c r="AK21" s="23" t="e">
        <f>AJ21+#REF!</f>
        <v>#REF!</v>
      </c>
      <c r="AL21" s="22">
        <v>10000</v>
      </c>
      <c r="AM21" s="23" t="e">
        <f>AL21+#REF!</f>
        <v>#REF!</v>
      </c>
      <c r="AN21" s="22">
        <v>190000</v>
      </c>
      <c r="AO21" s="23" t="e">
        <f>AN21+#REF!</f>
        <v>#REF!</v>
      </c>
      <c r="AP21" s="28" t="s">
        <v>58</v>
      </c>
      <c r="AQ21" s="19">
        <v>12</v>
      </c>
      <c r="AR21" s="20">
        <v>12</v>
      </c>
      <c r="AS21" s="34">
        <v>1</v>
      </c>
      <c r="AT21" s="23" t="e">
        <f>AS21+#REF!</f>
        <v>#REF!</v>
      </c>
      <c r="AU21" s="34">
        <v>4</v>
      </c>
      <c r="AV21" s="23" t="e">
        <f>AU21+#REF!</f>
        <v>#REF!</v>
      </c>
      <c r="AW21" s="34">
        <v>1</v>
      </c>
      <c r="AX21" s="23" t="e">
        <f>AW21+#REF!</f>
        <v>#REF!</v>
      </c>
      <c r="AY21" s="34">
        <v>0</v>
      </c>
      <c r="AZ21" s="23" t="e">
        <f>AY21+#REF!</f>
        <v>#REF!</v>
      </c>
      <c r="BA21" s="34">
        <v>6</v>
      </c>
      <c r="BB21" s="23" t="e">
        <f>BA21+#REF!</f>
        <v>#REF!</v>
      </c>
      <c r="BC21" s="19">
        <v>9</v>
      </c>
      <c r="BD21" s="20">
        <v>9</v>
      </c>
      <c r="BE21" s="22">
        <v>4</v>
      </c>
      <c r="BF21" s="23" t="e">
        <f>BE21+#REF!</f>
        <v>#REF!</v>
      </c>
      <c r="BG21" s="34">
        <v>0</v>
      </c>
      <c r="BH21" s="23" t="e">
        <f>BG21+#REF!</f>
        <v>#REF!</v>
      </c>
      <c r="BI21" s="22">
        <v>4</v>
      </c>
      <c r="BJ21" s="23" t="e">
        <f>BI21+#REF!</f>
        <v>#REF!</v>
      </c>
      <c r="BK21" s="22">
        <v>0</v>
      </c>
      <c r="BL21" s="23" t="e">
        <f>BK21+#REF!</f>
        <v>#REF!</v>
      </c>
      <c r="BM21" s="22">
        <v>1</v>
      </c>
      <c r="BN21" s="23" t="e">
        <f>BM21+#REF!</f>
        <v>#REF!</v>
      </c>
      <c r="BO21" s="36"/>
      <c r="BP21" s="37"/>
      <c r="BQ21" s="23" t="e">
        <f>BP21+#REF!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1953</v>
      </c>
      <c r="D22" s="31" t="e">
        <f t="shared" si="0"/>
        <v>#REF!</v>
      </c>
      <c r="E22" s="32">
        <v>509</v>
      </c>
      <c r="F22" s="22">
        <v>422</v>
      </c>
      <c r="G22" s="23" t="e">
        <f>F22+#REF!</f>
        <v>#REF!</v>
      </c>
      <c r="H22" s="33">
        <v>8</v>
      </c>
      <c r="I22" s="34">
        <v>241</v>
      </c>
      <c r="J22" s="23" t="e">
        <f>I22+#REF!</f>
        <v>#REF!</v>
      </c>
      <c r="K22" s="33">
        <v>21</v>
      </c>
      <c r="L22" s="22"/>
      <c r="M22" s="23" t="e">
        <f>L22+#REF!</f>
        <v>#REF!</v>
      </c>
      <c r="N22" s="33">
        <v>560</v>
      </c>
      <c r="O22" s="22"/>
      <c r="P22" s="23" t="e">
        <f>O22+#REF!</f>
        <v>#REF!</v>
      </c>
      <c r="Q22" s="33">
        <v>375</v>
      </c>
      <c r="R22" s="22"/>
      <c r="S22" s="23" t="e">
        <f>R22+#REF!</f>
        <v>#REF!</v>
      </c>
      <c r="T22" s="33">
        <v>165</v>
      </c>
      <c r="U22" s="22">
        <v>42</v>
      </c>
      <c r="V22" s="23" t="e">
        <f>U22+#REF!</f>
        <v>#REF!</v>
      </c>
      <c r="W22" s="33">
        <v>28</v>
      </c>
      <c r="X22" s="22">
        <v>90</v>
      </c>
      <c r="Y22" s="23" t="e">
        <f>X22+#REF!</f>
        <v>#REF!</v>
      </c>
      <c r="Z22" s="33">
        <v>9</v>
      </c>
      <c r="AA22" s="22"/>
      <c r="AB22" s="23" t="e">
        <f>AA22+#REF!</f>
        <v>#REF!</v>
      </c>
      <c r="AC22" s="33">
        <v>112</v>
      </c>
      <c r="AD22" s="22">
        <v>1158</v>
      </c>
      <c r="AE22" s="23" t="e">
        <f>AD22+#REF!</f>
        <v>#REF!</v>
      </c>
      <c r="AF22" s="19">
        <v>993563</v>
      </c>
      <c r="AG22" s="20">
        <v>993563</v>
      </c>
      <c r="AH22" s="24">
        <v>784</v>
      </c>
      <c r="AI22" s="23" t="e">
        <f>AH22+#REF!</f>
        <v>#REF!</v>
      </c>
      <c r="AJ22" s="24">
        <v>7238</v>
      </c>
      <c r="AK22" s="23" t="e">
        <f>AJ22+#REF!</f>
        <v>#REF!</v>
      </c>
      <c r="AL22" s="22">
        <v>5412</v>
      </c>
      <c r="AM22" s="23" t="e">
        <f>AL22+#REF!</f>
        <v>#REF!</v>
      </c>
      <c r="AN22" s="22">
        <v>980129</v>
      </c>
      <c r="AO22" s="23" t="e">
        <f>AN22+#REF!</f>
        <v>#REF!</v>
      </c>
      <c r="AP22" s="28" t="s">
        <v>59</v>
      </c>
      <c r="AQ22" s="19">
        <v>635</v>
      </c>
      <c r="AR22" s="20">
        <v>635</v>
      </c>
      <c r="AS22" s="34"/>
      <c r="AT22" s="23" t="e">
        <f>AS22+#REF!</f>
        <v>#REF!</v>
      </c>
      <c r="AU22" s="34"/>
      <c r="AV22" s="23" t="e">
        <f>AU22+#REF!</f>
        <v>#REF!</v>
      </c>
      <c r="AW22" s="34"/>
      <c r="AX22" s="23" t="e">
        <f>AW22+#REF!</f>
        <v>#REF!</v>
      </c>
      <c r="AY22" s="34"/>
      <c r="AZ22" s="23" t="e">
        <f>AY22+#REF!</f>
        <v>#REF!</v>
      </c>
      <c r="BA22" s="34">
        <v>635</v>
      </c>
      <c r="BB22" s="23" t="e">
        <f>BA22+#REF!</f>
        <v>#REF!</v>
      </c>
      <c r="BC22" s="19">
        <v>6489</v>
      </c>
      <c r="BD22" s="20">
        <v>6489</v>
      </c>
      <c r="BE22" s="22">
        <v>31</v>
      </c>
      <c r="BF22" s="23" t="e">
        <f>BE22+#REF!</f>
        <v>#REF!</v>
      </c>
      <c r="BG22" s="34"/>
      <c r="BH22" s="23" t="e">
        <f>BG22+#REF!</f>
        <v>#REF!</v>
      </c>
      <c r="BI22" s="22">
        <v>6400</v>
      </c>
      <c r="BJ22" s="23" t="e">
        <f>BI22+#REF!</f>
        <v>#REF!</v>
      </c>
      <c r="BK22" s="22">
        <v>58</v>
      </c>
      <c r="BL22" s="23" t="e">
        <f>BK22+#REF!</f>
        <v>#REF!</v>
      </c>
      <c r="BM22" s="22"/>
      <c r="BN22" s="23" t="e">
        <f>BM22+#REF!</f>
        <v>#REF!</v>
      </c>
      <c r="BO22" s="36">
        <v>26</v>
      </c>
      <c r="BP22" s="37">
        <v>226</v>
      </c>
      <c r="BQ22" s="23" t="e">
        <f>BP22+#REF!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4515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1965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252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103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46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559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1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1">SUM(AD8:AD22)</f>
        <v>1585</v>
      </c>
      <c r="AE23" s="68" t="e">
        <f t="shared" si="1"/>
        <v>#REF!</v>
      </c>
      <c r="AF23" s="64">
        <f t="shared" si="1"/>
        <v>4122817</v>
      </c>
      <c r="AG23" s="64">
        <f t="shared" si="1"/>
        <v>4117317</v>
      </c>
      <c r="AH23" s="67">
        <f t="shared" si="1"/>
        <v>37669</v>
      </c>
      <c r="AI23" s="68" t="e">
        <f t="shared" si="1"/>
        <v>#REF!</v>
      </c>
      <c r="AJ23" s="67">
        <f t="shared" si="1"/>
        <v>134188</v>
      </c>
      <c r="AK23" s="68" t="e">
        <f t="shared" si="1"/>
        <v>#REF!</v>
      </c>
      <c r="AL23" s="67">
        <f t="shared" si="1"/>
        <v>991629</v>
      </c>
      <c r="AM23" s="68" t="e">
        <f t="shared" si="1"/>
        <v>#REF!</v>
      </c>
      <c r="AN23" s="67">
        <f t="shared" si="1"/>
        <v>2959331</v>
      </c>
      <c r="AO23" s="68" t="e">
        <f t="shared" si="1"/>
        <v>#REF!</v>
      </c>
      <c r="AP23" s="62" t="s">
        <v>12</v>
      </c>
      <c r="AQ23" s="64">
        <f t="shared" ref="AQ23:BQ23" si="2">SUM(AQ8:AQ22)</f>
        <v>1178</v>
      </c>
      <c r="AR23" s="64">
        <f t="shared" si="2"/>
        <v>1178</v>
      </c>
      <c r="AS23" s="67">
        <f t="shared" si="2"/>
        <v>6</v>
      </c>
      <c r="AT23" s="68" t="e">
        <f t="shared" si="2"/>
        <v>#REF!</v>
      </c>
      <c r="AU23" s="67">
        <f t="shared" si="2"/>
        <v>6</v>
      </c>
      <c r="AV23" s="68" t="e">
        <f t="shared" si="2"/>
        <v>#REF!</v>
      </c>
      <c r="AW23" s="67">
        <f t="shared" si="2"/>
        <v>3</v>
      </c>
      <c r="AX23" s="68" t="e">
        <f t="shared" si="2"/>
        <v>#REF!</v>
      </c>
      <c r="AY23" s="67">
        <f t="shared" si="2"/>
        <v>0</v>
      </c>
      <c r="AZ23" s="68" t="e">
        <f t="shared" si="2"/>
        <v>#REF!</v>
      </c>
      <c r="BA23" s="67">
        <f t="shared" si="2"/>
        <v>1163</v>
      </c>
      <c r="BB23" s="68" t="e">
        <f t="shared" si="2"/>
        <v>#REF!</v>
      </c>
      <c r="BC23" s="64">
        <f t="shared" si="2"/>
        <v>45815</v>
      </c>
      <c r="BD23" s="64">
        <f t="shared" si="2"/>
        <v>45815</v>
      </c>
      <c r="BE23" s="67">
        <f t="shared" si="2"/>
        <v>563</v>
      </c>
      <c r="BF23" s="68" t="e">
        <f t="shared" si="2"/>
        <v>#REF!</v>
      </c>
      <c r="BG23" s="67">
        <f t="shared" si="2"/>
        <v>40</v>
      </c>
      <c r="BH23" s="68" t="e">
        <f t="shared" si="2"/>
        <v>#REF!</v>
      </c>
      <c r="BI23" s="67">
        <f t="shared" si="2"/>
        <v>40139</v>
      </c>
      <c r="BJ23" s="68" t="e">
        <f t="shared" si="2"/>
        <v>#REF!</v>
      </c>
      <c r="BK23" s="67">
        <f t="shared" si="2"/>
        <v>5072</v>
      </c>
      <c r="BL23" s="68" t="e">
        <f t="shared" si="2"/>
        <v>#REF!</v>
      </c>
      <c r="BM23" s="67">
        <f t="shared" si="2"/>
        <v>1</v>
      </c>
      <c r="BN23" s="68" t="e">
        <f t="shared" si="2"/>
        <v>#REF!</v>
      </c>
      <c r="BO23" s="69">
        <f t="shared" si="2"/>
        <v>37616</v>
      </c>
      <c r="BP23" s="70">
        <f t="shared" si="2"/>
        <v>240</v>
      </c>
      <c r="BQ23" s="71" t="e">
        <f t="shared" si="2"/>
        <v>#REF!</v>
      </c>
    </row>
    <row r="24" spans="1:73">
      <c r="F24" s="72"/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U23"/>
  <sheetViews>
    <sheetView zoomScale="130" zoomScaleNormal="130" workbookViewId="0">
      <pane xSplit="4" ySplit="8" topLeftCell="BN18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40" width="9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60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ref="B9:B17" si="1">E9+H9+K9+N9+Q9+T9+W9+Z9+AC9</f>
        <v>3841</v>
      </c>
      <c r="C9" s="30">
        <f t="shared" ref="C9:C17" si="2">F9+I9+L9+O9+R9+U9+X9+AA9+AD9</f>
        <v>0</v>
      </c>
      <c r="D9" s="31">
        <f t="shared" ref="D9:D17" si="3">G9+J9+M9+P9+S9+V9+Y9+AB9+AE9</f>
        <v>0</v>
      </c>
      <c r="E9" s="32">
        <v>452</v>
      </c>
      <c r="F9" s="22"/>
      <c r="G9" s="23">
        <f t="shared" ref="G9:G17" si="4">F9</f>
        <v>0</v>
      </c>
      <c r="H9" s="33">
        <v>12</v>
      </c>
      <c r="I9" s="34"/>
      <c r="J9" s="23">
        <f t="shared" ref="J9:J11" si="5">I9</f>
        <v>0</v>
      </c>
      <c r="K9" s="33">
        <v>2</v>
      </c>
      <c r="L9" s="22"/>
      <c r="M9" s="23">
        <f t="shared" ref="M9:M17" si="6">L9</f>
        <v>0</v>
      </c>
      <c r="N9" s="33">
        <v>735</v>
      </c>
      <c r="O9" s="22"/>
      <c r="P9" s="23">
        <f t="shared" ref="P9:P17" si="7">O9</f>
        <v>0</v>
      </c>
      <c r="Q9" s="33">
        <v>502</v>
      </c>
      <c r="R9" s="22"/>
      <c r="S9" s="23">
        <f t="shared" ref="S9:S17" si="8">R9</f>
        <v>0</v>
      </c>
      <c r="T9" s="33">
        <v>197</v>
      </c>
      <c r="U9" s="22"/>
      <c r="V9" s="23">
        <f t="shared" ref="V9:V17" si="9">U9</f>
        <v>0</v>
      </c>
      <c r="W9" s="33">
        <v>47</v>
      </c>
      <c r="X9" s="22"/>
      <c r="Y9" s="23">
        <f t="shared" ref="Y9:Y17" si="10">X9</f>
        <v>0</v>
      </c>
      <c r="Z9" s="33">
        <v>34</v>
      </c>
      <c r="AA9" s="22"/>
      <c r="AB9" s="23">
        <f t="shared" ref="AB9:AB17" si="11">AA9</f>
        <v>0</v>
      </c>
      <c r="AC9" s="33">
        <v>1860</v>
      </c>
      <c r="AD9" s="22"/>
      <c r="AE9" s="23">
        <f t="shared" ref="AE9:AE17" si="12">AD9</f>
        <v>0</v>
      </c>
      <c r="AF9" s="19">
        <f t="shared" ref="AF9:AF17" si="13">AH9+AJ9+AL9+AN9</f>
        <v>0</v>
      </c>
      <c r="AG9" s="20">
        <f t="shared" ref="AG9:AG17" si="14">AI9+AK9+AM9+AO9</f>
        <v>0</v>
      </c>
      <c r="AH9" s="24"/>
      <c r="AI9" s="23">
        <f t="shared" ref="AI9:AI17" si="15">AH9</f>
        <v>0</v>
      </c>
      <c r="AJ9" s="24"/>
      <c r="AK9" s="23">
        <f t="shared" ref="AK9:AK14" si="16">AJ9</f>
        <v>0</v>
      </c>
      <c r="AL9" s="22"/>
      <c r="AM9" s="23">
        <f t="shared" ref="AM9:AM17" si="17">AL9</f>
        <v>0</v>
      </c>
      <c r="AN9" s="22"/>
      <c r="AO9" s="23">
        <f t="shared" ref="AO9:AO17" si="18">AN9</f>
        <v>0</v>
      </c>
      <c r="AP9" s="28" t="s">
        <v>43</v>
      </c>
      <c r="AQ9" s="19">
        <f t="shared" ref="AQ9:AQ18" si="19">AS9+AU9+AW9+AY9+BA9</f>
        <v>0</v>
      </c>
      <c r="AR9" s="20">
        <f t="shared" ref="AR9:AR17" si="20">AT9+AV9+AX9+AZ9+BB9</f>
        <v>0</v>
      </c>
      <c r="AS9" s="34"/>
      <c r="AT9" s="23">
        <f t="shared" ref="AT9:AT17" si="21">AS9</f>
        <v>0</v>
      </c>
      <c r="AU9" s="34"/>
      <c r="AV9" s="23">
        <f t="shared" ref="AV9:AV13" si="22">AU9</f>
        <v>0</v>
      </c>
      <c r="AW9" s="34"/>
      <c r="AX9" s="23">
        <f t="shared" ref="AX9:AX10" si="23">AW9</f>
        <v>0</v>
      </c>
      <c r="AY9" s="34"/>
      <c r="AZ9" s="23">
        <f t="shared" ref="AZ9:AZ17" si="24">AY9</f>
        <v>0</v>
      </c>
      <c r="BA9" s="34"/>
      <c r="BB9" s="23">
        <f t="shared" ref="BB9:BB17" si="25">BA9</f>
        <v>0</v>
      </c>
      <c r="BC9" s="19">
        <f t="shared" ref="BC9:BC17" si="26">BE9+BG9+BI9+BK9+BM9</f>
        <v>0</v>
      </c>
      <c r="BD9" s="20">
        <f t="shared" ref="BD9:BD18" si="27">BF9+BH9+BJ9+BL9+BN9</f>
        <v>0</v>
      </c>
      <c r="BE9" s="22"/>
      <c r="BF9" s="23">
        <f t="shared" ref="BF9:BF17" si="28">BE9</f>
        <v>0</v>
      </c>
      <c r="BG9" s="34"/>
      <c r="BH9" s="23">
        <f t="shared" ref="BH9:BH17" si="29">BG9</f>
        <v>0</v>
      </c>
      <c r="BI9" s="22"/>
      <c r="BJ9" s="23">
        <f t="shared" ref="BJ9:BJ17" si="30">BI9</f>
        <v>0</v>
      </c>
      <c r="BK9" s="22"/>
      <c r="BL9" s="23">
        <f t="shared" ref="BL9:BL17" si="31">BK9</f>
        <v>0</v>
      </c>
      <c r="BM9" s="22"/>
      <c r="BN9" s="23">
        <f t="shared" ref="BN9:BN17" si="32">BM9</f>
        <v>0</v>
      </c>
      <c r="BO9" s="36">
        <v>14</v>
      </c>
      <c r="BP9" s="37"/>
      <c r="BQ9" s="27">
        <f t="shared" ref="BQ9:BQ17" si="33">BP9</f>
        <v>0</v>
      </c>
    </row>
    <row r="10" spans="1:70" ht="27.75" customHeight="1">
      <c r="A10" s="28" t="s">
        <v>44</v>
      </c>
      <c r="B10" s="29">
        <f t="shared" si="1"/>
        <v>3627</v>
      </c>
      <c r="C10" s="30">
        <f t="shared" si="2"/>
        <v>0</v>
      </c>
      <c r="D10" s="31">
        <f t="shared" si="3"/>
        <v>0</v>
      </c>
      <c r="E10" s="32">
        <v>585</v>
      </c>
      <c r="F10" s="22">
        <v>0</v>
      </c>
      <c r="G10" s="23">
        <f t="shared" si="4"/>
        <v>0</v>
      </c>
      <c r="H10" s="33">
        <v>93</v>
      </c>
      <c r="I10" s="34">
        <v>0</v>
      </c>
      <c r="J10" s="23">
        <f t="shared" si="5"/>
        <v>0</v>
      </c>
      <c r="K10" s="33">
        <v>34</v>
      </c>
      <c r="L10" s="22">
        <v>0</v>
      </c>
      <c r="M10" s="23">
        <f t="shared" si="6"/>
        <v>0</v>
      </c>
      <c r="N10" s="33">
        <v>352</v>
      </c>
      <c r="O10" s="22">
        <v>0</v>
      </c>
      <c r="P10" s="23">
        <f t="shared" si="7"/>
        <v>0</v>
      </c>
      <c r="Q10" s="33">
        <v>549</v>
      </c>
      <c r="R10" s="22">
        <v>0</v>
      </c>
      <c r="S10" s="23">
        <f t="shared" si="8"/>
        <v>0</v>
      </c>
      <c r="T10" s="33">
        <v>198</v>
      </c>
      <c r="U10" s="22">
        <v>0</v>
      </c>
      <c r="V10" s="23">
        <f t="shared" si="9"/>
        <v>0</v>
      </c>
      <c r="W10" s="38">
        <v>55</v>
      </c>
      <c r="X10" s="22">
        <v>0</v>
      </c>
      <c r="Y10" s="23">
        <f t="shared" si="10"/>
        <v>0</v>
      </c>
      <c r="Z10" s="38">
        <v>71</v>
      </c>
      <c r="AA10" s="22">
        <v>0</v>
      </c>
      <c r="AB10" s="23">
        <f t="shared" si="11"/>
        <v>0</v>
      </c>
      <c r="AC10" s="38">
        <v>1690</v>
      </c>
      <c r="AD10" s="22">
        <v>0</v>
      </c>
      <c r="AE10" s="23">
        <f t="shared" si="12"/>
        <v>0</v>
      </c>
      <c r="AF10" s="19">
        <f t="shared" si="13"/>
        <v>0</v>
      </c>
      <c r="AG10" s="20">
        <f t="shared" si="14"/>
        <v>0</v>
      </c>
      <c r="AH10" s="24">
        <v>0</v>
      </c>
      <c r="AI10" s="23">
        <f t="shared" si="15"/>
        <v>0</v>
      </c>
      <c r="AJ10" s="24">
        <v>0</v>
      </c>
      <c r="AK10" s="23">
        <f t="shared" si="16"/>
        <v>0</v>
      </c>
      <c r="AL10" s="22">
        <v>0</v>
      </c>
      <c r="AM10" s="23">
        <f t="shared" si="17"/>
        <v>0</v>
      </c>
      <c r="AN10" s="22">
        <v>0</v>
      </c>
      <c r="AO10" s="23">
        <f t="shared" si="18"/>
        <v>0</v>
      </c>
      <c r="AP10" s="28" t="s">
        <v>44</v>
      </c>
      <c r="AQ10" s="19">
        <f t="shared" si="19"/>
        <v>0</v>
      </c>
      <c r="AR10" s="20">
        <f t="shared" si="20"/>
        <v>0</v>
      </c>
      <c r="AS10" s="34">
        <v>0</v>
      </c>
      <c r="AT10" s="23">
        <f t="shared" si="21"/>
        <v>0</v>
      </c>
      <c r="AU10" s="34">
        <v>0</v>
      </c>
      <c r="AV10" s="23">
        <f t="shared" si="22"/>
        <v>0</v>
      </c>
      <c r="AW10" s="34">
        <v>0</v>
      </c>
      <c r="AX10" s="23">
        <f t="shared" si="23"/>
        <v>0</v>
      </c>
      <c r="AY10" s="34">
        <v>0</v>
      </c>
      <c r="AZ10" s="23">
        <f t="shared" si="24"/>
        <v>0</v>
      </c>
      <c r="BA10" s="34">
        <v>0</v>
      </c>
      <c r="BB10" s="23">
        <f t="shared" si="25"/>
        <v>0</v>
      </c>
      <c r="BC10" s="19">
        <f t="shared" si="26"/>
        <v>0</v>
      </c>
      <c r="BD10" s="20">
        <f t="shared" si="27"/>
        <v>0</v>
      </c>
      <c r="BE10" s="22">
        <v>0</v>
      </c>
      <c r="BF10" s="23">
        <f t="shared" si="28"/>
        <v>0</v>
      </c>
      <c r="BG10" s="34">
        <v>0</v>
      </c>
      <c r="BH10" s="23">
        <f t="shared" si="29"/>
        <v>0</v>
      </c>
      <c r="BI10" s="22">
        <v>0</v>
      </c>
      <c r="BJ10" s="23">
        <f t="shared" si="30"/>
        <v>0</v>
      </c>
      <c r="BK10" s="22">
        <v>0</v>
      </c>
      <c r="BL10" s="23">
        <f t="shared" si="31"/>
        <v>0</v>
      </c>
      <c r="BM10" s="22">
        <v>0</v>
      </c>
      <c r="BN10" s="23">
        <f t="shared" si="32"/>
        <v>0</v>
      </c>
      <c r="BO10" s="36">
        <v>32</v>
      </c>
      <c r="BP10" s="37">
        <v>0</v>
      </c>
      <c r="BQ10" s="27">
        <f t="shared" si="33"/>
        <v>0</v>
      </c>
    </row>
    <row r="11" spans="1:70" ht="27.75" customHeight="1">
      <c r="A11" s="28" t="s">
        <v>45</v>
      </c>
      <c r="B11" s="29">
        <f t="shared" si="1"/>
        <v>15381</v>
      </c>
      <c r="C11" s="30">
        <f t="shared" si="2"/>
        <v>155</v>
      </c>
      <c r="D11" s="31">
        <f t="shared" si="3"/>
        <v>155</v>
      </c>
      <c r="E11" s="32">
        <v>883</v>
      </c>
      <c r="F11" s="22">
        <v>55</v>
      </c>
      <c r="G11" s="23">
        <f t="shared" si="4"/>
        <v>55</v>
      </c>
      <c r="H11" s="33">
        <v>16</v>
      </c>
      <c r="I11" s="34">
        <v>0</v>
      </c>
      <c r="J11" s="23">
        <f t="shared" si="5"/>
        <v>0</v>
      </c>
      <c r="K11" s="33">
        <v>3</v>
      </c>
      <c r="L11" s="22">
        <v>0</v>
      </c>
      <c r="M11" s="23">
        <f t="shared" si="6"/>
        <v>0</v>
      </c>
      <c r="N11" s="33">
        <v>875</v>
      </c>
      <c r="O11" s="22">
        <v>0</v>
      </c>
      <c r="P11" s="23">
        <f t="shared" si="7"/>
        <v>0</v>
      </c>
      <c r="Q11" s="33">
        <v>2424</v>
      </c>
      <c r="R11" s="22">
        <v>0</v>
      </c>
      <c r="S11" s="23">
        <f t="shared" si="8"/>
        <v>0</v>
      </c>
      <c r="T11" s="33">
        <v>69</v>
      </c>
      <c r="U11" s="22">
        <v>0</v>
      </c>
      <c r="V11" s="23">
        <f t="shared" si="9"/>
        <v>0</v>
      </c>
      <c r="W11" s="38">
        <v>133</v>
      </c>
      <c r="X11" s="22">
        <v>91</v>
      </c>
      <c r="Y11" s="23">
        <f t="shared" si="10"/>
        <v>91</v>
      </c>
      <c r="Z11" s="38">
        <v>1116</v>
      </c>
      <c r="AA11" s="22">
        <v>0</v>
      </c>
      <c r="AB11" s="23">
        <f t="shared" si="11"/>
        <v>0</v>
      </c>
      <c r="AC11" s="38">
        <v>9862</v>
      </c>
      <c r="AD11" s="22">
        <v>9</v>
      </c>
      <c r="AE11" s="23">
        <f t="shared" si="12"/>
        <v>9</v>
      </c>
      <c r="AF11" s="19">
        <f t="shared" si="13"/>
        <v>173200</v>
      </c>
      <c r="AG11" s="20">
        <f t="shared" si="14"/>
        <v>173200</v>
      </c>
      <c r="AH11" s="24">
        <v>6200</v>
      </c>
      <c r="AI11" s="23">
        <f t="shared" si="15"/>
        <v>6200</v>
      </c>
      <c r="AJ11" s="24">
        <v>9000</v>
      </c>
      <c r="AK11" s="23">
        <f t="shared" si="16"/>
        <v>9000</v>
      </c>
      <c r="AL11" s="22">
        <v>53000</v>
      </c>
      <c r="AM11" s="23">
        <f t="shared" si="17"/>
        <v>53000</v>
      </c>
      <c r="AN11" s="22">
        <v>105000</v>
      </c>
      <c r="AO11" s="23">
        <f t="shared" si="18"/>
        <v>105000</v>
      </c>
      <c r="AP11" s="28" t="s">
        <v>45</v>
      </c>
      <c r="AQ11" s="19">
        <f t="shared" si="19"/>
        <v>11</v>
      </c>
      <c r="AR11" s="20">
        <f t="shared" si="20"/>
        <v>11</v>
      </c>
      <c r="AS11" s="34">
        <v>0</v>
      </c>
      <c r="AT11" s="23">
        <f t="shared" si="21"/>
        <v>0</v>
      </c>
      <c r="AU11" s="34">
        <v>0</v>
      </c>
      <c r="AV11" s="23">
        <f t="shared" si="22"/>
        <v>0</v>
      </c>
      <c r="AW11" s="34">
        <v>0</v>
      </c>
      <c r="AX11" s="23">
        <v>0</v>
      </c>
      <c r="AY11" s="34">
        <v>0</v>
      </c>
      <c r="AZ11" s="23">
        <f t="shared" si="24"/>
        <v>0</v>
      </c>
      <c r="BA11" s="34">
        <v>11</v>
      </c>
      <c r="BB11" s="23">
        <f t="shared" si="25"/>
        <v>11</v>
      </c>
      <c r="BC11" s="19">
        <f t="shared" si="26"/>
        <v>6343</v>
      </c>
      <c r="BD11" s="20">
        <f t="shared" si="27"/>
        <v>6343</v>
      </c>
      <c r="BE11" s="22">
        <v>12</v>
      </c>
      <c r="BF11" s="23">
        <f t="shared" si="28"/>
        <v>12</v>
      </c>
      <c r="BG11" s="34">
        <v>6</v>
      </c>
      <c r="BH11" s="23">
        <f t="shared" si="29"/>
        <v>6</v>
      </c>
      <c r="BI11" s="22">
        <v>6200</v>
      </c>
      <c r="BJ11" s="23">
        <f t="shared" si="30"/>
        <v>6200</v>
      </c>
      <c r="BK11" s="22">
        <v>125</v>
      </c>
      <c r="BL11" s="23">
        <f t="shared" si="31"/>
        <v>125</v>
      </c>
      <c r="BM11" s="22">
        <v>0</v>
      </c>
      <c r="BN11" s="23">
        <f t="shared" si="32"/>
        <v>0</v>
      </c>
      <c r="BO11" s="36">
        <v>11506</v>
      </c>
      <c r="BP11" s="37">
        <v>8</v>
      </c>
      <c r="BQ11" s="27">
        <f t="shared" si="33"/>
        <v>8</v>
      </c>
    </row>
    <row r="12" spans="1:70" ht="27.75" customHeight="1">
      <c r="A12" s="28" t="s">
        <v>46</v>
      </c>
      <c r="B12" s="29">
        <f t="shared" si="1"/>
        <v>30164</v>
      </c>
      <c r="C12" s="30">
        <f t="shared" si="2"/>
        <v>237</v>
      </c>
      <c r="D12" s="31">
        <f t="shared" si="3"/>
        <v>237</v>
      </c>
      <c r="E12" s="32">
        <v>909</v>
      </c>
      <c r="F12" s="22">
        <v>48</v>
      </c>
      <c r="G12" s="23">
        <f t="shared" si="4"/>
        <v>48</v>
      </c>
      <c r="H12" s="33">
        <v>80</v>
      </c>
      <c r="I12" s="34">
        <v>5</v>
      </c>
      <c r="J12" s="23">
        <f t="shared" ref="J12:J17" si="34">I12</f>
        <v>5</v>
      </c>
      <c r="K12" s="33">
        <v>5</v>
      </c>
      <c r="L12" s="22">
        <v>0</v>
      </c>
      <c r="M12" s="23">
        <f t="shared" si="6"/>
        <v>0</v>
      </c>
      <c r="N12" s="33">
        <v>820</v>
      </c>
      <c r="O12" s="22">
        <v>22</v>
      </c>
      <c r="P12" s="23">
        <f t="shared" si="7"/>
        <v>22</v>
      </c>
      <c r="Q12" s="33">
        <v>549</v>
      </c>
      <c r="R12" s="22">
        <v>0</v>
      </c>
      <c r="S12" s="23">
        <f t="shared" si="8"/>
        <v>0</v>
      </c>
      <c r="T12" s="33">
        <v>992</v>
      </c>
      <c r="U12" s="22">
        <v>0</v>
      </c>
      <c r="V12" s="23">
        <f t="shared" si="9"/>
        <v>0</v>
      </c>
      <c r="W12" s="33">
        <v>38</v>
      </c>
      <c r="X12" s="22">
        <v>131</v>
      </c>
      <c r="Y12" s="23">
        <f t="shared" si="10"/>
        <v>131</v>
      </c>
      <c r="Z12" s="33">
        <v>68</v>
      </c>
      <c r="AA12" s="22">
        <v>0</v>
      </c>
      <c r="AB12" s="23">
        <f t="shared" si="11"/>
        <v>0</v>
      </c>
      <c r="AC12" s="33">
        <v>26703</v>
      </c>
      <c r="AD12" s="22">
        <v>31</v>
      </c>
      <c r="AE12" s="23">
        <f t="shared" si="12"/>
        <v>31</v>
      </c>
      <c r="AF12" s="19">
        <f t="shared" si="13"/>
        <v>30200</v>
      </c>
      <c r="AG12" s="20">
        <f t="shared" si="14"/>
        <v>30200</v>
      </c>
      <c r="AH12" s="24">
        <v>8000</v>
      </c>
      <c r="AI12" s="23">
        <f t="shared" si="15"/>
        <v>8000</v>
      </c>
      <c r="AJ12" s="24">
        <v>9500</v>
      </c>
      <c r="AK12" s="23">
        <f t="shared" si="16"/>
        <v>9500</v>
      </c>
      <c r="AL12" s="22">
        <v>6350</v>
      </c>
      <c r="AM12" s="23">
        <f t="shared" si="17"/>
        <v>6350</v>
      </c>
      <c r="AN12" s="22">
        <v>6350</v>
      </c>
      <c r="AO12" s="23">
        <f t="shared" si="18"/>
        <v>6350</v>
      </c>
      <c r="AP12" s="28" t="s">
        <v>46</v>
      </c>
      <c r="AQ12" s="19">
        <f t="shared" si="19"/>
        <v>128</v>
      </c>
      <c r="AR12" s="20">
        <f t="shared" si="20"/>
        <v>128</v>
      </c>
      <c r="AS12" s="34">
        <v>0</v>
      </c>
      <c r="AT12" s="23">
        <f t="shared" si="21"/>
        <v>0</v>
      </c>
      <c r="AU12" s="34">
        <v>0</v>
      </c>
      <c r="AV12" s="23">
        <f t="shared" si="22"/>
        <v>0</v>
      </c>
      <c r="AW12" s="34">
        <v>0</v>
      </c>
      <c r="AX12" s="23">
        <f t="shared" ref="AX12:AX17" si="35">AW12</f>
        <v>0</v>
      </c>
      <c r="AY12" s="34">
        <v>0</v>
      </c>
      <c r="AZ12" s="23">
        <f t="shared" si="24"/>
        <v>0</v>
      </c>
      <c r="BA12" s="34">
        <v>128</v>
      </c>
      <c r="BB12" s="23">
        <f t="shared" si="25"/>
        <v>128</v>
      </c>
      <c r="BC12" s="19">
        <f t="shared" si="26"/>
        <v>3802</v>
      </c>
      <c r="BD12" s="20">
        <f t="shared" si="27"/>
        <v>3802</v>
      </c>
      <c r="BE12" s="22">
        <v>89</v>
      </c>
      <c r="BF12" s="23">
        <f t="shared" si="28"/>
        <v>89</v>
      </c>
      <c r="BG12" s="34">
        <v>13</v>
      </c>
      <c r="BH12" s="23">
        <f t="shared" si="29"/>
        <v>13</v>
      </c>
      <c r="BI12" s="22">
        <v>3200</v>
      </c>
      <c r="BJ12" s="23">
        <f t="shared" si="30"/>
        <v>3200</v>
      </c>
      <c r="BK12" s="22">
        <v>500</v>
      </c>
      <c r="BL12" s="23">
        <f t="shared" si="31"/>
        <v>500</v>
      </c>
      <c r="BM12" s="22">
        <v>0</v>
      </c>
      <c r="BN12" s="23">
        <f t="shared" si="32"/>
        <v>0</v>
      </c>
      <c r="BO12" s="36"/>
      <c r="BP12" s="37">
        <v>2</v>
      </c>
      <c r="BQ12" s="27">
        <f t="shared" si="33"/>
        <v>2</v>
      </c>
    </row>
    <row r="13" spans="1:70" ht="27.75" customHeight="1">
      <c r="A13" s="28" t="s">
        <v>47</v>
      </c>
      <c r="B13" s="29">
        <f t="shared" si="1"/>
        <v>2044</v>
      </c>
      <c r="C13" s="30">
        <f t="shared" si="2"/>
        <v>5</v>
      </c>
      <c r="D13" s="31">
        <f t="shared" si="3"/>
        <v>5</v>
      </c>
      <c r="E13" s="32">
        <v>516</v>
      </c>
      <c r="F13" s="22">
        <v>2</v>
      </c>
      <c r="G13" s="23">
        <f t="shared" si="4"/>
        <v>2</v>
      </c>
      <c r="H13" s="33">
        <v>10</v>
      </c>
      <c r="I13" s="34">
        <v>0</v>
      </c>
      <c r="J13" s="23">
        <f t="shared" si="34"/>
        <v>0</v>
      </c>
      <c r="K13" s="33">
        <v>38</v>
      </c>
      <c r="L13" s="22">
        <v>0</v>
      </c>
      <c r="M13" s="23">
        <f t="shared" si="6"/>
        <v>0</v>
      </c>
      <c r="N13" s="33">
        <v>581</v>
      </c>
      <c r="O13" s="22">
        <v>1</v>
      </c>
      <c r="P13" s="23">
        <f t="shared" si="7"/>
        <v>1</v>
      </c>
      <c r="Q13" s="33">
        <v>525</v>
      </c>
      <c r="R13" s="22">
        <v>0</v>
      </c>
      <c r="S13" s="23">
        <f t="shared" si="8"/>
        <v>0</v>
      </c>
      <c r="T13" s="33">
        <v>263</v>
      </c>
      <c r="U13" s="22">
        <v>0</v>
      </c>
      <c r="V13" s="23">
        <f t="shared" si="9"/>
        <v>0</v>
      </c>
      <c r="W13" s="33">
        <v>43</v>
      </c>
      <c r="X13" s="22">
        <v>0</v>
      </c>
      <c r="Y13" s="23">
        <f t="shared" si="10"/>
        <v>0</v>
      </c>
      <c r="Z13" s="33">
        <v>17</v>
      </c>
      <c r="AA13" s="22">
        <v>0</v>
      </c>
      <c r="AB13" s="23">
        <f t="shared" si="11"/>
        <v>0</v>
      </c>
      <c r="AC13" s="33">
        <v>51</v>
      </c>
      <c r="AD13" s="22">
        <v>2</v>
      </c>
      <c r="AE13" s="23">
        <f t="shared" si="12"/>
        <v>2</v>
      </c>
      <c r="AF13" s="19">
        <f t="shared" si="13"/>
        <v>228000</v>
      </c>
      <c r="AG13" s="20">
        <f t="shared" si="14"/>
        <v>228000</v>
      </c>
      <c r="AH13" s="24">
        <v>700</v>
      </c>
      <c r="AI13" s="23">
        <f t="shared" si="15"/>
        <v>700</v>
      </c>
      <c r="AJ13" s="24">
        <v>7300</v>
      </c>
      <c r="AK13" s="23">
        <f t="shared" si="16"/>
        <v>7300</v>
      </c>
      <c r="AL13" s="22">
        <v>20000</v>
      </c>
      <c r="AM13" s="23">
        <f t="shared" si="17"/>
        <v>20000</v>
      </c>
      <c r="AN13" s="22">
        <v>200000</v>
      </c>
      <c r="AO13" s="23">
        <f t="shared" si="18"/>
        <v>200000</v>
      </c>
      <c r="AP13" s="28" t="s">
        <v>47</v>
      </c>
      <c r="AQ13" s="19">
        <f t="shared" si="19"/>
        <v>12</v>
      </c>
      <c r="AR13" s="20">
        <f t="shared" si="20"/>
        <v>12</v>
      </c>
      <c r="AS13" s="34">
        <v>1</v>
      </c>
      <c r="AT13" s="23">
        <f t="shared" si="21"/>
        <v>1</v>
      </c>
      <c r="AU13" s="34">
        <v>1</v>
      </c>
      <c r="AV13" s="23">
        <f t="shared" si="22"/>
        <v>1</v>
      </c>
      <c r="AW13" s="34">
        <v>0</v>
      </c>
      <c r="AX13" s="23">
        <f t="shared" si="35"/>
        <v>0</v>
      </c>
      <c r="AY13" s="34">
        <v>0</v>
      </c>
      <c r="AZ13" s="23">
        <f t="shared" si="24"/>
        <v>0</v>
      </c>
      <c r="BA13" s="34">
        <v>10</v>
      </c>
      <c r="BB13" s="23">
        <f t="shared" si="25"/>
        <v>10</v>
      </c>
      <c r="BC13" s="19">
        <f t="shared" si="26"/>
        <v>8304</v>
      </c>
      <c r="BD13" s="20">
        <f t="shared" si="27"/>
        <v>8304</v>
      </c>
      <c r="BE13" s="22">
        <v>200</v>
      </c>
      <c r="BF13" s="23">
        <f t="shared" si="28"/>
        <v>200</v>
      </c>
      <c r="BG13" s="34">
        <v>4</v>
      </c>
      <c r="BH13" s="23">
        <f t="shared" si="29"/>
        <v>4</v>
      </c>
      <c r="BI13" s="22">
        <v>8000</v>
      </c>
      <c r="BJ13" s="23">
        <f t="shared" si="30"/>
        <v>8000</v>
      </c>
      <c r="BK13" s="22">
        <v>100</v>
      </c>
      <c r="BL13" s="23">
        <f t="shared" si="31"/>
        <v>100</v>
      </c>
      <c r="BM13" s="22">
        <v>0</v>
      </c>
      <c r="BN13" s="23">
        <f t="shared" si="32"/>
        <v>0</v>
      </c>
      <c r="BO13" s="36"/>
      <c r="BP13" s="37">
        <v>1</v>
      </c>
      <c r="BQ13" s="27">
        <f t="shared" si="33"/>
        <v>1</v>
      </c>
    </row>
    <row r="14" spans="1:70" ht="27.75" customHeight="1">
      <c r="A14" s="39" t="s">
        <v>48</v>
      </c>
      <c r="B14" s="40">
        <f t="shared" si="1"/>
        <v>3916</v>
      </c>
      <c r="C14" s="41">
        <f t="shared" si="2"/>
        <v>146</v>
      </c>
      <c r="D14" s="42">
        <f t="shared" si="3"/>
        <v>146</v>
      </c>
      <c r="E14" s="43">
        <v>304</v>
      </c>
      <c r="F14" s="22">
        <v>117</v>
      </c>
      <c r="G14" s="23">
        <f t="shared" si="4"/>
        <v>117</v>
      </c>
      <c r="H14" s="44">
        <v>5</v>
      </c>
      <c r="I14" s="45">
        <v>0</v>
      </c>
      <c r="J14" s="23">
        <f t="shared" si="34"/>
        <v>0</v>
      </c>
      <c r="K14" s="44">
        <v>34</v>
      </c>
      <c r="L14" s="22">
        <v>0</v>
      </c>
      <c r="M14" s="23">
        <f t="shared" si="6"/>
        <v>0</v>
      </c>
      <c r="N14" s="44">
        <v>583</v>
      </c>
      <c r="O14" s="22">
        <v>0</v>
      </c>
      <c r="P14" s="23">
        <f t="shared" si="7"/>
        <v>0</v>
      </c>
      <c r="Q14" s="44">
        <v>254</v>
      </c>
      <c r="R14" s="22">
        <v>0</v>
      </c>
      <c r="S14" s="23">
        <f t="shared" si="8"/>
        <v>0</v>
      </c>
      <c r="T14" s="44">
        <v>196</v>
      </c>
      <c r="U14" s="22">
        <v>0</v>
      </c>
      <c r="V14" s="23">
        <f t="shared" si="9"/>
        <v>0</v>
      </c>
      <c r="W14" s="44">
        <v>30</v>
      </c>
      <c r="X14" s="22">
        <v>25</v>
      </c>
      <c r="Y14" s="23">
        <f t="shared" si="10"/>
        <v>25</v>
      </c>
      <c r="Z14" s="44">
        <v>10</v>
      </c>
      <c r="AA14" s="22">
        <v>0</v>
      </c>
      <c r="AB14" s="23">
        <f t="shared" si="11"/>
        <v>0</v>
      </c>
      <c r="AC14" s="44">
        <v>2500</v>
      </c>
      <c r="AD14" s="22">
        <v>4</v>
      </c>
      <c r="AE14" s="23">
        <f t="shared" si="12"/>
        <v>4</v>
      </c>
      <c r="AF14" s="19">
        <f t="shared" si="13"/>
        <v>190290</v>
      </c>
      <c r="AG14" s="20">
        <f t="shared" si="14"/>
        <v>190290</v>
      </c>
      <c r="AH14" s="24">
        <v>1420</v>
      </c>
      <c r="AI14" s="23">
        <f t="shared" si="15"/>
        <v>1420</v>
      </c>
      <c r="AJ14" s="24">
        <v>12520</v>
      </c>
      <c r="AK14" s="23">
        <f t="shared" si="16"/>
        <v>12520</v>
      </c>
      <c r="AL14" s="22">
        <v>11220</v>
      </c>
      <c r="AM14" s="23">
        <f t="shared" si="17"/>
        <v>11220</v>
      </c>
      <c r="AN14" s="22">
        <v>165130</v>
      </c>
      <c r="AO14" s="23">
        <f t="shared" si="18"/>
        <v>165130</v>
      </c>
      <c r="AP14" s="39" t="s">
        <v>48</v>
      </c>
      <c r="AQ14" s="19">
        <f t="shared" si="19"/>
        <v>12</v>
      </c>
      <c r="AR14" s="20">
        <f t="shared" si="20"/>
        <v>12</v>
      </c>
      <c r="AS14" s="45">
        <v>1</v>
      </c>
      <c r="AT14" s="23">
        <f t="shared" si="21"/>
        <v>1</v>
      </c>
      <c r="AU14" s="45">
        <v>0</v>
      </c>
      <c r="AV14" s="23">
        <v>0</v>
      </c>
      <c r="AW14" s="45">
        <v>1</v>
      </c>
      <c r="AX14" s="23">
        <f t="shared" si="35"/>
        <v>1</v>
      </c>
      <c r="AY14" s="45">
        <v>0</v>
      </c>
      <c r="AZ14" s="23">
        <f t="shared" si="24"/>
        <v>0</v>
      </c>
      <c r="BA14" s="45">
        <v>10</v>
      </c>
      <c r="BB14" s="23">
        <f t="shared" si="25"/>
        <v>10</v>
      </c>
      <c r="BC14" s="19">
        <f t="shared" si="26"/>
        <v>5302</v>
      </c>
      <c r="BD14" s="20">
        <f t="shared" si="27"/>
        <v>5302</v>
      </c>
      <c r="BE14" s="22">
        <v>12</v>
      </c>
      <c r="BF14" s="23">
        <f t="shared" si="28"/>
        <v>12</v>
      </c>
      <c r="BG14" s="45">
        <v>5</v>
      </c>
      <c r="BH14" s="23">
        <f t="shared" si="29"/>
        <v>5</v>
      </c>
      <c r="BI14" s="22">
        <v>5240</v>
      </c>
      <c r="BJ14" s="23">
        <f t="shared" si="30"/>
        <v>5240</v>
      </c>
      <c r="BK14" s="22">
        <v>45</v>
      </c>
      <c r="BL14" s="23">
        <f t="shared" si="31"/>
        <v>45</v>
      </c>
      <c r="BM14" s="22">
        <v>0</v>
      </c>
      <c r="BN14" s="23">
        <f t="shared" si="32"/>
        <v>0</v>
      </c>
      <c r="BO14" s="48">
        <v>2</v>
      </c>
      <c r="BP14" s="49">
        <v>1</v>
      </c>
      <c r="BQ14" s="27">
        <f t="shared" si="33"/>
        <v>1</v>
      </c>
    </row>
    <row r="15" spans="1:70" s="1" customFormat="1" ht="27.75" customHeight="1">
      <c r="A15" s="50" t="s">
        <v>49</v>
      </c>
      <c r="B15" s="51">
        <f t="shared" si="1"/>
        <v>3897</v>
      </c>
      <c r="C15" s="52">
        <f t="shared" si="2"/>
        <v>496</v>
      </c>
      <c r="D15" s="53">
        <f t="shared" si="3"/>
        <v>496</v>
      </c>
      <c r="E15" s="54">
        <v>776</v>
      </c>
      <c r="F15" s="55">
        <v>316</v>
      </c>
      <c r="G15" s="23">
        <f t="shared" si="4"/>
        <v>316</v>
      </c>
      <c r="H15" s="56">
        <v>9</v>
      </c>
      <c r="I15" s="57">
        <v>0</v>
      </c>
      <c r="J15" s="23">
        <f t="shared" si="34"/>
        <v>0</v>
      </c>
      <c r="K15" s="56">
        <v>6</v>
      </c>
      <c r="L15" s="55">
        <v>0</v>
      </c>
      <c r="M15" s="23">
        <f t="shared" si="6"/>
        <v>0</v>
      </c>
      <c r="N15" s="56">
        <v>1305</v>
      </c>
      <c r="O15" s="55">
        <v>0</v>
      </c>
      <c r="P15" s="23">
        <f t="shared" si="7"/>
        <v>0</v>
      </c>
      <c r="Q15" s="56">
        <v>447</v>
      </c>
      <c r="R15" s="55">
        <v>0</v>
      </c>
      <c r="S15" s="23">
        <f t="shared" si="8"/>
        <v>0</v>
      </c>
      <c r="T15" s="56">
        <v>337</v>
      </c>
      <c r="U15" s="55">
        <v>0</v>
      </c>
      <c r="V15" s="23">
        <f t="shared" si="9"/>
        <v>0</v>
      </c>
      <c r="W15" s="56">
        <v>78</v>
      </c>
      <c r="X15" s="55">
        <v>0</v>
      </c>
      <c r="Y15" s="23">
        <f t="shared" si="10"/>
        <v>0</v>
      </c>
      <c r="Z15" s="56">
        <v>141</v>
      </c>
      <c r="AA15" s="55">
        <v>0</v>
      </c>
      <c r="AB15" s="23">
        <f t="shared" si="11"/>
        <v>0</v>
      </c>
      <c r="AC15" s="56">
        <v>798</v>
      </c>
      <c r="AD15" s="55">
        <v>180</v>
      </c>
      <c r="AE15" s="23">
        <f t="shared" si="12"/>
        <v>180</v>
      </c>
      <c r="AF15" s="58">
        <f t="shared" si="13"/>
        <v>1571173</v>
      </c>
      <c r="AG15" s="59">
        <f t="shared" si="14"/>
        <v>1565673</v>
      </c>
      <c r="AH15" s="60">
        <v>1049</v>
      </c>
      <c r="AI15" s="23">
        <f t="shared" si="15"/>
        <v>1049</v>
      </c>
      <c r="AJ15" s="60">
        <v>5500</v>
      </c>
      <c r="AK15" s="23">
        <v>0</v>
      </c>
      <c r="AL15" s="55">
        <v>782312</v>
      </c>
      <c r="AM15" s="23">
        <f t="shared" si="17"/>
        <v>782312</v>
      </c>
      <c r="AN15" s="55">
        <v>782312</v>
      </c>
      <c r="AO15" s="23">
        <f t="shared" si="18"/>
        <v>782312</v>
      </c>
      <c r="AP15" s="50" t="s">
        <v>49</v>
      </c>
      <c r="AQ15" s="58">
        <f t="shared" si="19"/>
        <v>4</v>
      </c>
      <c r="AR15" s="59">
        <f t="shared" si="20"/>
        <v>4</v>
      </c>
      <c r="AS15" s="57">
        <v>0</v>
      </c>
      <c r="AT15" s="23">
        <f t="shared" si="21"/>
        <v>0</v>
      </c>
      <c r="AU15" s="57">
        <v>0</v>
      </c>
      <c r="AV15" s="23">
        <f t="shared" ref="AV15:AV17" si="36">AU15</f>
        <v>0</v>
      </c>
      <c r="AW15" s="57">
        <v>0</v>
      </c>
      <c r="AX15" s="23">
        <f t="shared" si="35"/>
        <v>0</v>
      </c>
      <c r="AY15" s="57">
        <v>0</v>
      </c>
      <c r="AZ15" s="23">
        <f t="shared" si="24"/>
        <v>0</v>
      </c>
      <c r="BA15" s="57">
        <v>4</v>
      </c>
      <c r="BB15" s="23">
        <f t="shared" si="25"/>
        <v>4</v>
      </c>
      <c r="BC15" s="58">
        <f t="shared" si="26"/>
        <v>4494</v>
      </c>
      <c r="BD15" s="59">
        <f t="shared" si="27"/>
        <v>4494</v>
      </c>
      <c r="BE15" s="55">
        <v>88</v>
      </c>
      <c r="BF15" s="23">
        <f t="shared" si="28"/>
        <v>88</v>
      </c>
      <c r="BG15" s="57">
        <v>6</v>
      </c>
      <c r="BH15" s="23">
        <f t="shared" si="29"/>
        <v>6</v>
      </c>
      <c r="BI15" s="55">
        <v>2200</v>
      </c>
      <c r="BJ15" s="23">
        <f t="shared" si="30"/>
        <v>2200</v>
      </c>
      <c r="BK15" s="55">
        <v>2200</v>
      </c>
      <c r="BL15" s="23">
        <f t="shared" si="31"/>
        <v>2200</v>
      </c>
      <c r="BM15" s="55">
        <v>0</v>
      </c>
      <c r="BN15" s="23">
        <f t="shared" si="32"/>
        <v>0</v>
      </c>
      <c r="BO15" s="36">
        <v>6274</v>
      </c>
      <c r="BP15" s="37">
        <v>2</v>
      </c>
      <c r="BQ15" s="27">
        <f t="shared" si="33"/>
        <v>2</v>
      </c>
      <c r="BR15" s="1" t="s">
        <v>50</v>
      </c>
    </row>
    <row r="16" spans="1:70" ht="27.75" customHeight="1">
      <c r="A16" s="28" t="s">
        <v>51</v>
      </c>
      <c r="B16" s="29">
        <f t="shared" si="1"/>
        <v>19901</v>
      </c>
      <c r="C16" s="30">
        <f t="shared" si="2"/>
        <v>154</v>
      </c>
      <c r="D16" s="31">
        <f t="shared" si="3"/>
        <v>154</v>
      </c>
      <c r="E16" s="32">
        <v>310</v>
      </c>
      <c r="F16" s="22">
        <v>61</v>
      </c>
      <c r="G16" s="23">
        <f t="shared" si="4"/>
        <v>61</v>
      </c>
      <c r="H16" s="33">
        <v>5</v>
      </c>
      <c r="I16" s="34">
        <v>0</v>
      </c>
      <c r="J16" s="23">
        <f t="shared" si="34"/>
        <v>0</v>
      </c>
      <c r="K16" s="33">
        <v>3</v>
      </c>
      <c r="L16" s="22">
        <v>0</v>
      </c>
      <c r="M16" s="23">
        <f t="shared" si="6"/>
        <v>0</v>
      </c>
      <c r="N16" s="33">
        <v>384</v>
      </c>
      <c r="O16" s="22">
        <v>0</v>
      </c>
      <c r="P16" s="23">
        <f t="shared" si="7"/>
        <v>0</v>
      </c>
      <c r="Q16" s="33">
        <v>245</v>
      </c>
      <c r="R16" s="22">
        <v>0</v>
      </c>
      <c r="S16" s="23">
        <f t="shared" si="8"/>
        <v>0</v>
      </c>
      <c r="T16" s="33">
        <v>397</v>
      </c>
      <c r="U16" s="22">
        <v>0</v>
      </c>
      <c r="V16" s="23">
        <f t="shared" si="9"/>
        <v>0</v>
      </c>
      <c r="W16" s="33">
        <v>24</v>
      </c>
      <c r="X16" s="22">
        <v>36</v>
      </c>
      <c r="Y16" s="23">
        <f t="shared" si="10"/>
        <v>36</v>
      </c>
      <c r="Z16" s="33">
        <v>18</v>
      </c>
      <c r="AA16" s="22">
        <v>0</v>
      </c>
      <c r="AB16" s="23">
        <f t="shared" si="11"/>
        <v>0</v>
      </c>
      <c r="AC16" s="33">
        <v>18515</v>
      </c>
      <c r="AD16" s="22">
        <v>57</v>
      </c>
      <c r="AE16" s="23">
        <f t="shared" si="12"/>
        <v>57</v>
      </c>
      <c r="AF16" s="19">
        <f t="shared" si="13"/>
        <v>65462</v>
      </c>
      <c r="AG16" s="20">
        <f t="shared" si="14"/>
        <v>65462</v>
      </c>
      <c r="AH16" s="24">
        <v>316</v>
      </c>
      <c r="AI16" s="23">
        <f t="shared" si="15"/>
        <v>316</v>
      </c>
      <c r="AJ16" s="24">
        <v>1226</v>
      </c>
      <c r="AK16" s="23">
        <f t="shared" ref="AK16:AK17" si="37">AJ16</f>
        <v>1226</v>
      </c>
      <c r="AL16" s="22">
        <v>4230</v>
      </c>
      <c r="AM16" s="23">
        <f t="shared" si="17"/>
        <v>4230</v>
      </c>
      <c r="AN16" s="22">
        <v>59690</v>
      </c>
      <c r="AO16" s="23">
        <f t="shared" si="18"/>
        <v>59690</v>
      </c>
      <c r="AP16" s="28" t="s">
        <v>51</v>
      </c>
      <c r="AQ16" s="19">
        <f t="shared" si="19"/>
        <v>75</v>
      </c>
      <c r="AR16" s="20">
        <f t="shared" si="20"/>
        <v>75</v>
      </c>
      <c r="AS16" s="34">
        <v>0</v>
      </c>
      <c r="AT16" s="23">
        <f t="shared" si="21"/>
        <v>0</v>
      </c>
      <c r="AU16" s="34">
        <v>0</v>
      </c>
      <c r="AV16" s="23">
        <f t="shared" si="36"/>
        <v>0</v>
      </c>
      <c r="AW16" s="34">
        <v>0</v>
      </c>
      <c r="AX16" s="23">
        <f t="shared" si="35"/>
        <v>0</v>
      </c>
      <c r="AY16" s="34">
        <v>0</v>
      </c>
      <c r="AZ16" s="23">
        <f t="shared" si="24"/>
        <v>0</v>
      </c>
      <c r="BA16" s="34">
        <v>75</v>
      </c>
      <c r="BB16" s="23">
        <f t="shared" si="25"/>
        <v>75</v>
      </c>
      <c r="BC16" s="19">
        <f t="shared" si="26"/>
        <v>1567</v>
      </c>
      <c r="BD16" s="20">
        <f t="shared" si="27"/>
        <v>1567</v>
      </c>
      <c r="BE16" s="22">
        <v>85</v>
      </c>
      <c r="BF16" s="23">
        <f t="shared" si="28"/>
        <v>85</v>
      </c>
      <c r="BG16" s="34">
        <v>2</v>
      </c>
      <c r="BH16" s="23">
        <f t="shared" si="29"/>
        <v>2</v>
      </c>
      <c r="BI16" s="22">
        <v>1230</v>
      </c>
      <c r="BJ16" s="23">
        <f t="shared" si="30"/>
        <v>1230</v>
      </c>
      <c r="BK16" s="22">
        <v>250</v>
      </c>
      <c r="BL16" s="23">
        <f t="shared" si="31"/>
        <v>250</v>
      </c>
      <c r="BM16" s="22">
        <v>0</v>
      </c>
      <c r="BN16" s="23">
        <f t="shared" si="32"/>
        <v>0</v>
      </c>
      <c r="BO16" s="36">
        <v>2546</v>
      </c>
      <c r="BP16" s="37">
        <v>0</v>
      </c>
      <c r="BQ16" s="27">
        <f t="shared" si="33"/>
        <v>0</v>
      </c>
    </row>
    <row r="17" spans="1:73" ht="27.75" customHeight="1">
      <c r="A17" s="28" t="s">
        <v>52</v>
      </c>
      <c r="B17" s="29">
        <f t="shared" si="1"/>
        <v>5602</v>
      </c>
      <c r="C17" s="30">
        <f t="shared" si="2"/>
        <v>156</v>
      </c>
      <c r="D17" s="31">
        <f t="shared" si="3"/>
        <v>156</v>
      </c>
      <c r="E17" s="32">
        <v>754</v>
      </c>
      <c r="F17" s="22">
        <v>86</v>
      </c>
      <c r="G17" s="23">
        <f t="shared" si="4"/>
        <v>86</v>
      </c>
      <c r="H17" s="33">
        <v>9</v>
      </c>
      <c r="I17" s="34">
        <v>0</v>
      </c>
      <c r="J17" s="23">
        <f t="shared" si="34"/>
        <v>0</v>
      </c>
      <c r="K17" s="33">
        <v>5</v>
      </c>
      <c r="L17" s="22">
        <v>0</v>
      </c>
      <c r="M17" s="23">
        <f t="shared" si="6"/>
        <v>0</v>
      </c>
      <c r="N17" s="33">
        <v>768</v>
      </c>
      <c r="O17" s="22">
        <v>0</v>
      </c>
      <c r="P17" s="23">
        <f t="shared" si="7"/>
        <v>0</v>
      </c>
      <c r="Q17" s="33">
        <v>624</v>
      </c>
      <c r="R17" s="22">
        <v>0</v>
      </c>
      <c r="S17" s="23">
        <f t="shared" si="8"/>
        <v>0</v>
      </c>
      <c r="T17" s="33">
        <v>742</v>
      </c>
      <c r="U17" s="22">
        <v>0</v>
      </c>
      <c r="V17" s="23">
        <f t="shared" si="9"/>
        <v>0</v>
      </c>
      <c r="W17" s="33">
        <v>54</v>
      </c>
      <c r="X17" s="22">
        <v>0</v>
      </c>
      <c r="Y17" s="23">
        <f t="shared" si="10"/>
        <v>0</v>
      </c>
      <c r="Z17" s="33">
        <v>66</v>
      </c>
      <c r="AA17" s="22">
        <v>0</v>
      </c>
      <c r="AB17" s="23">
        <f t="shared" si="11"/>
        <v>0</v>
      </c>
      <c r="AC17" s="33">
        <v>2580</v>
      </c>
      <c r="AD17" s="22">
        <v>70</v>
      </c>
      <c r="AE17" s="23">
        <f t="shared" si="12"/>
        <v>70</v>
      </c>
      <c r="AF17" s="19">
        <f t="shared" si="13"/>
        <v>174300</v>
      </c>
      <c r="AG17" s="20">
        <f t="shared" si="14"/>
        <v>174300</v>
      </c>
      <c r="AH17" s="24">
        <v>9500</v>
      </c>
      <c r="AI17" s="23">
        <f t="shared" si="15"/>
        <v>9500</v>
      </c>
      <c r="AJ17" s="24">
        <v>9800</v>
      </c>
      <c r="AK17" s="23">
        <f t="shared" si="37"/>
        <v>9800</v>
      </c>
      <c r="AL17" s="46">
        <v>80000</v>
      </c>
      <c r="AM17" s="23">
        <f t="shared" si="17"/>
        <v>80000</v>
      </c>
      <c r="AN17" s="22">
        <v>75000</v>
      </c>
      <c r="AO17" s="23">
        <f t="shared" si="18"/>
        <v>75000</v>
      </c>
      <c r="AP17" s="28" t="s">
        <v>52</v>
      </c>
      <c r="AQ17" s="19">
        <f t="shared" si="19"/>
        <v>15</v>
      </c>
      <c r="AR17" s="20">
        <f t="shared" si="20"/>
        <v>15</v>
      </c>
      <c r="AS17" s="34">
        <v>1</v>
      </c>
      <c r="AT17" s="23">
        <f t="shared" si="21"/>
        <v>1</v>
      </c>
      <c r="AU17" s="34">
        <v>0</v>
      </c>
      <c r="AV17" s="23">
        <f t="shared" si="36"/>
        <v>0</v>
      </c>
      <c r="AW17" s="34">
        <v>0</v>
      </c>
      <c r="AX17" s="23">
        <f t="shared" si="35"/>
        <v>0</v>
      </c>
      <c r="AY17" s="34">
        <v>0</v>
      </c>
      <c r="AZ17" s="23">
        <f t="shared" si="24"/>
        <v>0</v>
      </c>
      <c r="BA17" s="34">
        <v>14</v>
      </c>
      <c r="BB17" s="23">
        <f t="shared" si="25"/>
        <v>14</v>
      </c>
      <c r="BC17" s="19">
        <f t="shared" si="26"/>
        <v>1392</v>
      </c>
      <c r="BD17" s="20">
        <f t="shared" si="27"/>
        <v>1392</v>
      </c>
      <c r="BE17" s="22">
        <v>38</v>
      </c>
      <c r="BF17" s="23">
        <f t="shared" si="28"/>
        <v>38</v>
      </c>
      <c r="BG17" s="34">
        <v>4</v>
      </c>
      <c r="BH17" s="23">
        <f t="shared" si="29"/>
        <v>4</v>
      </c>
      <c r="BI17" s="22">
        <v>1200</v>
      </c>
      <c r="BJ17" s="23">
        <f t="shared" si="30"/>
        <v>1200</v>
      </c>
      <c r="BK17" s="22">
        <v>150</v>
      </c>
      <c r="BL17" s="23">
        <f t="shared" si="31"/>
        <v>150</v>
      </c>
      <c r="BM17" s="22">
        <v>0</v>
      </c>
      <c r="BN17" s="23">
        <f t="shared" si="32"/>
        <v>0</v>
      </c>
      <c r="BO17" s="36">
        <v>8022</v>
      </c>
      <c r="BP17" s="37">
        <v>0</v>
      </c>
      <c r="BQ17" s="27">
        <f t="shared" si="33"/>
        <v>0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584</v>
      </c>
      <c r="D18" s="20">
        <f t="shared" si="0"/>
        <v>584</v>
      </c>
      <c r="E18" s="21">
        <v>1063</v>
      </c>
      <c r="F18" s="22">
        <v>411</v>
      </c>
      <c r="G18" s="23">
        <f t="shared" ref="G18:G21" si="38">F18</f>
        <v>411</v>
      </c>
      <c r="H18" s="21">
        <v>19</v>
      </c>
      <c r="I18" s="22">
        <v>0</v>
      </c>
      <c r="J18" s="23">
        <f t="shared" ref="J18:J21" si="39">I18</f>
        <v>0</v>
      </c>
      <c r="K18" s="21">
        <v>8</v>
      </c>
      <c r="L18" s="22">
        <v>0</v>
      </c>
      <c r="M18" s="23">
        <f t="shared" ref="M18:M21" si="40">L18</f>
        <v>0</v>
      </c>
      <c r="N18" s="21">
        <v>1331</v>
      </c>
      <c r="O18" s="22">
        <v>0</v>
      </c>
      <c r="P18" s="23">
        <f t="shared" ref="P18:P21" si="41">O18</f>
        <v>0</v>
      </c>
      <c r="Q18" s="21">
        <v>777</v>
      </c>
      <c r="R18" s="22">
        <v>0</v>
      </c>
      <c r="S18" s="23">
        <f t="shared" ref="S18:S21" si="42">R18</f>
        <v>0</v>
      </c>
      <c r="T18" s="21">
        <v>318</v>
      </c>
      <c r="U18" s="22">
        <v>0</v>
      </c>
      <c r="V18" s="23">
        <f t="shared" ref="V18:V21" si="43">U18</f>
        <v>0</v>
      </c>
      <c r="W18" s="21">
        <v>60</v>
      </c>
      <c r="X18" s="22">
        <v>173</v>
      </c>
      <c r="Y18" s="23">
        <f t="shared" ref="Y18:Y21" si="44">X18</f>
        <v>173</v>
      </c>
      <c r="Z18" s="21">
        <v>72</v>
      </c>
      <c r="AA18" s="22">
        <v>0</v>
      </c>
      <c r="AB18" s="23">
        <f t="shared" ref="AB18:AB21" si="45">AA18</f>
        <v>0</v>
      </c>
      <c r="AC18" s="21">
        <v>143</v>
      </c>
      <c r="AD18" s="22">
        <v>0</v>
      </c>
      <c r="AE18" s="23">
        <f t="shared" ref="AE18:AE21" si="46">AD18</f>
        <v>0</v>
      </c>
      <c r="AF18" s="19">
        <f t="shared" ref="AF18:AG21" si="47">AH18+AJ18+AL18+AN18</f>
        <v>418649</v>
      </c>
      <c r="AG18" s="20">
        <f t="shared" si="47"/>
        <v>418649</v>
      </c>
      <c r="AH18" s="24">
        <v>1210</v>
      </c>
      <c r="AI18" s="23">
        <f t="shared" ref="AI18:AI21" si="48">AH18</f>
        <v>1210</v>
      </c>
      <c r="AJ18" s="24">
        <v>6014</v>
      </c>
      <c r="AK18" s="23">
        <f t="shared" ref="AK18:AK21" si="49">AJ18</f>
        <v>6014</v>
      </c>
      <c r="AL18" s="22">
        <v>17255</v>
      </c>
      <c r="AM18" s="23">
        <f t="shared" ref="AM18:AM21" si="50">AL18</f>
        <v>17255</v>
      </c>
      <c r="AN18" s="22">
        <v>394170</v>
      </c>
      <c r="AO18" s="23">
        <f t="shared" ref="AO18:AO21" si="51">AN18</f>
        <v>394170</v>
      </c>
      <c r="AP18" s="17" t="s">
        <v>53</v>
      </c>
      <c r="AQ18" s="19">
        <f t="shared" si="19"/>
        <v>16</v>
      </c>
      <c r="AR18" s="20">
        <f t="shared" ref="AR18:AR21" si="52">AT18+AV18+AX18+AZ18+BB18</f>
        <v>16</v>
      </c>
      <c r="AS18" s="22">
        <v>1</v>
      </c>
      <c r="AT18" s="23">
        <f t="shared" ref="AT18:AT21" si="53">AS18</f>
        <v>1</v>
      </c>
      <c r="AU18" s="22">
        <v>0</v>
      </c>
      <c r="AV18" s="23">
        <v>0</v>
      </c>
      <c r="AW18" s="22">
        <v>0</v>
      </c>
      <c r="AX18" s="23">
        <f t="shared" ref="AX18:AX21" si="54">AW18</f>
        <v>0</v>
      </c>
      <c r="AY18" s="22">
        <v>0</v>
      </c>
      <c r="AZ18" s="23">
        <f t="shared" ref="AZ18:AZ21" si="55">AY18</f>
        <v>0</v>
      </c>
      <c r="BA18" s="22">
        <v>15</v>
      </c>
      <c r="BB18" s="23">
        <f t="shared" ref="BB18:BB21" si="56">BA18</f>
        <v>15</v>
      </c>
      <c r="BC18" s="19">
        <f t="shared" ref="BC18:BD21" si="57">BE18+BG18+BI18+BK18+BM18</f>
        <v>5569</v>
      </c>
      <c r="BD18" s="20">
        <f t="shared" si="27"/>
        <v>5569</v>
      </c>
      <c r="BE18" s="22">
        <v>0</v>
      </c>
      <c r="BF18" s="23">
        <f t="shared" ref="BF18:BF21" si="58">BE18</f>
        <v>0</v>
      </c>
      <c r="BG18" s="22">
        <v>0</v>
      </c>
      <c r="BH18" s="23">
        <f t="shared" ref="BH18:BH21" si="59">BG18</f>
        <v>0</v>
      </c>
      <c r="BI18" s="22">
        <v>5215</v>
      </c>
      <c r="BJ18" s="23">
        <f t="shared" ref="BJ18:BJ21" si="60">BI18</f>
        <v>5215</v>
      </c>
      <c r="BK18" s="22">
        <v>354</v>
      </c>
      <c r="BL18" s="23">
        <f t="shared" ref="BL18:BL21" si="61">BK18</f>
        <v>354</v>
      </c>
      <c r="BM18" s="22">
        <v>0</v>
      </c>
      <c r="BN18" s="23">
        <f t="shared" ref="BN18:BN21" si="62">BM18</f>
        <v>0</v>
      </c>
      <c r="BO18" s="36">
        <v>442</v>
      </c>
      <c r="BP18" s="37">
        <v>0</v>
      </c>
      <c r="BQ18" s="27">
        <f t="shared" ref="BQ18:BQ21" si="63">BP18</f>
        <v>0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28</v>
      </c>
      <c r="D19" s="31">
        <f t="shared" si="0"/>
        <v>28</v>
      </c>
      <c r="E19" s="33">
        <v>221</v>
      </c>
      <c r="F19" s="22">
        <v>8</v>
      </c>
      <c r="G19" s="23">
        <f t="shared" si="38"/>
        <v>8</v>
      </c>
      <c r="H19" s="33">
        <v>5</v>
      </c>
      <c r="I19" s="34">
        <v>0</v>
      </c>
      <c r="J19" s="23">
        <f t="shared" si="39"/>
        <v>0</v>
      </c>
      <c r="K19" s="33">
        <v>4</v>
      </c>
      <c r="L19" s="22">
        <v>0</v>
      </c>
      <c r="M19" s="23">
        <f t="shared" si="40"/>
        <v>0</v>
      </c>
      <c r="N19" s="33">
        <v>313</v>
      </c>
      <c r="O19" s="22">
        <v>0</v>
      </c>
      <c r="P19" s="23">
        <f t="shared" si="41"/>
        <v>0</v>
      </c>
      <c r="Q19" s="33">
        <v>203</v>
      </c>
      <c r="R19" s="22">
        <v>0</v>
      </c>
      <c r="S19" s="23">
        <f t="shared" si="42"/>
        <v>0</v>
      </c>
      <c r="T19" s="33">
        <v>241</v>
      </c>
      <c r="U19" s="22">
        <v>0</v>
      </c>
      <c r="V19" s="23">
        <f t="shared" si="43"/>
        <v>0</v>
      </c>
      <c r="W19" s="33">
        <v>14</v>
      </c>
      <c r="X19" s="22">
        <v>7</v>
      </c>
      <c r="Y19" s="23">
        <f t="shared" si="44"/>
        <v>7</v>
      </c>
      <c r="Z19" s="33">
        <v>7</v>
      </c>
      <c r="AA19" s="22">
        <v>0</v>
      </c>
      <c r="AB19" s="23">
        <f t="shared" si="45"/>
        <v>0</v>
      </c>
      <c r="AC19" s="33">
        <v>32</v>
      </c>
      <c r="AD19" s="22">
        <v>13</v>
      </c>
      <c r="AE19" s="23">
        <f t="shared" si="46"/>
        <v>13</v>
      </c>
      <c r="AF19" s="19">
        <f t="shared" si="47"/>
        <v>4000</v>
      </c>
      <c r="AG19" s="20">
        <f t="shared" si="47"/>
        <v>4000</v>
      </c>
      <c r="AH19" s="24">
        <v>600</v>
      </c>
      <c r="AI19" s="23">
        <f t="shared" si="48"/>
        <v>600</v>
      </c>
      <c r="AJ19" s="24">
        <v>600</v>
      </c>
      <c r="AK19" s="23">
        <f t="shared" si="49"/>
        <v>600</v>
      </c>
      <c r="AL19" s="22">
        <v>1400</v>
      </c>
      <c r="AM19" s="23">
        <f t="shared" si="50"/>
        <v>1400</v>
      </c>
      <c r="AN19" s="22">
        <v>1400</v>
      </c>
      <c r="AO19" s="23">
        <f t="shared" si="51"/>
        <v>1400</v>
      </c>
      <c r="AP19" s="28" t="s">
        <v>54</v>
      </c>
      <c r="AQ19" s="19">
        <f t="shared" ref="AQ19:AQ21" si="64">AS19+AU19+AW19+AY19+BA19</f>
        <v>0</v>
      </c>
      <c r="AR19" s="20">
        <f t="shared" si="52"/>
        <v>0</v>
      </c>
      <c r="AS19" s="34"/>
      <c r="AT19" s="23">
        <f t="shared" si="53"/>
        <v>0</v>
      </c>
      <c r="AU19" s="34"/>
      <c r="AV19" s="23">
        <f t="shared" ref="AV19:AV21" si="65">AU19</f>
        <v>0</v>
      </c>
      <c r="AW19" s="34"/>
      <c r="AX19" s="23">
        <f t="shared" si="54"/>
        <v>0</v>
      </c>
      <c r="AY19" s="34"/>
      <c r="AZ19" s="23">
        <f t="shared" si="55"/>
        <v>0</v>
      </c>
      <c r="BA19" s="34"/>
      <c r="BB19" s="23">
        <f t="shared" si="56"/>
        <v>0</v>
      </c>
      <c r="BC19" s="19">
        <f t="shared" si="57"/>
        <v>0</v>
      </c>
      <c r="BD19" s="20">
        <f t="shared" si="57"/>
        <v>0</v>
      </c>
      <c r="BE19" s="22"/>
      <c r="BF19" s="23">
        <f t="shared" si="58"/>
        <v>0</v>
      </c>
      <c r="BG19" s="34"/>
      <c r="BH19" s="23">
        <f t="shared" si="59"/>
        <v>0</v>
      </c>
      <c r="BI19" s="22"/>
      <c r="BJ19" s="23">
        <f t="shared" si="60"/>
        <v>0</v>
      </c>
      <c r="BK19" s="22"/>
      <c r="BL19" s="23">
        <f t="shared" si="61"/>
        <v>0</v>
      </c>
      <c r="BM19" s="22"/>
      <c r="BN19" s="23">
        <f t="shared" si="62"/>
        <v>0</v>
      </c>
      <c r="BO19" s="36">
        <v>2898</v>
      </c>
      <c r="BP19" s="37"/>
      <c r="BQ19" s="27">
        <f t="shared" si="63"/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375</v>
      </c>
      <c r="D20" s="31">
        <f t="shared" si="0"/>
        <v>375</v>
      </c>
      <c r="E20" s="32">
        <v>723</v>
      </c>
      <c r="F20" s="22">
        <v>219</v>
      </c>
      <c r="G20" s="23">
        <f t="shared" si="38"/>
        <v>219</v>
      </c>
      <c r="H20" s="33">
        <v>5</v>
      </c>
      <c r="I20" s="34">
        <v>1</v>
      </c>
      <c r="J20" s="23">
        <f t="shared" si="39"/>
        <v>1</v>
      </c>
      <c r="K20" s="33">
        <v>3</v>
      </c>
      <c r="L20" s="22">
        <v>0</v>
      </c>
      <c r="M20" s="23">
        <f t="shared" si="40"/>
        <v>0</v>
      </c>
      <c r="N20" s="33">
        <v>975</v>
      </c>
      <c r="O20" s="22">
        <v>80</v>
      </c>
      <c r="P20" s="23">
        <f t="shared" si="41"/>
        <v>80</v>
      </c>
      <c r="Q20" s="61">
        <v>1862</v>
      </c>
      <c r="R20" s="22">
        <v>4</v>
      </c>
      <c r="S20" s="23">
        <f t="shared" si="42"/>
        <v>4</v>
      </c>
      <c r="T20" s="33">
        <v>35</v>
      </c>
      <c r="U20" s="22">
        <v>4</v>
      </c>
      <c r="V20" s="23">
        <f t="shared" si="43"/>
        <v>4</v>
      </c>
      <c r="W20" s="33">
        <v>64</v>
      </c>
      <c r="X20" s="22">
        <v>6</v>
      </c>
      <c r="Y20" s="23">
        <f t="shared" si="44"/>
        <v>6</v>
      </c>
      <c r="Z20" s="33">
        <v>15</v>
      </c>
      <c r="AA20" s="22">
        <v>1</v>
      </c>
      <c r="AB20" s="23">
        <f t="shared" si="45"/>
        <v>1</v>
      </c>
      <c r="AC20" s="33">
        <v>1546</v>
      </c>
      <c r="AD20" s="22">
        <v>60</v>
      </c>
      <c r="AE20" s="23">
        <f t="shared" si="46"/>
        <v>60</v>
      </c>
      <c r="AF20" s="19">
        <f t="shared" si="47"/>
        <v>13980</v>
      </c>
      <c r="AG20" s="20">
        <f t="shared" si="47"/>
        <v>13980</v>
      </c>
      <c r="AH20" s="24">
        <v>5890</v>
      </c>
      <c r="AI20" s="23">
        <f t="shared" si="48"/>
        <v>5890</v>
      </c>
      <c r="AJ20" s="24">
        <v>7490</v>
      </c>
      <c r="AK20" s="23">
        <f t="shared" si="49"/>
        <v>7490</v>
      </c>
      <c r="AL20" s="22">
        <v>450</v>
      </c>
      <c r="AM20" s="23">
        <f t="shared" si="50"/>
        <v>450</v>
      </c>
      <c r="AN20" s="22">
        <v>150</v>
      </c>
      <c r="AO20" s="23">
        <f t="shared" si="51"/>
        <v>150</v>
      </c>
      <c r="AP20" s="28" t="s">
        <v>55</v>
      </c>
      <c r="AQ20" s="19">
        <f t="shared" si="64"/>
        <v>258</v>
      </c>
      <c r="AR20" s="20">
        <f t="shared" si="52"/>
        <v>258</v>
      </c>
      <c r="AS20" s="34">
        <v>1</v>
      </c>
      <c r="AT20" s="23">
        <f t="shared" si="53"/>
        <v>1</v>
      </c>
      <c r="AU20" s="34">
        <v>1</v>
      </c>
      <c r="AV20" s="23">
        <f t="shared" si="65"/>
        <v>1</v>
      </c>
      <c r="AW20" s="34">
        <v>1</v>
      </c>
      <c r="AX20" s="23">
        <f t="shared" si="54"/>
        <v>1</v>
      </c>
      <c r="AY20" s="34"/>
      <c r="AZ20" s="23">
        <f t="shared" si="55"/>
        <v>0</v>
      </c>
      <c r="BA20" s="34">
        <v>255</v>
      </c>
      <c r="BB20" s="23">
        <f t="shared" si="56"/>
        <v>255</v>
      </c>
      <c r="BC20" s="19">
        <f t="shared" si="57"/>
        <v>2544</v>
      </c>
      <c r="BD20" s="20">
        <f t="shared" si="57"/>
        <v>2544</v>
      </c>
      <c r="BE20" s="22">
        <v>4</v>
      </c>
      <c r="BF20" s="23">
        <f t="shared" si="58"/>
        <v>4</v>
      </c>
      <c r="BG20" s="34"/>
      <c r="BH20" s="23">
        <f t="shared" si="59"/>
        <v>0</v>
      </c>
      <c r="BI20" s="22">
        <v>1250</v>
      </c>
      <c r="BJ20" s="23">
        <f t="shared" si="60"/>
        <v>1250</v>
      </c>
      <c r="BK20" s="22">
        <v>1290</v>
      </c>
      <c r="BL20" s="23">
        <f t="shared" si="61"/>
        <v>1290</v>
      </c>
      <c r="BM20" s="22"/>
      <c r="BN20" s="23">
        <f t="shared" si="62"/>
        <v>0</v>
      </c>
      <c r="BO20" s="36">
        <v>5854</v>
      </c>
      <c r="BP20" s="37"/>
      <c r="BQ20" s="27">
        <f t="shared" si="63"/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226</v>
      </c>
      <c r="D21" s="31">
        <f t="shared" si="0"/>
        <v>226</v>
      </c>
      <c r="E21" s="32">
        <v>1017</v>
      </c>
      <c r="F21" s="22">
        <v>220</v>
      </c>
      <c r="G21" s="23">
        <f t="shared" si="38"/>
        <v>220</v>
      </c>
      <c r="H21" s="33">
        <v>8</v>
      </c>
      <c r="I21" s="34">
        <v>5</v>
      </c>
      <c r="J21" s="23">
        <f t="shared" si="39"/>
        <v>5</v>
      </c>
      <c r="K21" s="33">
        <v>4</v>
      </c>
      <c r="L21" s="22">
        <v>0</v>
      </c>
      <c r="M21" s="23">
        <f t="shared" si="40"/>
        <v>0</v>
      </c>
      <c r="N21" s="33">
        <v>963</v>
      </c>
      <c r="O21" s="22">
        <v>0</v>
      </c>
      <c r="P21" s="23">
        <f t="shared" si="41"/>
        <v>0</v>
      </c>
      <c r="Q21" s="33">
        <v>912</v>
      </c>
      <c r="R21" s="22">
        <v>0</v>
      </c>
      <c r="S21" s="23">
        <f t="shared" si="42"/>
        <v>0</v>
      </c>
      <c r="T21" s="33">
        <v>199</v>
      </c>
      <c r="U21" s="22">
        <v>0</v>
      </c>
      <c r="V21" s="23">
        <f t="shared" si="43"/>
        <v>0</v>
      </c>
      <c r="W21" s="33">
        <v>101</v>
      </c>
      <c r="X21" s="22">
        <v>0</v>
      </c>
      <c r="Y21" s="23">
        <f t="shared" si="44"/>
        <v>0</v>
      </c>
      <c r="Z21" s="33">
        <v>42</v>
      </c>
      <c r="AA21" s="22">
        <v>0</v>
      </c>
      <c r="AB21" s="23">
        <f t="shared" si="45"/>
        <v>0</v>
      </c>
      <c r="AC21" s="33">
        <v>20</v>
      </c>
      <c r="AD21" s="22">
        <v>1</v>
      </c>
      <c r="AE21" s="23">
        <f t="shared" si="46"/>
        <v>1</v>
      </c>
      <c r="AF21" s="19">
        <f t="shared" si="47"/>
        <v>260000</v>
      </c>
      <c r="AG21" s="20">
        <f t="shared" si="47"/>
        <v>260000</v>
      </c>
      <c r="AH21" s="24">
        <v>2000</v>
      </c>
      <c r="AI21" s="23">
        <f t="shared" si="48"/>
        <v>2000</v>
      </c>
      <c r="AJ21" s="24">
        <v>58000</v>
      </c>
      <c r="AK21" s="23">
        <f t="shared" si="49"/>
        <v>58000</v>
      </c>
      <c r="AL21" s="22">
        <v>10000</v>
      </c>
      <c r="AM21" s="23">
        <f t="shared" si="50"/>
        <v>10000</v>
      </c>
      <c r="AN21" s="22">
        <v>190000</v>
      </c>
      <c r="AO21" s="23">
        <f t="shared" si="51"/>
        <v>190000</v>
      </c>
      <c r="AP21" s="28" t="s">
        <v>58</v>
      </c>
      <c r="AQ21" s="19">
        <f t="shared" si="64"/>
        <v>12</v>
      </c>
      <c r="AR21" s="20">
        <f t="shared" si="52"/>
        <v>12</v>
      </c>
      <c r="AS21" s="34">
        <v>1</v>
      </c>
      <c r="AT21" s="23">
        <f t="shared" si="53"/>
        <v>1</v>
      </c>
      <c r="AU21" s="34">
        <v>4</v>
      </c>
      <c r="AV21" s="23">
        <f t="shared" si="65"/>
        <v>4</v>
      </c>
      <c r="AW21" s="34">
        <v>1</v>
      </c>
      <c r="AX21" s="23">
        <f t="shared" si="54"/>
        <v>1</v>
      </c>
      <c r="AY21" s="34">
        <v>0</v>
      </c>
      <c r="AZ21" s="23">
        <f t="shared" si="55"/>
        <v>0</v>
      </c>
      <c r="BA21" s="34">
        <v>6</v>
      </c>
      <c r="BB21" s="23">
        <f t="shared" si="56"/>
        <v>6</v>
      </c>
      <c r="BC21" s="19">
        <f t="shared" si="57"/>
        <v>9</v>
      </c>
      <c r="BD21" s="20">
        <f t="shared" si="57"/>
        <v>9</v>
      </c>
      <c r="BE21" s="22">
        <v>4</v>
      </c>
      <c r="BF21" s="23">
        <f t="shared" si="58"/>
        <v>4</v>
      </c>
      <c r="BG21" s="34">
        <v>0</v>
      </c>
      <c r="BH21" s="23">
        <f t="shared" si="59"/>
        <v>0</v>
      </c>
      <c r="BI21" s="22">
        <v>4</v>
      </c>
      <c r="BJ21" s="23">
        <f t="shared" si="60"/>
        <v>4</v>
      </c>
      <c r="BK21" s="22">
        <v>0</v>
      </c>
      <c r="BL21" s="23">
        <f t="shared" si="61"/>
        <v>0</v>
      </c>
      <c r="BM21" s="22">
        <v>1</v>
      </c>
      <c r="BN21" s="23">
        <f t="shared" si="62"/>
        <v>1</v>
      </c>
      <c r="BO21" s="36"/>
      <c r="BP21" s="37"/>
      <c r="BQ21" s="27">
        <f t="shared" si="63"/>
        <v>0</v>
      </c>
    </row>
    <row r="22" spans="1:73" ht="27.75" customHeight="1">
      <c r="A22" s="28" t="s">
        <v>59</v>
      </c>
      <c r="B22" s="29">
        <f t="shared" ref="B22" si="66">E22+H22+K22+N22+Q22+T22+W22+Z22+AC22</f>
        <v>1787</v>
      </c>
      <c r="C22" s="30">
        <f t="shared" ref="C22" si="67">F22+I22+L22+O22+R22+U22+X22+AA22+AD22</f>
        <v>1953</v>
      </c>
      <c r="D22" s="31">
        <f t="shared" ref="D22" si="68">G22+J22+M22+P22+S22+V22+Y22+AB22+AE22</f>
        <v>1953</v>
      </c>
      <c r="E22" s="32">
        <v>509</v>
      </c>
      <c r="F22" s="22">
        <v>422</v>
      </c>
      <c r="G22" s="23">
        <f t="shared" ref="G22" si="69">F22</f>
        <v>422</v>
      </c>
      <c r="H22" s="33">
        <v>8</v>
      </c>
      <c r="I22" s="34">
        <v>241</v>
      </c>
      <c r="J22" s="23">
        <f t="shared" ref="J22" si="70">I22</f>
        <v>241</v>
      </c>
      <c r="K22" s="33">
        <v>21</v>
      </c>
      <c r="L22" s="22"/>
      <c r="M22" s="23">
        <f t="shared" ref="M22" si="71">L22</f>
        <v>0</v>
      </c>
      <c r="N22" s="33">
        <v>560</v>
      </c>
      <c r="O22" s="22"/>
      <c r="P22" s="23">
        <f t="shared" ref="P22" si="72">O22</f>
        <v>0</v>
      </c>
      <c r="Q22" s="33">
        <v>375</v>
      </c>
      <c r="R22" s="22"/>
      <c r="S22" s="23">
        <f t="shared" ref="S22" si="73">R22</f>
        <v>0</v>
      </c>
      <c r="T22" s="33">
        <v>165</v>
      </c>
      <c r="U22" s="22">
        <v>42</v>
      </c>
      <c r="V22" s="23">
        <f t="shared" ref="V22" si="74">U22</f>
        <v>42</v>
      </c>
      <c r="W22" s="33">
        <v>28</v>
      </c>
      <c r="X22" s="22">
        <v>90</v>
      </c>
      <c r="Y22" s="23">
        <f t="shared" ref="Y22" si="75">X22</f>
        <v>90</v>
      </c>
      <c r="Z22" s="33">
        <v>9</v>
      </c>
      <c r="AA22" s="22"/>
      <c r="AB22" s="23">
        <f t="shared" ref="AB22" si="76">AA22</f>
        <v>0</v>
      </c>
      <c r="AC22" s="33">
        <v>112</v>
      </c>
      <c r="AD22" s="22">
        <v>1158</v>
      </c>
      <c r="AE22" s="23">
        <f t="shared" ref="AE22" si="77">AD22</f>
        <v>1158</v>
      </c>
      <c r="AF22" s="19">
        <f t="shared" ref="AF22" si="78">AH22+AJ22+AL22+AN22</f>
        <v>993563</v>
      </c>
      <c r="AG22" s="20">
        <f t="shared" ref="AG22" si="79">AI22+AK22+AM22+AO22</f>
        <v>993563</v>
      </c>
      <c r="AH22" s="24">
        <v>784</v>
      </c>
      <c r="AI22" s="23">
        <f t="shared" ref="AI22" si="80">AH22</f>
        <v>784</v>
      </c>
      <c r="AJ22" s="24">
        <v>7238</v>
      </c>
      <c r="AK22" s="23">
        <f t="shared" ref="AK22" si="81">AJ22</f>
        <v>7238</v>
      </c>
      <c r="AL22" s="22">
        <v>5412</v>
      </c>
      <c r="AM22" s="23">
        <f t="shared" ref="AM22" si="82">AL22</f>
        <v>5412</v>
      </c>
      <c r="AN22" s="22">
        <v>980129</v>
      </c>
      <c r="AO22" s="23">
        <f t="shared" ref="AO22" si="83">AN22</f>
        <v>980129</v>
      </c>
      <c r="AP22" s="28" t="s">
        <v>59</v>
      </c>
      <c r="AQ22" s="19">
        <f t="shared" ref="AQ22" si="84">AS22+AU22+AW22+AY22+BA22</f>
        <v>635</v>
      </c>
      <c r="AR22" s="20">
        <f t="shared" ref="AR22" si="85">AT22+AV22+AX22+AZ22+BB22</f>
        <v>635</v>
      </c>
      <c r="AS22" s="34"/>
      <c r="AT22" s="23">
        <f t="shared" ref="AT22" si="86">AS22</f>
        <v>0</v>
      </c>
      <c r="AU22" s="34"/>
      <c r="AV22" s="23">
        <f t="shared" ref="AV22" si="87">AU22</f>
        <v>0</v>
      </c>
      <c r="AW22" s="34"/>
      <c r="AX22" s="23">
        <f t="shared" ref="AX22" si="88">AW22</f>
        <v>0</v>
      </c>
      <c r="AY22" s="34"/>
      <c r="AZ22" s="23">
        <f t="shared" ref="AZ22" si="89">AY22</f>
        <v>0</v>
      </c>
      <c r="BA22" s="34">
        <v>635</v>
      </c>
      <c r="BB22" s="23">
        <f t="shared" ref="BB22" si="90">BA22</f>
        <v>635</v>
      </c>
      <c r="BC22" s="19">
        <f t="shared" ref="BC22" si="91">BE22+BG22+BI22+BK22+BM22</f>
        <v>6489</v>
      </c>
      <c r="BD22" s="20">
        <f t="shared" ref="BD22" si="92">BF22+BH22+BJ22+BL22+BN22</f>
        <v>6489</v>
      </c>
      <c r="BE22" s="22">
        <v>31</v>
      </c>
      <c r="BF22" s="23">
        <f t="shared" ref="BF22" si="93">BE22</f>
        <v>31</v>
      </c>
      <c r="BG22" s="34"/>
      <c r="BH22" s="23">
        <f t="shared" ref="BH22" si="94">BG22</f>
        <v>0</v>
      </c>
      <c r="BI22" s="22">
        <v>6400</v>
      </c>
      <c r="BJ22" s="23">
        <f t="shared" ref="BJ22" si="95">BI22</f>
        <v>6400</v>
      </c>
      <c r="BK22" s="22">
        <v>58</v>
      </c>
      <c r="BL22" s="23">
        <f t="shared" ref="BL22" si="96">BK22</f>
        <v>58</v>
      </c>
      <c r="BM22" s="22"/>
      <c r="BN22" s="23">
        <f t="shared" ref="BN22" si="97">BM22</f>
        <v>0</v>
      </c>
      <c r="BO22" s="36">
        <v>26</v>
      </c>
      <c r="BP22" s="37">
        <v>226</v>
      </c>
      <c r="BQ22" s="27">
        <f t="shared" ref="BQ22" si="98">BP22</f>
        <v>226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4515</v>
      </c>
      <c r="D23" s="65">
        <f t="shared" si="0"/>
        <v>4515</v>
      </c>
      <c r="E23" s="66">
        <f>+E18+E19+E22+E17+E16+E15+E14+E13+E12+E11+E10+E9+E8</f>
        <v>7282</v>
      </c>
      <c r="F23" s="67">
        <f>SUM(F8:F22)</f>
        <v>1965</v>
      </c>
      <c r="G23" s="68">
        <f>SUM(G8:G22)</f>
        <v>1965</v>
      </c>
      <c r="H23" s="66">
        <f>+H18+H19+H22+H17+H16+H15+H14+H13+H12+H11+H10+H9+H8</f>
        <v>271</v>
      </c>
      <c r="I23" s="67">
        <f>SUM(I8:I22)</f>
        <v>252</v>
      </c>
      <c r="J23" s="68">
        <f>SUM(J8:J22)</f>
        <v>252</v>
      </c>
      <c r="K23" s="66">
        <f>+K18+K19+K22+K17+K16+K15+K14+K13+K12+K11+K10+K9+K8</f>
        <v>163</v>
      </c>
      <c r="L23" s="67">
        <f>SUM(L8:L22)</f>
        <v>0</v>
      </c>
      <c r="M23" s="68">
        <f>SUM(M8:M22)</f>
        <v>0</v>
      </c>
      <c r="N23" s="66">
        <f>+N18+N19+N22+N17+N16+N15+N14+N13+N12+N11+N10+N9+N8</f>
        <v>8607</v>
      </c>
      <c r="O23" s="67">
        <f>SUM(O8:O22)</f>
        <v>103</v>
      </c>
      <c r="P23" s="68">
        <f>SUM(P8:P22)</f>
        <v>103</v>
      </c>
      <c r="Q23" s="66">
        <f>+Q18+Q19+Q22+Q17+Q16+Q15+Q14+Q13+Q12+Q11+Q10+Q9+Q8</f>
        <v>7474</v>
      </c>
      <c r="R23" s="67">
        <f>SUM(R8:R22)</f>
        <v>4</v>
      </c>
      <c r="S23" s="68">
        <f>SUM(S8:S22)</f>
        <v>4</v>
      </c>
      <c r="T23" s="66">
        <f>+T18+T19+T22+T17+T16+T15+T14+T13+T12+T11+T10+T9+T8</f>
        <v>4115</v>
      </c>
      <c r="U23" s="67">
        <f>SUM(U8:U22)</f>
        <v>46</v>
      </c>
      <c r="V23" s="68">
        <f>SUM(V8:V22)</f>
        <v>46</v>
      </c>
      <c r="W23" s="66">
        <f>+W18+W19+W22+W17+W16+W15+W14+W13+W12+W11+W10+W9+W8</f>
        <v>604</v>
      </c>
      <c r="X23" s="67">
        <f>SUM(X8:X22)</f>
        <v>559</v>
      </c>
      <c r="Y23" s="68">
        <f>SUM(Y8:Y22)</f>
        <v>559</v>
      </c>
      <c r="Z23" s="66">
        <f>+Z18+Z19+Z22+Z17+Z16+Z15+Z14+Z13+Z12+Z11+Z10+Z9+Z8</f>
        <v>1629</v>
      </c>
      <c r="AA23" s="67">
        <f>SUM(AA8:AA22)</f>
        <v>1</v>
      </c>
      <c r="AB23" s="68">
        <f>SUM(AB8:AB22)</f>
        <v>1</v>
      </c>
      <c r="AC23" s="66">
        <f>+AC18+AC19+AC22+AC17+AC16+AC15+AC14+AC13+AC12+AC11+AC10+AC9+AC8</f>
        <v>64846</v>
      </c>
      <c r="AD23" s="67">
        <f t="shared" ref="AD23:AO23" si="99">SUM(AD8:AD22)</f>
        <v>1585</v>
      </c>
      <c r="AE23" s="68">
        <f t="shared" si="99"/>
        <v>1585</v>
      </c>
      <c r="AF23" s="64">
        <f t="shared" si="99"/>
        <v>4122817</v>
      </c>
      <c r="AG23" s="64">
        <f t="shared" si="99"/>
        <v>4117317</v>
      </c>
      <c r="AH23" s="67">
        <f t="shared" si="99"/>
        <v>37669</v>
      </c>
      <c r="AI23" s="68">
        <f t="shared" si="99"/>
        <v>37669</v>
      </c>
      <c r="AJ23" s="67">
        <f t="shared" si="99"/>
        <v>134188</v>
      </c>
      <c r="AK23" s="68">
        <f t="shared" si="99"/>
        <v>128688</v>
      </c>
      <c r="AL23" s="67">
        <f t="shared" si="99"/>
        <v>991629</v>
      </c>
      <c r="AM23" s="68">
        <f t="shared" si="99"/>
        <v>991629</v>
      </c>
      <c r="AN23" s="67">
        <f t="shared" si="99"/>
        <v>2959331</v>
      </c>
      <c r="AO23" s="68">
        <f t="shared" si="99"/>
        <v>2959331</v>
      </c>
      <c r="AP23" s="62" t="s">
        <v>12</v>
      </c>
      <c r="AQ23" s="64">
        <f t="shared" ref="AQ23:BQ23" si="100">SUM(AQ8:AQ22)</f>
        <v>1178</v>
      </c>
      <c r="AR23" s="64">
        <f t="shared" si="100"/>
        <v>1178</v>
      </c>
      <c r="AS23" s="67">
        <f t="shared" si="100"/>
        <v>6</v>
      </c>
      <c r="AT23" s="68">
        <f t="shared" si="100"/>
        <v>6</v>
      </c>
      <c r="AU23" s="67">
        <f t="shared" si="100"/>
        <v>6</v>
      </c>
      <c r="AV23" s="68">
        <f t="shared" si="100"/>
        <v>6</v>
      </c>
      <c r="AW23" s="67">
        <f t="shared" si="100"/>
        <v>3</v>
      </c>
      <c r="AX23" s="68">
        <f t="shared" si="100"/>
        <v>3</v>
      </c>
      <c r="AY23" s="67">
        <f t="shared" si="100"/>
        <v>0</v>
      </c>
      <c r="AZ23" s="68">
        <f t="shared" si="100"/>
        <v>0</v>
      </c>
      <c r="BA23" s="67">
        <f t="shared" si="100"/>
        <v>1163</v>
      </c>
      <c r="BB23" s="68">
        <f t="shared" si="100"/>
        <v>1163</v>
      </c>
      <c r="BC23" s="64">
        <f t="shared" si="100"/>
        <v>45815</v>
      </c>
      <c r="BD23" s="64">
        <f t="shared" si="100"/>
        <v>45815</v>
      </c>
      <c r="BE23" s="67">
        <f t="shared" si="100"/>
        <v>563</v>
      </c>
      <c r="BF23" s="68">
        <f t="shared" si="100"/>
        <v>563</v>
      </c>
      <c r="BG23" s="67">
        <f t="shared" si="100"/>
        <v>40</v>
      </c>
      <c r="BH23" s="68">
        <f t="shared" si="100"/>
        <v>40</v>
      </c>
      <c r="BI23" s="67">
        <f t="shared" si="100"/>
        <v>40139</v>
      </c>
      <c r="BJ23" s="68">
        <f t="shared" si="100"/>
        <v>40139</v>
      </c>
      <c r="BK23" s="67">
        <f t="shared" si="100"/>
        <v>5072</v>
      </c>
      <c r="BL23" s="68">
        <f t="shared" si="100"/>
        <v>5072</v>
      </c>
      <c r="BM23" s="67">
        <f t="shared" si="100"/>
        <v>1</v>
      </c>
      <c r="BN23" s="68">
        <f t="shared" si="100"/>
        <v>1</v>
      </c>
      <c r="BO23" s="69">
        <f t="shared" si="100"/>
        <v>37616</v>
      </c>
      <c r="BP23" s="70">
        <f t="shared" si="100"/>
        <v>240</v>
      </c>
      <c r="BQ23" s="71">
        <f t="shared" si="100"/>
        <v>240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U23"/>
  <sheetViews>
    <sheetView zoomScale="115" zoomScaleNormal="115" workbookViewId="0">
      <pane xSplit="4" ySplit="8" topLeftCell="AQ16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5703125" customWidth="1"/>
    <col min="5" max="6" width="6.28515625" customWidth="1"/>
    <col min="7" max="7" width="8.285156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39" width="12.7109375" customWidth="1"/>
    <col min="40" max="40" width="9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 t="e">
        <f t="shared" si="0"/>
        <v>#REF!</v>
      </c>
      <c r="E9" s="32">
        <v>452</v>
      </c>
      <c r="F9" s="22">
        <v>2</v>
      </c>
      <c r="G9" s="23" t="e">
        <f>F9+'01.04'!G9</f>
        <v>#REF!</v>
      </c>
      <c r="H9" s="33">
        <v>12</v>
      </c>
      <c r="I9" s="34">
        <v>1</v>
      </c>
      <c r="J9" s="23" t="e">
        <f>I9+'01.04'!J9</f>
        <v>#REF!</v>
      </c>
      <c r="K9" s="33">
        <v>2</v>
      </c>
      <c r="L9" s="22">
        <v>0</v>
      </c>
      <c r="M9" s="23" t="e">
        <f>L9+'01.04'!M9</f>
        <v>#REF!</v>
      </c>
      <c r="N9" s="33">
        <v>735</v>
      </c>
      <c r="O9" s="22">
        <v>0</v>
      </c>
      <c r="P9" s="23" t="e">
        <f>O9+'01.04'!P9</f>
        <v>#REF!</v>
      </c>
      <c r="Q9" s="33">
        <v>502</v>
      </c>
      <c r="R9" s="22">
        <v>0</v>
      </c>
      <c r="S9" s="23" t="e">
        <f>R9+'01.04'!S9</f>
        <v>#REF!</v>
      </c>
      <c r="T9" s="33">
        <v>197</v>
      </c>
      <c r="U9" s="22">
        <v>0</v>
      </c>
      <c r="V9" s="23" t="e">
        <f>U9+'01.04'!V9</f>
        <v>#REF!</v>
      </c>
      <c r="W9" s="33">
        <v>47</v>
      </c>
      <c r="X9" s="22">
        <v>1</v>
      </c>
      <c r="Y9" s="23" t="e">
        <f>X9+'01.04'!Y9</f>
        <v>#REF!</v>
      </c>
      <c r="Z9" s="33">
        <v>34</v>
      </c>
      <c r="AA9" s="22">
        <v>0</v>
      </c>
      <c r="AB9" s="23" t="e">
        <f>AA9+'01.04'!AB9</f>
        <v>#REF!</v>
      </c>
      <c r="AC9" s="33">
        <v>1860</v>
      </c>
      <c r="AD9" s="22">
        <v>0</v>
      </c>
      <c r="AE9" s="23" t="e">
        <f>AD9+'01.04'!AE9</f>
        <v>#REF!</v>
      </c>
      <c r="AF9" s="19">
        <f t="shared" ref="AF9:AG22" si="1">AH9+AJ9+AL9+AN9</f>
        <v>8546</v>
      </c>
      <c r="AG9" s="20" t="e">
        <f t="shared" si="1"/>
        <v>#REF!</v>
      </c>
      <c r="AH9" s="24">
        <v>64</v>
      </c>
      <c r="AI9" s="23" t="e">
        <f>AH9+'01.04'!AI9</f>
        <v>#REF!</v>
      </c>
      <c r="AJ9" s="24">
        <v>282</v>
      </c>
      <c r="AK9" s="23" t="e">
        <f>AJ9+'01.04'!AK9</f>
        <v>#REF!</v>
      </c>
      <c r="AL9" s="22">
        <v>1800</v>
      </c>
      <c r="AM9" s="23" t="e">
        <f>AL9+'01.04'!AM9</f>
        <v>#REF!</v>
      </c>
      <c r="AN9" s="22">
        <v>6400</v>
      </c>
      <c r="AO9" s="23" t="e">
        <f>AN9+'01.04'!AO9</f>
        <v>#REF!</v>
      </c>
      <c r="AP9" s="28" t="s">
        <v>43</v>
      </c>
      <c r="AQ9" s="19">
        <f t="shared" ref="AQ9:AR22" si="2">AS9+AU9+AW9+AY9+BA9</f>
        <v>64</v>
      </c>
      <c r="AR9" s="20" t="e">
        <f t="shared" si="2"/>
        <v>#REF!</v>
      </c>
      <c r="AS9" s="34">
        <v>2</v>
      </c>
      <c r="AT9" s="23" t="e">
        <f>AS9+'01.04'!AT9</f>
        <v>#REF!</v>
      </c>
      <c r="AU9" s="34">
        <v>0</v>
      </c>
      <c r="AV9" s="23" t="e">
        <f>AU9+'01.04'!AV9</f>
        <v>#REF!</v>
      </c>
      <c r="AW9" s="34">
        <v>0</v>
      </c>
      <c r="AX9" s="23" t="e">
        <f>AW9+'01.04'!AX9</f>
        <v>#REF!</v>
      </c>
      <c r="AY9" s="34">
        <v>0</v>
      </c>
      <c r="AZ9" s="23" t="e">
        <f>AY9+'01.04'!AZ9</f>
        <v>#REF!</v>
      </c>
      <c r="BA9" s="34">
        <v>62</v>
      </c>
      <c r="BB9" s="23" t="e">
        <f>BA9+'01.04'!BB9</f>
        <v>#REF!</v>
      </c>
      <c r="BC9" s="19">
        <f t="shared" ref="BC9:BD22" si="3">BE9+BG9+BI9+BK9+BM9</f>
        <v>451</v>
      </c>
      <c r="BD9" s="20" t="e">
        <f t="shared" si="3"/>
        <v>#REF!</v>
      </c>
      <c r="BE9" s="22">
        <v>1</v>
      </c>
      <c r="BF9" s="23" t="e">
        <f>BE9+'01.04'!BF9</f>
        <v>#REF!</v>
      </c>
      <c r="BG9" s="34">
        <v>0</v>
      </c>
      <c r="BH9" s="23" t="e">
        <f>BG9+'01.04'!BH9</f>
        <v>#REF!</v>
      </c>
      <c r="BI9" s="22">
        <v>450</v>
      </c>
      <c r="BJ9" s="23" t="e">
        <f>BI9+'01.04'!BJ9</f>
        <v>#REF!</v>
      </c>
      <c r="BK9" s="22">
        <v>0</v>
      </c>
      <c r="BL9" s="23" t="e">
        <f>BK9+'01.04'!BL9</f>
        <v>#REF!</v>
      </c>
      <c r="BM9" s="22">
        <v>0</v>
      </c>
      <c r="BN9" s="23" t="e">
        <f>BM9+'01.04'!BN9</f>
        <v>#REF!</v>
      </c>
      <c r="BO9" s="36">
        <v>14</v>
      </c>
      <c r="BP9" s="37">
        <v>0</v>
      </c>
      <c r="BQ9" s="23" t="e">
        <f>BP9+'01.04'!BQ9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158</v>
      </c>
      <c r="D10" s="31" t="e">
        <f t="shared" si="0"/>
        <v>#REF!</v>
      </c>
      <c r="E10" s="32">
        <v>585</v>
      </c>
      <c r="F10" s="22">
        <v>12</v>
      </c>
      <c r="G10" s="23" t="e">
        <f>F10+'01.04'!G10</f>
        <v>#REF!</v>
      </c>
      <c r="H10" s="33">
        <v>93</v>
      </c>
      <c r="I10" s="34">
        <v>11</v>
      </c>
      <c r="J10" s="23" t="e">
        <f>I10+'01.04'!J10</f>
        <v>#REF!</v>
      </c>
      <c r="K10" s="33">
        <v>34</v>
      </c>
      <c r="L10" s="22">
        <v>0</v>
      </c>
      <c r="M10" s="23" t="e">
        <f>L10+'01.04'!M10</f>
        <v>#REF!</v>
      </c>
      <c r="N10" s="33">
        <v>352</v>
      </c>
      <c r="O10" s="22">
        <v>10</v>
      </c>
      <c r="P10" s="23" t="e">
        <f>O10+'01.04'!P10</f>
        <v>#REF!</v>
      </c>
      <c r="Q10" s="33">
        <v>549</v>
      </c>
      <c r="R10" s="22">
        <v>11</v>
      </c>
      <c r="S10" s="23" t="e">
        <f>R10+'01.04'!S10</f>
        <v>#REF!</v>
      </c>
      <c r="T10" s="33">
        <v>198</v>
      </c>
      <c r="U10" s="22">
        <v>7</v>
      </c>
      <c r="V10" s="23" t="e">
        <f>U10+'01.04'!V10</f>
        <v>#REF!</v>
      </c>
      <c r="W10" s="38">
        <v>55</v>
      </c>
      <c r="X10" s="22">
        <v>0</v>
      </c>
      <c r="Y10" s="23" t="e">
        <f>X10+'01.04'!Y10</f>
        <v>#REF!</v>
      </c>
      <c r="Z10" s="38">
        <v>71</v>
      </c>
      <c r="AA10" s="22">
        <v>1</v>
      </c>
      <c r="AB10" s="23" t="e">
        <f>AA10+'01.04'!AB10</f>
        <v>#REF!</v>
      </c>
      <c r="AC10" s="38">
        <v>1690</v>
      </c>
      <c r="AD10" s="22">
        <v>106</v>
      </c>
      <c r="AE10" s="23" t="e">
        <f>AD10+'01.04'!AE10</f>
        <v>#REF!</v>
      </c>
      <c r="AF10" s="19">
        <f t="shared" si="1"/>
        <v>128444</v>
      </c>
      <c r="AG10" s="20" t="e">
        <f t="shared" si="1"/>
        <v>#REF!</v>
      </c>
      <c r="AH10" s="24">
        <v>1043</v>
      </c>
      <c r="AI10" s="23" t="e">
        <f>AH10+'01.04'!AI10</f>
        <v>#REF!</v>
      </c>
      <c r="AJ10" s="24">
        <v>5294</v>
      </c>
      <c r="AK10" s="23" t="e">
        <f>AJ10+'01.04'!AK10</f>
        <v>#REF!</v>
      </c>
      <c r="AL10" s="22">
        <v>21196</v>
      </c>
      <c r="AM10" s="23" t="e">
        <f>AL10+'01.04'!AM10</f>
        <v>#REF!</v>
      </c>
      <c r="AN10" s="22">
        <v>100911</v>
      </c>
      <c r="AO10" s="23" t="e">
        <f>AN10+'01.04'!AO10</f>
        <v>#REF!</v>
      </c>
      <c r="AP10" s="28" t="s">
        <v>44</v>
      </c>
      <c r="AQ10" s="19">
        <f t="shared" si="2"/>
        <v>3</v>
      </c>
      <c r="AR10" s="20" t="e">
        <f t="shared" si="2"/>
        <v>#REF!</v>
      </c>
      <c r="AS10" s="34">
        <v>0</v>
      </c>
      <c r="AT10" s="23" t="e">
        <f>AS10+'01.04'!AT10</f>
        <v>#REF!</v>
      </c>
      <c r="AU10" s="34">
        <v>1</v>
      </c>
      <c r="AV10" s="23" t="e">
        <f>AU10+'01.04'!AV10</f>
        <v>#REF!</v>
      </c>
      <c r="AW10" s="34">
        <v>0</v>
      </c>
      <c r="AX10" s="23" t="e">
        <f>AW10+'01.04'!AX10</f>
        <v>#REF!</v>
      </c>
      <c r="AY10" s="34">
        <v>0</v>
      </c>
      <c r="AZ10" s="23" t="e">
        <f>AY10+'01.04'!AZ10</f>
        <v>#REF!</v>
      </c>
      <c r="BA10" s="34">
        <v>2</v>
      </c>
      <c r="BB10" s="23" t="e">
        <f>BA10+'01.04'!BB10</f>
        <v>#REF!</v>
      </c>
      <c r="BC10" s="19">
        <f t="shared" si="3"/>
        <v>4778</v>
      </c>
      <c r="BD10" s="20" t="e">
        <f t="shared" si="3"/>
        <v>#REF!</v>
      </c>
      <c r="BE10" s="22">
        <v>616</v>
      </c>
      <c r="BF10" s="23" t="e">
        <f>BE10+'01.04'!BF10</f>
        <v>#REF!</v>
      </c>
      <c r="BG10" s="34">
        <v>0</v>
      </c>
      <c r="BH10" s="23" t="e">
        <f>BG10+'01.04'!BH10</f>
        <v>#REF!</v>
      </c>
      <c r="BI10" s="22">
        <v>2996</v>
      </c>
      <c r="BJ10" s="23" t="e">
        <f>BI10+'01.04'!BJ10</f>
        <v>#REF!</v>
      </c>
      <c r="BK10" s="22">
        <v>1166</v>
      </c>
      <c r="BL10" s="23" t="e">
        <f>BK10+'01.04'!BL10</f>
        <v>#REF!</v>
      </c>
      <c r="BM10" s="22">
        <v>0</v>
      </c>
      <c r="BN10" s="23" t="e">
        <f>BM10+'01.04'!BN10</f>
        <v>#REF!</v>
      </c>
      <c r="BO10" s="36">
        <v>32</v>
      </c>
      <c r="BP10" s="37">
        <v>0</v>
      </c>
      <c r="BQ10" s="23" t="e">
        <f>BP10+'01.04'!BQ10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123</v>
      </c>
      <c r="D11" s="31" t="e">
        <f t="shared" si="0"/>
        <v>#REF!</v>
      </c>
      <c r="E11" s="32">
        <v>883</v>
      </c>
      <c r="F11" s="22">
        <v>50</v>
      </c>
      <c r="G11" s="23" t="e">
        <f>F11+'01.04'!G11</f>
        <v>#REF!</v>
      </c>
      <c r="H11" s="33">
        <v>16</v>
      </c>
      <c r="I11" s="34">
        <v>0</v>
      </c>
      <c r="J11" s="23" t="e">
        <f>I11+'01.04'!J11</f>
        <v>#REF!</v>
      </c>
      <c r="K11" s="33">
        <v>3</v>
      </c>
      <c r="L11" s="22">
        <v>0</v>
      </c>
      <c r="M11" s="23" t="e">
        <f>L11+'01.04'!M11</f>
        <v>#REF!</v>
      </c>
      <c r="N11" s="33">
        <v>875</v>
      </c>
      <c r="O11" s="22">
        <v>0</v>
      </c>
      <c r="P11" s="23" t="e">
        <f>O11+'01.04'!P11</f>
        <v>#REF!</v>
      </c>
      <c r="Q11" s="33">
        <v>2424</v>
      </c>
      <c r="R11" s="22">
        <v>0</v>
      </c>
      <c r="S11" s="23" t="e">
        <f>R11+'01.04'!S11</f>
        <v>#REF!</v>
      </c>
      <c r="T11" s="33">
        <v>69</v>
      </c>
      <c r="U11" s="22">
        <v>0</v>
      </c>
      <c r="V11" s="23" t="e">
        <f>U11+'01.04'!V11</f>
        <v>#REF!</v>
      </c>
      <c r="W11" s="38">
        <v>133</v>
      </c>
      <c r="X11" s="22">
        <v>64</v>
      </c>
      <c r="Y11" s="23" t="e">
        <f>X11+'01.04'!Y11</f>
        <v>#REF!</v>
      </c>
      <c r="Z11" s="38">
        <v>1116</v>
      </c>
      <c r="AA11" s="22">
        <v>0</v>
      </c>
      <c r="AB11" s="23" t="e">
        <f>AA11+'01.04'!AB11</f>
        <v>#REF!</v>
      </c>
      <c r="AC11" s="38">
        <v>9862</v>
      </c>
      <c r="AD11" s="22">
        <v>9</v>
      </c>
      <c r="AE11" s="23" t="e">
        <f>AD11+'01.04'!AE11</f>
        <v>#REF!</v>
      </c>
      <c r="AF11" s="19">
        <f t="shared" si="1"/>
        <v>134200</v>
      </c>
      <c r="AG11" s="20" t="e">
        <f t="shared" si="1"/>
        <v>#REF!</v>
      </c>
      <c r="AH11" s="24">
        <v>5000</v>
      </c>
      <c r="AI11" s="23" t="e">
        <f>AH11+'01.04'!AI11</f>
        <v>#REF!</v>
      </c>
      <c r="AJ11" s="24">
        <v>9200</v>
      </c>
      <c r="AK11" s="23" t="e">
        <f>AJ11+'01.04'!AK11</f>
        <v>#REF!</v>
      </c>
      <c r="AL11" s="22">
        <v>25000</v>
      </c>
      <c r="AM11" s="23" t="e">
        <f>AL11+'01.04'!AM11</f>
        <v>#REF!</v>
      </c>
      <c r="AN11" s="22">
        <v>95000</v>
      </c>
      <c r="AO11" s="23" t="e">
        <f>AN11+'01.04'!AO11</f>
        <v>#REF!</v>
      </c>
      <c r="AP11" s="28" t="s">
        <v>45</v>
      </c>
      <c r="AQ11" s="19">
        <f t="shared" si="2"/>
        <v>9</v>
      </c>
      <c r="AR11" s="20" t="e">
        <f t="shared" si="2"/>
        <v>#REF!</v>
      </c>
      <c r="AS11" s="34">
        <v>0</v>
      </c>
      <c r="AT11" s="23" t="e">
        <f>AS11+'01.04'!AT11</f>
        <v>#REF!</v>
      </c>
      <c r="AU11" s="34">
        <v>0</v>
      </c>
      <c r="AV11" s="23" t="e">
        <f>AU11+'01.04'!AV11</f>
        <v>#REF!</v>
      </c>
      <c r="AW11" s="34">
        <v>0</v>
      </c>
      <c r="AX11" s="23" t="e">
        <f>AW11+'01.04'!AX11</f>
        <v>#REF!</v>
      </c>
      <c r="AY11" s="34">
        <v>0</v>
      </c>
      <c r="AZ11" s="23" t="e">
        <f>AY11+'01.04'!AZ11</f>
        <v>#REF!</v>
      </c>
      <c r="BA11" s="34">
        <v>9</v>
      </c>
      <c r="BB11" s="23" t="e">
        <f>BA11+'01.04'!BB11</f>
        <v>#REF!</v>
      </c>
      <c r="BC11" s="19">
        <f t="shared" si="3"/>
        <v>7625</v>
      </c>
      <c r="BD11" s="20" t="e">
        <f t="shared" si="3"/>
        <v>#REF!</v>
      </c>
      <c r="BE11" s="22">
        <v>9</v>
      </c>
      <c r="BF11" s="23" t="e">
        <f>BE11+'01.04'!BF11</f>
        <v>#REF!</v>
      </c>
      <c r="BG11" s="34">
        <v>6</v>
      </c>
      <c r="BH11" s="23" t="e">
        <f>BG11+'01.04'!BH11</f>
        <v>#REF!</v>
      </c>
      <c r="BI11" s="22">
        <v>7500</v>
      </c>
      <c r="BJ11" s="23" t="e">
        <f>BI11+'01.04'!BJ11</f>
        <v>#REF!</v>
      </c>
      <c r="BK11" s="22">
        <v>110</v>
      </c>
      <c r="BL11" s="23" t="e">
        <f>BK11+'01.04'!BL11</f>
        <v>#REF!</v>
      </c>
      <c r="BM11" s="22">
        <v>0</v>
      </c>
      <c r="BN11" s="23" t="e">
        <f>BM11+'01.04'!BN11</f>
        <v>#REF!</v>
      </c>
      <c r="BO11" s="36">
        <v>11506</v>
      </c>
      <c r="BP11" s="37">
        <v>6</v>
      </c>
      <c r="BQ11" s="23" t="e">
        <f>BP11+'01.04'!BQ11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574</v>
      </c>
      <c r="D12" s="31" t="e">
        <f t="shared" si="0"/>
        <v>#REF!</v>
      </c>
      <c r="E12" s="32">
        <v>909</v>
      </c>
      <c r="F12" s="22">
        <v>201</v>
      </c>
      <c r="G12" s="23" t="e">
        <f>F12+'01.04'!G12</f>
        <v>#REF!</v>
      </c>
      <c r="H12" s="33">
        <v>80</v>
      </c>
      <c r="I12" s="34">
        <v>3</v>
      </c>
      <c r="J12" s="23" t="e">
        <f>I12+'01.04'!J12</f>
        <v>#REF!</v>
      </c>
      <c r="K12" s="33">
        <v>5</v>
      </c>
      <c r="L12" s="22">
        <v>0</v>
      </c>
      <c r="M12" s="23" t="e">
        <f>L12+'01.04'!M12</f>
        <v>#REF!</v>
      </c>
      <c r="N12" s="33">
        <v>820</v>
      </c>
      <c r="O12" s="22">
        <v>30</v>
      </c>
      <c r="P12" s="23" t="e">
        <f>O12+'01.04'!P12</f>
        <v>#REF!</v>
      </c>
      <c r="Q12" s="33">
        <v>549</v>
      </c>
      <c r="R12" s="22">
        <v>0</v>
      </c>
      <c r="S12" s="23" t="e">
        <f>R12+'01.04'!S12</f>
        <v>#REF!</v>
      </c>
      <c r="T12" s="33">
        <v>992</v>
      </c>
      <c r="U12" s="22">
        <v>0</v>
      </c>
      <c r="V12" s="23" t="e">
        <f>U12+'01.04'!V12</f>
        <v>#REF!</v>
      </c>
      <c r="W12" s="33">
        <v>38</v>
      </c>
      <c r="X12" s="22">
        <v>150</v>
      </c>
      <c r="Y12" s="23" t="e">
        <f>X12+'01.04'!Y12</f>
        <v>#REF!</v>
      </c>
      <c r="Z12" s="33">
        <v>68</v>
      </c>
      <c r="AA12" s="22">
        <v>0</v>
      </c>
      <c r="AB12" s="23" t="e">
        <f>AA12+'01.04'!AB12</f>
        <v>#REF!</v>
      </c>
      <c r="AC12" s="33">
        <v>26703</v>
      </c>
      <c r="AD12" s="22">
        <v>190</v>
      </c>
      <c r="AE12" s="23" t="e">
        <f>AD12+'01.04'!AE12</f>
        <v>#REF!</v>
      </c>
      <c r="AF12" s="19">
        <f t="shared" si="1"/>
        <v>34090</v>
      </c>
      <c r="AG12" s="20" t="e">
        <f t="shared" si="1"/>
        <v>#REF!</v>
      </c>
      <c r="AH12" s="24">
        <v>7800</v>
      </c>
      <c r="AI12" s="23" t="e">
        <f>AH12+'01.04'!AI12</f>
        <v>#REF!</v>
      </c>
      <c r="AJ12" s="24">
        <v>10900</v>
      </c>
      <c r="AK12" s="23" t="e">
        <f>AJ12+'01.04'!AK12</f>
        <v>#REF!</v>
      </c>
      <c r="AL12" s="22">
        <v>7695</v>
      </c>
      <c r="AM12" s="23" t="e">
        <f>AL12+'01.04'!AM12</f>
        <v>#REF!</v>
      </c>
      <c r="AN12" s="22">
        <v>7695</v>
      </c>
      <c r="AO12" s="23" t="e">
        <f>AN12+'01.04'!AO12</f>
        <v>#REF!</v>
      </c>
      <c r="AP12" s="28" t="s">
        <v>46</v>
      </c>
      <c r="AQ12" s="19">
        <f t="shared" si="2"/>
        <v>0</v>
      </c>
      <c r="AR12" s="20" t="e">
        <f t="shared" si="2"/>
        <v>#REF!</v>
      </c>
      <c r="AS12" s="34">
        <v>0</v>
      </c>
      <c r="AT12" s="23" t="e">
        <f>AS12+'01.04'!AT12</f>
        <v>#REF!</v>
      </c>
      <c r="AU12" s="34">
        <v>0</v>
      </c>
      <c r="AV12" s="23" t="e">
        <f>AU12+'01.04'!AV12</f>
        <v>#REF!</v>
      </c>
      <c r="AW12" s="34">
        <v>0</v>
      </c>
      <c r="AX12" s="23" t="e">
        <f>AW12+'01.04'!AX12</f>
        <v>#REF!</v>
      </c>
      <c r="AY12" s="34">
        <v>0</v>
      </c>
      <c r="AZ12" s="23" t="e">
        <f>AY12+'01.04'!AZ12</f>
        <v>#REF!</v>
      </c>
      <c r="BA12" s="34">
        <v>0</v>
      </c>
      <c r="BB12" s="23" t="e">
        <f>BA12+'01.04'!BB12</f>
        <v>#REF!</v>
      </c>
      <c r="BC12" s="19">
        <f t="shared" si="3"/>
        <v>4307</v>
      </c>
      <c r="BD12" s="20" t="e">
        <f t="shared" si="3"/>
        <v>#REF!</v>
      </c>
      <c r="BE12" s="22">
        <v>92</v>
      </c>
      <c r="BF12" s="23" t="e">
        <f>BE12+'01.04'!BF12</f>
        <v>#REF!</v>
      </c>
      <c r="BG12" s="34">
        <v>15</v>
      </c>
      <c r="BH12" s="23" t="e">
        <f>BG12+'01.04'!BH12</f>
        <v>#REF!</v>
      </c>
      <c r="BI12" s="22">
        <v>3500</v>
      </c>
      <c r="BJ12" s="23" t="e">
        <f>BI12+'01.04'!BJ12</f>
        <v>#REF!</v>
      </c>
      <c r="BK12" s="22">
        <v>700</v>
      </c>
      <c r="BL12" s="23" t="e">
        <f>BK12+'01.04'!BL12</f>
        <v>#REF!</v>
      </c>
      <c r="BM12" s="22">
        <v>0</v>
      </c>
      <c r="BN12" s="23" t="e">
        <f>BM12+'01.04'!BN12</f>
        <v>#REF!</v>
      </c>
      <c r="BO12" s="36"/>
      <c r="BP12" s="37">
        <v>1</v>
      </c>
      <c r="BQ12" s="23" t="e">
        <f>BP12+'01.04'!BQ12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 t="e">
        <f t="shared" si="0"/>
        <v>#REF!</v>
      </c>
      <c r="E13" s="32">
        <v>516</v>
      </c>
      <c r="F13" s="22">
        <v>1</v>
      </c>
      <c r="G13" s="23" t="e">
        <f>F13+'01.04'!G13</f>
        <v>#REF!</v>
      </c>
      <c r="H13" s="33">
        <v>10</v>
      </c>
      <c r="I13" s="34">
        <v>0</v>
      </c>
      <c r="J13" s="23" t="e">
        <f>I13+'01.04'!J13</f>
        <v>#REF!</v>
      </c>
      <c r="K13" s="33">
        <v>38</v>
      </c>
      <c r="L13" s="22">
        <v>0</v>
      </c>
      <c r="M13" s="23" t="e">
        <f>L13+'01.04'!M13</f>
        <v>#REF!</v>
      </c>
      <c r="N13" s="33">
        <v>581</v>
      </c>
      <c r="O13" s="22">
        <v>0</v>
      </c>
      <c r="P13" s="23" t="e">
        <f>O13+'01.04'!P13</f>
        <v>#REF!</v>
      </c>
      <c r="Q13" s="33">
        <v>525</v>
      </c>
      <c r="R13" s="22">
        <v>0</v>
      </c>
      <c r="S13" s="23" t="e">
        <f>R13+'01.04'!S13</f>
        <v>#REF!</v>
      </c>
      <c r="T13" s="33">
        <v>263</v>
      </c>
      <c r="U13" s="22">
        <v>1</v>
      </c>
      <c r="V13" s="23" t="e">
        <f>U13+'01.04'!V13</f>
        <v>#REF!</v>
      </c>
      <c r="W13" s="33">
        <v>43</v>
      </c>
      <c r="X13" s="22"/>
      <c r="Y13" s="23" t="e">
        <f>X13+'01.04'!Y13</f>
        <v>#REF!</v>
      </c>
      <c r="Z13" s="33">
        <v>17</v>
      </c>
      <c r="AA13" s="22">
        <v>0</v>
      </c>
      <c r="AB13" s="23" t="e">
        <f>AA13+'01.04'!AB13</f>
        <v>#REF!</v>
      </c>
      <c r="AC13" s="33">
        <v>51</v>
      </c>
      <c r="AD13" s="22">
        <v>0</v>
      </c>
      <c r="AE13" s="23" t="e">
        <f>AD13+'01.04'!AE13</f>
        <v>#REF!</v>
      </c>
      <c r="AF13" s="19">
        <f t="shared" si="1"/>
        <v>260100</v>
      </c>
      <c r="AG13" s="20" t="e">
        <f t="shared" si="1"/>
        <v>#REF!</v>
      </c>
      <c r="AH13" s="24">
        <v>2000</v>
      </c>
      <c r="AI13" s="23" t="e">
        <f>AH13+'01.04'!AI13</f>
        <v>#REF!</v>
      </c>
      <c r="AJ13" s="24">
        <v>8100</v>
      </c>
      <c r="AK13" s="23" t="e">
        <f>AJ13+'01.04'!AK13</f>
        <v>#REF!</v>
      </c>
      <c r="AL13" s="22">
        <v>30000</v>
      </c>
      <c r="AM13" s="23" t="e">
        <f>AL13+'01.04'!AM13</f>
        <v>#REF!</v>
      </c>
      <c r="AN13" s="22">
        <v>220000</v>
      </c>
      <c r="AO13" s="23" t="e">
        <f>AN13+'01.04'!AO13</f>
        <v>#REF!</v>
      </c>
      <c r="AP13" s="28" t="s">
        <v>47</v>
      </c>
      <c r="AQ13" s="19">
        <f t="shared" si="2"/>
        <v>21</v>
      </c>
      <c r="AR13" s="20" t="e">
        <f t="shared" si="2"/>
        <v>#REF!</v>
      </c>
      <c r="AS13" s="34">
        <v>1</v>
      </c>
      <c r="AT13" s="23" t="e">
        <f>AS13+'01.04'!AT13</f>
        <v>#REF!</v>
      </c>
      <c r="AU13" s="34">
        <v>0</v>
      </c>
      <c r="AV13" s="23" t="e">
        <f>AU13+'01.04'!AV13</f>
        <v>#REF!</v>
      </c>
      <c r="AW13" s="34">
        <v>0</v>
      </c>
      <c r="AX13" s="23" t="e">
        <f>AW13+'01.04'!AX13</f>
        <v>#REF!</v>
      </c>
      <c r="AY13" s="34">
        <v>0</v>
      </c>
      <c r="AZ13" s="23" t="e">
        <f>AY13+'01.04'!AZ13</f>
        <v>#REF!</v>
      </c>
      <c r="BA13" s="34">
        <v>20</v>
      </c>
      <c r="BB13" s="23" t="e">
        <f>BA13+'01.04'!BB13</f>
        <v>#REF!</v>
      </c>
      <c r="BC13" s="19">
        <f t="shared" si="3"/>
        <v>10101</v>
      </c>
      <c r="BD13" s="20" t="e">
        <f t="shared" si="3"/>
        <v>#REF!</v>
      </c>
      <c r="BE13" s="22">
        <v>1</v>
      </c>
      <c r="BF13" s="23" t="e">
        <f>BE13+'01.04'!BF13</f>
        <v>#REF!</v>
      </c>
      <c r="BG13" s="34">
        <v>0</v>
      </c>
      <c r="BH13" s="23" t="e">
        <f>BG13+'01.04'!BH13</f>
        <v>#REF!</v>
      </c>
      <c r="BI13" s="22">
        <v>10000</v>
      </c>
      <c r="BJ13" s="23" t="e">
        <f>BI13+'01.04'!BJ13</f>
        <v>#REF!</v>
      </c>
      <c r="BK13" s="22">
        <v>100</v>
      </c>
      <c r="BL13" s="23" t="e">
        <f>BK13+'01.04'!BL13</f>
        <v>#REF!</v>
      </c>
      <c r="BM13" s="22">
        <v>0</v>
      </c>
      <c r="BN13" s="23" t="e">
        <f>BM13+'01.04'!BN13</f>
        <v>#REF!</v>
      </c>
      <c r="BO13" s="36"/>
      <c r="BP13" s="37">
        <v>0</v>
      </c>
      <c r="BQ13" s="23" t="e">
        <f>BP13+'01.04'!BQ13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105</v>
      </c>
      <c r="D14" s="42" t="e">
        <f t="shared" si="0"/>
        <v>#REF!</v>
      </c>
      <c r="E14" s="43">
        <v>304</v>
      </c>
      <c r="F14" s="22">
        <v>85</v>
      </c>
      <c r="G14" s="23" t="e">
        <f>F14+'01.04'!G14</f>
        <v>#REF!</v>
      </c>
      <c r="H14" s="44">
        <v>5</v>
      </c>
      <c r="I14" s="45">
        <v>0</v>
      </c>
      <c r="J14" s="23" t="e">
        <f>I14+'01.04'!J14</f>
        <v>#REF!</v>
      </c>
      <c r="K14" s="44">
        <v>34</v>
      </c>
      <c r="L14" s="22">
        <v>0</v>
      </c>
      <c r="M14" s="23" t="e">
        <f>L14+'01.04'!M14</f>
        <v>#REF!</v>
      </c>
      <c r="N14" s="44">
        <v>583</v>
      </c>
      <c r="O14" s="22">
        <v>0</v>
      </c>
      <c r="P14" s="23" t="e">
        <f>O14+'01.04'!P14</f>
        <v>#REF!</v>
      </c>
      <c r="Q14" s="44">
        <v>254</v>
      </c>
      <c r="R14" s="22">
        <v>0</v>
      </c>
      <c r="S14" s="23" t="e">
        <f>R14+'01.04'!S14</f>
        <v>#REF!</v>
      </c>
      <c r="T14" s="44">
        <v>196</v>
      </c>
      <c r="U14" s="22">
        <v>0</v>
      </c>
      <c r="V14" s="23" t="e">
        <f>U14+'01.04'!V14</f>
        <v>#REF!</v>
      </c>
      <c r="W14" s="44">
        <v>30</v>
      </c>
      <c r="X14" s="22">
        <v>15</v>
      </c>
      <c r="Y14" s="23" t="e">
        <f>X14+'01.04'!Y14</f>
        <v>#REF!</v>
      </c>
      <c r="Z14" s="44">
        <v>10</v>
      </c>
      <c r="AA14" s="22">
        <v>0</v>
      </c>
      <c r="AB14" s="23" t="e">
        <f>AA14+'01.04'!AB14</f>
        <v>#REF!</v>
      </c>
      <c r="AC14" s="44">
        <v>2500</v>
      </c>
      <c r="AD14" s="22">
        <v>5</v>
      </c>
      <c r="AE14" s="23" t="e">
        <f>AD14+'01.04'!AE14</f>
        <v>#REF!</v>
      </c>
      <c r="AF14" s="19">
        <f t="shared" si="1"/>
        <v>149960</v>
      </c>
      <c r="AG14" s="20" t="e">
        <f t="shared" si="1"/>
        <v>#REF!</v>
      </c>
      <c r="AH14" s="24">
        <v>3420</v>
      </c>
      <c r="AI14" s="23" t="e">
        <f>AH14+'01.04'!AI14</f>
        <v>#REF!</v>
      </c>
      <c r="AJ14" s="24">
        <v>7000</v>
      </c>
      <c r="AK14" s="23" t="e">
        <f>AJ14+'01.04'!AK14</f>
        <v>#REF!</v>
      </c>
      <c r="AL14" s="22">
        <v>25540</v>
      </c>
      <c r="AM14" s="23" t="e">
        <f>AL14+'01.04'!AM14</f>
        <v>#REF!</v>
      </c>
      <c r="AN14" s="22">
        <v>114000</v>
      </c>
      <c r="AO14" s="23" t="e">
        <f>AN14+'01.04'!AO14</f>
        <v>#REF!</v>
      </c>
      <c r="AP14" s="39" t="s">
        <v>48</v>
      </c>
      <c r="AQ14" s="19">
        <f t="shared" si="2"/>
        <v>6</v>
      </c>
      <c r="AR14" s="20" t="e">
        <f t="shared" si="2"/>
        <v>#REF!</v>
      </c>
      <c r="AS14" s="45">
        <v>0</v>
      </c>
      <c r="AT14" s="23" t="e">
        <f>AS14+'01.04'!AT14</f>
        <v>#REF!</v>
      </c>
      <c r="AU14" s="45">
        <v>0</v>
      </c>
      <c r="AV14" s="23" t="e">
        <f>AU14+'01.04'!AV14</f>
        <v>#REF!</v>
      </c>
      <c r="AW14" s="45">
        <v>0</v>
      </c>
      <c r="AX14" s="23" t="e">
        <f>AW14+'01.04'!AX14</f>
        <v>#REF!</v>
      </c>
      <c r="AY14" s="45">
        <v>0</v>
      </c>
      <c r="AZ14" s="23" t="e">
        <f>AY14+'01.04'!AZ14</f>
        <v>#REF!</v>
      </c>
      <c r="BA14" s="45">
        <v>6</v>
      </c>
      <c r="BB14" s="23" t="e">
        <f>BA14+'01.04'!BB14</f>
        <v>#REF!</v>
      </c>
      <c r="BC14" s="19">
        <f t="shared" si="3"/>
        <v>4540</v>
      </c>
      <c r="BD14" s="20" t="e">
        <f t="shared" si="3"/>
        <v>#REF!</v>
      </c>
      <c r="BE14" s="22">
        <v>8</v>
      </c>
      <c r="BF14" s="23" t="e">
        <f>BE14+'01.04'!BF14</f>
        <v>#REF!</v>
      </c>
      <c r="BG14" s="45">
        <v>6</v>
      </c>
      <c r="BH14" s="23" t="e">
        <f>BG14+'01.04'!BH14</f>
        <v>#REF!</v>
      </c>
      <c r="BI14" s="22">
        <v>4500</v>
      </c>
      <c r="BJ14" s="23" t="e">
        <f>BI14+'01.04'!BJ14</f>
        <v>#REF!</v>
      </c>
      <c r="BK14" s="22">
        <v>26</v>
      </c>
      <c r="BL14" s="23" t="e">
        <f>BK14+'01.04'!BL14</f>
        <v>#REF!</v>
      </c>
      <c r="BM14" s="22">
        <v>0</v>
      </c>
      <c r="BN14" s="23" t="e">
        <f>BM14+'01.04'!BN14</f>
        <v>#REF!</v>
      </c>
      <c r="BO14" s="48">
        <v>2</v>
      </c>
      <c r="BP14" s="49">
        <v>0</v>
      </c>
      <c r="BQ14" s="23" t="e">
        <f>BP14+'01.04'!BQ14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405</v>
      </c>
      <c r="D15" s="53" t="e">
        <f t="shared" si="0"/>
        <v>#REF!</v>
      </c>
      <c r="E15" s="54">
        <v>776</v>
      </c>
      <c r="F15" s="55">
        <v>267</v>
      </c>
      <c r="G15" s="23" t="e">
        <f>F15+'01.04'!G15</f>
        <v>#REF!</v>
      </c>
      <c r="H15" s="56">
        <v>9</v>
      </c>
      <c r="I15" s="57">
        <v>0</v>
      </c>
      <c r="J15" s="23" t="e">
        <f>I15+'01.04'!J15</f>
        <v>#REF!</v>
      </c>
      <c r="K15" s="56">
        <v>6</v>
      </c>
      <c r="L15" s="55">
        <v>0</v>
      </c>
      <c r="M15" s="23" t="e">
        <f>L15+'01.04'!M15</f>
        <v>#REF!</v>
      </c>
      <c r="N15" s="56">
        <v>1305</v>
      </c>
      <c r="O15" s="55">
        <v>0</v>
      </c>
      <c r="P15" s="23" t="e">
        <f>O15+'01.04'!P15</f>
        <v>#REF!</v>
      </c>
      <c r="Q15" s="56">
        <v>447</v>
      </c>
      <c r="R15" s="55">
        <v>0</v>
      </c>
      <c r="S15" s="23" t="e">
        <f>R15+'01.04'!S15</f>
        <v>#REF!</v>
      </c>
      <c r="T15" s="56">
        <v>337</v>
      </c>
      <c r="U15" s="55">
        <v>0</v>
      </c>
      <c r="V15" s="23" t="e">
        <f>U15+'01.04'!V15</f>
        <v>#REF!</v>
      </c>
      <c r="W15" s="56">
        <v>78</v>
      </c>
      <c r="X15" s="55">
        <v>0</v>
      </c>
      <c r="Y15" s="23" t="e">
        <f>X15+'01.04'!Y15</f>
        <v>#REF!</v>
      </c>
      <c r="Z15" s="56">
        <v>141</v>
      </c>
      <c r="AA15" s="55">
        <v>0</v>
      </c>
      <c r="AB15" s="23" t="e">
        <f>AA15+'01.04'!AB15</f>
        <v>#REF!</v>
      </c>
      <c r="AC15" s="56">
        <v>798</v>
      </c>
      <c r="AD15" s="55">
        <v>138</v>
      </c>
      <c r="AE15" s="23" t="e">
        <f>AD15+'01.04'!AE15</f>
        <v>#REF!</v>
      </c>
      <c r="AF15" s="58">
        <f t="shared" si="1"/>
        <v>1220341</v>
      </c>
      <c r="AG15" s="59" t="e">
        <f t="shared" si="1"/>
        <v>#REF!</v>
      </c>
      <c r="AH15" s="60">
        <v>1087</v>
      </c>
      <c r="AI15" s="23" t="e">
        <f>AH15+'01.04'!AI15</f>
        <v>#REF!</v>
      </c>
      <c r="AJ15" s="60">
        <v>3900</v>
      </c>
      <c r="AK15" s="23" t="e">
        <f>AJ15+'01.04'!AK15</f>
        <v>#REF!</v>
      </c>
      <c r="AL15" s="55">
        <v>607677</v>
      </c>
      <c r="AM15" s="23" t="e">
        <f>AL15+'01.04'!AM15</f>
        <v>#REF!</v>
      </c>
      <c r="AN15" s="55">
        <v>607677</v>
      </c>
      <c r="AO15" s="23" t="e">
        <f>AN15+'01.04'!AO15</f>
        <v>#REF!</v>
      </c>
      <c r="AP15" s="50" t="s">
        <v>49</v>
      </c>
      <c r="AQ15" s="58">
        <f t="shared" si="2"/>
        <v>6</v>
      </c>
      <c r="AR15" s="59" t="e">
        <f t="shared" si="2"/>
        <v>#REF!</v>
      </c>
      <c r="AS15" s="57">
        <v>0</v>
      </c>
      <c r="AT15" s="23" t="e">
        <f>AS15+'01.04'!AT15</f>
        <v>#REF!</v>
      </c>
      <c r="AU15" s="57">
        <v>0</v>
      </c>
      <c r="AV15" s="23" t="e">
        <f>AU15+'01.04'!AV15</f>
        <v>#REF!</v>
      </c>
      <c r="AW15" s="57">
        <v>0</v>
      </c>
      <c r="AX15" s="23" t="e">
        <f>AW15+'01.04'!AX15</f>
        <v>#REF!</v>
      </c>
      <c r="AY15" s="57">
        <v>0</v>
      </c>
      <c r="AZ15" s="23" t="e">
        <f>AY15+'01.04'!AZ15</f>
        <v>#REF!</v>
      </c>
      <c r="BA15" s="57">
        <v>6</v>
      </c>
      <c r="BB15" s="23" t="e">
        <f>BA15+'01.04'!BB15</f>
        <v>#REF!</v>
      </c>
      <c r="BC15" s="58">
        <f t="shared" si="3"/>
        <v>1864</v>
      </c>
      <c r="BD15" s="59" t="e">
        <f t="shared" si="3"/>
        <v>#REF!</v>
      </c>
      <c r="BE15" s="55">
        <v>60</v>
      </c>
      <c r="BF15" s="23" t="e">
        <f>BE15+'01.04'!BF15</f>
        <v>#REF!</v>
      </c>
      <c r="BG15" s="57">
        <v>4</v>
      </c>
      <c r="BH15" s="23" t="e">
        <f>BG15+'01.04'!BH15</f>
        <v>#REF!</v>
      </c>
      <c r="BI15" s="55">
        <v>900</v>
      </c>
      <c r="BJ15" s="23" t="e">
        <f>BI15+'01.04'!BJ15</f>
        <v>#REF!</v>
      </c>
      <c r="BK15" s="55">
        <v>900</v>
      </c>
      <c r="BL15" s="23" t="e">
        <f>BK15+'01.04'!BL15</f>
        <v>#REF!</v>
      </c>
      <c r="BM15" s="55">
        <v>0</v>
      </c>
      <c r="BN15" s="23" t="e">
        <f>BM15+'01.04'!BN15</f>
        <v>#REF!</v>
      </c>
      <c r="BO15" s="36">
        <v>6274</v>
      </c>
      <c r="BP15" s="37">
        <v>2</v>
      </c>
      <c r="BQ15" s="23" t="e">
        <f>BP15+'01.04'!BQ15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137</v>
      </c>
      <c r="D16" s="31" t="e">
        <f t="shared" si="0"/>
        <v>#REF!</v>
      </c>
      <c r="E16" s="32">
        <v>310</v>
      </c>
      <c r="F16" s="22">
        <v>45</v>
      </c>
      <c r="G16" s="23" t="e">
        <f>F16+'01.04'!G16</f>
        <v>#REF!</v>
      </c>
      <c r="H16" s="33">
        <v>5</v>
      </c>
      <c r="I16" s="34">
        <v>0</v>
      </c>
      <c r="J16" s="23" t="e">
        <f>I16+'01.04'!J16</f>
        <v>#REF!</v>
      </c>
      <c r="K16" s="33">
        <v>3</v>
      </c>
      <c r="L16" s="22">
        <v>0</v>
      </c>
      <c r="M16" s="23" t="e">
        <f>L16+'01.04'!M16</f>
        <v>#REF!</v>
      </c>
      <c r="N16" s="33">
        <v>384</v>
      </c>
      <c r="O16" s="22">
        <v>0</v>
      </c>
      <c r="P16" s="23" t="e">
        <f>O16+'01.04'!P16</f>
        <v>#REF!</v>
      </c>
      <c r="Q16" s="33">
        <v>245</v>
      </c>
      <c r="R16" s="22">
        <v>0</v>
      </c>
      <c r="S16" s="23" t="e">
        <f>R16+'01.04'!S16</f>
        <v>#REF!</v>
      </c>
      <c r="T16" s="33">
        <v>397</v>
      </c>
      <c r="U16" s="22">
        <v>0</v>
      </c>
      <c r="V16" s="23" t="e">
        <f>U16+'01.04'!V16</f>
        <v>#REF!</v>
      </c>
      <c r="W16" s="33">
        <v>24</v>
      </c>
      <c r="X16" s="22">
        <v>38</v>
      </c>
      <c r="Y16" s="23" t="e">
        <f>X16+'01.04'!Y16</f>
        <v>#REF!</v>
      </c>
      <c r="Z16" s="33">
        <v>18</v>
      </c>
      <c r="AA16" s="22">
        <v>0</v>
      </c>
      <c r="AB16" s="23" t="e">
        <f>AA16+'01.04'!AB16</f>
        <v>#REF!</v>
      </c>
      <c r="AC16" s="33">
        <v>18515</v>
      </c>
      <c r="AD16" s="22">
        <v>54</v>
      </c>
      <c r="AE16" s="23" t="e">
        <f>AD16+'01.04'!AE16</f>
        <v>#REF!</v>
      </c>
      <c r="AF16" s="19">
        <f t="shared" si="1"/>
        <v>72865</v>
      </c>
      <c r="AG16" s="20" t="e">
        <f t="shared" si="1"/>
        <v>#REF!</v>
      </c>
      <c r="AH16" s="24">
        <v>270</v>
      </c>
      <c r="AI16" s="23" t="e">
        <f>AH16+'01.04'!AI16</f>
        <v>#REF!</v>
      </c>
      <c r="AJ16" s="24">
        <v>1311</v>
      </c>
      <c r="AK16" s="23" t="e">
        <f>AJ16+'01.04'!AK16</f>
        <v>#REF!</v>
      </c>
      <c r="AL16" s="22">
        <v>2078</v>
      </c>
      <c r="AM16" s="23" t="e">
        <f>AL16+'01.04'!AM16</f>
        <v>#REF!</v>
      </c>
      <c r="AN16" s="22">
        <v>69206</v>
      </c>
      <c r="AO16" s="23" t="e">
        <f>AN16+'01.04'!AO16</f>
        <v>#REF!</v>
      </c>
      <c r="AP16" s="28" t="s">
        <v>51</v>
      </c>
      <c r="AQ16" s="19">
        <f t="shared" si="2"/>
        <v>67</v>
      </c>
      <c r="AR16" s="20" t="e">
        <f t="shared" si="2"/>
        <v>#REF!</v>
      </c>
      <c r="AS16" s="34">
        <v>0</v>
      </c>
      <c r="AT16" s="23" t="e">
        <f>AS16+'01.04'!AT16</f>
        <v>#REF!</v>
      </c>
      <c r="AU16" s="34">
        <v>0</v>
      </c>
      <c r="AV16" s="23" t="e">
        <f>AU16+'01.04'!AV16</f>
        <v>#REF!</v>
      </c>
      <c r="AW16" s="34">
        <v>0</v>
      </c>
      <c r="AX16" s="23" t="e">
        <f>AW16+'01.04'!AX16</f>
        <v>#REF!</v>
      </c>
      <c r="AY16" s="34">
        <v>0</v>
      </c>
      <c r="AZ16" s="23" t="e">
        <f>AY16+'01.04'!AZ16</f>
        <v>#REF!</v>
      </c>
      <c r="BA16" s="34">
        <v>67</v>
      </c>
      <c r="BB16" s="23" t="e">
        <f>BA16+'01.04'!BB16</f>
        <v>#REF!</v>
      </c>
      <c r="BC16" s="19">
        <f t="shared" si="3"/>
        <v>1784</v>
      </c>
      <c r="BD16" s="20" t="e">
        <f t="shared" si="3"/>
        <v>#REF!</v>
      </c>
      <c r="BE16" s="22">
        <v>91</v>
      </c>
      <c r="BF16" s="23" t="e">
        <f>BE16+'01.04'!BF16</f>
        <v>#REF!</v>
      </c>
      <c r="BG16" s="34">
        <v>3</v>
      </c>
      <c r="BH16" s="23" t="e">
        <f>BG16+'01.04'!BH16</f>
        <v>#REF!</v>
      </c>
      <c r="BI16" s="22">
        <v>1350</v>
      </c>
      <c r="BJ16" s="23" t="e">
        <f>BI16+'01.04'!BJ16</f>
        <v>#REF!</v>
      </c>
      <c r="BK16" s="22">
        <v>340</v>
      </c>
      <c r="BL16" s="23" t="e">
        <f>BK16+'01.04'!BL16</f>
        <v>#REF!</v>
      </c>
      <c r="BM16" s="22">
        <v>0</v>
      </c>
      <c r="BN16" s="23" t="e">
        <f>BM16+'01.04'!BN16</f>
        <v>#REF!</v>
      </c>
      <c r="BO16" s="36">
        <v>2546</v>
      </c>
      <c r="BP16" s="37">
        <v>0</v>
      </c>
      <c r="BQ16" s="23" t="e">
        <f>BP16+'01.04'!BQ16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169</v>
      </c>
      <c r="D17" s="31" t="e">
        <f t="shared" si="0"/>
        <v>#REF!</v>
      </c>
      <c r="E17" s="32">
        <v>754</v>
      </c>
      <c r="F17" s="22">
        <v>86</v>
      </c>
      <c r="G17" s="23" t="e">
        <f>F17+'01.04'!G17</f>
        <v>#REF!</v>
      </c>
      <c r="H17" s="33">
        <v>9</v>
      </c>
      <c r="I17" s="34">
        <v>0</v>
      </c>
      <c r="J17" s="23" t="e">
        <f>I17+'01.04'!J17</f>
        <v>#REF!</v>
      </c>
      <c r="K17" s="33">
        <v>5</v>
      </c>
      <c r="L17" s="22">
        <v>0</v>
      </c>
      <c r="M17" s="23" t="e">
        <f>L17+'01.04'!M17</f>
        <v>#REF!</v>
      </c>
      <c r="N17" s="33">
        <v>768</v>
      </c>
      <c r="O17" s="22">
        <v>0</v>
      </c>
      <c r="P17" s="23" t="e">
        <f>O17+'01.04'!P17</f>
        <v>#REF!</v>
      </c>
      <c r="Q17" s="33">
        <v>624</v>
      </c>
      <c r="R17" s="22">
        <v>0</v>
      </c>
      <c r="S17" s="23" t="e">
        <f>R17+'01.04'!S17</f>
        <v>#REF!</v>
      </c>
      <c r="T17" s="33">
        <v>742</v>
      </c>
      <c r="U17" s="22">
        <v>0</v>
      </c>
      <c r="V17" s="23" t="e">
        <f>U17+'01.04'!V17</f>
        <v>#REF!</v>
      </c>
      <c r="W17" s="33">
        <v>54</v>
      </c>
      <c r="X17" s="22">
        <v>0</v>
      </c>
      <c r="Y17" s="23" t="e">
        <f>X17+'01.04'!Y17</f>
        <v>#REF!</v>
      </c>
      <c r="Z17" s="33">
        <v>66</v>
      </c>
      <c r="AA17" s="22">
        <v>0</v>
      </c>
      <c r="AB17" s="23" t="e">
        <f>AA17+'01.04'!AB17</f>
        <v>#REF!</v>
      </c>
      <c r="AC17" s="33">
        <v>2580</v>
      </c>
      <c r="AD17" s="22">
        <v>83</v>
      </c>
      <c r="AE17" s="23" t="e">
        <f>AD17+'01.04'!AE17</f>
        <v>#REF!</v>
      </c>
      <c r="AF17" s="19">
        <f t="shared" si="1"/>
        <v>185500</v>
      </c>
      <c r="AG17" s="20" t="e">
        <f t="shared" si="1"/>
        <v>#REF!</v>
      </c>
      <c r="AH17" s="24">
        <v>10000</v>
      </c>
      <c r="AI17" s="23" t="e">
        <f>AH17+'01.04'!AI17</f>
        <v>#REF!</v>
      </c>
      <c r="AJ17" s="24">
        <v>10500</v>
      </c>
      <c r="AK17" s="23" t="e">
        <f>AJ17+'01.04'!AK17</f>
        <v>#REF!</v>
      </c>
      <c r="AL17" s="22">
        <v>75000</v>
      </c>
      <c r="AM17" s="23" t="e">
        <f>AL17+'01.04'!AM17</f>
        <v>#REF!</v>
      </c>
      <c r="AN17" s="22">
        <v>90000</v>
      </c>
      <c r="AO17" s="23" t="e">
        <f>AN17+'01.04'!AO17</f>
        <v>#REF!</v>
      </c>
      <c r="AP17" s="28" t="s">
        <v>52</v>
      </c>
      <c r="AQ17" s="19">
        <f t="shared" si="2"/>
        <v>15</v>
      </c>
      <c r="AR17" s="20" t="e">
        <f t="shared" si="2"/>
        <v>#REF!</v>
      </c>
      <c r="AS17" s="34">
        <v>0</v>
      </c>
      <c r="AT17" s="23" t="e">
        <f>AS17+'01.04'!AT17</f>
        <v>#REF!</v>
      </c>
      <c r="AU17" s="34">
        <v>1</v>
      </c>
      <c r="AV17" s="23" t="e">
        <f>AU17+'01.04'!AV17</f>
        <v>#REF!</v>
      </c>
      <c r="AW17" s="34">
        <v>0</v>
      </c>
      <c r="AX17" s="23" t="e">
        <f>AW17+'01.04'!AX17</f>
        <v>#REF!</v>
      </c>
      <c r="AY17" s="34">
        <v>0</v>
      </c>
      <c r="AZ17" s="23" t="e">
        <f>AY17+'01.04'!AZ17</f>
        <v>#REF!</v>
      </c>
      <c r="BA17" s="34">
        <v>14</v>
      </c>
      <c r="BB17" s="23" t="e">
        <f>BA17+'01.04'!BB17</f>
        <v>#REF!</v>
      </c>
      <c r="BC17" s="19">
        <f t="shared" si="3"/>
        <v>1392</v>
      </c>
      <c r="BD17" s="20" t="e">
        <f t="shared" si="3"/>
        <v>#REF!</v>
      </c>
      <c r="BE17" s="22">
        <v>38</v>
      </c>
      <c r="BF17" s="23" t="e">
        <f>BE17+'01.04'!BF17</f>
        <v>#REF!</v>
      </c>
      <c r="BG17" s="34">
        <v>4</v>
      </c>
      <c r="BH17" s="23" t="e">
        <f>BG17+'01.04'!BH17</f>
        <v>#REF!</v>
      </c>
      <c r="BI17" s="22">
        <v>1200</v>
      </c>
      <c r="BJ17" s="23" t="e">
        <f>BI17+'01.04'!BJ17</f>
        <v>#REF!</v>
      </c>
      <c r="BK17" s="22">
        <v>150</v>
      </c>
      <c r="BL17" s="23" t="e">
        <f>BK17+'01.04'!BL17</f>
        <v>#REF!</v>
      </c>
      <c r="BM17" s="22">
        <v>0</v>
      </c>
      <c r="BN17" s="23" t="e">
        <f>BM17+'01.04'!BN17</f>
        <v>#REF!</v>
      </c>
      <c r="BO17" s="36">
        <v>8022</v>
      </c>
      <c r="BP17" s="37">
        <v>0</v>
      </c>
      <c r="BQ17" s="23" t="e">
        <f>BP17+'01.04'!BQ17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611</v>
      </c>
      <c r="D18" s="20" t="e">
        <f t="shared" si="0"/>
        <v>#REF!</v>
      </c>
      <c r="E18" s="21">
        <v>1063</v>
      </c>
      <c r="F18" s="22">
        <v>354</v>
      </c>
      <c r="G18" s="23" t="e">
        <f>F18+'01.04'!G18</f>
        <v>#REF!</v>
      </c>
      <c r="H18" s="21">
        <v>19</v>
      </c>
      <c r="I18" s="22">
        <v>0</v>
      </c>
      <c r="J18" s="23" t="e">
        <f>I18+'01.04'!J18</f>
        <v>#REF!</v>
      </c>
      <c r="K18" s="21">
        <v>8</v>
      </c>
      <c r="L18" s="22">
        <v>0</v>
      </c>
      <c r="M18" s="23" t="e">
        <f>L18+'01.04'!M18</f>
        <v>#REF!</v>
      </c>
      <c r="N18" s="21">
        <v>1331</v>
      </c>
      <c r="O18" s="22">
        <v>0</v>
      </c>
      <c r="P18" s="23" t="e">
        <f>O18+'01.04'!P18</f>
        <v>#REF!</v>
      </c>
      <c r="Q18" s="21">
        <v>777</v>
      </c>
      <c r="R18" s="22">
        <v>0</v>
      </c>
      <c r="S18" s="23" t="e">
        <f>R18+'01.04'!S18</f>
        <v>#REF!</v>
      </c>
      <c r="T18" s="21">
        <v>318</v>
      </c>
      <c r="U18" s="22">
        <v>0</v>
      </c>
      <c r="V18" s="23" t="e">
        <f>U18+'01.04'!V18</f>
        <v>#REF!</v>
      </c>
      <c r="W18" s="21">
        <v>60</v>
      </c>
      <c r="X18" s="22">
        <v>257</v>
      </c>
      <c r="Y18" s="23" t="e">
        <f>X18+'01.04'!Y18</f>
        <v>#REF!</v>
      </c>
      <c r="Z18" s="21">
        <v>72</v>
      </c>
      <c r="AA18" s="22">
        <v>0</v>
      </c>
      <c r="AB18" s="23" t="e">
        <f>AA18+'01.04'!AB18</f>
        <v>#REF!</v>
      </c>
      <c r="AC18" s="21">
        <v>143</v>
      </c>
      <c r="AD18" s="22">
        <v>0</v>
      </c>
      <c r="AE18" s="23" t="e">
        <f>AD18+'01.04'!AE18</f>
        <v>#REF!</v>
      </c>
      <c r="AF18" s="19">
        <f t="shared" si="1"/>
        <v>329998</v>
      </c>
      <c r="AG18" s="20" t="e">
        <f t="shared" si="1"/>
        <v>#REF!</v>
      </c>
      <c r="AH18" s="24">
        <v>742</v>
      </c>
      <c r="AI18" s="23" t="e">
        <f>AH18+'01.04'!AI18</f>
        <v>#REF!</v>
      </c>
      <c r="AJ18" s="24">
        <v>5129</v>
      </c>
      <c r="AK18" s="23" t="e">
        <f>AJ18+'01.04'!AK18</f>
        <v>#REF!</v>
      </c>
      <c r="AL18" s="22">
        <v>6213</v>
      </c>
      <c r="AM18" s="23" t="e">
        <f>AL18+'01.04'!AM18</f>
        <v>#REF!</v>
      </c>
      <c r="AN18" s="22">
        <v>317914</v>
      </c>
      <c r="AO18" s="23" t="e">
        <f>AN18+'01.04'!AO18</f>
        <v>#REF!</v>
      </c>
      <c r="AP18" s="17" t="s">
        <v>53</v>
      </c>
      <c r="AQ18" s="19">
        <f>AS18+AU18+AW18+AY18+BA18</f>
        <v>7</v>
      </c>
      <c r="AR18" s="20" t="e">
        <f t="shared" si="2"/>
        <v>#REF!</v>
      </c>
      <c r="AS18" s="22">
        <v>0</v>
      </c>
      <c r="AT18" s="23" t="e">
        <f>AS18+'01.04'!AT18</f>
        <v>#REF!</v>
      </c>
      <c r="AU18" s="22">
        <v>0</v>
      </c>
      <c r="AV18" s="23" t="e">
        <f>AU18+'01.04'!AV18</f>
        <v>#REF!</v>
      </c>
      <c r="AW18" s="22">
        <v>0</v>
      </c>
      <c r="AX18" s="23" t="e">
        <f>AW18+'01.04'!AX18</f>
        <v>#REF!</v>
      </c>
      <c r="AY18" s="22">
        <v>0</v>
      </c>
      <c r="AZ18" s="23" t="e">
        <f>AY18+'01.04'!AZ18</f>
        <v>#REF!</v>
      </c>
      <c r="BA18" s="22">
        <v>7</v>
      </c>
      <c r="BB18" s="23" t="e">
        <f>BA18+'01.04'!BB18</f>
        <v>#REF!</v>
      </c>
      <c r="BC18" s="19">
        <f t="shared" si="3"/>
        <v>3148</v>
      </c>
      <c r="BD18" s="20" t="e">
        <f>BF18+BH18+BJ18+BL18+BN18</f>
        <v>#REF!</v>
      </c>
      <c r="BE18" s="22">
        <v>2</v>
      </c>
      <c r="BF18" s="23" t="e">
        <f>BE18+'01.04'!BF18</f>
        <v>#REF!</v>
      </c>
      <c r="BG18" s="22"/>
      <c r="BH18" s="23" t="e">
        <f>BG18+'01.04'!BH18</f>
        <v>#REF!</v>
      </c>
      <c r="BI18" s="22">
        <v>3014</v>
      </c>
      <c r="BJ18" s="23" t="e">
        <f>BI18+'01.04'!BJ18</f>
        <v>#REF!</v>
      </c>
      <c r="BK18" s="22">
        <v>132</v>
      </c>
      <c r="BL18" s="23" t="e">
        <f>BK18+'01.04'!BL18</f>
        <v>#REF!</v>
      </c>
      <c r="BM18" s="22">
        <v>0</v>
      </c>
      <c r="BN18" s="23" t="e">
        <f>BM18+'01.04'!BN18</f>
        <v>#REF!</v>
      </c>
      <c r="BO18" s="36">
        <v>442</v>
      </c>
      <c r="BP18" s="37">
        <v>0</v>
      </c>
      <c r="BQ18" s="23" t="e">
        <f>BP18+'01.04'!BQ18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37</v>
      </c>
      <c r="D19" s="31" t="e">
        <f t="shared" si="0"/>
        <v>#REF!</v>
      </c>
      <c r="E19" s="33">
        <v>221</v>
      </c>
      <c r="F19" s="22">
        <v>6</v>
      </c>
      <c r="G19" s="23" t="e">
        <f>F19+'01.04'!G19</f>
        <v>#REF!</v>
      </c>
      <c r="H19" s="33">
        <v>5</v>
      </c>
      <c r="I19" s="34">
        <v>0</v>
      </c>
      <c r="J19" s="23" t="e">
        <f>I19+'01.04'!J19</f>
        <v>#REF!</v>
      </c>
      <c r="K19" s="33">
        <v>4</v>
      </c>
      <c r="L19" s="22">
        <v>0</v>
      </c>
      <c r="M19" s="23" t="e">
        <f>L19+'01.04'!M19</f>
        <v>#REF!</v>
      </c>
      <c r="N19" s="33">
        <v>313</v>
      </c>
      <c r="O19" s="22">
        <v>0</v>
      </c>
      <c r="P19" s="23" t="e">
        <f>O19+'01.04'!P19</f>
        <v>#REF!</v>
      </c>
      <c r="Q19" s="33">
        <v>203</v>
      </c>
      <c r="R19" s="22">
        <v>0</v>
      </c>
      <c r="S19" s="23" t="e">
        <f>R19+'01.04'!S19</f>
        <v>#REF!</v>
      </c>
      <c r="T19" s="33">
        <v>241</v>
      </c>
      <c r="U19" s="22">
        <v>0</v>
      </c>
      <c r="V19" s="23" t="e">
        <f>U19+'01.04'!V19</f>
        <v>#REF!</v>
      </c>
      <c r="W19" s="33">
        <v>14</v>
      </c>
      <c r="X19" s="22">
        <v>17</v>
      </c>
      <c r="Y19" s="23" t="e">
        <f>X19+'01.04'!Y19</f>
        <v>#REF!</v>
      </c>
      <c r="Z19" s="33">
        <v>7</v>
      </c>
      <c r="AA19" s="22">
        <v>0</v>
      </c>
      <c r="AB19" s="23" t="e">
        <f>AA19+'01.04'!AB19</f>
        <v>#REF!</v>
      </c>
      <c r="AC19" s="33">
        <v>32</v>
      </c>
      <c r="AD19" s="22">
        <v>14</v>
      </c>
      <c r="AE19" s="23" t="e">
        <f>AD19+'01.04'!AE19</f>
        <v>#REF!</v>
      </c>
      <c r="AF19" s="19">
        <f t="shared" si="1"/>
        <v>3850</v>
      </c>
      <c r="AG19" s="20" t="e">
        <f t="shared" si="1"/>
        <v>#REF!</v>
      </c>
      <c r="AH19" s="24">
        <v>575</v>
      </c>
      <c r="AI19" s="23" t="e">
        <f>AH19+'01.04'!AI19</f>
        <v>#REF!</v>
      </c>
      <c r="AJ19" s="24">
        <v>575</v>
      </c>
      <c r="AK19" s="23" t="e">
        <f>AJ19+'01.04'!AK19</f>
        <v>#REF!</v>
      </c>
      <c r="AL19" s="22">
        <v>1350</v>
      </c>
      <c r="AM19" s="23" t="e">
        <f>AL19+'01.04'!AM19</f>
        <v>#REF!</v>
      </c>
      <c r="AN19" s="22">
        <v>1350</v>
      </c>
      <c r="AO19" s="23" t="e">
        <f>AN19+'01.04'!AO19</f>
        <v>#REF!</v>
      </c>
      <c r="AP19" s="28" t="s">
        <v>54</v>
      </c>
      <c r="AQ19" s="19">
        <f t="shared" ref="AQ19:AQ22" si="4">AS19+AU19+AW19+AY19+BA19</f>
        <v>1</v>
      </c>
      <c r="AR19" s="20" t="e">
        <f t="shared" si="2"/>
        <v>#REF!</v>
      </c>
      <c r="AS19" s="34">
        <v>0</v>
      </c>
      <c r="AT19" s="23" t="e">
        <f>AS19+'01.04'!AT19</f>
        <v>#REF!</v>
      </c>
      <c r="AU19" s="34">
        <v>1</v>
      </c>
      <c r="AV19" s="23" t="e">
        <f>AU19+'01.04'!AV19</f>
        <v>#REF!</v>
      </c>
      <c r="AW19" s="34">
        <v>0</v>
      </c>
      <c r="AX19" s="23" t="e">
        <f>AW19+'01.04'!AX19</f>
        <v>#REF!</v>
      </c>
      <c r="AY19" s="34">
        <v>0</v>
      </c>
      <c r="AZ19" s="23" t="e">
        <f>AY19+'01.04'!AZ19</f>
        <v>#REF!</v>
      </c>
      <c r="BA19" s="34">
        <v>0</v>
      </c>
      <c r="BB19" s="23" t="e">
        <f>BA19+'01.04'!BB19</f>
        <v>#REF!</v>
      </c>
      <c r="BC19" s="19">
        <f t="shared" si="3"/>
        <v>1106</v>
      </c>
      <c r="BD19" s="20" t="e">
        <f t="shared" si="3"/>
        <v>#REF!</v>
      </c>
      <c r="BE19" s="22">
        <v>6</v>
      </c>
      <c r="BF19" s="23" t="e">
        <f>BE19+'01.04'!BF19</f>
        <v>#REF!</v>
      </c>
      <c r="BG19" s="34">
        <v>0</v>
      </c>
      <c r="BH19" s="23" t="e">
        <f>BG19+'01.04'!BH19</f>
        <v>#REF!</v>
      </c>
      <c r="BI19" s="22">
        <v>900</v>
      </c>
      <c r="BJ19" s="23" t="e">
        <f>BI19+'01.04'!BJ19</f>
        <v>#REF!</v>
      </c>
      <c r="BK19" s="22">
        <v>200</v>
      </c>
      <c r="BL19" s="23" t="e">
        <f>BK19+'01.04'!BL19</f>
        <v>#REF!</v>
      </c>
      <c r="BM19" s="22">
        <v>0</v>
      </c>
      <c r="BN19" s="23" t="e">
        <f>BM19+'01.04'!BN19</f>
        <v>#REF!</v>
      </c>
      <c r="BO19" s="36">
        <v>2898</v>
      </c>
      <c r="BP19" s="37">
        <v>0</v>
      </c>
      <c r="BQ19" s="23" t="e">
        <f>BP19+'01.04'!BQ19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345</v>
      </c>
      <c r="D20" s="31" t="e">
        <f t="shared" si="0"/>
        <v>#REF!</v>
      </c>
      <c r="E20" s="32">
        <v>723</v>
      </c>
      <c r="F20" s="22">
        <v>224</v>
      </c>
      <c r="G20" s="23" t="e">
        <f>F20+'01.04'!G20</f>
        <v>#REF!</v>
      </c>
      <c r="H20" s="33">
        <v>5</v>
      </c>
      <c r="I20" s="34">
        <v>1</v>
      </c>
      <c r="J20" s="23" t="e">
        <f>I20+'01.04'!J20</f>
        <v>#REF!</v>
      </c>
      <c r="K20" s="33">
        <v>3</v>
      </c>
      <c r="L20" s="22"/>
      <c r="M20" s="23" t="e">
        <f>L20+'01.04'!M20</f>
        <v>#REF!</v>
      </c>
      <c r="N20" s="33">
        <v>975</v>
      </c>
      <c r="O20" s="22">
        <v>48</v>
      </c>
      <c r="P20" s="23" t="e">
        <f>O20+'01.04'!P20</f>
        <v>#REF!</v>
      </c>
      <c r="Q20" s="61">
        <v>1862</v>
      </c>
      <c r="R20" s="22">
        <v>2</v>
      </c>
      <c r="S20" s="23" t="e">
        <f>R20+'01.04'!S20</f>
        <v>#REF!</v>
      </c>
      <c r="T20" s="33">
        <v>35</v>
      </c>
      <c r="U20" s="22">
        <v>2</v>
      </c>
      <c r="V20" s="23" t="e">
        <f>U20+'01.04'!V20</f>
        <v>#REF!</v>
      </c>
      <c r="W20" s="33">
        <v>64</v>
      </c>
      <c r="X20" s="22">
        <v>3</v>
      </c>
      <c r="Y20" s="23" t="e">
        <f>X20+'01.04'!Y20</f>
        <v>#REF!</v>
      </c>
      <c r="Z20" s="33">
        <v>15</v>
      </c>
      <c r="AA20" s="22">
        <v>1</v>
      </c>
      <c r="AB20" s="23" t="e">
        <f>AA20+'01.04'!AB20</f>
        <v>#REF!</v>
      </c>
      <c r="AC20" s="33">
        <v>1546</v>
      </c>
      <c r="AD20" s="22">
        <v>64</v>
      </c>
      <c r="AE20" s="23" t="e">
        <f>AD20+'01.04'!AE20</f>
        <v>#REF!</v>
      </c>
      <c r="AF20" s="19">
        <f t="shared" si="1"/>
        <v>15150</v>
      </c>
      <c r="AG20" s="20" t="e">
        <f t="shared" si="1"/>
        <v>#REF!</v>
      </c>
      <c r="AH20" s="24">
        <v>6750</v>
      </c>
      <c r="AI20" s="23" t="e">
        <f>AH20+'01.04'!AI20</f>
        <v>#REF!</v>
      </c>
      <c r="AJ20" s="24">
        <v>7900</v>
      </c>
      <c r="AK20" s="23" t="e">
        <f>AJ20+'01.04'!AK20</f>
        <v>#REF!</v>
      </c>
      <c r="AL20" s="22">
        <v>350</v>
      </c>
      <c r="AM20" s="23" t="e">
        <f>AL20+'01.04'!AM20</f>
        <v>#REF!</v>
      </c>
      <c r="AN20" s="22">
        <v>150</v>
      </c>
      <c r="AO20" s="23" t="e">
        <f>AN20+'01.04'!AO20</f>
        <v>#REF!</v>
      </c>
      <c r="AP20" s="28" t="s">
        <v>55</v>
      </c>
      <c r="AQ20" s="19">
        <f t="shared" si="4"/>
        <v>241</v>
      </c>
      <c r="AR20" s="20" t="e">
        <f t="shared" si="2"/>
        <v>#REF!</v>
      </c>
      <c r="AS20" s="34">
        <v>1</v>
      </c>
      <c r="AT20" s="23" t="e">
        <f>AS20+'01.04'!AT20</f>
        <v>#REF!</v>
      </c>
      <c r="AU20" s="34">
        <v>0</v>
      </c>
      <c r="AV20" s="23" t="e">
        <f>AU20+'01.04'!AV20</f>
        <v>#REF!</v>
      </c>
      <c r="AW20" s="34">
        <v>0</v>
      </c>
      <c r="AX20" s="23" t="e">
        <f>AW20+'01.04'!AX20</f>
        <v>#REF!</v>
      </c>
      <c r="AY20" s="34">
        <v>0</v>
      </c>
      <c r="AZ20" s="23" t="e">
        <f>AY20+'01.04'!AZ20</f>
        <v>#REF!</v>
      </c>
      <c r="BA20" s="34">
        <v>240</v>
      </c>
      <c r="BB20" s="23" t="e">
        <f>BA20+'01.04'!BB20</f>
        <v>#REF!</v>
      </c>
      <c r="BC20" s="19">
        <f t="shared" si="3"/>
        <v>2420</v>
      </c>
      <c r="BD20" s="20" t="e">
        <f t="shared" si="3"/>
        <v>#REF!</v>
      </c>
      <c r="BE20" s="22">
        <v>2</v>
      </c>
      <c r="BF20" s="23" t="e">
        <f>BE20+'01.04'!BF20</f>
        <v>#REF!</v>
      </c>
      <c r="BG20" s="34">
        <v>0</v>
      </c>
      <c r="BH20" s="23" t="e">
        <f>BG20+'01.04'!BH20</f>
        <v>#REF!</v>
      </c>
      <c r="BI20" s="22">
        <v>800</v>
      </c>
      <c r="BJ20" s="23" t="e">
        <f>BI20+'01.04'!BJ20</f>
        <v>#REF!</v>
      </c>
      <c r="BK20" s="22">
        <v>1618</v>
      </c>
      <c r="BL20" s="23" t="e">
        <f>BK20+'01.04'!BL20</f>
        <v>#REF!</v>
      </c>
      <c r="BM20" s="22">
        <v>0</v>
      </c>
      <c r="BN20" s="23" t="e">
        <f>BM20+'01.04'!BN20</f>
        <v>#REF!</v>
      </c>
      <c r="BO20" s="36">
        <v>5854</v>
      </c>
      <c r="BP20" s="37">
        <v>0</v>
      </c>
      <c r="BQ20" s="23" t="e">
        <f>BP20+'01.04'!BQ20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339</v>
      </c>
      <c r="D21" s="31" t="e">
        <f t="shared" si="0"/>
        <v>#REF!</v>
      </c>
      <c r="E21" s="32">
        <v>1017</v>
      </c>
      <c r="F21" s="22">
        <v>255</v>
      </c>
      <c r="G21" s="23" t="e">
        <f>F21+'01.04'!G21</f>
        <v>#REF!</v>
      </c>
      <c r="H21" s="33">
        <v>8</v>
      </c>
      <c r="I21" s="34">
        <v>3</v>
      </c>
      <c r="J21" s="23" t="e">
        <f>I21+'01.04'!J21</f>
        <v>#REF!</v>
      </c>
      <c r="K21" s="33">
        <v>4</v>
      </c>
      <c r="L21" s="22">
        <v>0</v>
      </c>
      <c r="M21" s="23" t="e">
        <f>L21+'01.04'!M21</f>
        <v>#REF!</v>
      </c>
      <c r="N21" s="33">
        <v>963</v>
      </c>
      <c r="O21" s="22">
        <v>0</v>
      </c>
      <c r="P21" s="23" t="e">
        <f>O21+'01.04'!P21</f>
        <v>#REF!</v>
      </c>
      <c r="Q21" s="33">
        <v>912</v>
      </c>
      <c r="R21" s="22">
        <v>0</v>
      </c>
      <c r="S21" s="23" t="e">
        <f>R21+'01.04'!S21</f>
        <v>#REF!</v>
      </c>
      <c r="T21" s="33">
        <v>199</v>
      </c>
      <c r="U21" s="22">
        <v>5</v>
      </c>
      <c r="V21" s="23" t="e">
        <f>U21+'01.04'!V21</f>
        <v>#REF!</v>
      </c>
      <c r="W21" s="33">
        <v>101</v>
      </c>
      <c r="X21" s="22">
        <v>64</v>
      </c>
      <c r="Y21" s="23" t="e">
        <f>X21+'01.04'!Y21</f>
        <v>#REF!</v>
      </c>
      <c r="Z21" s="33">
        <v>42</v>
      </c>
      <c r="AA21" s="22">
        <v>0</v>
      </c>
      <c r="AB21" s="23" t="e">
        <f>AA21+'01.04'!AB21</f>
        <v>#REF!</v>
      </c>
      <c r="AC21" s="33">
        <v>20</v>
      </c>
      <c r="AD21" s="22">
        <v>12</v>
      </c>
      <c r="AE21" s="23" t="e">
        <f>AD21+'01.04'!AE21</f>
        <v>#REF!</v>
      </c>
      <c r="AF21" s="19">
        <f t="shared" si="1"/>
        <v>290000</v>
      </c>
      <c r="AG21" s="20" t="e">
        <f t="shared" si="1"/>
        <v>#REF!</v>
      </c>
      <c r="AH21" s="24">
        <v>3000</v>
      </c>
      <c r="AI21" s="23" t="e">
        <f>AH21+'01.04'!AI21</f>
        <v>#REF!</v>
      </c>
      <c r="AJ21" s="24">
        <v>77000</v>
      </c>
      <c r="AK21" s="23" t="e">
        <f>AJ21+'01.04'!AK21</f>
        <v>#REF!</v>
      </c>
      <c r="AL21" s="22">
        <v>4000</v>
      </c>
      <c r="AM21" s="23" t="e">
        <f>AL21+'01.04'!AM21</f>
        <v>#REF!</v>
      </c>
      <c r="AN21" s="22">
        <v>206000</v>
      </c>
      <c r="AO21" s="23" t="e">
        <f>AN21+'01.04'!AO21</f>
        <v>#REF!</v>
      </c>
      <c r="AP21" s="28" t="s">
        <v>58</v>
      </c>
      <c r="AQ21" s="19">
        <f t="shared" si="4"/>
        <v>10</v>
      </c>
      <c r="AR21" s="20" t="e">
        <f t="shared" si="2"/>
        <v>#REF!</v>
      </c>
      <c r="AS21" s="34">
        <v>0</v>
      </c>
      <c r="AT21" s="23" t="e">
        <f>AS21+'01.04'!AT21</f>
        <v>#REF!</v>
      </c>
      <c r="AU21" s="34">
        <v>4</v>
      </c>
      <c r="AV21" s="23" t="e">
        <f>AU21+'01.04'!AV21</f>
        <v>#REF!</v>
      </c>
      <c r="AW21" s="34">
        <v>0</v>
      </c>
      <c r="AX21" s="23" t="e">
        <f>AW21+'01.04'!AX21</f>
        <v>#REF!</v>
      </c>
      <c r="AY21" s="34">
        <v>0</v>
      </c>
      <c r="AZ21" s="23" t="e">
        <f>AY21+'01.04'!AZ21</f>
        <v>#REF!</v>
      </c>
      <c r="BA21" s="34">
        <v>6</v>
      </c>
      <c r="BB21" s="23" t="e">
        <f>BA21+'01.04'!BB21</f>
        <v>#REF!</v>
      </c>
      <c r="BC21" s="19">
        <f t="shared" si="3"/>
        <v>2002</v>
      </c>
      <c r="BD21" s="20" t="e">
        <f t="shared" si="3"/>
        <v>#REF!</v>
      </c>
      <c r="BE21" s="22">
        <v>0</v>
      </c>
      <c r="BF21" s="23" t="e">
        <f>BE21+'01.04'!BF21</f>
        <v>#REF!</v>
      </c>
      <c r="BG21" s="34">
        <v>2</v>
      </c>
      <c r="BH21" s="23" t="e">
        <f>BG21+'01.04'!BH21</f>
        <v>#REF!</v>
      </c>
      <c r="BI21" s="22">
        <v>2000</v>
      </c>
      <c r="BJ21" s="23" t="e">
        <f>BI21+'01.04'!BJ21</f>
        <v>#REF!</v>
      </c>
      <c r="BK21" s="22">
        <v>0</v>
      </c>
      <c r="BL21" s="23" t="e">
        <f>BK21+'01.04'!BL21</f>
        <v>#REF!</v>
      </c>
      <c r="BM21" s="22">
        <v>0</v>
      </c>
      <c r="BN21" s="23" t="e">
        <f>BM21+'01.04'!BN21</f>
        <v>#REF!</v>
      </c>
      <c r="BO21" s="36"/>
      <c r="BP21" s="37">
        <v>1</v>
      </c>
      <c r="BQ21" s="23" t="e">
        <f>BP21+'01.04'!BQ21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1947</v>
      </c>
      <c r="D22" s="31" t="e">
        <f t="shared" si="0"/>
        <v>#REF!</v>
      </c>
      <c r="E22" s="32">
        <v>509</v>
      </c>
      <c r="F22" s="22">
        <v>386</v>
      </c>
      <c r="G22" s="23" t="e">
        <f>F22+'01.04'!G22</f>
        <v>#REF!</v>
      </c>
      <c r="H22" s="33">
        <v>8</v>
      </c>
      <c r="I22" s="34">
        <v>6</v>
      </c>
      <c r="J22" s="23" t="e">
        <f>I22+'01.04'!J22</f>
        <v>#REF!</v>
      </c>
      <c r="K22" s="33">
        <v>21</v>
      </c>
      <c r="L22" s="22">
        <v>26</v>
      </c>
      <c r="M22" s="23" t="e">
        <f>L22+'01.04'!M22</f>
        <v>#REF!</v>
      </c>
      <c r="N22" s="33">
        <v>560</v>
      </c>
      <c r="O22" s="22">
        <v>26</v>
      </c>
      <c r="P22" s="23" t="e">
        <f>O22+'01.04'!P22</f>
        <v>#REF!</v>
      </c>
      <c r="Q22" s="33">
        <v>375</v>
      </c>
      <c r="R22" s="22">
        <v>20</v>
      </c>
      <c r="S22" s="23" t="e">
        <f>R22+'01.04'!S22</f>
        <v>#REF!</v>
      </c>
      <c r="T22" s="33">
        <v>165</v>
      </c>
      <c r="U22" s="22">
        <v>35</v>
      </c>
      <c r="V22" s="23" t="e">
        <f>U22+'01.04'!V22</f>
        <v>#REF!</v>
      </c>
      <c r="W22" s="33">
        <v>28</v>
      </c>
      <c r="X22" s="22">
        <v>180</v>
      </c>
      <c r="Y22" s="23" t="e">
        <f>X22+'01.04'!Y22</f>
        <v>#REF!</v>
      </c>
      <c r="Z22" s="33">
        <v>9</v>
      </c>
      <c r="AA22" s="22"/>
      <c r="AB22" s="23" t="e">
        <f>AA22+'01.04'!AB22</f>
        <v>#REF!</v>
      </c>
      <c r="AC22" s="33">
        <v>112</v>
      </c>
      <c r="AD22" s="22">
        <v>1268</v>
      </c>
      <c r="AE22" s="23" t="e">
        <f>AD22+'01.04'!AE22</f>
        <v>#REF!</v>
      </c>
      <c r="AF22" s="19">
        <f t="shared" si="1"/>
        <v>14581.492</v>
      </c>
      <c r="AG22" s="20" t="e">
        <f t="shared" si="1"/>
        <v>#REF!</v>
      </c>
      <c r="AH22" s="24">
        <v>860</v>
      </c>
      <c r="AI22" s="23" t="e">
        <f>AH22+'01.04'!AI22</f>
        <v>#REF!</v>
      </c>
      <c r="AJ22" s="24">
        <v>6967</v>
      </c>
      <c r="AK22" s="23" t="e">
        <f>AJ22+'01.04'!AK22</f>
        <v>#REF!</v>
      </c>
      <c r="AL22" s="22">
        <v>6520</v>
      </c>
      <c r="AM22" s="23" t="e">
        <f>AL22+'01.04'!AM22</f>
        <v>#REF!</v>
      </c>
      <c r="AN22" s="22">
        <v>234.49199999999999</v>
      </c>
      <c r="AO22" s="23" t="e">
        <f>AN22+'01.04'!AO22</f>
        <v>#REF!</v>
      </c>
      <c r="AP22" s="28" t="s">
        <v>59</v>
      </c>
      <c r="AQ22" s="19">
        <f t="shared" si="4"/>
        <v>1664</v>
      </c>
      <c r="AR22" s="20" t="e">
        <f t="shared" si="2"/>
        <v>#REF!</v>
      </c>
      <c r="AS22" s="34"/>
      <c r="AT22" s="23" t="e">
        <f>AS22+'01.04'!AT22</f>
        <v>#REF!</v>
      </c>
      <c r="AU22" s="34"/>
      <c r="AV22" s="23" t="e">
        <f>AU22+'01.04'!AV22</f>
        <v>#REF!</v>
      </c>
      <c r="AW22" s="34"/>
      <c r="AX22" s="23" t="e">
        <f>AW22+'01.04'!AX22</f>
        <v>#REF!</v>
      </c>
      <c r="AY22" s="34"/>
      <c r="AZ22" s="23" t="e">
        <f>AY22+'01.04'!AZ22</f>
        <v>#REF!</v>
      </c>
      <c r="BA22" s="34">
        <v>1664</v>
      </c>
      <c r="BB22" s="23" t="e">
        <f>BA22+'01.04'!BB22</f>
        <v>#REF!</v>
      </c>
      <c r="BC22" s="19">
        <f t="shared" si="3"/>
        <v>6250</v>
      </c>
      <c r="BD22" s="20" t="e">
        <f t="shared" si="3"/>
        <v>#REF!</v>
      </c>
      <c r="BE22" s="22">
        <v>16</v>
      </c>
      <c r="BF22" s="23" t="e">
        <f>BE22+'01.04'!BF22</f>
        <v>#REF!</v>
      </c>
      <c r="BG22" s="34">
        <v>6</v>
      </c>
      <c r="BH22" s="23" t="e">
        <f>BG22+'01.04'!BH22</f>
        <v>#REF!</v>
      </c>
      <c r="BI22" s="22">
        <v>6170</v>
      </c>
      <c r="BJ22" s="23" t="e">
        <f>BI22+'01.04'!BJ22</f>
        <v>#REF!</v>
      </c>
      <c r="BK22" s="22">
        <v>58</v>
      </c>
      <c r="BL22" s="23" t="e">
        <f>BK22+'01.04'!BL22</f>
        <v>#REF!</v>
      </c>
      <c r="BM22" s="22">
        <v>0</v>
      </c>
      <c r="BN22" s="23" t="e">
        <f>BM22+'01.04'!BN22</f>
        <v>#REF!</v>
      </c>
      <c r="BO22" s="36">
        <v>26</v>
      </c>
      <c r="BP22" s="37">
        <v>59</v>
      </c>
      <c r="BQ22" s="23" t="e">
        <f>BP22+'01.04'!BQ22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4956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1974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25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26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114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33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50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789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1943</v>
      </c>
      <c r="AE23" s="68" t="e">
        <f t="shared" si="5"/>
        <v>#REF!</v>
      </c>
      <c r="AF23" s="64">
        <f t="shared" si="5"/>
        <v>2847625.4920000001</v>
      </c>
      <c r="AG23" s="64" t="e">
        <f t="shared" si="5"/>
        <v>#REF!</v>
      </c>
      <c r="AH23" s="67">
        <f t="shared" si="5"/>
        <v>42611</v>
      </c>
      <c r="AI23" s="68" t="e">
        <f t="shared" si="5"/>
        <v>#REF!</v>
      </c>
      <c r="AJ23" s="67">
        <f t="shared" si="5"/>
        <v>154058</v>
      </c>
      <c r="AK23" s="68" t="e">
        <f t="shared" si="5"/>
        <v>#REF!</v>
      </c>
      <c r="AL23" s="67">
        <f t="shared" si="5"/>
        <v>814419</v>
      </c>
      <c r="AM23" s="68" t="e">
        <f t="shared" si="5"/>
        <v>#REF!</v>
      </c>
      <c r="AN23" s="67">
        <f t="shared" si="5"/>
        <v>1836537.4920000001</v>
      </c>
      <c r="AO23" s="68" t="e">
        <f t="shared" si="5"/>
        <v>#REF!</v>
      </c>
      <c r="AP23" s="62" t="s">
        <v>12</v>
      </c>
      <c r="AQ23" s="64">
        <f t="shared" ref="AQ23:BQ23" si="6">SUM(AQ8:AQ22)</f>
        <v>2114</v>
      </c>
      <c r="AR23" s="64" t="e">
        <f t="shared" si="6"/>
        <v>#REF!</v>
      </c>
      <c r="AS23" s="67">
        <f t="shared" si="6"/>
        <v>4</v>
      </c>
      <c r="AT23" s="68" t="e">
        <f t="shared" si="6"/>
        <v>#REF!</v>
      </c>
      <c r="AU23" s="67">
        <f t="shared" si="6"/>
        <v>7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2103</v>
      </c>
      <c r="BB23" s="68" t="e">
        <f t="shared" si="6"/>
        <v>#REF!</v>
      </c>
      <c r="BC23" s="64">
        <f t="shared" si="6"/>
        <v>51768</v>
      </c>
      <c r="BD23" s="64" t="e">
        <f t="shared" si="6"/>
        <v>#REF!</v>
      </c>
      <c r="BE23" s="67">
        <f t="shared" si="6"/>
        <v>942</v>
      </c>
      <c r="BF23" s="68" t="e">
        <f t="shared" si="6"/>
        <v>#REF!</v>
      </c>
      <c r="BG23" s="67">
        <f t="shared" si="6"/>
        <v>46</v>
      </c>
      <c r="BH23" s="68" t="e">
        <f t="shared" si="6"/>
        <v>#REF!</v>
      </c>
      <c r="BI23" s="67">
        <f t="shared" si="6"/>
        <v>45280</v>
      </c>
      <c r="BJ23" s="68" t="e">
        <f t="shared" si="6"/>
        <v>#REF!</v>
      </c>
      <c r="BK23" s="67">
        <f t="shared" si="6"/>
        <v>5500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69</v>
      </c>
      <c r="BQ23" s="71" t="e">
        <f t="shared" si="6"/>
        <v>#REF!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BU24"/>
  <sheetViews>
    <sheetView zoomScale="115" zoomScaleNormal="115" workbookViewId="0">
      <pane xSplit="4" ySplit="8" topLeftCell="AT16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28515625" customWidth="1"/>
    <col min="5" max="6" width="6.28515625" customWidth="1"/>
    <col min="7" max="7" width="7.855468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40" width="9.42578125" customWidth="1"/>
    <col min="41" max="41" width="8.42578125" customWidth="1"/>
    <col min="42" max="42" width="22.28515625" customWidth="1"/>
    <col min="62" max="62" width="9.28515625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3</v>
      </c>
      <c r="G9" s="23" t="e">
        <f>F9+'02.04'!G9</f>
        <v>#REF!</v>
      </c>
      <c r="H9" s="33">
        <v>12</v>
      </c>
      <c r="I9" s="34">
        <v>0</v>
      </c>
      <c r="J9" s="23" t="e">
        <f>I9+'02.04'!J9</f>
        <v>#REF!</v>
      </c>
      <c r="K9" s="33">
        <v>2</v>
      </c>
      <c r="L9" s="22">
        <v>0</v>
      </c>
      <c r="M9" s="23" t="e">
        <f>L9+'02.04'!M9</f>
        <v>#REF!</v>
      </c>
      <c r="N9" s="33">
        <v>735</v>
      </c>
      <c r="O9" s="22">
        <v>0</v>
      </c>
      <c r="P9" s="23" t="e">
        <f>O9+'02.04'!P9</f>
        <v>#REF!</v>
      </c>
      <c r="Q9" s="33">
        <v>502</v>
      </c>
      <c r="R9" s="22">
        <v>0</v>
      </c>
      <c r="S9" s="23" t="e">
        <f>R9+'02.04'!S9</f>
        <v>#REF!</v>
      </c>
      <c r="T9" s="33">
        <v>197</v>
      </c>
      <c r="U9" s="22">
        <v>0</v>
      </c>
      <c r="V9" s="23" t="e">
        <f>U9+'02.04'!V9</f>
        <v>#REF!</v>
      </c>
      <c r="W9" s="33">
        <v>47</v>
      </c>
      <c r="X9" s="22">
        <v>0</v>
      </c>
      <c r="Y9" s="23" t="e">
        <f>X9+'02.04'!Y9</f>
        <v>#REF!</v>
      </c>
      <c r="Z9" s="33">
        <v>34</v>
      </c>
      <c r="AA9" s="22">
        <v>0</v>
      </c>
      <c r="AB9" s="23" t="e">
        <f>AA9+'02.04'!AB9</f>
        <v>#REF!</v>
      </c>
      <c r="AC9" s="33">
        <v>1860</v>
      </c>
      <c r="AD9" s="22">
        <v>0</v>
      </c>
      <c r="AE9" s="23" t="e">
        <f>AD9+'02.04'!AE9</f>
        <v>#REF!</v>
      </c>
      <c r="AF9" s="19">
        <f t="shared" ref="AF9:AG22" si="1">AH9+AJ9+AL9+AN9</f>
        <v>7856</v>
      </c>
      <c r="AG9" s="20" t="e">
        <f t="shared" si="1"/>
        <v>#REF!</v>
      </c>
      <c r="AH9" s="24">
        <v>58</v>
      </c>
      <c r="AI9" s="23" t="e">
        <f>AH9+'02.04'!AI9</f>
        <v>#REF!</v>
      </c>
      <c r="AJ9" s="24">
        <v>198</v>
      </c>
      <c r="AK9" s="23" t="e">
        <f>AJ9+'02.04'!AK9</f>
        <v>#REF!</v>
      </c>
      <c r="AL9" s="22">
        <v>3100</v>
      </c>
      <c r="AM9" s="23" t="e">
        <f>AL9+'02.04'!AM9</f>
        <v>#REF!</v>
      </c>
      <c r="AN9" s="22">
        <v>4500</v>
      </c>
      <c r="AO9" s="23" t="e">
        <f>AN9+'02.04'!AO9</f>
        <v>#REF!</v>
      </c>
      <c r="AP9" s="28" t="s">
        <v>43</v>
      </c>
      <c r="AQ9" s="19">
        <f t="shared" ref="AQ9:AR22" si="2">AS9+AU9+AW9+AY9+BA9</f>
        <v>63</v>
      </c>
      <c r="AR9" s="20" t="e">
        <f t="shared" si="2"/>
        <v>#REF!</v>
      </c>
      <c r="AS9" s="34">
        <v>1</v>
      </c>
      <c r="AT9" s="23" t="e">
        <f>AS9+'02.04'!AT9</f>
        <v>#REF!</v>
      </c>
      <c r="AU9" s="34">
        <v>0</v>
      </c>
      <c r="AV9" s="23" t="e">
        <f>AU9+'02.04'!AV9</f>
        <v>#REF!</v>
      </c>
      <c r="AW9" s="34">
        <v>0</v>
      </c>
      <c r="AX9" s="23" t="e">
        <f>AW9+'02.04'!AX9</f>
        <v>#REF!</v>
      </c>
      <c r="AY9" s="34">
        <v>0</v>
      </c>
      <c r="AZ9" s="23" t="e">
        <f>AY9+'02.04'!AZ9</f>
        <v>#REF!</v>
      </c>
      <c r="BA9" s="34">
        <v>62</v>
      </c>
      <c r="BB9" s="23" t="e">
        <f>BA9+'02.04'!BB9</f>
        <v>#REF!</v>
      </c>
      <c r="BC9" s="19">
        <f t="shared" ref="BC9:BD22" si="3">BE9+BG9+BI9+BK9+BM9</f>
        <v>382</v>
      </c>
      <c r="BD9" s="20" t="e">
        <f t="shared" si="3"/>
        <v>#REF!</v>
      </c>
      <c r="BE9" s="22">
        <v>2</v>
      </c>
      <c r="BF9" s="23" t="e">
        <f>BE9+'02.04'!BF9</f>
        <v>#REF!</v>
      </c>
      <c r="BG9" s="34">
        <v>0</v>
      </c>
      <c r="BH9" s="23" t="e">
        <f>BG9+'02.04'!BH9</f>
        <v>#REF!</v>
      </c>
      <c r="BI9" s="22">
        <v>380</v>
      </c>
      <c r="BJ9" s="23" t="e">
        <f>BI9+'02.04'!BJ9</f>
        <v>#REF!</v>
      </c>
      <c r="BK9" s="22">
        <v>0</v>
      </c>
      <c r="BL9" s="23" t="e">
        <f>BK9+'02.04'!BL9</f>
        <v>#REF!</v>
      </c>
      <c r="BM9" s="22">
        <v>0</v>
      </c>
      <c r="BN9" s="23" t="e">
        <f>BM9+'02.04'!BN9</f>
        <v>#REF!</v>
      </c>
      <c r="BO9" s="36">
        <v>14</v>
      </c>
      <c r="BP9" s="37">
        <v>0</v>
      </c>
      <c r="BQ9" s="27" t="e">
        <f>BP9+'02.04'!BQ9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142</v>
      </c>
      <c r="D10" s="31" t="e">
        <f t="shared" si="0"/>
        <v>#REF!</v>
      </c>
      <c r="E10" s="32">
        <v>585</v>
      </c>
      <c r="F10" s="22">
        <v>22</v>
      </c>
      <c r="G10" s="23" t="e">
        <f>F10+'02.04'!G10</f>
        <v>#REF!</v>
      </c>
      <c r="H10" s="33">
        <v>93</v>
      </c>
      <c r="I10" s="34">
        <v>2</v>
      </c>
      <c r="J10" s="23" t="e">
        <f>I10+'02.04'!J10</f>
        <v>#REF!</v>
      </c>
      <c r="K10" s="33">
        <v>34</v>
      </c>
      <c r="L10" s="22">
        <v>0</v>
      </c>
      <c r="M10" s="23" t="e">
        <f>L10+'02.04'!M10</f>
        <v>#REF!</v>
      </c>
      <c r="N10" s="33">
        <v>352</v>
      </c>
      <c r="O10" s="22">
        <v>7</v>
      </c>
      <c r="P10" s="23" t="e">
        <f>O10+'02.04'!P10</f>
        <v>#REF!</v>
      </c>
      <c r="Q10" s="33">
        <v>549</v>
      </c>
      <c r="R10" s="22">
        <v>6</v>
      </c>
      <c r="S10" s="23" t="e">
        <f>R10+'02.04'!S10</f>
        <v>#REF!</v>
      </c>
      <c r="T10" s="33">
        <v>198</v>
      </c>
      <c r="U10" s="22">
        <v>3</v>
      </c>
      <c r="V10" s="23" t="e">
        <f>U10+'02.04'!V10</f>
        <v>#REF!</v>
      </c>
      <c r="W10" s="38">
        <v>55</v>
      </c>
      <c r="X10" s="22">
        <v>1</v>
      </c>
      <c r="Y10" s="23" t="e">
        <f>X10+'02.04'!Y10</f>
        <v>#REF!</v>
      </c>
      <c r="Z10" s="38">
        <v>71</v>
      </c>
      <c r="AA10" s="22">
        <v>1</v>
      </c>
      <c r="AB10" s="23" t="e">
        <f>AA10+'02.04'!AB10</f>
        <v>#REF!</v>
      </c>
      <c r="AC10" s="38">
        <v>1690</v>
      </c>
      <c r="AD10" s="22">
        <v>100</v>
      </c>
      <c r="AE10" s="23" t="e">
        <f>AD10+'02.04'!AE10</f>
        <v>#REF!</v>
      </c>
      <c r="AF10" s="19">
        <f t="shared" si="1"/>
        <v>112972</v>
      </c>
      <c r="AG10" s="20" t="e">
        <f t="shared" si="1"/>
        <v>#REF!</v>
      </c>
      <c r="AH10" s="24">
        <v>906</v>
      </c>
      <c r="AI10" s="23" t="e">
        <f>AH10+'02.04'!AI10</f>
        <v>#REF!</v>
      </c>
      <c r="AJ10" s="24">
        <v>4347</v>
      </c>
      <c r="AK10" s="23" t="e">
        <f>AJ10+'02.04'!AK10</f>
        <v>#REF!</v>
      </c>
      <c r="AL10" s="22">
        <v>19597</v>
      </c>
      <c r="AM10" s="23" t="e">
        <f>AL10+'02.04'!AM10</f>
        <v>#REF!</v>
      </c>
      <c r="AN10" s="22">
        <v>88122</v>
      </c>
      <c r="AO10" s="23" t="e">
        <f>AN10+'02.04'!AO10</f>
        <v>#REF!</v>
      </c>
      <c r="AP10" s="28" t="s">
        <v>44</v>
      </c>
      <c r="AQ10" s="19">
        <f t="shared" si="2"/>
        <v>5</v>
      </c>
      <c r="AR10" s="20" t="e">
        <f t="shared" si="2"/>
        <v>#REF!</v>
      </c>
      <c r="AS10" s="34">
        <v>0</v>
      </c>
      <c r="AT10" s="23" t="e">
        <f>AS10+'02.04'!AT10</f>
        <v>#REF!</v>
      </c>
      <c r="AU10" s="34">
        <v>0</v>
      </c>
      <c r="AV10" s="23" t="e">
        <f>AU10+'02.04'!AV10</f>
        <v>#REF!</v>
      </c>
      <c r="AW10" s="34">
        <v>1</v>
      </c>
      <c r="AX10" s="23" t="e">
        <f>AW10+'02.04'!AX10</f>
        <v>#REF!</v>
      </c>
      <c r="AY10" s="34">
        <v>0</v>
      </c>
      <c r="AZ10" s="23" t="e">
        <f>AY10+'02.04'!AZ10</f>
        <v>#REF!</v>
      </c>
      <c r="BA10" s="34">
        <v>4</v>
      </c>
      <c r="BB10" s="23" t="e">
        <f>BA10+'02.04'!BB10</f>
        <v>#REF!</v>
      </c>
      <c r="BC10" s="19">
        <f t="shared" si="3"/>
        <v>4830</v>
      </c>
      <c r="BD10" s="20" t="e">
        <f t="shared" si="3"/>
        <v>#REF!</v>
      </c>
      <c r="BE10" s="22">
        <v>575</v>
      </c>
      <c r="BF10" s="23" t="e">
        <f>BE10+'02.04'!BF10</f>
        <v>#REF!</v>
      </c>
      <c r="BG10" s="34">
        <v>0</v>
      </c>
      <c r="BH10" s="23" t="e">
        <f>BG10+'02.04'!BH10</f>
        <v>#REF!</v>
      </c>
      <c r="BI10" s="22">
        <v>2764</v>
      </c>
      <c r="BJ10" s="23" t="e">
        <f>BI10+'02.04'!BJ10</f>
        <v>#REF!</v>
      </c>
      <c r="BK10" s="22">
        <v>1491</v>
      </c>
      <c r="BL10" s="23" t="e">
        <f>BK10+'02.04'!BL10</f>
        <v>#REF!</v>
      </c>
      <c r="BM10" s="22">
        <v>0</v>
      </c>
      <c r="BN10" s="23" t="e">
        <f>BM10+'02.04'!BN10</f>
        <v>#REF!</v>
      </c>
      <c r="BO10" s="36">
        <v>32</v>
      </c>
      <c r="BP10" s="37">
        <v>0</v>
      </c>
      <c r="BQ10" s="27" t="e">
        <f>BP10+'02.04'!BQ10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140</v>
      </c>
      <c r="D11" s="31" t="e">
        <f t="shared" si="0"/>
        <v>#REF!</v>
      </c>
      <c r="E11" s="32">
        <v>883</v>
      </c>
      <c r="F11" s="22">
        <v>52</v>
      </c>
      <c r="G11" s="23" t="e">
        <f>F11+'02.04'!G11</f>
        <v>#REF!</v>
      </c>
      <c r="H11" s="33">
        <v>16</v>
      </c>
      <c r="I11" s="34">
        <v>0</v>
      </c>
      <c r="J11" s="23" t="e">
        <f>I11+'02.04'!J11</f>
        <v>#REF!</v>
      </c>
      <c r="K11" s="33">
        <v>3</v>
      </c>
      <c r="L11" s="22">
        <v>0</v>
      </c>
      <c r="M11" s="23" t="e">
        <f>L11+'02.04'!M11</f>
        <v>#REF!</v>
      </c>
      <c r="N11" s="33">
        <v>875</v>
      </c>
      <c r="O11" s="22">
        <v>0</v>
      </c>
      <c r="P11" s="23" t="e">
        <f>O11+'02.04'!P11</f>
        <v>#REF!</v>
      </c>
      <c r="Q11" s="33">
        <v>2424</v>
      </c>
      <c r="R11" s="22">
        <v>0</v>
      </c>
      <c r="S11" s="23" t="e">
        <f>R11+'02.04'!S11</f>
        <v>#REF!</v>
      </c>
      <c r="T11" s="33">
        <v>69</v>
      </c>
      <c r="U11" s="22">
        <v>0</v>
      </c>
      <c r="V11" s="23" t="e">
        <f>U11+'02.04'!V11</f>
        <v>#REF!</v>
      </c>
      <c r="W11" s="38">
        <v>133</v>
      </c>
      <c r="X11" s="22">
        <v>80</v>
      </c>
      <c r="Y11" s="23" t="e">
        <f>X11+'02.04'!Y11</f>
        <v>#REF!</v>
      </c>
      <c r="Z11" s="38">
        <v>1116</v>
      </c>
      <c r="AA11" s="22">
        <v>0</v>
      </c>
      <c r="AB11" s="23" t="e">
        <f>AA11+'02.04'!AB11</f>
        <v>#REF!</v>
      </c>
      <c r="AC11" s="38">
        <v>9862</v>
      </c>
      <c r="AD11" s="22">
        <v>8</v>
      </c>
      <c r="AE11" s="23" t="e">
        <f>AD11+'02.04'!AE11</f>
        <v>#REF!</v>
      </c>
      <c r="AF11" s="19">
        <f t="shared" si="1"/>
        <v>171500</v>
      </c>
      <c r="AG11" s="20" t="e">
        <f t="shared" si="1"/>
        <v>#REF!</v>
      </c>
      <c r="AH11" s="24">
        <v>7300</v>
      </c>
      <c r="AI11" s="23" t="e">
        <f>AH11+'02.04'!AI11</f>
        <v>#REF!</v>
      </c>
      <c r="AJ11" s="24">
        <v>9200</v>
      </c>
      <c r="AK11" s="23" t="e">
        <f>AJ11+'02.04'!AK11</f>
        <v>#REF!</v>
      </c>
      <c r="AL11" s="22">
        <v>52000</v>
      </c>
      <c r="AM11" s="23" t="e">
        <f>AL11+'02.04'!AM11</f>
        <v>#REF!</v>
      </c>
      <c r="AN11" s="22">
        <v>103000</v>
      </c>
      <c r="AO11" s="23" t="e">
        <f>AN11+'02.04'!AO11</f>
        <v>#REF!</v>
      </c>
      <c r="AP11" s="28" t="s">
        <v>45</v>
      </c>
      <c r="AQ11" s="19">
        <f t="shared" si="2"/>
        <v>13</v>
      </c>
      <c r="AR11" s="20" t="e">
        <f t="shared" si="2"/>
        <v>#REF!</v>
      </c>
      <c r="AS11" s="34">
        <v>0</v>
      </c>
      <c r="AT11" s="23" t="e">
        <f>AS11+'02.04'!AT11</f>
        <v>#REF!</v>
      </c>
      <c r="AU11" s="34">
        <v>0</v>
      </c>
      <c r="AV11" s="23" t="e">
        <f>AU11+'02.04'!AV11</f>
        <v>#REF!</v>
      </c>
      <c r="AW11" s="34">
        <v>0</v>
      </c>
      <c r="AX11" s="23" t="e">
        <f>AW11+'02.04'!AX11</f>
        <v>#REF!</v>
      </c>
      <c r="AY11" s="34">
        <v>0</v>
      </c>
      <c r="AZ11" s="23" t="e">
        <f>AY11+'02.04'!AZ11</f>
        <v>#REF!</v>
      </c>
      <c r="BA11" s="34">
        <v>13</v>
      </c>
      <c r="BB11" s="23" t="e">
        <f>BA11+'02.04'!BB11</f>
        <v>#REF!</v>
      </c>
      <c r="BC11" s="19">
        <f t="shared" si="3"/>
        <v>5951</v>
      </c>
      <c r="BD11" s="20" t="e">
        <f t="shared" si="3"/>
        <v>#REF!</v>
      </c>
      <c r="BE11" s="22">
        <v>13</v>
      </c>
      <c r="BF11" s="23" t="e">
        <f>BE11+'02.04'!BF11</f>
        <v>#REF!</v>
      </c>
      <c r="BG11" s="34">
        <v>7</v>
      </c>
      <c r="BH11" s="23" t="e">
        <f>BG11+'02.04'!BH11</f>
        <v>#REF!</v>
      </c>
      <c r="BI11" s="22">
        <v>5800</v>
      </c>
      <c r="BJ11" s="23" t="e">
        <f>BI11+'02.04'!BJ11</f>
        <v>#REF!</v>
      </c>
      <c r="BK11" s="22">
        <v>131</v>
      </c>
      <c r="BL11" s="23" t="e">
        <f>BK11+'02.04'!BL11</f>
        <v>#REF!</v>
      </c>
      <c r="BM11" s="22"/>
      <c r="BN11" s="23" t="e">
        <f>BM11+'02.04'!BN11</f>
        <v>#REF!</v>
      </c>
      <c r="BO11" s="36">
        <v>11506</v>
      </c>
      <c r="BP11" s="37">
        <v>9</v>
      </c>
      <c r="BQ11" s="27" t="e">
        <f>BP11+'02.04'!BQ11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409</v>
      </c>
      <c r="D12" s="31" t="e">
        <f t="shared" si="0"/>
        <v>#REF!</v>
      </c>
      <c r="E12" s="32">
        <v>909</v>
      </c>
      <c r="F12" s="22">
        <v>51</v>
      </c>
      <c r="G12" s="23" t="e">
        <f>F12+'02.04'!G12</f>
        <v>#REF!</v>
      </c>
      <c r="H12" s="33">
        <v>80</v>
      </c>
      <c r="I12" s="34">
        <v>3</v>
      </c>
      <c r="J12" s="23" t="e">
        <f>I12+'02.04'!J12</f>
        <v>#REF!</v>
      </c>
      <c r="K12" s="33">
        <v>5</v>
      </c>
      <c r="L12" s="22">
        <v>0</v>
      </c>
      <c r="M12" s="23" t="e">
        <f>L12+'02.04'!M12</f>
        <v>#REF!</v>
      </c>
      <c r="N12" s="33">
        <v>820</v>
      </c>
      <c r="O12" s="22">
        <v>18</v>
      </c>
      <c r="P12" s="23" t="e">
        <f>O12+'02.04'!P12</f>
        <v>#REF!</v>
      </c>
      <c r="Q12" s="33">
        <v>549</v>
      </c>
      <c r="R12" s="22">
        <v>0</v>
      </c>
      <c r="S12" s="23" t="e">
        <f>R12+'02.04'!S12</f>
        <v>#REF!</v>
      </c>
      <c r="T12" s="33">
        <v>992</v>
      </c>
      <c r="U12" s="22">
        <v>0</v>
      </c>
      <c r="V12" s="23" t="e">
        <f>U12+'02.04'!V12</f>
        <v>#REF!</v>
      </c>
      <c r="W12" s="33">
        <v>38</v>
      </c>
      <c r="X12" s="22">
        <v>142</v>
      </c>
      <c r="Y12" s="23" t="e">
        <f>X12+'02.04'!Y12</f>
        <v>#REF!</v>
      </c>
      <c r="Z12" s="33">
        <v>68</v>
      </c>
      <c r="AA12" s="22">
        <v>0</v>
      </c>
      <c r="AB12" s="23" t="e">
        <f>AA12+'02.04'!AB12</f>
        <v>#REF!</v>
      </c>
      <c r="AC12" s="33">
        <v>26703</v>
      </c>
      <c r="AD12" s="22">
        <v>195</v>
      </c>
      <c r="AE12" s="23" t="e">
        <f>AD12+'02.04'!AE12</f>
        <v>#REF!</v>
      </c>
      <c r="AF12" s="19">
        <f t="shared" si="1"/>
        <v>30600</v>
      </c>
      <c r="AG12" s="20" t="e">
        <f t="shared" si="1"/>
        <v>#REF!</v>
      </c>
      <c r="AH12" s="24">
        <v>5100</v>
      </c>
      <c r="AI12" s="23" t="e">
        <f>AH12+'02.04'!AI12</f>
        <v>#REF!</v>
      </c>
      <c r="AJ12" s="24">
        <v>12100</v>
      </c>
      <c r="AK12" s="23" t="e">
        <f>AJ12+'02.04'!AK12</f>
        <v>#REF!</v>
      </c>
      <c r="AL12" s="22">
        <v>400</v>
      </c>
      <c r="AM12" s="23" t="e">
        <f>AL12+'02.04'!AM12</f>
        <v>#REF!</v>
      </c>
      <c r="AN12" s="22">
        <v>13000</v>
      </c>
      <c r="AO12" s="23" t="e">
        <f>AN12+'02.04'!AO12</f>
        <v>#REF!</v>
      </c>
      <c r="AP12" s="28" t="s">
        <v>46</v>
      </c>
      <c r="AQ12" s="19">
        <f t="shared" si="2"/>
        <v>89</v>
      </c>
      <c r="AR12" s="20" t="e">
        <f t="shared" si="2"/>
        <v>#REF!</v>
      </c>
      <c r="AS12" s="34">
        <v>0</v>
      </c>
      <c r="AT12" s="23" t="e">
        <f>AS12+'02.04'!AT12</f>
        <v>#REF!</v>
      </c>
      <c r="AU12" s="34">
        <v>0</v>
      </c>
      <c r="AV12" s="23" t="e">
        <f>AU12+'02.04'!AV12</f>
        <v>#REF!</v>
      </c>
      <c r="AW12" s="34">
        <v>0</v>
      </c>
      <c r="AX12" s="23" t="e">
        <f>AW12+'02.04'!AX12</f>
        <v>#REF!</v>
      </c>
      <c r="AY12" s="34">
        <v>0</v>
      </c>
      <c r="AZ12" s="23" t="e">
        <f>AY12+'02.04'!AZ12</f>
        <v>#REF!</v>
      </c>
      <c r="BA12" s="34">
        <v>89</v>
      </c>
      <c r="BB12" s="23" t="e">
        <f>BA12+'02.04'!BB12</f>
        <v>#REF!</v>
      </c>
      <c r="BC12" s="19">
        <f t="shared" si="3"/>
        <v>3307</v>
      </c>
      <c r="BD12" s="20" t="e">
        <f t="shared" si="3"/>
        <v>#REF!</v>
      </c>
      <c r="BE12" s="22">
        <v>95</v>
      </c>
      <c r="BF12" s="23" t="e">
        <f>BE12+'02.04'!BF12</f>
        <v>#REF!</v>
      </c>
      <c r="BG12" s="34">
        <v>12</v>
      </c>
      <c r="BH12" s="23" t="e">
        <f>BG12+'02.04'!BH12</f>
        <v>#REF!</v>
      </c>
      <c r="BI12" s="22">
        <v>2800</v>
      </c>
      <c r="BJ12" s="23" t="e">
        <f>BI12+'02.04'!BJ12</f>
        <v>#REF!</v>
      </c>
      <c r="BK12" s="22">
        <v>400</v>
      </c>
      <c r="BL12" s="23" t="e">
        <f>BK12+'02.04'!BL12</f>
        <v>#REF!</v>
      </c>
      <c r="BM12" s="22">
        <v>0</v>
      </c>
      <c r="BN12" s="23" t="e">
        <f>BM12+'02.04'!BN12</f>
        <v>#REF!</v>
      </c>
      <c r="BO12" s="36"/>
      <c r="BP12" s="37">
        <v>1</v>
      </c>
      <c r="BQ12" s="27" t="e">
        <f>BP12+'02.04'!BQ12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10</v>
      </c>
      <c r="D13" s="31" t="e">
        <f t="shared" si="0"/>
        <v>#REF!</v>
      </c>
      <c r="E13" s="32">
        <v>516</v>
      </c>
      <c r="F13" s="22">
        <v>1</v>
      </c>
      <c r="G13" s="23" t="e">
        <f>F13+'02.04'!G13</f>
        <v>#REF!</v>
      </c>
      <c r="H13" s="33">
        <v>10</v>
      </c>
      <c r="I13" s="34">
        <v>0</v>
      </c>
      <c r="J13" s="23" t="e">
        <f>I13+'02.04'!J13</f>
        <v>#REF!</v>
      </c>
      <c r="K13" s="33">
        <v>38</v>
      </c>
      <c r="L13" s="22">
        <v>0</v>
      </c>
      <c r="M13" s="23" t="e">
        <f>L13+'02.04'!M13</f>
        <v>#REF!</v>
      </c>
      <c r="N13" s="33">
        <v>581</v>
      </c>
      <c r="O13" s="22">
        <v>1</v>
      </c>
      <c r="P13" s="23" t="e">
        <f>O13+'02.04'!P13</f>
        <v>#REF!</v>
      </c>
      <c r="Q13" s="33">
        <v>525</v>
      </c>
      <c r="R13" s="22"/>
      <c r="S13" s="23" t="e">
        <f>R13+'02.04'!S13</f>
        <v>#REF!</v>
      </c>
      <c r="T13" s="33">
        <v>263</v>
      </c>
      <c r="U13" s="22">
        <v>0</v>
      </c>
      <c r="V13" s="23" t="e">
        <f>U13+'02.04'!V13</f>
        <v>#REF!</v>
      </c>
      <c r="W13" s="33">
        <v>43</v>
      </c>
      <c r="X13" s="22">
        <v>0</v>
      </c>
      <c r="Y13" s="23" t="e">
        <f>X13+'02.04'!Y13</f>
        <v>#REF!</v>
      </c>
      <c r="Z13" s="33">
        <v>17</v>
      </c>
      <c r="AA13" s="22">
        <v>0</v>
      </c>
      <c r="AB13" s="23" t="e">
        <f>AA13+'02.04'!AB13</f>
        <v>#REF!</v>
      </c>
      <c r="AC13" s="33">
        <v>51</v>
      </c>
      <c r="AD13" s="22">
        <v>8</v>
      </c>
      <c r="AE13" s="23" t="e">
        <f>AD13+'02.04'!AE13</f>
        <v>#REF!</v>
      </c>
      <c r="AF13" s="19">
        <f t="shared" si="1"/>
        <v>326700</v>
      </c>
      <c r="AG13" s="20" t="e">
        <f t="shared" si="1"/>
        <v>#REF!</v>
      </c>
      <c r="AH13" s="24">
        <v>4000</v>
      </c>
      <c r="AI13" s="23" t="e">
        <f>AH13+'02.04'!AI13</f>
        <v>#REF!</v>
      </c>
      <c r="AJ13" s="24">
        <v>12700</v>
      </c>
      <c r="AK13" s="23" t="e">
        <f>AJ13+'02.04'!AK13</f>
        <v>#REF!</v>
      </c>
      <c r="AL13" s="22">
        <v>20000</v>
      </c>
      <c r="AM13" s="23" t="e">
        <f>AL13+'02.04'!AM13</f>
        <v>#REF!</v>
      </c>
      <c r="AN13" s="22">
        <v>290000</v>
      </c>
      <c r="AO13" s="23" t="e">
        <f>AN13+'02.04'!AO13</f>
        <v>#REF!</v>
      </c>
      <c r="AP13" s="28" t="s">
        <v>47</v>
      </c>
      <c r="AQ13" s="19">
        <f t="shared" si="2"/>
        <v>52</v>
      </c>
      <c r="AR13" s="20" t="e">
        <f t="shared" si="2"/>
        <v>#REF!</v>
      </c>
      <c r="AS13" s="34">
        <v>1</v>
      </c>
      <c r="AT13" s="23" t="e">
        <f>AS13+'02.04'!AT13</f>
        <v>#REF!</v>
      </c>
      <c r="AU13" s="34">
        <v>1</v>
      </c>
      <c r="AV13" s="23" t="e">
        <f>AU13+'02.04'!AV13</f>
        <v>#REF!</v>
      </c>
      <c r="AW13" s="34">
        <v>0</v>
      </c>
      <c r="AX13" s="23" t="e">
        <f>AW13+'02.04'!AX13</f>
        <v>#REF!</v>
      </c>
      <c r="AY13" s="34">
        <v>0</v>
      </c>
      <c r="AZ13" s="23" t="e">
        <f>AY13+'02.04'!AZ13</f>
        <v>#REF!</v>
      </c>
      <c r="BA13" s="34">
        <v>50</v>
      </c>
      <c r="BB13" s="23" t="e">
        <f>BA13+'02.04'!BB13</f>
        <v>#REF!</v>
      </c>
      <c r="BC13" s="19">
        <f t="shared" si="3"/>
        <v>12737</v>
      </c>
      <c r="BD13" s="20" t="e">
        <f t="shared" si="3"/>
        <v>#REF!</v>
      </c>
      <c r="BE13" s="22">
        <v>516</v>
      </c>
      <c r="BF13" s="23" t="e">
        <f>BE13+'02.04'!BF13</f>
        <v>#REF!</v>
      </c>
      <c r="BG13" s="34">
        <v>21</v>
      </c>
      <c r="BH13" s="23" t="e">
        <f>BG13+'02.04'!BH13</f>
        <v>#REF!</v>
      </c>
      <c r="BI13" s="22">
        <v>12000</v>
      </c>
      <c r="BJ13" s="23" t="e">
        <f>BI13+'02.04'!BJ13</f>
        <v>#REF!</v>
      </c>
      <c r="BK13" s="22">
        <v>200</v>
      </c>
      <c r="BL13" s="23" t="e">
        <f>BK13+'02.04'!BL13</f>
        <v>#REF!</v>
      </c>
      <c r="BM13" s="22">
        <v>0</v>
      </c>
      <c r="BN13" s="23" t="e">
        <f>BM13+'02.04'!BN13</f>
        <v>#REF!</v>
      </c>
      <c r="BO13" s="36"/>
      <c r="BP13" s="37">
        <v>1</v>
      </c>
      <c r="BQ13" s="27" t="e">
        <f>BP13+'02.04'!BQ13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140</v>
      </c>
      <c r="D14" s="42" t="e">
        <f t="shared" si="0"/>
        <v>#REF!</v>
      </c>
      <c r="E14" s="43">
        <v>304</v>
      </c>
      <c r="F14" s="22">
        <v>52</v>
      </c>
      <c r="G14" s="23" t="e">
        <f>F14+'02.04'!G14</f>
        <v>#REF!</v>
      </c>
      <c r="H14" s="44">
        <v>5</v>
      </c>
      <c r="I14" s="45">
        <v>0</v>
      </c>
      <c r="J14" s="23" t="e">
        <f>I14+'02.04'!J14</f>
        <v>#REF!</v>
      </c>
      <c r="K14" s="44">
        <v>34</v>
      </c>
      <c r="L14" s="22">
        <v>0</v>
      </c>
      <c r="M14" s="23" t="e">
        <f>L14+'02.04'!M14</f>
        <v>#REF!</v>
      </c>
      <c r="N14" s="44">
        <v>583</v>
      </c>
      <c r="O14" s="22">
        <v>0</v>
      </c>
      <c r="P14" s="23" t="e">
        <f>O14+'02.04'!P14</f>
        <v>#REF!</v>
      </c>
      <c r="Q14" s="44">
        <v>254</v>
      </c>
      <c r="R14" s="22">
        <v>0</v>
      </c>
      <c r="S14" s="23" t="e">
        <f>R14+'02.04'!S14</f>
        <v>#REF!</v>
      </c>
      <c r="T14" s="44">
        <v>196</v>
      </c>
      <c r="U14" s="22">
        <v>0</v>
      </c>
      <c r="V14" s="23" t="e">
        <f>U14+'02.04'!V14</f>
        <v>#REF!</v>
      </c>
      <c r="W14" s="44">
        <v>30</v>
      </c>
      <c r="X14" s="22">
        <v>80</v>
      </c>
      <c r="Y14" s="23" t="e">
        <f>X14+'02.04'!Y14</f>
        <v>#REF!</v>
      </c>
      <c r="Z14" s="44">
        <v>10</v>
      </c>
      <c r="AA14" s="22">
        <v>0</v>
      </c>
      <c r="AB14" s="23" t="e">
        <f>AA14+'02.04'!AB14</f>
        <v>#REF!</v>
      </c>
      <c r="AC14" s="44">
        <v>2500</v>
      </c>
      <c r="AD14" s="22">
        <v>8</v>
      </c>
      <c r="AE14" s="23" t="e">
        <f>AD14+'02.04'!AE14</f>
        <v>#REF!</v>
      </c>
      <c r="AF14" s="19">
        <f t="shared" si="1"/>
        <v>171500</v>
      </c>
      <c r="AG14" s="20" t="e">
        <f t="shared" si="1"/>
        <v>#REF!</v>
      </c>
      <c r="AH14" s="24">
        <v>7300</v>
      </c>
      <c r="AI14" s="23" t="e">
        <f>AH14+'02.04'!AI14</f>
        <v>#REF!</v>
      </c>
      <c r="AJ14" s="24">
        <v>9200</v>
      </c>
      <c r="AK14" s="23" t="e">
        <f>AJ14+'02.04'!AK14</f>
        <v>#REF!</v>
      </c>
      <c r="AL14" s="22">
        <v>52000</v>
      </c>
      <c r="AM14" s="23" t="e">
        <f>AL14+'02.04'!AM14</f>
        <v>#REF!</v>
      </c>
      <c r="AN14" s="22">
        <v>103000</v>
      </c>
      <c r="AO14" s="23" t="e">
        <f>AN14+'02.04'!AO14</f>
        <v>#REF!</v>
      </c>
      <c r="AP14" s="39" t="s">
        <v>48</v>
      </c>
      <c r="AQ14" s="19">
        <f t="shared" si="2"/>
        <v>13</v>
      </c>
      <c r="AR14" s="20" t="e">
        <f t="shared" si="2"/>
        <v>#REF!</v>
      </c>
      <c r="AS14" s="45">
        <v>0</v>
      </c>
      <c r="AT14" s="23" t="e">
        <f>AS14+'02.04'!AT14</f>
        <v>#REF!</v>
      </c>
      <c r="AU14" s="45">
        <v>0</v>
      </c>
      <c r="AV14" s="23" t="e">
        <f>AU14+'02.04'!AV14</f>
        <v>#REF!</v>
      </c>
      <c r="AW14" s="45">
        <v>0</v>
      </c>
      <c r="AX14" s="23" t="e">
        <f>AW14+'02.04'!AX14</f>
        <v>#REF!</v>
      </c>
      <c r="AY14" s="45">
        <v>0</v>
      </c>
      <c r="AZ14" s="23" t="e">
        <f>AY14+'02.04'!AZ14</f>
        <v>#REF!</v>
      </c>
      <c r="BA14" s="45">
        <v>13</v>
      </c>
      <c r="BB14" s="23" t="e">
        <f>BA14+'02.04'!BB14</f>
        <v>#REF!</v>
      </c>
      <c r="BC14" s="19">
        <f t="shared" si="3"/>
        <v>5951</v>
      </c>
      <c r="BD14" s="20" t="e">
        <f t="shared" si="3"/>
        <v>#REF!</v>
      </c>
      <c r="BE14" s="22">
        <v>13</v>
      </c>
      <c r="BF14" s="23" t="e">
        <f>BE14+'02.04'!BF14</f>
        <v>#REF!</v>
      </c>
      <c r="BG14" s="45">
        <v>7</v>
      </c>
      <c r="BH14" s="23" t="e">
        <f>BG14+'02.04'!BH14</f>
        <v>#REF!</v>
      </c>
      <c r="BI14" s="22">
        <v>5800</v>
      </c>
      <c r="BJ14" s="23" t="e">
        <f>BI14+'02.04'!BJ14</f>
        <v>#REF!</v>
      </c>
      <c r="BK14" s="22">
        <v>131</v>
      </c>
      <c r="BL14" s="23" t="e">
        <f>BK14+'02.04'!BL14</f>
        <v>#REF!</v>
      </c>
      <c r="BM14" s="22">
        <v>0</v>
      </c>
      <c r="BN14" s="23" t="e">
        <f>BM14+'02.04'!BN14</f>
        <v>#REF!</v>
      </c>
      <c r="BO14" s="48">
        <v>2</v>
      </c>
      <c r="BP14" s="49">
        <v>9</v>
      </c>
      <c r="BQ14" s="27" t="e">
        <f>BP14+'02.04'!BQ14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463</v>
      </c>
      <c r="D15" s="53" t="e">
        <f t="shared" si="0"/>
        <v>#REF!</v>
      </c>
      <c r="E15" s="54">
        <v>776</v>
      </c>
      <c r="F15" s="55">
        <v>310</v>
      </c>
      <c r="G15" s="23" t="e">
        <f>F15+'02.04'!G15</f>
        <v>#REF!</v>
      </c>
      <c r="H15" s="56">
        <v>9</v>
      </c>
      <c r="I15" s="57">
        <v>0</v>
      </c>
      <c r="J15" s="23" t="e">
        <f>I15+'02.04'!J15</f>
        <v>#REF!</v>
      </c>
      <c r="K15" s="56">
        <v>6</v>
      </c>
      <c r="L15" s="55">
        <v>0</v>
      </c>
      <c r="M15" s="23" t="e">
        <f>L15+'02.04'!M15</f>
        <v>#REF!</v>
      </c>
      <c r="N15" s="56">
        <v>1305</v>
      </c>
      <c r="O15" s="55">
        <v>0</v>
      </c>
      <c r="P15" s="23" t="e">
        <f>O15+'02.04'!P15</f>
        <v>#REF!</v>
      </c>
      <c r="Q15" s="56">
        <v>447</v>
      </c>
      <c r="R15" s="55">
        <v>0</v>
      </c>
      <c r="S15" s="23" t="e">
        <f>R15+'02.04'!S15</f>
        <v>#REF!</v>
      </c>
      <c r="T15" s="56">
        <v>337</v>
      </c>
      <c r="U15" s="55">
        <v>0</v>
      </c>
      <c r="V15" s="23" t="e">
        <f>U15+'02.04'!V15</f>
        <v>#REF!</v>
      </c>
      <c r="W15" s="56">
        <v>78</v>
      </c>
      <c r="X15" s="55">
        <v>0</v>
      </c>
      <c r="Y15" s="23" t="e">
        <f>X15+'02.04'!Y15</f>
        <v>#REF!</v>
      </c>
      <c r="Z15" s="56">
        <v>141</v>
      </c>
      <c r="AA15" s="55">
        <v>0</v>
      </c>
      <c r="AB15" s="23" t="e">
        <f>AA15+'02.04'!AB15</f>
        <v>#REF!</v>
      </c>
      <c r="AC15" s="56">
        <v>798</v>
      </c>
      <c r="AD15" s="55">
        <v>153</v>
      </c>
      <c r="AE15" s="23" t="e">
        <f>AD15+'02.04'!AE15</f>
        <v>#REF!</v>
      </c>
      <c r="AF15" s="58">
        <f t="shared" si="1"/>
        <v>7198</v>
      </c>
      <c r="AG15" s="59" t="e">
        <f t="shared" si="1"/>
        <v>#REF!</v>
      </c>
      <c r="AH15" s="60">
        <v>1050</v>
      </c>
      <c r="AI15" s="23" t="e">
        <f>AH15+'02.04'!AI15</f>
        <v>#REF!</v>
      </c>
      <c r="AJ15" s="60">
        <v>3700</v>
      </c>
      <c r="AK15" s="23" t="e">
        <f>AJ15+'02.04'!AK15</f>
        <v>#REF!</v>
      </c>
      <c r="AL15" s="55">
        <v>1224</v>
      </c>
      <c r="AM15" s="23" t="e">
        <f>AL15+'02.04'!AM15</f>
        <v>#REF!</v>
      </c>
      <c r="AN15" s="55">
        <v>1224</v>
      </c>
      <c r="AO15" s="23" t="e">
        <f>AN15+'02.04'!AO15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AS15+'02.04'!AT15</f>
        <v>#REF!</v>
      </c>
      <c r="AU15" s="57">
        <v>0</v>
      </c>
      <c r="AV15" s="23" t="e">
        <f>AU15+'02.04'!AV15</f>
        <v>#REF!</v>
      </c>
      <c r="AW15" s="57">
        <v>0</v>
      </c>
      <c r="AX15" s="23" t="e">
        <f>AW15+'02.04'!AX15</f>
        <v>#REF!</v>
      </c>
      <c r="AY15" s="57">
        <v>0</v>
      </c>
      <c r="AZ15" s="23" t="e">
        <f>AY15+'02.04'!AZ15</f>
        <v>#REF!</v>
      </c>
      <c r="BA15" s="57">
        <v>4</v>
      </c>
      <c r="BB15" s="23" t="e">
        <f>BA15+'02.04'!BB15</f>
        <v>#REF!</v>
      </c>
      <c r="BC15" s="58">
        <f t="shared" si="3"/>
        <v>1906</v>
      </c>
      <c r="BD15" s="59" t="e">
        <f t="shared" si="3"/>
        <v>#REF!</v>
      </c>
      <c r="BE15" s="55">
        <v>63</v>
      </c>
      <c r="BF15" s="23" t="e">
        <f>BE15+'02.04'!BF15</f>
        <v>#REF!</v>
      </c>
      <c r="BG15" s="57">
        <v>3</v>
      </c>
      <c r="BH15" s="23" t="e">
        <f>BG15+'02.04'!BH15</f>
        <v>#REF!</v>
      </c>
      <c r="BI15" s="55">
        <v>920</v>
      </c>
      <c r="BJ15" s="23" t="e">
        <f>BI15+'02.04'!BJ15</f>
        <v>#REF!</v>
      </c>
      <c r="BK15" s="55">
        <v>920</v>
      </c>
      <c r="BL15" s="23" t="e">
        <f>BK15+'02.04'!BL15</f>
        <v>#REF!</v>
      </c>
      <c r="BM15" s="55">
        <v>0</v>
      </c>
      <c r="BN15" s="23" t="e">
        <f>BM15+'02.04'!BN15</f>
        <v>#REF!</v>
      </c>
      <c r="BO15" s="36">
        <v>6274</v>
      </c>
      <c r="BP15" s="37">
        <v>2</v>
      </c>
      <c r="BQ15" s="27" t="e">
        <f>BP15+'02.04'!BQ15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143</v>
      </c>
      <c r="D16" s="31" t="e">
        <f t="shared" si="0"/>
        <v>#REF!</v>
      </c>
      <c r="E16" s="32">
        <v>310</v>
      </c>
      <c r="F16" s="22">
        <v>51</v>
      </c>
      <c r="G16" s="23" t="e">
        <f>F16+'02.04'!G16</f>
        <v>#REF!</v>
      </c>
      <c r="H16" s="33">
        <v>5</v>
      </c>
      <c r="I16" s="34">
        <v>0</v>
      </c>
      <c r="J16" s="23" t="e">
        <f>I16+'02.04'!J16</f>
        <v>#REF!</v>
      </c>
      <c r="K16" s="33">
        <v>3</v>
      </c>
      <c r="L16" s="22">
        <v>0</v>
      </c>
      <c r="M16" s="23" t="e">
        <f>L16+'02.04'!M16</f>
        <v>#REF!</v>
      </c>
      <c r="N16" s="33">
        <v>384</v>
      </c>
      <c r="O16" s="22">
        <v>0</v>
      </c>
      <c r="P16" s="23" t="e">
        <f>O16+'02.04'!P16</f>
        <v>#REF!</v>
      </c>
      <c r="Q16" s="33">
        <v>245</v>
      </c>
      <c r="R16" s="22">
        <v>0</v>
      </c>
      <c r="S16" s="23" t="e">
        <f>R16+'02.04'!S16</f>
        <v>#REF!</v>
      </c>
      <c r="T16" s="33">
        <v>397</v>
      </c>
      <c r="U16" s="22">
        <v>0</v>
      </c>
      <c r="V16" s="23" t="e">
        <f>U16+'02.04'!V16</f>
        <v>#REF!</v>
      </c>
      <c r="W16" s="33">
        <v>24</v>
      </c>
      <c r="X16" s="22">
        <v>43</v>
      </c>
      <c r="Y16" s="23" t="e">
        <f>X16+'02.04'!Y16</f>
        <v>#REF!</v>
      </c>
      <c r="Z16" s="33">
        <v>18</v>
      </c>
      <c r="AA16" s="22">
        <v>0</v>
      </c>
      <c r="AB16" s="23" t="e">
        <f>AA16+'02.04'!AB16</f>
        <v>#REF!</v>
      </c>
      <c r="AC16" s="33">
        <v>18515</v>
      </c>
      <c r="AD16" s="22">
        <v>49</v>
      </c>
      <c r="AE16" s="23" t="e">
        <f>AD16+'02.04'!AE16</f>
        <v>#REF!</v>
      </c>
      <c r="AF16" s="19">
        <f t="shared" si="1"/>
        <v>65939</v>
      </c>
      <c r="AG16" s="20" t="e">
        <f t="shared" si="1"/>
        <v>#REF!</v>
      </c>
      <c r="AH16" s="24">
        <v>250</v>
      </c>
      <c r="AI16" s="23" t="e">
        <f>AH16+'02.04'!AI16</f>
        <v>#REF!</v>
      </c>
      <c r="AJ16" s="24">
        <v>1374</v>
      </c>
      <c r="AK16" s="23" t="e">
        <f>AJ16+'02.04'!AK16</f>
        <v>#REF!</v>
      </c>
      <c r="AL16" s="22">
        <v>2170</v>
      </c>
      <c r="AM16" s="23" t="e">
        <f>AL16+'02.04'!AM16</f>
        <v>#REF!</v>
      </c>
      <c r="AN16" s="22">
        <v>62145</v>
      </c>
      <c r="AO16" s="23" t="e">
        <f>AN16+'02.04'!AO16</f>
        <v>#REF!</v>
      </c>
      <c r="AP16" s="28" t="s">
        <v>51</v>
      </c>
      <c r="AQ16" s="19">
        <f t="shared" si="2"/>
        <v>59</v>
      </c>
      <c r="AR16" s="20" t="e">
        <f t="shared" si="2"/>
        <v>#REF!</v>
      </c>
      <c r="AS16" s="34">
        <v>0</v>
      </c>
      <c r="AT16" s="23" t="e">
        <f>AS16+'02.04'!AT16</f>
        <v>#REF!</v>
      </c>
      <c r="AU16" s="34">
        <v>0</v>
      </c>
      <c r="AV16" s="23" t="e">
        <f>AU16+'02.04'!AV16</f>
        <v>#REF!</v>
      </c>
      <c r="AW16" s="34">
        <v>0</v>
      </c>
      <c r="AX16" s="23" t="e">
        <f>AW16+'02.04'!AX16</f>
        <v>#REF!</v>
      </c>
      <c r="AY16" s="34">
        <v>0</v>
      </c>
      <c r="AZ16" s="23" t="e">
        <f>AY16+'02.04'!AZ16</f>
        <v>#REF!</v>
      </c>
      <c r="BA16" s="34">
        <v>59</v>
      </c>
      <c r="BB16" s="23" t="e">
        <f>BA16+'02.04'!BB16</f>
        <v>#REF!</v>
      </c>
      <c r="BC16" s="19">
        <f t="shared" si="3"/>
        <v>1598</v>
      </c>
      <c r="BD16" s="20" t="e">
        <f t="shared" si="3"/>
        <v>#REF!</v>
      </c>
      <c r="BE16" s="22">
        <v>73</v>
      </c>
      <c r="BF16" s="23" t="e">
        <f>BE16+'02.04'!BF16</f>
        <v>#REF!</v>
      </c>
      <c r="BG16" s="34">
        <v>1</v>
      </c>
      <c r="BH16" s="23" t="e">
        <f>BG16+'02.04'!BH16</f>
        <v>#REF!</v>
      </c>
      <c r="BI16" s="22">
        <v>1264</v>
      </c>
      <c r="BJ16" s="23" t="e">
        <f>BI16+'02.04'!BJ16</f>
        <v>#REF!</v>
      </c>
      <c r="BK16" s="22">
        <v>260</v>
      </c>
      <c r="BL16" s="23" t="e">
        <f>BK16+'02.04'!BL16</f>
        <v>#REF!</v>
      </c>
      <c r="BM16" s="22">
        <v>0</v>
      </c>
      <c r="BN16" s="23" t="e">
        <f>BM16+'02.04'!BN16</f>
        <v>#REF!</v>
      </c>
      <c r="BO16" s="36">
        <v>2546</v>
      </c>
      <c r="BP16" s="37">
        <v>0</v>
      </c>
      <c r="BQ16" s="27" t="e">
        <f>BP16+'02.04'!BQ16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150</v>
      </c>
      <c r="D17" s="31" t="e">
        <f t="shared" si="0"/>
        <v>#REF!</v>
      </c>
      <c r="E17" s="32">
        <v>754</v>
      </c>
      <c r="F17" s="22">
        <v>80</v>
      </c>
      <c r="G17" s="23" t="e">
        <f>F17+'02.04'!G17</f>
        <v>#REF!</v>
      </c>
      <c r="H17" s="33">
        <v>9</v>
      </c>
      <c r="I17" s="34">
        <v>0</v>
      </c>
      <c r="J17" s="23" t="e">
        <f>I17+'02.04'!J17</f>
        <v>#REF!</v>
      </c>
      <c r="K17" s="33">
        <v>5</v>
      </c>
      <c r="L17" s="22">
        <v>0</v>
      </c>
      <c r="M17" s="23" t="e">
        <f>L17+'02.04'!M17</f>
        <v>#REF!</v>
      </c>
      <c r="N17" s="33">
        <v>768</v>
      </c>
      <c r="O17" s="22">
        <v>0</v>
      </c>
      <c r="P17" s="23" t="e">
        <f>O17+'02.04'!P17</f>
        <v>#REF!</v>
      </c>
      <c r="Q17" s="33">
        <v>624</v>
      </c>
      <c r="R17" s="22">
        <v>0</v>
      </c>
      <c r="S17" s="23" t="e">
        <f>R17+'02.04'!S17</f>
        <v>#REF!</v>
      </c>
      <c r="T17" s="33">
        <v>742</v>
      </c>
      <c r="U17" s="22">
        <v>0</v>
      </c>
      <c r="V17" s="23" t="e">
        <f>U17+'02.04'!V17</f>
        <v>#REF!</v>
      </c>
      <c r="W17" s="33">
        <v>54</v>
      </c>
      <c r="X17" s="22">
        <v>55</v>
      </c>
      <c r="Y17" s="23" t="e">
        <f>X17+'02.04'!Y17</f>
        <v>#REF!</v>
      </c>
      <c r="Z17" s="33">
        <v>66</v>
      </c>
      <c r="AA17" s="22">
        <v>0</v>
      </c>
      <c r="AB17" s="23" t="e">
        <f>AA17+'02.04'!AB17</f>
        <v>#REF!</v>
      </c>
      <c r="AC17" s="33">
        <v>2580</v>
      </c>
      <c r="AD17" s="22">
        <v>15</v>
      </c>
      <c r="AE17" s="23" t="e">
        <f>AD17+'02.04'!AE17</f>
        <v>#REF!</v>
      </c>
      <c r="AF17" s="19">
        <f t="shared" si="1"/>
        <v>174500</v>
      </c>
      <c r="AG17" s="20" t="e">
        <f t="shared" si="1"/>
        <v>#REF!</v>
      </c>
      <c r="AH17" s="24">
        <v>10000</v>
      </c>
      <c r="AI17" s="23" t="e">
        <f>AH17+'02.04'!AI17</f>
        <v>#REF!</v>
      </c>
      <c r="AJ17" s="24">
        <v>9500</v>
      </c>
      <c r="AK17" s="23" t="e">
        <f>AJ17+'02.04'!AK17</f>
        <v>#REF!</v>
      </c>
      <c r="AL17" s="22">
        <v>65000</v>
      </c>
      <c r="AM17" s="23" t="e">
        <f>AL17+'02.04'!AM17</f>
        <v>#REF!</v>
      </c>
      <c r="AN17" s="22">
        <v>90000</v>
      </c>
      <c r="AO17" s="23" t="e">
        <f>AN17+'02.04'!AO17</f>
        <v>#REF!</v>
      </c>
      <c r="AP17" s="28" t="s">
        <v>52</v>
      </c>
      <c r="AQ17" s="19">
        <f t="shared" si="2"/>
        <v>15</v>
      </c>
      <c r="AR17" s="20" t="e">
        <f t="shared" si="2"/>
        <v>#REF!</v>
      </c>
      <c r="AS17" s="34">
        <v>0</v>
      </c>
      <c r="AT17" s="23" t="e">
        <f>AS17+'02.04'!AT17</f>
        <v>#REF!</v>
      </c>
      <c r="AU17" s="34">
        <v>1</v>
      </c>
      <c r="AV17" s="23" t="e">
        <f>AU17+'02.04'!AV17</f>
        <v>#REF!</v>
      </c>
      <c r="AW17" s="34">
        <v>0</v>
      </c>
      <c r="AX17" s="23" t="e">
        <f>AW17+'02.04'!AX17</f>
        <v>#REF!</v>
      </c>
      <c r="AY17" s="34">
        <v>0</v>
      </c>
      <c r="AZ17" s="23" t="e">
        <f>AY17+'02.04'!AZ17</f>
        <v>#REF!</v>
      </c>
      <c r="BA17" s="34">
        <v>14</v>
      </c>
      <c r="BB17" s="23" t="e">
        <f>BA17+'02.04'!BB17</f>
        <v>#REF!</v>
      </c>
      <c r="BC17" s="19">
        <f t="shared" si="3"/>
        <v>1510</v>
      </c>
      <c r="BD17" s="20" t="e">
        <f t="shared" si="3"/>
        <v>#REF!</v>
      </c>
      <c r="BE17" s="22">
        <v>46</v>
      </c>
      <c r="BF17" s="23" t="e">
        <f>BE17+'02.04'!BF17</f>
        <v>#REF!</v>
      </c>
      <c r="BG17" s="34">
        <v>4</v>
      </c>
      <c r="BH17" s="23" t="e">
        <f>BG17+'02.04'!BH17</f>
        <v>#REF!</v>
      </c>
      <c r="BI17" s="22">
        <v>1300</v>
      </c>
      <c r="BJ17" s="23" t="e">
        <f>BI17+'02.04'!BJ17</f>
        <v>#REF!</v>
      </c>
      <c r="BK17" s="22">
        <v>160</v>
      </c>
      <c r="BL17" s="23" t="e">
        <f>BK17+'02.04'!BL17</f>
        <v>#REF!</v>
      </c>
      <c r="BM17" s="22">
        <v>0</v>
      </c>
      <c r="BN17" s="23" t="e">
        <f>BM17+'02.04'!BN17</f>
        <v>#REF!</v>
      </c>
      <c r="BO17" s="36">
        <v>8022</v>
      </c>
      <c r="BP17" s="37">
        <v>10</v>
      </c>
      <c r="BQ17" s="27" t="e">
        <f>BP17+'02.04'!BQ17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561</v>
      </c>
      <c r="D18" s="20" t="e">
        <f t="shared" si="0"/>
        <v>#REF!</v>
      </c>
      <c r="E18" s="21">
        <v>1063</v>
      </c>
      <c r="F18" s="22">
        <v>315</v>
      </c>
      <c r="G18" s="23" t="e">
        <f>F18+'02.04'!G18</f>
        <v>#REF!</v>
      </c>
      <c r="H18" s="21">
        <v>19</v>
      </c>
      <c r="I18" s="22">
        <v>0</v>
      </c>
      <c r="J18" s="23" t="e">
        <f>I18+'02.04'!J18</f>
        <v>#REF!</v>
      </c>
      <c r="K18" s="21">
        <v>8</v>
      </c>
      <c r="L18" s="22">
        <v>0</v>
      </c>
      <c r="M18" s="23" t="e">
        <f>L18+'02.04'!M18</f>
        <v>#REF!</v>
      </c>
      <c r="N18" s="21">
        <v>1331</v>
      </c>
      <c r="O18" s="22">
        <v>0</v>
      </c>
      <c r="P18" s="23" t="e">
        <f>O18+'02.04'!P18</f>
        <v>#REF!</v>
      </c>
      <c r="Q18" s="21">
        <v>777</v>
      </c>
      <c r="R18" s="22">
        <v>0</v>
      </c>
      <c r="S18" s="23" t="e">
        <f>R18+'02.04'!S18</f>
        <v>#REF!</v>
      </c>
      <c r="T18" s="21">
        <v>318</v>
      </c>
      <c r="U18" s="22">
        <v>0</v>
      </c>
      <c r="V18" s="23" t="e">
        <f>U18+'02.04'!V18</f>
        <v>#REF!</v>
      </c>
      <c r="W18" s="21">
        <v>60</v>
      </c>
      <c r="X18" s="22">
        <v>246</v>
      </c>
      <c r="Y18" s="23" t="e">
        <f>X18+'02.04'!Y18</f>
        <v>#REF!</v>
      </c>
      <c r="Z18" s="21">
        <v>72</v>
      </c>
      <c r="AA18" s="22">
        <v>0</v>
      </c>
      <c r="AB18" s="23" t="e">
        <f>AA18+'02.04'!AB18</f>
        <v>#REF!</v>
      </c>
      <c r="AC18" s="21">
        <v>143</v>
      </c>
      <c r="AD18" s="22">
        <v>0</v>
      </c>
      <c r="AE18" s="23" t="e">
        <f>AD18+'02.04'!AE18</f>
        <v>#REF!</v>
      </c>
      <c r="AF18" s="19">
        <f t="shared" si="1"/>
        <v>346870</v>
      </c>
      <c r="AG18" s="20" t="e">
        <f t="shared" si="1"/>
        <v>#REF!</v>
      </c>
      <c r="AH18" s="24">
        <v>742</v>
      </c>
      <c r="AI18" s="23" t="e">
        <f>AH18+'02.04'!AI18</f>
        <v>#REF!</v>
      </c>
      <c r="AJ18" s="24">
        <v>4985</v>
      </c>
      <c r="AK18" s="23" t="e">
        <f>AJ18+'02.04'!AK18</f>
        <v>#REF!</v>
      </c>
      <c r="AL18" s="22">
        <v>6348</v>
      </c>
      <c r="AM18" s="23" t="e">
        <f>AL18+'02.04'!AM18</f>
        <v>#REF!</v>
      </c>
      <c r="AN18" s="22">
        <v>334795</v>
      </c>
      <c r="AO18" s="23" t="e">
        <f>AN18+'02.04'!AO18</f>
        <v>#REF!</v>
      </c>
      <c r="AP18" s="17" t="s">
        <v>53</v>
      </c>
      <c r="AQ18" s="19">
        <f>AS18+AU18+AW18+AY18+BA18</f>
        <v>8</v>
      </c>
      <c r="AR18" s="20" t="e">
        <f t="shared" si="2"/>
        <v>#REF!</v>
      </c>
      <c r="AS18" s="22">
        <v>1</v>
      </c>
      <c r="AT18" s="23" t="e">
        <f>AS18+'02.04'!AT18</f>
        <v>#REF!</v>
      </c>
      <c r="AU18" s="22">
        <v>0</v>
      </c>
      <c r="AV18" s="23" t="e">
        <f>AU18+'02.04'!AV18</f>
        <v>#REF!</v>
      </c>
      <c r="AW18" s="22">
        <v>0</v>
      </c>
      <c r="AX18" s="23" t="e">
        <f>AW18+'02.04'!AX18</f>
        <v>#REF!</v>
      </c>
      <c r="AY18" s="22">
        <v>0</v>
      </c>
      <c r="AZ18" s="23" t="e">
        <f>AY18+'02.04'!AZ18</f>
        <v>#REF!</v>
      </c>
      <c r="BA18" s="22">
        <v>7</v>
      </c>
      <c r="BB18" s="23" t="e">
        <f>BA18+'02.04'!BB18</f>
        <v>#REF!</v>
      </c>
      <c r="BC18" s="19">
        <f t="shared" si="3"/>
        <v>3158</v>
      </c>
      <c r="BD18" s="20" t="e">
        <f>BF18+BH18+BJ18+BL18+BN18</f>
        <v>#REF!</v>
      </c>
      <c r="BE18" s="22">
        <v>3</v>
      </c>
      <c r="BF18" s="23" t="e">
        <f>BE18+'02.04'!BF18</f>
        <v>#REF!</v>
      </c>
      <c r="BG18" s="22">
        <v>0</v>
      </c>
      <c r="BH18" s="23" t="e">
        <f>BG18+'02.04'!BH18</f>
        <v>#REF!</v>
      </c>
      <c r="BI18" s="22">
        <v>3018</v>
      </c>
      <c r="BJ18" s="23" t="e">
        <f>BI18+'02.04'!BJ18</f>
        <v>#REF!</v>
      </c>
      <c r="BK18" s="22">
        <v>137</v>
      </c>
      <c r="BL18" s="23" t="e">
        <f>BK18+'02.04'!BL18</f>
        <v>#REF!</v>
      </c>
      <c r="BM18" s="22">
        <v>0</v>
      </c>
      <c r="BN18" s="23" t="e">
        <f>BM18+'02.04'!BN18</f>
        <v>#REF!</v>
      </c>
      <c r="BO18" s="36">
        <v>442</v>
      </c>
      <c r="BP18" s="37">
        <v>0</v>
      </c>
      <c r="BQ18" s="27" t="e">
        <f>BP18+'02.04'!BQ18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44</v>
      </c>
      <c r="D19" s="31" t="e">
        <f t="shared" si="0"/>
        <v>#REF!</v>
      </c>
      <c r="E19" s="33">
        <v>221</v>
      </c>
      <c r="F19" s="22">
        <v>8</v>
      </c>
      <c r="G19" s="23" t="e">
        <f>F19+'02.04'!G19</f>
        <v>#REF!</v>
      </c>
      <c r="H19" s="33">
        <v>5</v>
      </c>
      <c r="I19" s="34">
        <v>0</v>
      </c>
      <c r="J19" s="23" t="e">
        <f>I19+'02.04'!J19</f>
        <v>#REF!</v>
      </c>
      <c r="K19" s="33">
        <v>4</v>
      </c>
      <c r="L19" s="22">
        <v>0</v>
      </c>
      <c r="M19" s="23" t="e">
        <f>L19+'02.04'!M19</f>
        <v>#REF!</v>
      </c>
      <c r="N19" s="33">
        <v>313</v>
      </c>
      <c r="O19" s="22">
        <v>0</v>
      </c>
      <c r="P19" s="23" t="e">
        <f>O19+'02.04'!P19</f>
        <v>#REF!</v>
      </c>
      <c r="Q19" s="33">
        <v>203</v>
      </c>
      <c r="R19" s="22">
        <v>0</v>
      </c>
      <c r="S19" s="23" t="e">
        <f>R19+'02.04'!S19</f>
        <v>#REF!</v>
      </c>
      <c r="T19" s="33">
        <v>241</v>
      </c>
      <c r="U19" s="22">
        <v>0</v>
      </c>
      <c r="V19" s="23" t="e">
        <f>U19+'02.04'!V19</f>
        <v>#REF!</v>
      </c>
      <c r="W19" s="33">
        <v>14</v>
      </c>
      <c r="X19" s="22">
        <v>19</v>
      </c>
      <c r="Y19" s="23" t="e">
        <f>X19+'02.04'!Y19</f>
        <v>#REF!</v>
      </c>
      <c r="Z19" s="33">
        <v>7</v>
      </c>
      <c r="AA19" s="22">
        <v>0</v>
      </c>
      <c r="AB19" s="23" t="e">
        <f>AA19+'02.04'!AB19</f>
        <v>#REF!</v>
      </c>
      <c r="AC19" s="33">
        <v>32</v>
      </c>
      <c r="AD19" s="22">
        <v>17</v>
      </c>
      <c r="AE19" s="23" t="e">
        <f>AD19+'02.04'!AE19</f>
        <v>#REF!</v>
      </c>
      <c r="AF19" s="19">
        <f t="shared" si="1"/>
        <v>4100</v>
      </c>
      <c r="AG19" s="20" t="e">
        <f t="shared" si="1"/>
        <v>#REF!</v>
      </c>
      <c r="AH19" s="24">
        <v>750</v>
      </c>
      <c r="AI19" s="23" t="e">
        <f>AH19+'02.04'!AI19</f>
        <v>#REF!</v>
      </c>
      <c r="AJ19" s="24">
        <v>750</v>
      </c>
      <c r="AK19" s="23" t="e">
        <f>AJ19+'02.04'!AK19</f>
        <v>#REF!</v>
      </c>
      <c r="AL19" s="22">
        <v>1300</v>
      </c>
      <c r="AM19" s="23" t="e">
        <f>AL19+'02.04'!AM19</f>
        <v>#REF!</v>
      </c>
      <c r="AN19" s="22">
        <v>1300</v>
      </c>
      <c r="AO19" s="23" t="e">
        <f>AN19+'02.04'!AO19</f>
        <v>#REF!</v>
      </c>
      <c r="AP19" s="28" t="s">
        <v>54</v>
      </c>
      <c r="AQ19" s="19">
        <f t="shared" ref="AQ19:AQ22" si="4">AS19+AU19+AW19+AY19+BA19</f>
        <v>1</v>
      </c>
      <c r="AR19" s="20" t="e">
        <f t="shared" si="2"/>
        <v>#REF!</v>
      </c>
      <c r="AS19" s="34">
        <v>1</v>
      </c>
      <c r="AT19" s="23" t="e">
        <f>AS19+'02.04'!AT19</f>
        <v>#REF!</v>
      </c>
      <c r="AU19" s="34">
        <v>0</v>
      </c>
      <c r="AV19" s="23" t="e">
        <f>AU19+'02.04'!AV19</f>
        <v>#REF!</v>
      </c>
      <c r="AW19" s="34">
        <v>0</v>
      </c>
      <c r="AX19" s="23" t="e">
        <f>AW19+'02.04'!AX19</f>
        <v>#REF!</v>
      </c>
      <c r="AY19" s="34">
        <v>0</v>
      </c>
      <c r="AZ19" s="23" t="e">
        <f>AY19+'02.04'!AZ19</f>
        <v>#REF!</v>
      </c>
      <c r="BA19" s="34">
        <v>0</v>
      </c>
      <c r="BB19" s="23" t="e">
        <f>BA19+'02.04'!BB19</f>
        <v>#REF!</v>
      </c>
      <c r="BC19" s="19">
        <f t="shared" si="3"/>
        <v>1512</v>
      </c>
      <c r="BD19" s="20" t="e">
        <f t="shared" si="3"/>
        <v>#REF!</v>
      </c>
      <c r="BE19" s="22">
        <v>12</v>
      </c>
      <c r="BF19" s="23" t="e">
        <f>BE19+'02.04'!BF19</f>
        <v>#REF!</v>
      </c>
      <c r="BG19" s="34">
        <v>0</v>
      </c>
      <c r="BH19" s="23" t="e">
        <f>BG19+'02.04'!BH19</f>
        <v>#REF!</v>
      </c>
      <c r="BI19" s="22">
        <v>1100</v>
      </c>
      <c r="BJ19" s="23" t="e">
        <f>BI19+'02.04'!BJ19</f>
        <v>#REF!</v>
      </c>
      <c r="BK19" s="22">
        <v>400</v>
      </c>
      <c r="BL19" s="23" t="e">
        <f>BK19+'02.04'!BL19</f>
        <v>#REF!</v>
      </c>
      <c r="BM19" s="22">
        <v>0</v>
      </c>
      <c r="BN19" s="23" t="e">
        <f>BM19+'02.04'!BN19</f>
        <v>#REF!</v>
      </c>
      <c r="BO19" s="36">
        <v>2898</v>
      </c>
      <c r="BP19" s="37">
        <v>0</v>
      </c>
      <c r="BQ19" s="27" t="e">
        <f>BP19+'02.04'!BQ19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345</v>
      </c>
      <c r="D20" s="31" t="e">
        <f t="shared" si="0"/>
        <v>#REF!</v>
      </c>
      <c r="E20" s="32">
        <v>723</v>
      </c>
      <c r="F20" s="22">
        <v>224</v>
      </c>
      <c r="G20" s="23" t="e">
        <f>F20+'02.04'!G20</f>
        <v>#REF!</v>
      </c>
      <c r="H20" s="33">
        <v>5</v>
      </c>
      <c r="I20" s="34">
        <v>1</v>
      </c>
      <c r="J20" s="23" t="e">
        <f>I20+'02.04'!J20</f>
        <v>#REF!</v>
      </c>
      <c r="K20" s="33">
        <v>3</v>
      </c>
      <c r="L20" s="22">
        <v>0</v>
      </c>
      <c r="M20" s="23" t="e">
        <f>L20+'02.04'!M20</f>
        <v>#REF!</v>
      </c>
      <c r="N20" s="33">
        <v>975</v>
      </c>
      <c r="O20" s="22">
        <v>48</v>
      </c>
      <c r="P20" s="23" t="e">
        <f>O20+'02.04'!P20</f>
        <v>#REF!</v>
      </c>
      <c r="Q20" s="61">
        <v>1862</v>
      </c>
      <c r="R20" s="22">
        <v>2</v>
      </c>
      <c r="S20" s="23" t="e">
        <f>R20+'02.04'!S20</f>
        <v>#REF!</v>
      </c>
      <c r="T20" s="33">
        <v>35</v>
      </c>
      <c r="U20" s="22">
        <v>2</v>
      </c>
      <c r="V20" s="23" t="e">
        <f>U20+'02.04'!V20</f>
        <v>#REF!</v>
      </c>
      <c r="W20" s="33">
        <v>64</v>
      </c>
      <c r="X20" s="22">
        <v>3</v>
      </c>
      <c r="Y20" s="23" t="e">
        <f>X20+'02.04'!Y20</f>
        <v>#REF!</v>
      </c>
      <c r="Z20" s="33">
        <v>15</v>
      </c>
      <c r="AA20" s="22">
        <v>1</v>
      </c>
      <c r="AB20" s="23" t="e">
        <f>AA20+'02.04'!AB20</f>
        <v>#REF!</v>
      </c>
      <c r="AC20" s="33">
        <v>1546</v>
      </c>
      <c r="AD20" s="22">
        <v>64</v>
      </c>
      <c r="AE20" s="23" t="e">
        <f>AD20+'02.04'!AE20</f>
        <v>#REF!</v>
      </c>
      <c r="AF20" s="19">
        <f t="shared" si="1"/>
        <v>15150</v>
      </c>
      <c r="AG20" s="20" t="e">
        <f t="shared" si="1"/>
        <v>#REF!</v>
      </c>
      <c r="AH20" s="24">
        <v>6750</v>
      </c>
      <c r="AI20" s="23" t="e">
        <f>AH20+'02.04'!AI20</f>
        <v>#REF!</v>
      </c>
      <c r="AJ20" s="24">
        <v>7900</v>
      </c>
      <c r="AK20" s="23" t="e">
        <f>AJ20+'02.04'!AK20</f>
        <v>#REF!</v>
      </c>
      <c r="AL20" s="22">
        <v>350</v>
      </c>
      <c r="AM20" s="23" t="e">
        <f>AL20+'02.04'!AM20</f>
        <v>#REF!</v>
      </c>
      <c r="AN20" s="22">
        <v>150</v>
      </c>
      <c r="AO20" s="23" t="e">
        <f>AN20+'02.04'!AO20</f>
        <v>#REF!</v>
      </c>
      <c r="AP20" s="28" t="s">
        <v>55</v>
      </c>
      <c r="AQ20" s="19">
        <f t="shared" si="4"/>
        <v>241</v>
      </c>
      <c r="AR20" s="20" t="e">
        <f t="shared" si="2"/>
        <v>#REF!</v>
      </c>
      <c r="AS20" s="34">
        <v>1</v>
      </c>
      <c r="AT20" s="23" t="e">
        <f>AS20+'02.04'!AT20</f>
        <v>#REF!</v>
      </c>
      <c r="AU20" s="34">
        <v>0</v>
      </c>
      <c r="AV20" s="23" t="e">
        <f>AU20+'02.04'!AV20</f>
        <v>#REF!</v>
      </c>
      <c r="AW20" s="34">
        <v>0</v>
      </c>
      <c r="AX20" s="23" t="e">
        <f>AW20+'02.04'!AX20</f>
        <v>#REF!</v>
      </c>
      <c r="AY20" s="34">
        <v>0</v>
      </c>
      <c r="AZ20" s="23" t="e">
        <f>AY20+'02.04'!AZ20</f>
        <v>#REF!</v>
      </c>
      <c r="BA20" s="34">
        <v>240</v>
      </c>
      <c r="BB20" s="23" t="e">
        <f>BA20+'02.04'!BB20</f>
        <v>#REF!</v>
      </c>
      <c r="BC20" s="19">
        <f t="shared" si="3"/>
        <v>2660</v>
      </c>
      <c r="BD20" s="20" t="e">
        <f t="shared" si="3"/>
        <v>#REF!</v>
      </c>
      <c r="BE20" s="22">
        <v>242</v>
      </c>
      <c r="BF20" s="23" t="e">
        <f>BE20+'02.04'!BF20</f>
        <v>#REF!</v>
      </c>
      <c r="BG20" s="34">
        <v>0</v>
      </c>
      <c r="BH20" s="23" t="e">
        <f>BG20+'02.04'!BH20</f>
        <v>#REF!</v>
      </c>
      <c r="BI20" s="22">
        <v>800</v>
      </c>
      <c r="BJ20" s="23" t="e">
        <f>BI20+'02.04'!BJ20</f>
        <v>#REF!</v>
      </c>
      <c r="BK20" s="22">
        <v>1618</v>
      </c>
      <c r="BL20" s="23" t="e">
        <f>BK20+'02.04'!BL20</f>
        <v>#REF!</v>
      </c>
      <c r="BM20" s="22">
        <v>0</v>
      </c>
      <c r="BN20" s="23" t="e">
        <f>BM20+'02.04'!BN20</f>
        <v>#REF!</v>
      </c>
      <c r="BO20" s="36">
        <v>5854</v>
      </c>
      <c r="BP20" s="37">
        <v>0</v>
      </c>
      <c r="BQ20" s="27" t="e">
        <f>BP20+'02.04'!BQ20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537</v>
      </c>
      <c r="D21" s="31" t="e">
        <f t="shared" si="0"/>
        <v>#REF!</v>
      </c>
      <c r="E21" s="32">
        <v>1017</v>
      </c>
      <c r="F21" s="22">
        <v>300</v>
      </c>
      <c r="G21" s="23" t="e">
        <f>F21+'02.04'!G21</f>
        <v>#REF!</v>
      </c>
      <c r="H21" s="33">
        <v>8</v>
      </c>
      <c r="I21" s="34">
        <v>5</v>
      </c>
      <c r="J21" s="23" t="e">
        <f>I21+'02.04'!J21</f>
        <v>#REF!</v>
      </c>
      <c r="K21" s="33">
        <v>4</v>
      </c>
      <c r="L21" s="22">
        <v>0</v>
      </c>
      <c r="M21" s="23" t="e">
        <f>L21+'02.04'!M21</f>
        <v>#REF!</v>
      </c>
      <c r="N21" s="33">
        <v>963</v>
      </c>
      <c r="O21" s="22">
        <v>0</v>
      </c>
      <c r="P21" s="23" t="e">
        <f>O21+'02.04'!P21</f>
        <v>#REF!</v>
      </c>
      <c r="Q21" s="33">
        <v>912</v>
      </c>
      <c r="R21" s="22">
        <v>0</v>
      </c>
      <c r="S21" s="23" t="e">
        <f>R21+'02.04'!S21</f>
        <v>#REF!</v>
      </c>
      <c r="T21" s="33">
        <v>199</v>
      </c>
      <c r="U21" s="22">
        <v>7</v>
      </c>
      <c r="V21" s="23" t="e">
        <f>U21+'02.04'!V21</f>
        <v>#REF!</v>
      </c>
      <c r="W21" s="33">
        <v>101</v>
      </c>
      <c r="X21" s="22">
        <v>15</v>
      </c>
      <c r="Y21" s="23" t="e">
        <f>X21+'02.04'!Y21</f>
        <v>#REF!</v>
      </c>
      <c r="Z21" s="33">
        <v>42</v>
      </c>
      <c r="AA21" s="22">
        <v>1</v>
      </c>
      <c r="AB21" s="23" t="e">
        <f>AA21+'02.04'!AB21</f>
        <v>#REF!</v>
      </c>
      <c r="AC21" s="33">
        <v>20</v>
      </c>
      <c r="AD21" s="22">
        <v>209</v>
      </c>
      <c r="AE21" s="23" t="e">
        <f>AD21+'02.04'!AE21</f>
        <v>#REF!</v>
      </c>
      <c r="AF21" s="19">
        <f t="shared" si="1"/>
        <v>610000</v>
      </c>
      <c r="AG21" s="20" t="e">
        <f t="shared" si="1"/>
        <v>#REF!</v>
      </c>
      <c r="AH21" s="24">
        <v>5000</v>
      </c>
      <c r="AI21" s="23" t="e">
        <f>AH21+'02.04'!AI21</f>
        <v>#REF!</v>
      </c>
      <c r="AJ21" s="24">
        <v>250000</v>
      </c>
      <c r="AK21" s="23" t="e">
        <f>AJ21+'02.04'!AK21</f>
        <v>#REF!</v>
      </c>
      <c r="AL21" s="22">
        <v>10000</v>
      </c>
      <c r="AM21" s="23" t="e">
        <f>AL21+'02.04'!AM21</f>
        <v>#REF!</v>
      </c>
      <c r="AN21" s="22">
        <v>345000</v>
      </c>
      <c r="AO21" s="23" t="e">
        <f>AN21+'02.04'!AO21</f>
        <v>#REF!</v>
      </c>
      <c r="AP21" s="28" t="s">
        <v>58</v>
      </c>
      <c r="AQ21" s="19">
        <f t="shared" si="4"/>
        <v>8</v>
      </c>
      <c r="AR21" s="20" t="e">
        <f t="shared" si="2"/>
        <v>#REF!</v>
      </c>
      <c r="AS21" s="34">
        <v>0</v>
      </c>
      <c r="AT21" s="23" t="e">
        <f>AS21+'02.04'!AT21</f>
        <v>#REF!</v>
      </c>
      <c r="AU21" s="34">
        <v>1</v>
      </c>
      <c r="AV21" s="23" t="e">
        <f>AU21+'02.04'!AV21</f>
        <v>#REF!</v>
      </c>
      <c r="AW21" s="34">
        <v>0</v>
      </c>
      <c r="AX21" s="23" t="e">
        <f>AW21+'02.04'!AX21</f>
        <v>#REF!</v>
      </c>
      <c r="AY21" s="34">
        <v>0</v>
      </c>
      <c r="AZ21" s="23" t="e">
        <f>AY21+'02.04'!AZ21</f>
        <v>#REF!</v>
      </c>
      <c r="BA21" s="34">
        <v>7</v>
      </c>
      <c r="BB21" s="23" t="e">
        <f>BA21+'02.04'!BB21</f>
        <v>#REF!</v>
      </c>
      <c r="BC21" s="19">
        <f t="shared" si="3"/>
        <v>10855</v>
      </c>
      <c r="BD21" s="20" t="e">
        <f t="shared" si="3"/>
        <v>#REF!</v>
      </c>
      <c r="BE21" s="22">
        <v>855</v>
      </c>
      <c r="BF21" s="23" t="e">
        <f>BE21+'02.04'!BF21</f>
        <v>#REF!</v>
      </c>
      <c r="BG21" s="34">
        <v>0</v>
      </c>
      <c r="BH21" s="23" t="e">
        <f>BG21+'02.04'!BH21</f>
        <v>#REF!</v>
      </c>
      <c r="BI21" s="22">
        <v>10000</v>
      </c>
      <c r="BJ21" s="23" t="e">
        <f>BI21+'02.04'!BJ21</f>
        <v>#REF!</v>
      </c>
      <c r="BK21" s="22">
        <v>0</v>
      </c>
      <c r="BL21" s="23" t="e">
        <f>BK21+'02.04'!BL21</f>
        <v>#REF!</v>
      </c>
      <c r="BM21" s="22">
        <v>0</v>
      </c>
      <c r="BN21" s="23" t="e">
        <f>BM21+'02.04'!BN21</f>
        <v>#REF!</v>
      </c>
      <c r="BO21" s="36"/>
      <c r="BP21" s="37">
        <v>1</v>
      </c>
      <c r="BQ21" s="27" t="e">
        <f>BP21+'02.04'!BQ21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1424</v>
      </c>
      <c r="D22" s="31" t="e">
        <f t="shared" si="0"/>
        <v>#REF!</v>
      </c>
      <c r="E22" s="32">
        <v>509</v>
      </c>
      <c r="F22" s="22">
        <v>450</v>
      </c>
      <c r="G22" s="23" t="e">
        <f>F22+'02.04'!G22</f>
        <v>#REF!</v>
      </c>
      <c r="H22" s="33">
        <v>8</v>
      </c>
      <c r="I22" s="34">
        <v>9</v>
      </c>
      <c r="J22" s="23" t="e">
        <f>I22+'02.04'!J22</f>
        <v>#REF!</v>
      </c>
      <c r="K22" s="33">
        <v>21</v>
      </c>
      <c r="L22" s="22">
        <v>20</v>
      </c>
      <c r="M22" s="23" t="e">
        <f>L22+'02.04'!M22</f>
        <v>#REF!</v>
      </c>
      <c r="N22" s="33">
        <v>560</v>
      </c>
      <c r="O22" s="22">
        <v>5</v>
      </c>
      <c r="P22" s="23" t="e">
        <f>O22+'02.04'!P22</f>
        <v>#REF!</v>
      </c>
      <c r="Q22" s="33">
        <v>375</v>
      </c>
      <c r="R22" s="22">
        <v>25</v>
      </c>
      <c r="S22" s="23" t="e">
        <f>R22+'02.04'!S22</f>
        <v>#REF!</v>
      </c>
      <c r="T22" s="33">
        <v>165</v>
      </c>
      <c r="U22" s="22">
        <v>23</v>
      </c>
      <c r="V22" s="23" t="e">
        <f>U22+'02.04'!V22</f>
        <v>#REF!</v>
      </c>
      <c r="W22" s="33">
        <v>28</v>
      </c>
      <c r="X22" s="22">
        <v>86</v>
      </c>
      <c r="Y22" s="23" t="e">
        <f>X22+'02.04'!Y22</f>
        <v>#REF!</v>
      </c>
      <c r="Z22" s="33">
        <v>9</v>
      </c>
      <c r="AA22" s="22">
        <v>0</v>
      </c>
      <c r="AB22" s="23" t="e">
        <f>AA22+'02.04'!AB22</f>
        <v>#REF!</v>
      </c>
      <c r="AC22" s="33">
        <v>112</v>
      </c>
      <c r="AD22" s="22">
        <v>806</v>
      </c>
      <c r="AE22" s="23" t="e">
        <f>AD22+'02.04'!AE22</f>
        <v>#REF!</v>
      </c>
      <c r="AF22" s="19">
        <f t="shared" si="1"/>
        <v>84230</v>
      </c>
      <c r="AG22" s="20" t="e">
        <f t="shared" si="1"/>
        <v>#REF!</v>
      </c>
      <c r="AH22" s="24">
        <v>509</v>
      </c>
      <c r="AI22" s="23" t="e">
        <f>AH22+'02.04'!AI22</f>
        <v>#REF!</v>
      </c>
      <c r="AJ22" s="24">
        <v>9000</v>
      </c>
      <c r="AK22" s="23" t="e">
        <f>AJ22+'02.04'!AK22</f>
        <v>#REF!</v>
      </c>
      <c r="AL22" s="22">
        <v>221</v>
      </c>
      <c r="AM22" s="23" t="e">
        <f>AL22+'02.04'!AM22</f>
        <v>#REF!</v>
      </c>
      <c r="AN22" s="22">
        <v>74500</v>
      </c>
      <c r="AO22" s="23" t="e">
        <f>AN22+'02.04'!AO22</f>
        <v>#REF!</v>
      </c>
      <c r="AP22" s="28" t="s">
        <v>59</v>
      </c>
      <c r="AQ22" s="19">
        <f t="shared" si="4"/>
        <v>2149</v>
      </c>
      <c r="AR22" s="20" t="e">
        <f t="shared" si="2"/>
        <v>#REF!</v>
      </c>
      <c r="AS22" s="34">
        <v>0</v>
      </c>
      <c r="AT22" s="23" t="e">
        <f>AS22+'02.04'!AT22</f>
        <v>#REF!</v>
      </c>
      <c r="AU22" s="34">
        <v>0</v>
      </c>
      <c r="AV22" s="23" t="e">
        <f>AU22+'02.04'!AV22</f>
        <v>#REF!</v>
      </c>
      <c r="AW22" s="34">
        <v>0</v>
      </c>
      <c r="AX22" s="23" t="e">
        <f>AW22+'02.04'!AX22</f>
        <v>#REF!</v>
      </c>
      <c r="AY22" s="34">
        <v>0</v>
      </c>
      <c r="AZ22" s="23" t="e">
        <f>AY22+'02.04'!AZ22</f>
        <v>#REF!</v>
      </c>
      <c r="BA22" s="34">
        <v>2149</v>
      </c>
      <c r="BB22" s="23" t="e">
        <f>BA22+'02.04'!BB22</f>
        <v>#REF!</v>
      </c>
      <c r="BC22" s="19">
        <f t="shared" si="3"/>
        <v>7650</v>
      </c>
      <c r="BD22" s="20" t="e">
        <f t="shared" si="3"/>
        <v>#REF!</v>
      </c>
      <c r="BE22" s="22">
        <v>33</v>
      </c>
      <c r="BF22" s="23" t="e">
        <f>BE22+'02.04'!BF22</f>
        <v>#REF!</v>
      </c>
      <c r="BG22" s="34">
        <v>12</v>
      </c>
      <c r="BH22" s="23" t="e">
        <f>BG22+'02.04'!BH22</f>
        <v>#REF!</v>
      </c>
      <c r="BI22" s="22">
        <v>7574</v>
      </c>
      <c r="BJ22" s="23" t="e">
        <f>BI22+'02.04'!BJ22</f>
        <v>#REF!</v>
      </c>
      <c r="BK22" s="22">
        <v>31</v>
      </c>
      <c r="BL22" s="23" t="e">
        <f>BK22+'02.04'!BL22</f>
        <v>#REF!</v>
      </c>
      <c r="BM22" s="22">
        <v>0</v>
      </c>
      <c r="BN22" s="23" t="e">
        <f>BM22+'02.04'!BN22</f>
        <v>#REF!</v>
      </c>
      <c r="BO22" s="36">
        <v>26</v>
      </c>
      <c r="BP22" s="37">
        <v>35</v>
      </c>
      <c r="BQ22" s="27" t="e">
        <f>BP22+'02.04'!BQ22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4511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1919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20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20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79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33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35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770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23" t="e">
        <f>AA23+'02.04'!AB23</f>
        <v>#REF!</v>
      </c>
      <c r="AC23" s="66">
        <f>+AC18+AC19+AC22+AC17+AC16+AC15+AC14+AC13+AC12+AC11+AC10+AC9+AC8</f>
        <v>64846</v>
      </c>
      <c r="AD23" s="67">
        <f t="shared" ref="AD23:AO23" si="5">SUM(AD8:AD22)</f>
        <v>1632</v>
      </c>
      <c r="AE23" s="68" t="e">
        <f t="shared" si="5"/>
        <v>#REF!</v>
      </c>
      <c r="AF23" s="64">
        <f t="shared" si="5"/>
        <v>2129115</v>
      </c>
      <c r="AG23" s="64" t="e">
        <f t="shared" si="5"/>
        <v>#REF!</v>
      </c>
      <c r="AH23" s="67">
        <f t="shared" si="5"/>
        <v>49715</v>
      </c>
      <c r="AI23" s="68" t="e">
        <f t="shared" si="5"/>
        <v>#REF!</v>
      </c>
      <c r="AJ23" s="67">
        <f t="shared" si="5"/>
        <v>334954</v>
      </c>
      <c r="AK23" s="68" t="e">
        <f t="shared" si="5"/>
        <v>#REF!</v>
      </c>
      <c r="AL23" s="67">
        <f t="shared" si="5"/>
        <v>233710</v>
      </c>
      <c r="AM23" s="68" t="e">
        <f t="shared" si="5"/>
        <v>#REF!</v>
      </c>
      <c r="AN23" s="67">
        <f t="shared" si="5"/>
        <v>1510736</v>
      </c>
      <c r="AO23" s="68" t="e">
        <f t="shared" si="5"/>
        <v>#REF!</v>
      </c>
      <c r="AP23" s="62" t="s">
        <v>12</v>
      </c>
      <c r="AQ23" s="64">
        <f t="shared" ref="AQ23:BQ23" si="6">SUM(AQ8:AQ22)</f>
        <v>2720</v>
      </c>
      <c r="AR23" s="64" t="e">
        <f t="shared" si="6"/>
        <v>#REF!</v>
      </c>
      <c r="AS23" s="67">
        <f t="shared" si="6"/>
        <v>5</v>
      </c>
      <c r="AT23" s="68" t="e">
        <f t="shared" si="6"/>
        <v>#REF!</v>
      </c>
      <c r="AU23" s="67">
        <f t="shared" si="6"/>
        <v>3</v>
      </c>
      <c r="AV23" s="68" t="e">
        <f t="shared" si="6"/>
        <v>#REF!</v>
      </c>
      <c r="AW23" s="67">
        <f t="shared" si="6"/>
        <v>1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2711</v>
      </c>
      <c r="BB23" s="68" t="e">
        <f t="shared" si="6"/>
        <v>#REF!</v>
      </c>
      <c r="BC23" s="64">
        <f t="shared" si="6"/>
        <v>64007</v>
      </c>
      <c r="BD23" s="64" t="e">
        <f t="shared" si="6"/>
        <v>#REF!</v>
      </c>
      <c r="BE23" s="67">
        <f t="shared" si="6"/>
        <v>2541</v>
      </c>
      <c r="BF23" s="68" t="e">
        <f t="shared" si="6"/>
        <v>#REF!</v>
      </c>
      <c r="BG23" s="67">
        <f t="shared" si="6"/>
        <v>67</v>
      </c>
      <c r="BH23" s="68" t="e">
        <f t="shared" si="6"/>
        <v>#REF!</v>
      </c>
      <c r="BI23" s="67">
        <f t="shared" si="6"/>
        <v>55520</v>
      </c>
      <c r="BJ23" s="68" t="e">
        <f t="shared" si="6"/>
        <v>#REF!</v>
      </c>
      <c r="BK23" s="67">
        <f t="shared" si="6"/>
        <v>5879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68</v>
      </c>
      <c r="BQ23" s="71" t="e">
        <f t="shared" si="6"/>
        <v>#REF!</v>
      </c>
    </row>
    <row r="24" spans="1:73">
      <c r="F24" s="72"/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BU29"/>
  <sheetViews>
    <sheetView zoomScale="130" zoomScaleNormal="130" workbookViewId="0">
      <pane xSplit="4" ySplit="8" topLeftCell="AL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42578125" customWidth="1"/>
    <col min="5" max="6" width="6.28515625" customWidth="1"/>
    <col min="7" max="7" width="7.425781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9.85546875" customWidth="1"/>
    <col min="37" max="37" width="10.28515625" customWidth="1"/>
    <col min="38" max="38" width="10.85546875" customWidth="1"/>
    <col min="39" max="39" width="9.42578125" customWidth="1"/>
    <col min="40" max="40" width="11" customWidth="1"/>
    <col min="41" max="41" width="11.8554687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3</v>
      </c>
      <c r="G9" s="23" t="e">
        <f>F9+'03.04'!G9</f>
        <v>#REF!</v>
      </c>
      <c r="H9" s="33">
        <v>12</v>
      </c>
      <c r="I9" s="34">
        <v>0</v>
      </c>
      <c r="J9" s="23" t="e">
        <f>I9+'03.04'!J9</f>
        <v>#REF!</v>
      </c>
      <c r="K9" s="33">
        <v>2</v>
      </c>
      <c r="L9" s="22">
        <v>0</v>
      </c>
      <c r="M9" s="23" t="e">
        <f>L9+'03.04'!M9</f>
        <v>#REF!</v>
      </c>
      <c r="N9" s="33">
        <v>735</v>
      </c>
      <c r="O9" s="22">
        <v>0</v>
      </c>
      <c r="P9" s="23" t="e">
        <f>O9+'03.04'!P9</f>
        <v>#REF!</v>
      </c>
      <c r="Q9" s="33">
        <v>502</v>
      </c>
      <c r="R9" s="22">
        <v>0</v>
      </c>
      <c r="S9" s="23" t="e">
        <f>R9+'03.04'!S9</f>
        <v>#REF!</v>
      </c>
      <c r="T9" s="33">
        <v>197</v>
      </c>
      <c r="U9" s="22">
        <v>0</v>
      </c>
      <c r="V9" s="23" t="e">
        <f>U9+'03.04'!V9</f>
        <v>#REF!</v>
      </c>
      <c r="W9" s="33">
        <v>47</v>
      </c>
      <c r="X9" s="22">
        <v>0</v>
      </c>
      <c r="Y9" s="23" t="e">
        <f>X9+'03.04'!Y9</f>
        <v>#REF!</v>
      </c>
      <c r="Z9" s="33">
        <v>34</v>
      </c>
      <c r="AA9" s="22">
        <v>0</v>
      </c>
      <c r="AB9" s="23" t="e">
        <f>AA9+'03.04'!AB9</f>
        <v>#REF!</v>
      </c>
      <c r="AC9" s="33">
        <v>1860</v>
      </c>
      <c r="AD9" s="22">
        <v>0</v>
      </c>
      <c r="AE9" s="23" t="e">
        <f>AD9+'03.04'!AE9</f>
        <v>#REF!</v>
      </c>
      <c r="AF9" s="19">
        <f t="shared" ref="AF9:AG22" si="1">AH9+AJ9+AL9+AN9</f>
        <v>7166</v>
      </c>
      <c r="AG9" s="20" t="e">
        <f t="shared" si="1"/>
        <v>#REF!</v>
      </c>
      <c r="AH9" s="24">
        <v>68</v>
      </c>
      <c r="AI9" s="23" t="e">
        <f>AH9+'03.04'!AI9</f>
        <v>#REF!</v>
      </c>
      <c r="AJ9" s="24">
        <v>298</v>
      </c>
      <c r="AK9" s="23" t="e">
        <f>AJ9+'03.04'!AK9</f>
        <v>#REF!</v>
      </c>
      <c r="AL9" s="22">
        <v>2550</v>
      </c>
      <c r="AM9" s="23" t="e">
        <f>AL9+'03.04'!AM9</f>
        <v>#REF!</v>
      </c>
      <c r="AN9" s="22">
        <v>4250</v>
      </c>
      <c r="AO9" s="23" t="e">
        <f>AN9+'03.04'!AO9</f>
        <v>#REF!</v>
      </c>
      <c r="AP9" s="28" t="s">
        <v>43</v>
      </c>
      <c r="AQ9" s="19">
        <f t="shared" ref="AQ9:AR22" si="2">AS9+AU9+AW9+AY9+BA9</f>
        <v>58</v>
      </c>
      <c r="AR9" s="20" t="e">
        <f t="shared" si="2"/>
        <v>#REF!</v>
      </c>
      <c r="AS9" s="34">
        <v>1</v>
      </c>
      <c r="AT9" s="23" t="e">
        <f>AS9+'03.04'!AT9</f>
        <v>#REF!</v>
      </c>
      <c r="AU9" s="34">
        <v>1</v>
      </c>
      <c r="AV9" s="23" t="e">
        <f>AU9+'03.04'!AV9</f>
        <v>#REF!</v>
      </c>
      <c r="AW9" s="34">
        <v>1</v>
      </c>
      <c r="AX9" s="23" t="e">
        <f>AW9+'03.04'!AX9</f>
        <v>#REF!</v>
      </c>
      <c r="AY9" s="34">
        <v>1</v>
      </c>
      <c r="AZ9" s="23" t="e">
        <f>AY9+'03.04'!AZ9</f>
        <v>#REF!</v>
      </c>
      <c r="BA9" s="34">
        <v>54</v>
      </c>
      <c r="BB9" s="23" t="e">
        <f>BA9+'03.04'!BB9</f>
        <v>#REF!</v>
      </c>
      <c r="BC9" s="19">
        <f t="shared" ref="BC9:BD22" si="3">BE9+BG9+BI9+BK9+BM9</f>
        <v>401</v>
      </c>
      <c r="BD9" s="20" t="e">
        <f t="shared" si="3"/>
        <v>#REF!</v>
      </c>
      <c r="BE9" s="22">
        <v>1</v>
      </c>
      <c r="BF9" s="23" t="e">
        <f>BE9+'03.04'!BF9</f>
        <v>#REF!</v>
      </c>
      <c r="BG9" s="34">
        <v>0</v>
      </c>
      <c r="BH9" s="23" t="e">
        <f>BG9+'03.04'!BH9</f>
        <v>#REF!</v>
      </c>
      <c r="BI9" s="22">
        <v>400</v>
      </c>
      <c r="BJ9" s="23" t="e">
        <f>BI9+'03.04'!BJ9</f>
        <v>#REF!</v>
      </c>
      <c r="BK9" s="22">
        <v>0</v>
      </c>
      <c r="BL9" s="23" t="e">
        <f>BK9+'03.04'!BL9</f>
        <v>#REF!</v>
      </c>
      <c r="BM9" s="22">
        <v>0</v>
      </c>
      <c r="BN9" s="23" t="e">
        <f>BM9+'03.04'!BN9</f>
        <v>#REF!</v>
      </c>
      <c r="BO9" s="36">
        <v>14</v>
      </c>
      <c r="BP9" s="37">
        <v>0</v>
      </c>
      <c r="BQ9" s="23" t="e">
        <f>BP9+'03.04'!BQ9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179</v>
      </c>
      <c r="D10" s="31" t="e">
        <f t="shared" si="0"/>
        <v>#REF!</v>
      </c>
      <c r="E10" s="32">
        <v>585</v>
      </c>
      <c r="F10" s="22">
        <v>5</v>
      </c>
      <c r="G10" s="23" t="e">
        <f>F10+'03.04'!G10</f>
        <v>#REF!</v>
      </c>
      <c r="H10" s="33">
        <v>93</v>
      </c>
      <c r="I10" s="34">
        <v>1</v>
      </c>
      <c r="J10" s="23" t="e">
        <f>I10+'03.04'!J10</f>
        <v>#REF!</v>
      </c>
      <c r="K10" s="33">
        <v>34</v>
      </c>
      <c r="L10" s="22">
        <v>1</v>
      </c>
      <c r="M10" s="23" t="e">
        <f>L10+'03.04'!M10</f>
        <v>#REF!</v>
      </c>
      <c r="N10" s="33">
        <v>352</v>
      </c>
      <c r="O10" s="22">
        <v>4</v>
      </c>
      <c r="P10" s="23" t="e">
        <f>O10+'03.04'!P10</f>
        <v>#REF!</v>
      </c>
      <c r="Q10" s="33">
        <v>549</v>
      </c>
      <c r="R10" s="22">
        <v>1</v>
      </c>
      <c r="S10" s="23" t="e">
        <f>R10+'03.04'!S10</f>
        <v>#REF!</v>
      </c>
      <c r="T10" s="33">
        <v>198</v>
      </c>
      <c r="U10" s="22">
        <v>4</v>
      </c>
      <c r="V10" s="23" t="e">
        <f>U10+'03.04'!V10</f>
        <v>#REF!</v>
      </c>
      <c r="W10" s="38">
        <v>55</v>
      </c>
      <c r="X10" s="22">
        <v>8</v>
      </c>
      <c r="Y10" s="23" t="e">
        <f>X10+'03.04'!Y10</f>
        <v>#REF!</v>
      </c>
      <c r="Z10" s="38">
        <v>71</v>
      </c>
      <c r="AA10" s="22">
        <v>1</v>
      </c>
      <c r="AB10" s="23" t="e">
        <f>AA10+'03.04'!AB10</f>
        <v>#REF!</v>
      </c>
      <c r="AC10" s="38">
        <v>1690</v>
      </c>
      <c r="AD10" s="22">
        <v>154</v>
      </c>
      <c r="AE10" s="23" t="e">
        <f>AD10+'03.04'!AE10</f>
        <v>#REF!</v>
      </c>
      <c r="AF10" s="19">
        <f t="shared" si="1"/>
        <v>118041</v>
      </c>
      <c r="AG10" s="20" t="e">
        <f t="shared" si="1"/>
        <v>#REF!</v>
      </c>
      <c r="AH10" s="24">
        <v>550</v>
      </c>
      <c r="AI10" s="23" t="e">
        <f>AH10+'03.04'!AI10</f>
        <v>#REF!</v>
      </c>
      <c r="AJ10" s="24">
        <v>3457</v>
      </c>
      <c r="AK10" s="23" t="e">
        <f>AJ10+'03.04'!AK10</f>
        <v>#REF!</v>
      </c>
      <c r="AL10" s="22">
        <v>17036</v>
      </c>
      <c r="AM10" s="23" t="e">
        <f>AL10+'03.04'!AM10</f>
        <v>#REF!</v>
      </c>
      <c r="AN10" s="22">
        <v>96998</v>
      </c>
      <c r="AO10" s="23" t="e">
        <f>AN10+'03.04'!AO10</f>
        <v>#REF!</v>
      </c>
      <c r="AP10" s="28" t="s">
        <v>44</v>
      </c>
      <c r="AQ10" s="19">
        <f t="shared" si="2"/>
        <v>2</v>
      </c>
      <c r="AR10" s="20" t="e">
        <f t="shared" si="2"/>
        <v>#REF!</v>
      </c>
      <c r="AS10" s="34">
        <v>0</v>
      </c>
      <c r="AT10" s="23" t="e">
        <f>AS10+'03.04'!AT10</f>
        <v>#REF!</v>
      </c>
      <c r="AU10" s="34">
        <v>0</v>
      </c>
      <c r="AV10" s="23" t="e">
        <f>AU10+'03.04'!AV10</f>
        <v>#REF!</v>
      </c>
      <c r="AW10" s="34">
        <v>0</v>
      </c>
      <c r="AX10" s="23" t="e">
        <f>AW10+'03.04'!AX10</f>
        <v>#REF!</v>
      </c>
      <c r="AY10" s="34">
        <v>0</v>
      </c>
      <c r="AZ10" s="23" t="e">
        <f>AY10+'03.04'!AZ10</f>
        <v>#REF!</v>
      </c>
      <c r="BA10" s="34">
        <v>2</v>
      </c>
      <c r="BB10" s="23" t="e">
        <f>BA10+'03.04'!BB10</f>
        <v>#REF!</v>
      </c>
      <c r="BC10" s="19">
        <f t="shared" si="3"/>
        <v>4608</v>
      </c>
      <c r="BD10" s="20" t="e">
        <f t="shared" si="3"/>
        <v>#REF!</v>
      </c>
      <c r="BE10" s="22">
        <v>645</v>
      </c>
      <c r="BF10" s="23" t="e">
        <f>BE10+'03.04'!BF10</f>
        <v>#REF!</v>
      </c>
      <c r="BG10" s="34">
        <v>0</v>
      </c>
      <c r="BH10" s="23" t="e">
        <f>BG10+'03.04'!BH10</f>
        <v>#REF!</v>
      </c>
      <c r="BI10" s="22">
        <v>2692</v>
      </c>
      <c r="BJ10" s="23" t="e">
        <f>BI10+'03.04'!BJ10</f>
        <v>#REF!</v>
      </c>
      <c r="BK10" s="22">
        <v>1270</v>
      </c>
      <c r="BL10" s="23" t="e">
        <f>BK10+'03.04'!BL10</f>
        <v>#REF!</v>
      </c>
      <c r="BM10" s="22">
        <v>1</v>
      </c>
      <c r="BN10" s="23" t="e">
        <f>BM10+'03.04'!BN10</f>
        <v>#REF!</v>
      </c>
      <c r="BO10" s="36">
        <v>32</v>
      </c>
      <c r="BP10" s="37">
        <v>0</v>
      </c>
      <c r="BQ10" s="23" t="e">
        <f>BP10+'03.04'!BQ10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150</v>
      </c>
      <c r="D11" s="31" t="e">
        <f t="shared" si="0"/>
        <v>#REF!</v>
      </c>
      <c r="E11" s="32">
        <v>883</v>
      </c>
      <c r="F11" s="22">
        <v>65</v>
      </c>
      <c r="G11" s="23" t="e">
        <f>F11+'03.04'!G11</f>
        <v>#REF!</v>
      </c>
      <c r="H11" s="33">
        <v>16</v>
      </c>
      <c r="I11" s="34">
        <v>0</v>
      </c>
      <c r="J11" s="23" t="e">
        <f>I11+'03.04'!J11</f>
        <v>#REF!</v>
      </c>
      <c r="K11" s="33">
        <v>3</v>
      </c>
      <c r="L11" s="22">
        <v>0</v>
      </c>
      <c r="M11" s="23" t="e">
        <f>L11+'03.04'!M11</f>
        <v>#REF!</v>
      </c>
      <c r="N11" s="33">
        <v>875</v>
      </c>
      <c r="O11" s="22">
        <v>0</v>
      </c>
      <c r="P11" s="23" t="e">
        <f>O11+'03.04'!P11</f>
        <v>#REF!</v>
      </c>
      <c r="Q11" s="33">
        <v>2424</v>
      </c>
      <c r="R11" s="22">
        <v>0</v>
      </c>
      <c r="S11" s="23" t="e">
        <f>R11+'03.04'!S11</f>
        <v>#REF!</v>
      </c>
      <c r="T11" s="33">
        <v>69</v>
      </c>
      <c r="U11" s="22">
        <v>0</v>
      </c>
      <c r="V11" s="23" t="e">
        <f>U11+'03.04'!V11</f>
        <v>#REF!</v>
      </c>
      <c r="W11" s="38">
        <v>133</v>
      </c>
      <c r="X11" s="22">
        <v>77</v>
      </c>
      <c r="Y11" s="23" t="e">
        <f>X11+'03.04'!Y11</f>
        <v>#REF!</v>
      </c>
      <c r="Z11" s="38">
        <v>1116</v>
      </c>
      <c r="AA11" s="22">
        <v>0</v>
      </c>
      <c r="AB11" s="23" t="e">
        <f>AA11+'03.04'!AB11</f>
        <v>#REF!</v>
      </c>
      <c r="AC11" s="38">
        <v>9862</v>
      </c>
      <c r="AD11" s="22">
        <v>8</v>
      </c>
      <c r="AE11" s="23" t="e">
        <f>AD11+'03.04'!AE11</f>
        <v>#REF!</v>
      </c>
      <c r="AF11" s="19">
        <f t="shared" si="1"/>
        <v>181800</v>
      </c>
      <c r="AG11" s="20" t="e">
        <f t="shared" si="1"/>
        <v>#REF!</v>
      </c>
      <c r="AH11" s="24">
        <v>7600</v>
      </c>
      <c r="AI11" s="23" t="e">
        <f>AH11+'03.04'!AI11</f>
        <v>#REF!</v>
      </c>
      <c r="AJ11" s="24">
        <v>9200</v>
      </c>
      <c r="AK11" s="23" t="e">
        <f>AJ11+'03.04'!AK11</f>
        <v>#REF!</v>
      </c>
      <c r="AL11" s="22">
        <v>56000</v>
      </c>
      <c r="AM11" s="23" t="e">
        <f>AL11+'03.04'!AM11</f>
        <v>#REF!</v>
      </c>
      <c r="AN11" s="22">
        <v>109000</v>
      </c>
      <c r="AO11" s="23" t="e">
        <f>AN11+'03.04'!AO11</f>
        <v>#REF!</v>
      </c>
      <c r="AP11" s="28" t="s">
        <v>45</v>
      </c>
      <c r="AQ11" s="19">
        <f t="shared" si="2"/>
        <v>10</v>
      </c>
      <c r="AR11" s="20" t="e">
        <f t="shared" si="2"/>
        <v>#REF!</v>
      </c>
      <c r="AS11" s="34">
        <v>0</v>
      </c>
      <c r="AT11" s="23" t="e">
        <f>AS11+'03.04'!AT11</f>
        <v>#REF!</v>
      </c>
      <c r="AU11" s="34">
        <v>0</v>
      </c>
      <c r="AV11" s="23" t="e">
        <f>AU11+'03.04'!AV11</f>
        <v>#REF!</v>
      </c>
      <c r="AW11" s="34">
        <v>0</v>
      </c>
      <c r="AX11" s="23" t="e">
        <f>AW11+'03.04'!AX11</f>
        <v>#REF!</v>
      </c>
      <c r="AY11" s="34">
        <v>0</v>
      </c>
      <c r="AZ11" s="23" t="e">
        <f>AY11+'03.04'!AZ11</f>
        <v>#REF!</v>
      </c>
      <c r="BA11" s="34">
        <v>10</v>
      </c>
      <c r="BB11" s="23" t="e">
        <f>BA11+'03.04'!BB11</f>
        <v>#REF!</v>
      </c>
      <c r="BC11" s="19">
        <f t="shared" si="3"/>
        <v>6050</v>
      </c>
      <c r="BD11" s="20" t="e">
        <f t="shared" si="3"/>
        <v>#REF!</v>
      </c>
      <c r="BE11" s="22">
        <v>11</v>
      </c>
      <c r="BF11" s="23" t="e">
        <f>BE11+'03.04'!BF11</f>
        <v>#REF!</v>
      </c>
      <c r="BG11" s="34">
        <v>7</v>
      </c>
      <c r="BH11" s="23" t="e">
        <f>BG11+'03.04'!BH11</f>
        <v>#REF!</v>
      </c>
      <c r="BI11" s="22">
        <v>5900</v>
      </c>
      <c r="BJ11" s="23" t="e">
        <f>BI11+'03.04'!BJ11</f>
        <v>#REF!</v>
      </c>
      <c r="BK11" s="22">
        <v>132</v>
      </c>
      <c r="BL11" s="23" t="e">
        <f>BK11+'03.04'!BL11</f>
        <v>#REF!</v>
      </c>
      <c r="BM11" s="22">
        <v>0</v>
      </c>
      <c r="BN11" s="23" t="e">
        <f>BM11+'03.04'!BN11</f>
        <v>#REF!</v>
      </c>
      <c r="BO11" s="36">
        <v>11506</v>
      </c>
      <c r="BP11" s="37">
        <v>7</v>
      </c>
      <c r="BQ11" s="23" t="e">
        <f>BP11+'03.04'!BQ11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252</v>
      </c>
      <c r="D12" s="31" t="e">
        <f t="shared" si="0"/>
        <v>#REF!</v>
      </c>
      <c r="E12" s="32">
        <v>909</v>
      </c>
      <c r="F12" s="22">
        <v>43</v>
      </c>
      <c r="G12" s="23" t="e">
        <f>F12+'03.04'!G12</f>
        <v>#REF!</v>
      </c>
      <c r="H12" s="33">
        <v>80</v>
      </c>
      <c r="I12" s="34">
        <v>5</v>
      </c>
      <c r="J12" s="23" t="e">
        <f>I12+'03.04'!J12</f>
        <v>#REF!</v>
      </c>
      <c r="K12" s="33">
        <v>5</v>
      </c>
      <c r="L12" s="22">
        <v>0</v>
      </c>
      <c r="M12" s="23" t="e">
        <f>L12+'03.04'!M12</f>
        <v>#REF!</v>
      </c>
      <c r="N12" s="33">
        <v>820</v>
      </c>
      <c r="O12" s="22">
        <v>22</v>
      </c>
      <c r="P12" s="23" t="e">
        <f>O12+'03.04'!P12</f>
        <v>#REF!</v>
      </c>
      <c r="Q12" s="33">
        <v>549</v>
      </c>
      <c r="R12" s="22">
        <v>0</v>
      </c>
      <c r="S12" s="23" t="e">
        <f>R12+'03.04'!S12</f>
        <v>#REF!</v>
      </c>
      <c r="T12" s="33">
        <v>992</v>
      </c>
      <c r="U12" s="22">
        <v>0</v>
      </c>
      <c r="V12" s="23" t="e">
        <f>U12+'03.04'!V12</f>
        <v>#REF!</v>
      </c>
      <c r="W12" s="33">
        <v>38</v>
      </c>
      <c r="X12" s="22">
        <v>151</v>
      </c>
      <c r="Y12" s="23" t="e">
        <f>X12+'03.04'!Y12</f>
        <v>#REF!</v>
      </c>
      <c r="Z12" s="33">
        <v>68</v>
      </c>
      <c r="AA12" s="22">
        <v>0</v>
      </c>
      <c r="AB12" s="23" t="e">
        <f>AA12+'03.04'!AB12</f>
        <v>#REF!</v>
      </c>
      <c r="AC12" s="33">
        <v>26703</v>
      </c>
      <c r="AD12" s="22">
        <v>31</v>
      </c>
      <c r="AE12" s="23" t="e">
        <f>AD12+'03.04'!AE12</f>
        <v>#REF!</v>
      </c>
      <c r="AF12" s="19">
        <f t="shared" si="1"/>
        <v>18000</v>
      </c>
      <c r="AG12" s="20" t="e">
        <f t="shared" si="1"/>
        <v>#REF!</v>
      </c>
      <c r="AH12" s="24">
        <v>6000</v>
      </c>
      <c r="AI12" s="23" t="e">
        <f>AH12+'03.04'!AI12</f>
        <v>#REF!</v>
      </c>
      <c r="AJ12" s="24">
        <v>10500</v>
      </c>
      <c r="AK12" s="23" t="e">
        <f>AJ12+'03.04'!AK12</f>
        <v>#REF!</v>
      </c>
      <c r="AL12" s="22">
        <v>300</v>
      </c>
      <c r="AM12" s="23" t="e">
        <f>AL12+'03.04'!AM12</f>
        <v>#REF!</v>
      </c>
      <c r="AN12" s="22">
        <v>1200</v>
      </c>
      <c r="AO12" s="23" t="e">
        <f>AN12+'03.04'!AO12</f>
        <v>#REF!</v>
      </c>
      <c r="AP12" s="28" t="s">
        <v>46</v>
      </c>
      <c r="AQ12" s="19">
        <f t="shared" si="2"/>
        <v>97</v>
      </c>
      <c r="AR12" s="20" t="e">
        <f t="shared" si="2"/>
        <v>#REF!</v>
      </c>
      <c r="AS12" s="34">
        <v>0</v>
      </c>
      <c r="AT12" s="23" t="e">
        <f>AS12+'03.04'!AT12</f>
        <v>#REF!</v>
      </c>
      <c r="AU12" s="34">
        <v>0</v>
      </c>
      <c r="AV12" s="23" t="e">
        <f>AU12+'03.04'!AV12</f>
        <v>#REF!</v>
      </c>
      <c r="AW12" s="34">
        <v>0</v>
      </c>
      <c r="AX12" s="23" t="e">
        <f>AW12+'03.04'!AX12</f>
        <v>#REF!</v>
      </c>
      <c r="AY12" s="34">
        <v>0</v>
      </c>
      <c r="AZ12" s="23" t="e">
        <f>AY12+'03.04'!AZ12</f>
        <v>#REF!</v>
      </c>
      <c r="BA12" s="34">
        <v>97</v>
      </c>
      <c r="BB12" s="23" t="e">
        <f>BA12+'03.04'!BB12</f>
        <v>#REF!</v>
      </c>
      <c r="BC12" s="19">
        <f t="shared" si="3"/>
        <v>2749</v>
      </c>
      <c r="BD12" s="20" t="e">
        <f t="shared" si="3"/>
        <v>#REF!</v>
      </c>
      <c r="BE12" s="22">
        <v>134</v>
      </c>
      <c r="BF12" s="23" t="e">
        <f>BE12+'03.04'!BF12</f>
        <v>#REF!</v>
      </c>
      <c r="BG12" s="34">
        <v>15</v>
      </c>
      <c r="BH12" s="23" t="e">
        <f>BG12+'03.04'!BH12</f>
        <v>#REF!</v>
      </c>
      <c r="BI12" s="22">
        <v>2300</v>
      </c>
      <c r="BJ12" s="23" t="e">
        <f>BI12+'03.04'!BJ12</f>
        <v>#REF!</v>
      </c>
      <c r="BK12" s="22">
        <v>300</v>
      </c>
      <c r="BL12" s="23" t="e">
        <f>BK12+'03.04'!BL12</f>
        <v>#REF!</v>
      </c>
      <c r="BM12" s="22">
        <v>0</v>
      </c>
      <c r="BN12" s="23" t="e">
        <f>BM12+'03.04'!BN12</f>
        <v>#REF!</v>
      </c>
      <c r="BO12" s="36"/>
      <c r="BP12" s="37">
        <v>2</v>
      </c>
      <c r="BQ12" s="23" t="e">
        <f>BP12+'03.04'!BQ12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 t="e">
        <f t="shared" si="0"/>
        <v>#REF!</v>
      </c>
      <c r="E13" s="32">
        <v>516</v>
      </c>
      <c r="F13" s="22">
        <v>1</v>
      </c>
      <c r="G13" s="23" t="e">
        <f>F13+'03.04'!G13</f>
        <v>#REF!</v>
      </c>
      <c r="H13" s="33">
        <v>10</v>
      </c>
      <c r="I13" s="34">
        <v>0</v>
      </c>
      <c r="J13" s="23" t="e">
        <f>I13+'03.04'!J13</f>
        <v>#REF!</v>
      </c>
      <c r="K13" s="33">
        <v>38</v>
      </c>
      <c r="L13" s="22">
        <v>0</v>
      </c>
      <c r="M13" s="23" t="e">
        <f>L13+'03.04'!M13</f>
        <v>#REF!</v>
      </c>
      <c r="N13" s="33">
        <v>581</v>
      </c>
      <c r="O13" s="22">
        <v>1</v>
      </c>
      <c r="P13" s="23" t="e">
        <f>O13+'03.04'!P13</f>
        <v>#REF!</v>
      </c>
      <c r="Q13" s="33">
        <v>525</v>
      </c>
      <c r="R13" s="22">
        <v>0</v>
      </c>
      <c r="S13" s="23" t="e">
        <f>R13+'03.04'!S13</f>
        <v>#REF!</v>
      </c>
      <c r="T13" s="33">
        <v>263</v>
      </c>
      <c r="U13" s="22">
        <v>0</v>
      </c>
      <c r="V13" s="23" t="e">
        <f>U13+'03.04'!V13</f>
        <v>#REF!</v>
      </c>
      <c r="W13" s="33">
        <v>43</v>
      </c>
      <c r="X13" s="22">
        <v>0</v>
      </c>
      <c r="Y13" s="23" t="e">
        <f>X13+'03.04'!Y13</f>
        <v>#REF!</v>
      </c>
      <c r="Z13" s="33">
        <v>17</v>
      </c>
      <c r="AA13" s="22">
        <v>0</v>
      </c>
      <c r="AB13" s="23" t="e">
        <f>AA13+'03.04'!AB13</f>
        <v>#REF!</v>
      </c>
      <c r="AC13" s="33">
        <v>51</v>
      </c>
      <c r="AD13" s="22">
        <v>1</v>
      </c>
      <c r="AE13" s="23" t="e">
        <f>AD13+'03.04'!AE13</f>
        <v>#REF!</v>
      </c>
      <c r="AF13" s="19">
        <f t="shared" si="1"/>
        <v>277000</v>
      </c>
      <c r="AG13" s="20" t="e">
        <f t="shared" si="1"/>
        <v>#REF!</v>
      </c>
      <c r="AH13" s="24">
        <v>1000</v>
      </c>
      <c r="AI13" s="23" t="e">
        <f>AH13+'03.04'!AI13</f>
        <v>#REF!</v>
      </c>
      <c r="AJ13" s="24">
        <v>6000</v>
      </c>
      <c r="AK13" s="23" t="e">
        <f>AJ13+'03.04'!AK13</f>
        <v>#REF!</v>
      </c>
      <c r="AL13" s="22">
        <v>20000</v>
      </c>
      <c r="AM13" s="23" t="e">
        <f>AL13+'03.04'!AM13</f>
        <v>#REF!</v>
      </c>
      <c r="AN13" s="22">
        <v>250000</v>
      </c>
      <c r="AO13" s="23" t="e">
        <f>AN13+'03.04'!AO13</f>
        <v>#REF!</v>
      </c>
      <c r="AP13" s="28" t="s">
        <v>47</v>
      </c>
      <c r="AQ13" s="19">
        <f t="shared" si="2"/>
        <v>20</v>
      </c>
      <c r="AR13" s="20" t="e">
        <f t="shared" si="2"/>
        <v>#REF!</v>
      </c>
      <c r="AS13" s="34">
        <v>0</v>
      </c>
      <c r="AT13" s="23" t="e">
        <f>AS13+'03.04'!AT13</f>
        <v>#REF!</v>
      </c>
      <c r="AU13" s="34">
        <v>0</v>
      </c>
      <c r="AV13" s="23" t="e">
        <f>AU13+'03.04'!AV13</f>
        <v>#REF!</v>
      </c>
      <c r="AW13" s="34">
        <v>0</v>
      </c>
      <c r="AX13" s="23" t="e">
        <f>AW13+'03.04'!AX13</f>
        <v>#REF!</v>
      </c>
      <c r="AY13" s="34">
        <v>0</v>
      </c>
      <c r="AZ13" s="23" t="e">
        <f>AY13+'03.04'!AZ13</f>
        <v>#REF!</v>
      </c>
      <c r="BA13" s="34">
        <v>20</v>
      </c>
      <c r="BB13" s="23" t="e">
        <f>BA13+'03.04'!BB13</f>
        <v>#REF!</v>
      </c>
      <c r="BC13" s="19">
        <f t="shared" si="3"/>
        <v>4576</v>
      </c>
      <c r="BD13" s="20" t="e">
        <f t="shared" si="3"/>
        <v>#REF!</v>
      </c>
      <c r="BE13" s="22">
        <v>516</v>
      </c>
      <c r="BF13" s="23" t="e">
        <f>BE13+'03.04'!BF13</f>
        <v>#REF!</v>
      </c>
      <c r="BG13" s="34">
        <v>10</v>
      </c>
      <c r="BH13" s="23" t="e">
        <f>BG13+'03.04'!BH13</f>
        <v>#REF!</v>
      </c>
      <c r="BI13" s="22">
        <v>4000</v>
      </c>
      <c r="BJ13" s="23" t="e">
        <f>BI13+'03.04'!BJ13</f>
        <v>#REF!</v>
      </c>
      <c r="BK13" s="22">
        <v>50</v>
      </c>
      <c r="BL13" s="23" t="e">
        <f>BK13+'03.04'!BL13</f>
        <v>#REF!</v>
      </c>
      <c r="BM13" s="22">
        <v>0</v>
      </c>
      <c r="BN13" s="23" t="e">
        <f>BM13+'03.04'!BN13</f>
        <v>#REF!</v>
      </c>
      <c r="BO13" s="36"/>
      <c r="BP13" s="37">
        <v>1</v>
      </c>
      <c r="BQ13" s="23" t="e">
        <f>BP13+'03.04'!BQ13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426</v>
      </c>
      <c r="D14" s="42" t="e">
        <f t="shared" si="0"/>
        <v>#REF!</v>
      </c>
      <c r="E14" s="43">
        <v>304</v>
      </c>
      <c r="F14" s="22">
        <v>103</v>
      </c>
      <c r="G14" s="23" t="e">
        <f>F14+'03.04'!G14</f>
        <v>#REF!</v>
      </c>
      <c r="H14" s="44">
        <v>5</v>
      </c>
      <c r="I14" s="45">
        <v>0</v>
      </c>
      <c r="J14" s="23" t="e">
        <f>I14+'03.04'!J14</f>
        <v>#REF!</v>
      </c>
      <c r="K14" s="44">
        <v>34</v>
      </c>
      <c r="L14" s="22">
        <v>0</v>
      </c>
      <c r="M14" s="23" t="e">
        <f>L14+'03.04'!M14</f>
        <v>#REF!</v>
      </c>
      <c r="N14" s="44">
        <v>583</v>
      </c>
      <c r="O14" s="22">
        <v>0</v>
      </c>
      <c r="P14" s="23" t="e">
        <f>O14+'03.04'!P14</f>
        <v>#REF!</v>
      </c>
      <c r="Q14" s="44">
        <v>254</v>
      </c>
      <c r="R14" s="22">
        <v>0</v>
      </c>
      <c r="S14" s="23" t="e">
        <f>R14+'03.04'!S14</f>
        <v>#REF!</v>
      </c>
      <c r="T14" s="44">
        <v>196</v>
      </c>
      <c r="U14" s="22">
        <v>0</v>
      </c>
      <c r="V14" s="23" t="e">
        <f>U14+'03.04'!V14</f>
        <v>#REF!</v>
      </c>
      <c r="W14" s="44">
        <v>30</v>
      </c>
      <c r="X14" s="22">
        <v>15</v>
      </c>
      <c r="Y14" s="23" t="e">
        <f>X14+'03.04'!Y14</f>
        <v>#REF!</v>
      </c>
      <c r="Z14" s="44">
        <v>10</v>
      </c>
      <c r="AA14" s="22">
        <v>0</v>
      </c>
      <c r="AB14" s="23" t="e">
        <f>AA14+'03.04'!AB14</f>
        <v>#REF!</v>
      </c>
      <c r="AC14" s="44">
        <v>2500</v>
      </c>
      <c r="AD14" s="22">
        <v>308</v>
      </c>
      <c r="AE14" s="23" t="e">
        <f>AD14+'03.04'!AE14</f>
        <v>#REF!</v>
      </c>
      <c r="AF14" s="19">
        <f t="shared" si="1"/>
        <v>198050</v>
      </c>
      <c r="AG14" s="20" t="e">
        <f t="shared" si="1"/>
        <v>#REF!</v>
      </c>
      <c r="AH14" s="24">
        <v>2540</v>
      </c>
      <c r="AI14" s="23" t="e">
        <f>AH14+'03.04'!AI14</f>
        <v>#REF!</v>
      </c>
      <c r="AJ14" s="24">
        <v>11140</v>
      </c>
      <c r="AK14" s="23" t="e">
        <f>AJ14+'03.04'!AK14</f>
        <v>#REF!</v>
      </c>
      <c r="AL14" s="22">
        <v>20520</v>
      </c>
      <c r="AM14" s="23" t="e">
        <f>AL14+'03.04'!AM14</f>
        <v>#REF!</v>
      </c>
      <c r="AN14" s="22">
        <v>163850</v>
      </c>
      <c r="AO14" s="23" t="e">
        <f>AN14+'03.04'!AO14</f>
        <v>#REF!</v>
      </c>
      <c r="AP14" s="39" t="s">
        <v>48</v>
      </c>
      <c r="AQ14" s="19">
        <f t="shared" si="2"/>
        <v>13</v>
      </c>
      <c r="AR14" s="20" t="e">
        <f t="shared" si="2"/>
        <v>#REF!</v>
      </c>
      <c r="AS14" s="45">
        <v>1</v>
      </c>
      <c r="AT14" s="23" t="e">
        <f>AS14+'03.04'!AT14</f>
        <v>#REF!</v>
      </c>
      <c r="AU14" s="45">
        <v>1</v>
      </c>
      <c r="AV14" s="23" t="e">
        <f>AU14+'03.04'!AV14</f>
        <v>#REF!</v>
      </c>
      <c r="AW14" s="45">
        <v>1</v>
      </c>
      <c r="AX14" s="23" t="e">
        <f>AW14+'03.04'!AX14</f>
        <v>#REF!</v>
      </c>
      <c r="AY14" s="45">
        <v>0</v>
      </c>
      <c r="AZ14" s="23" t="e">
        <f>AY14+'03.04'!AZ14</f>
        <v>#REF!</v>
      </c>
      <c r="BA14" s="45">
        <v>10</v>
      </c>
      <c r="BB14" s="23" t="e">
        <f>BA14+'03.04'!BB14</f>
        <v>#REF!</v>
      </c>
      <c r="BC14" s="19">
        <f t="shared" si="3"/>
        <v>5241</v>
      </c>
      <c r="BD14" s="20" t="e">
        <f t="shared" si="3"/>
        <v>#REF!</v>
      </c>
      <c r="BE14" s="22">
        <v>10</v>
      </c>
      <c r="BF14" s="23" t="e">
        <f>BE14+'03.04'!BF14</f>
        <v>#REF!</v>
      </c>
      <c r="BG14" s="45">
        <v>7</v>
      </c>
      <c r="BH14" s="23" t="e">
        <f>BG14+'03.04'!BH14</f>
        <v>#REF!</v>
      </c>
      <c r="BI14" s="22">
        <v>5200</v>
      </c>
      <c r="BJ14" s="23" t="e">
        <f>BI14+'03.04'!BJ14</f>
        <v>#REF!</v>
      </c>
      <c r="BK14" s="22">
        <v>24</v>
      </c>
      <c r="BL14" s="23" t="e">
        <f>BK14+'03.04'!BL14</f>
        <v>#REF!</v>
      </c>
      <c r="BM14" s="22">
        <v>0</v>
      </c>
      <c r="BN14" s="23" t="e">
        <f>BM14+'03.04'!BN14</f>
        <v>#REF!</v>
      </c>
      <c r="BO14" s="48">
        <v>2</v>
      </c>
      <c r="BP14" s="49">
        <v>0</v>
      </c>
      <c r="BQ14" s="23" t="e">
        <f>BP14+'03.04'!BQ14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472</v>
      </c>
      <c r="D15" s="53" t="e">
        <f t="shared" si="0"/>
        <v>#REF!</v>
      </c>
      <c r="E15" s="54">
        <v>776</v>
      </c>
      <c r="F15" s="55">
        <v>325</v>
      </c>
      <c r="G15" s="23" t="e">
        <f>F15+'03.04'!G15</f>
        <v>#REF!</v>
      </c>
      <c r="H15" s="56">
        <v>9</v>
      </c>
      <c r="I15" s="57">
        <v>0</v>
      </c>
      <c r="J15" s="23" t="e">
        <f>I15+'03.04'!J15</f>
        <v>#REF!</v>
      </c>
      <c r="K15" s="56">
        <v>6</v>
      </c>
      <c r="L15" s="55">
        <v>0</v>
      </c>
      <c r="M15" s="23" t="e">
        <f>L15+'03.04'!M15</f>
        <v>#REF!</v>
      </c>
      <c r="N15" s="56">
        <v>1305</v>
      </c>
      <c r="O15" s="55">
        <v>0</v>
      </c>
      <c r="P15" s="23" t="e">
        <f>O15+'03.04'!P15</f>
        <v>#REF!</v>
      </c>
      <c r="Q15" s="56">
        <v>447</v>
      </c>
      <c r="R15" s="55">
        <v>0</v>
      </c>
      <c r="S15" s="23" t="e">
        <f>R15+'03.04'!S15</f>
        <v>#REF!</v>
      </c>
      <c r="T15" s="56">
        <v>337</v>
      </c>
      <c r="U15" s="55">
        <v>0</v>
      </c>
      <c r="V15" s="23" t="e">
        <f>U15+'03.04'!V15</f>
        <v>#REF!</v>
      </c>
      <c r="W15" s="56">
        <v>78</v>
      </c>
      <c r="X15" s="55">
        <v>0</v>
      </c>
      <c r="Y15" s="23" t="e">
        <f>X15+'03.04'!Y15</f>
        <v>#REF!</v>
      </c>
      <c r="Z15" s="56">
        <v>141</v>
      </c>
      <c r="AA15" s="55">
        <v>0</v>
      </c>
      <c r="AB15" s="23" t="e">
        <f>AA15+'03.04'!AB15</f>
        <v>#REF!</v>
      </c>
      <c r="AC15" s="56">
        <v>798</v>
      </c>
      <c r="AD15" s="55">
        <v>147</v>
      </c>
      <c r="AE15" s="23" t="e">
        <f>AD15+'03.04'!AE15</f>
        <v>#REF!</v>
      </c>
      <c r="AF15" s="58">
        <f t="shared" si="1"/>
        <v>1270280</v>
      </c>
      <c r="AG15" s="59" t="e">
        <f t="shared" si="1"/>
        <v>#REF!</v>
      </c>
      <c r="AH15" s="60">
        <v>1030</v>
      </c>
      <c r="AI15" s="23" t="e">
        <f>AH15+'03.04'!AI15</f>
        <v>#REF!</v>
      </c>
      <c r="AJ15" s="60">
        <v>3400</v>
      </c>
      <c r="AK15" s="23" t="e">
        <f>AJ15+'03.04'!AK15</f>
        <v>#REF!</v>
      </c>
      <c r="AL15" s="55">
        <v>632925</v>
      </c>
      <c r="AM15" s="23" t="e">
        <f>AL15+'03.04'!AM15</f>
        <v>#REF!</v>
      </c>
      <c r="AN15" s="55">
        <v>632925</v>
      </c>
      <c r="AO15" s="23" t="e">
        <f>AN15+'03.04'!AO15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AS15+'03.04'!AT15</f>
        <v>#REF!</v>
      </c>
      <c r="AU15" s="57">
        <v>0</v>
      </c>
      <c r="AV15" s="23" t="e">
        <f>AU15+'03.04'!AV15</f>
        <v>#REF!</v>
      </c>
      <c r="AW15" s="57">
        <v>0</v>
      </c>
      <c r="AX15" s="23" t="e">
        <f>AW15+'03.04'!AX15</f>
        <v>#REF!</v>
      </c>
      <c r="AY15" s="57">
        <v>0</v>
      </c>
      <c r="AZ15" s="23" t="e">
        <f>AY15+'03.04'!AZ15</f>
        <v>#REF!</v>
      </c>
      <c r="BA15" s="57">
        <v>4</v>
      </c>
      <c r="BB15" s="23" t="e">
        <f>BA15+'03.04'!BB15</f>
        <v>#REF!</v>
      </c>
      <c r="BC15" s="58">
        <f t="shared" si="3"/>
        <v>1948</v>
      </c>
      <c r="BD15" s="59" t="e">
        <f t="shared" si="3"/>
        <v>#REF!</v>
      </c>
      <c r="BE15" s="55">
        <v>65</v>
      </c>
      <c r="BF15" s="23" t="e">
        <f>BE15+'03.04'!BF15</f>
        <v>#REF!</v>
      </c>
      <c r="BG15" s="57">
        <v>3</v>
      </c>
      <c r="BH15" s="23" t="e">
        <f>BG15+'03.04'!BH15</f>
        <v>#REF!</v>
      </c>
      <c r="BI15" s="55">
        <v>940</v>
      </c>
      <c r="BJ15" s="23" t="e">
        <f>BI15+'03.04'!BJ15</f>
        <v>#REF!</v>
      </c>
      <c r="BK15" s="55">
        <v>940</v>
      </c>
      <c r="BL15" s="23" t="e">
        <f>BK15+'03.04'!BL15</f>
        <v>#REF!</v>
      </c>
      <c r="BM15" s="55">
        <v>0</v>
      </c>
      <c r="BN15" s="23" t="e">
        <f>BM15+'03.04'!BN15</f>
        <v>#REF!</v>
      </c>
      <c r="BO15" s="36">
        <v>6274</v>
      </c>
      <c r="BP15" s="37">
        <v>2</v>
      </c>
      <c r="BQ15" s="23" t="e">
        <f>BP15+'03.04'!BQ15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117</v>
      </c>
      <c r="D16" s="31" t="e">
        <f t="shared" si="0"/>
        <v>#REF!</v>
      </c>
      <c r="E16" s="32">
        <v>310</v>
      </c>
      <c r="F16" s="22">
        <v>46</v>
      </c>
      <c r="G16" s="23" t="e">
        <f>F16+'03.04'!G16</f>
        <v>#REF!</v>
      </c>
      <c r="H16" s="33">
        <v>5</v>
      </c>
      <c r="I16" s="34">
        <v>0</v>
      </c>
      <c r="J16" s="23" t="e">
        <f>I16+'03.04'!J16</f>
        <v>#REF!</v>
      </c>
      <c r="K16" s="33">
        <v>3</v>
      </c>
      <c r="L16" s="22">
        <v>0</v>
      </c>
      <c r="M16" s="23" t="e">
        <f>L16+'03.04'!M16</f>
        <v>#REF!</v>
      </c>
      <c r="N16" s="33">
        <v>384</v>
      </c>
      <c r="O16" s="22">
        <v>0</v>
      </c>
      <c r="P16" s="23" t="e">
        <f>O16+'03.04'!P16</f>
        <v>#REF!</v>
      </c>
      <c r="Q16" s="33">
        <v>245</v>
      </c>
      <c r="R16" s="22">
        <v>0</v>
      </c>
      <c r="S16" s="23" t="e">
        <f>R16+'03.04'!S16</f>
        <v>#REF!</v>
      </c>
      <c r="T16" s="33">
        <v>397</v>
      </c>
      <c r="U16" s="22">
        <v>0</v>
      </c>
      <c r="V16" s="23" t="e">
        <f>U16+'03.04'!V16</f>
        <v>#REF!</v>
      </c>
      <c r="W16" s="33">
        <v>24</v>
      </c>
      <c r="X16" s="22">
        <v>33</v>
      </c>
      <c r="Y16" s="23" t="e">
        <f>X16+'03.04'!Y16</f>
        <v>#REF!</v>
      </c>
      <c r="Z16" s="33">
        <v>18</v>
      </c>
      <c r="AA16" s="22">
        <v>0</v>
      </c>
      <c r="AB16" s="23" t="e">
        <f>AA16+'03.04'!AB16</f>
        <v>#REF!</v>
      </c>
      <c r="AC16" s="33">
        <v>18515</v>
      </c>
      <c r="AD16" s="22">
        <v>38</v>
      </c>
      <c r="AE16" s="23" t="e">
        <f>AD16+'03.04'!AE16</f>
        <v>#REF!</v>
      </c>
      <c r="AF16" s="19">
        <f t="shared" si="1"/>
        <v>72943</v>
      </c>
      <c r="AG16" s="20" t="e">
        <f t="shared" si="1"/>
        <v>#REF!</v>
      </c>
      <c r="AH16" s="24">
        <v>270</v>
      </c>
      <c r="AI16" s="23" t="e">
        <f>AH16+'03.04'!AI16</f>
        <v>#REF!</v>
      </c>
      <c r="AJ16" s="24">
        <v>1261</v>
      </c>
      <c r="AK16" s="23" t="e">
        <f>AJ16+'03.04'!AK16</f>
        <v>#REF!</v>
      </c>
      <c r="AL16" s="22">
        <v>3183</v>
      </c>
      <c r="AM16" s="23" t="e">
        <f>AL16+'03.04'!AM16</f>
        <v>#REF!</v>
      </c>
      <c r="AN16" s="22">
        <v>68229</v>
      </c>
      <c r="AO16" s="23" t="e">
        <f>AN16+'03.04'!AO16</f>
        <v>#REF!</v>
      </c>
      <c r="AP16" s="28" t="s">
        <v>51</v>
      </c>
      <c r="AQ16" s="19">
        <f t="shared" si="2"/>
        <v>72</v>
      </c>
      <c r="AR16" s="20" t="e">
        <f t="shared" si="2"/>
        <v>#REF!</v>
      </c>
      <c r="AS16" s="34">
        <v>1</v>
      </c>
      <c r="AT16" s="23" t="e">
        <f>AS16+'03.04'!AT16</f>
        <v>#REF!</v>
      </c>
      <c r="AU16" s="34">
        <v>0</v>
      </c>
      <c r="AV16" s="23" t="e">
        <f>AU16+'03.04'!AV16</f>
        <v>#REF!</v>
      </c>
      <c r="AW16" s="34">
        <v>0</v>
      </c>
      <c r="AX16" s="23" t="e">
        <f>AW16+'03.04'!AX16</f>
        <v>#REF!</v>
      </c>
      <c r="AY16" s="34">
        <v>0</v>
      </c>
      <c r="AZ16" s="23" t="e">
        <f>AY16+'03.04'!AZ16</f>
        <v>#REF!</v>
      </c>
      <c r="BA16" s="34">
        <v>71</v>
      </c>
      <c r="BB16" s="23" t="e">
        <f>BA16+'03.04'!BB16</f>
        <v>#REF!</v>
      </c>
      <c r="BC16" s="19">
        <f t="shared" si="3"/>
        <v>1341</v>
      </c>
      <c r="BD16" s="20" t="e">
        <f t="shared" si="3"/>
        <v>#REF!</v>
      </c>
      <c r="BE16" s="22">
        <v>89</v>
      </c>
      <c r="BF16" s="23" t="e">
        <f>BE16+'03.04'!BF16</f>
        <v>#REF!</v>
      </c>
      <c r="BG16" s="34">
        <v>2</v>
      </c>
      <c r="BH16" s="23" t="e">
        <f>BG16+'03.04'!BH16</f>
        <v>#REF!</v>
      </c>
      <c r="BI16" s="22">
        <v>950</v>
      </c>
      <c r="BJ16" s="23" t="e">
        <f>BI16+'03.04'!BJ16</f>
        <v>#REF!</v>
      </c>
      <c r="BK16" s="22">
        <v>300</v>
      </c>
      <c r="BL16" s="23" t="e">
        <f>BK16+'03.04'!BL16</f>
        <v>#REF!</v>
      </c>
      <c r="BM16" s="22">
        <v>0</v>
      </c>
      <c r="BN16" s="23" t="e">
        <f>BM16+'03.04'!BN16</f>
        <v>#REF!</v>
      </c>
      <c r="BO16" s="36">
        <v>2546</v>
      </c>
      <c r="BP16" s="37">
        <v>1</v>
      </c>
      <c r="BQ16" s="23" t="e">
        <f>BP16+'03.04'!BQ16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157</v>
      </c>
      <c r="D17" s="31" t="e">
        <f t="shared" si="0"/>
        <v>#REF!</v>
      </c>
      <c r="E17" s="32">
        <v>754</v>
      </c>
      <c r="F17" s="22">
        <v>80</v>
      </c>
      <c r="G17" s="23" t="e">
        <f>F17+'03.04'!G17</f>
        <v>#REF!</v>
      </c>
      <c r="H17" s="33">
        <v>9</v>
      </c>
      <c r="I17" s="34">
        <v>0</v>
      </c>
      <c r="J17" s="23" t="e">
        <f>I17+'03.04'!J17</f>
        <v>#REF!</v>
      </c>
      <c r="K17" s="33">
        <v>5</v>
      </c>
      <c r="L17" s="22">
        <v>0</v>
      </c>
      <c r="M17" s="23" t="e">
        <f>L17+'03.04'!M17</f>
        <v>#REF!</v>
      </c>
      <c r="N17" s="33">
        <v>768</v>
      </c>
      <c r="O17" s="22">
        <v>0</v>
      </c>
      <c r="P17" s="23" t="e">
        <f>O17+'03.04'!P17</f>
        <v>#REF!</v>
      </c>
      <c r="Q17" s="33">
        <v>624</v>
      </c>
      <c r="R17" s="22">
        <v>0</v>
      </c>
      <c r="S17" s="23" t="e">
        <f>R17+'03.04'!S17</f>
        <v>#REF!</v>
      </c>
      <c r="T17" s="33">
        <v>742</v>
      </c>
      <c r="U17" s="22">
        <v>0</v>
      </c>
      <c r="V17" s="23" t="e">
        <f>U17+'03.04'!V17</f>
        <v>#REF!</v>
      </c>
      <c r="W17" s="33">
        <v>54</v>
      </c>
      <c r="X17" s="22">
        <v>52</v>
      </c>
      <c r="Y17" s="23" t="e">
        <f>X17+'03.04'!Y17</f>
        <v>#REF!</v>
      </c>
      <c r="Z17" s="33">
        <v>66</v>
      </c>
      <c r="AA17" s="22">
        <v>0</v>
      </c>
      <c r="AB17" s="23" t="e">
        <f>AA17+'03.04'!AB17</f>
        <v>#REF!</v>
      </c>
      <c r="AC17" s="33">
        <v>2580</v>
      </c>
      <c r="AD17" s="22">
        <v>25</v>
      </c>
      <c r="AE17" s="23" t="e">
        <f>AD17+'03.04'!AE17</f>
        <v>#REF!</v>
      </c>
      <c r="AF17" s="19">
        <f t="shared" si="1"/>
        <v>175200</v>
      </c>
      <c r="AG17" s="20" t="e">
        <f t="shared" si="1"/>
        <v>#REF!</v>
      </c>
      <c r="AH17" s="24">
        <v>10300</v>
      </c>
      <c r="AI17" s="23" t="e">
        <f>AH17+'03.04'!AI17</f>
        <v>#REF!</v>
      </c>
      <c r="AJ17" s="24">
        <v>9500</v>
      </c>
      <c r="AK17" s="23" t="e">
        <f>AJ17+'03.04'!AK17</f>
        <v>#REF!</v>
      </c>
      <c r="AL17" s="22">
        <v>65000</v>
      </c>
      <c r="AM17" s="23" t="e">
        <f>AL17+'03.04'!AM17</f>
        <v>#REF!</v>
      </c>
      <c r="AN17" s="22">
        <v>90400</v>
      </c>
      <c r="AO17" s="23" t="e">
        <f>AN17+'03.04'!AO17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0</v>
      </c>
      <c r="AT17" s="23" t="e">
        <f>AS17+'03.04'!AT17</f>
        <v>#REF!</v>
      </c>
      <c r="AU17" s="34">
        <v>2</v>
      </c>
      <c r="AV17" s="23" t="e">
        <f>AU17+'03.04'!AV17</f>
        <v>#REF!</v>
      </c>
      <c r="AW17" s="34">
        <v>0</v>
      </c>
      <c r="AX17" s="23" t="e">
        <f>AW17+'03.04'!AX17</f>
        <v>#REF!</v>
      </c>
      <c r="AY17" s="34">
        <v>0</v>
      </c>
      <c r="AZ17" s="23" t="e">
        <f>AY17+'03.04'!AZ17</f>
        <v>#REF!</v>
      </c>
      <c r="BA17" s="34">
        <v>14</v>
      </c>
      <c r="BB17" s="23" t="e">
        <f>BA17+'03.04'!BB17</f>
        <v>#REF!</v>
      </c>
      <c r="BC17" s="19">
        <f t="shared" si="3"/>
        <v>1510</v>
      </c>
      <c r="BD17" s="20" t="e">
        <f t="shared" si="3"/>
        <v>#REF!</v>
      </c>
      <c r="BE17" s="22">
        <v>46</v>
      </c>
      <c r="BF17" s="23" t="e">
        <f>BE17+'03.04'!BF17</f>
        <v>#REF!</v>
      </c>
      <c r="BG17" s="34">
        <v>4</v>
      </c>
      <c r="BH17" s="23" t="e">
        <f>BG17+'03.04'!BH17</f>
        <v>#REF!</v>
      </c>
      <c r="BI17" s="22">
        <v>1300</v>
      </c>
      <c r="BJ17" s="23" t="e">
        <f>BI17+'03.04'!BJ17</f>
        <v>#REF!</v>
      </c>
      <c r="BK17" s="22">
        <v>160</v>
      </c>
      <c r="BL17" s="23" t="e">
        <f>BK17+'03.04'!BL17</f>
        <v>#REF!</v>
      </c>
      <c r="BM17" s="22">
        <v>0</v>
      </c>
      <c r="BN17" s="23" t="e">
        <f>BM17+'03.04'!BN17</f>
        <v>#REF!</v>
      </c>
      <c r="BO17" s="36">
        <v>8022</v>
      </c>
      <c r="BP17" s="37">
        <v>10</v>
      </c>
      <c r="BQ17" s="23" t="e">
        <f>BP17+'03.04'!BQ17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545</v>
      </c>
      <c r="D18" s="20" t="e">
        <f t="shared" si="0"/>
        <v>#REF!</v>
      </c>
      <c r="E18" s="21">
        <v>1063</v>
      </c>
      <c r="F18" s="22">
        <v>324</v>
      </c>
      <c r="G18" s="23" t="e">
        <f>F18+'03.04'!G18</f>
        <v>#REF!</v>
      </c>
      <c r="H18" s="21">
        <v>19</v>
      </c>
      <c r="I18" s="22">
        <v>0</v>
      </c>
      <c r="J18" s="23" t="e">
        <f>I18+'03.04'!J18</f>
        <v>#REF!</v>
      </c>
      <c r="K18" s="21">
        <v>8</v>
      </c>
      <c r="L18" s="22">
        <v>0</v>
      </c>
      <c r="M18" s="23" t="e">
        <f>L18+'03.04'!M18</f>
        <v>#REF!</v>
      </c>
      <c r="N18" s="21">
        <v>1331</v>
      </c>
      <c r="O18" s="22">
        <v>0</v>
      </c>
      <c r="P18" s="23" t="e">
        <f>O18+'03.04'!P18</f>
        <v>#REF!</v>
      </c>
      <c r="Q18" s="21">
        <v>777</v>
      </c>
      <c r="R18" s="22">
        <v>0</v>
      </c>
      <c r="S18" s="23" t="e">
        <f>R18+'03.04'!S18</f>
        <v>#REF!</v>
      </c>
      <c r="T18" s="21">
        <v>318</v>
      </c>
      <c r="U18" s="22">
        <v>0</v>
      </c>
      <c r="V18" s="23" t="e">
        <f>U18+'03.04'!V18</f>
        <v>#REF!</v>
      </c>
      <c r="W18" s="21">
        <v>60</v>
      </c>
      <c r="X18" s="22">
        <v>221</v>
      </c>
      <c r="Y18" s="23" t="e">
        <f>X18+'03.04'!Y18</f>
        <v>#REF!</v>
      </c>
      <c r="Z18" s="21">
        <v>72</v>
      </c>
      <c r="AA18" s="22">
        <v>0</v>
      </c>
      <c r="AB18" s="23" t="e">
        <f>AA18+'03.04'!AB18</f>
        <v>#REF!</v>
      </c>
      <c r="AC18" s="21">
        <v>143</v>
      </c>
      <c r="AD18" s="22">
        <v>0</v>
      </c>
      <c r="AE18" s="23" t="e">
        <f>AD18+'03.04'!AE18</f>
        <v>#REF!</v>
      </c>
      <c r="AF18" s="19">
        <f t="shared" si="1"/>
        <v>334051</v>
      </c>
      <c r="AG18" s="20" t="e">
        <f t="shared" si="1"/>
        <v>#REF!</v>
      </c>
      <c r="AH18" s="24">
        <v>554</v>
      </c>
      <c r="AI18" s="23" t="e">
        <f>AH18+'03.04'!AI18</f>
        <v>#REF!</v>
      </c>
      <c r="AJ18" s="24">
        <v>4758</v>
      </c>
      <c r="AK18" s="23" t="e">
        <f>AJ18+'03.04'!AK18</f>
        <v>#REF!</v>
      </c>
      <c r="AL18" s="22">
        <v>5861</v>
      </c>
      <c r="AM18" s="23" t="e">
        <f>AL18+'03.04'!AM18</f>
        <v>#REF!</v>
      </c>
      <c r="AN18" s="22">
        <v>322878</v>
      </c>
      <c r="AO18" s="23" t="e">
        <f>AN18+'03.04'!AO18</f>
        <v>#REF!</v>
      </c>
      <c r="AP18" s="17" t="s">
        <v>53</v>
      </c>
      <c r="AQ18" s="19">
        <f>AS18+AU18+AW18+AY18+BA18</f>
        <v>4</v>
      </c>
      <c r="AR18" s="20" t="e">
        <f t="shared" si="2"/>
        <v>#REF!</v>
      </c>
      <c r="AS18" s="22">
        <v>0</v>
      </c>
      <c r="AT18" s="23" t="e">
        <f>AS18+'03.04'!AT18</f>
        <v>#REF!</v>
      </c>
      <c r="AU18" s="22">
        <v>0</v>
      </c>
      <c r="AV18" s="23" t="e">
        <f>AU18+'03.04'!AV18</f>
        <v>#REF!</v>
      </c>
      <c r="AW18" s="22">
        <v>0</v>
      </c>
      <c r="AX18" s="23" t="e">
        <f>AW18+'03.04'!AX18</f>
        <v>#REF!</v>
      </c>
      <c r="AY18" s="22">
        <v>0</v>
      </c>
      <c r="AZ18" s="23" t="e">
        <f>AY18+'03.04'!AZ18</f>
        <v>#REF!</v>
      </c>
      <c r="BA18" s="22">
        <v>4</v>
      </c>
      <c r="BB18" s="23" t="e">
        <f>BA18+'03.04'!BB18</f>
        <v>#REF!</v>
      </c>
      <c r="BC18" s="19">
        <f t="shared" si="3"/>
        <v>3078</v>
      </c>
      <c r="BD18" s="20" t="e">
        <f>BF18+BH18+BJ18+BL18+BN18</f>
        <v>#REF!</v>
      </c>
      <c r="BE18" s="22">
        <v>1</v>
      </c>
      <c r="BF18" s="23" t="e">
        <f>BE18+'03.04'!BF18</f>
        <v>#REF!</v>
      </c>
      <c r="BG18" s="22">
        <v>0</v>
      </c>
      <c r="BH18" s="23" t="e">
        <f>BG18+'03.04'!BH18</f>
        <v>#REF!</v>
      </c>
      <c r="BI18" s="22">
        <v>2918</v>
      </c>
      <c r="BJ18" s="23" t="e">
        <f>BI18+'03.04'!BJ18</f>
        <v>#REF!</v>
      </c>
      <c r="BK18" s="22">
        <v>159</v>
      </c>
      <c r="BL18" s="23" t="e">
        <f>BK18+'03.04'!BL18</f>
        <v>#REF!</v>
      </c>
      <c r="BM18" s="22">
        <v>0</v>
      </c>
      <c r="BN18" s="23" t="e">
        <f>BM18+'03.04'!BN18</f>
        <v>#REF!</v>
      </c>
      <c r="BO18" s="36">
        <v>442</v>
      </c>
      <c r="BP18" s="37">
        <v>0</v>
      </c>
      <c r="BQ18" s="23" t="e">
        <f>BP18+'03.04'!BQ18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53</v>
      </c>
      <c r="D19" s="31" t="e">
        <f t="shared" si="0"/>
        <v>#REF!</v>
      </c>
      <c r="E19" s="33">
        <v>221</v>
      </c>
      <c r="F19" s="22">
        <v>11</v>
      </c>
      <c r="G19" s="23" t="e">
        <f>F19+'03.04'!G19</f>
        <v>#REF!</v>
      </c>
      <c r="H19" s="33">
        <v>5</v>
      </c>
      <c r="I19" s="34">
        <v>0</v>
      </c>
      <c r="J19" s="23" t="e">
        <f>I19+'03.04'!J19</f>
        <v>#REF!</v>
      </c>
      <c r="K19" s="33">
        <v>4</v>
      </c>
      <c r="L19" s="22">
        <v>0</v>
      </c>
      <c r="M19" s="23" t="e">
        <f>L19+'03.04'!M19</f>
        <v>#REF!</v>
      </c>
      <c r="N19" s="33">
        <v>313</v>
      </c>
      <c r="O19" s="22">
        <v>0</v>
      </c>
      <c r="P19" s="23" t="e">
        <f>O19+'03.04'!P19</f>
        <v>#REF!</v>
      </c>
      <c r="Q19" s="33">
        <v>203</v>
      </c>
      <c r="R19" s="22">
        <v>0</v>
      </c>
      <c r="S19" s="23" t="e">
        <f>R19+'03.04'!S19</f>
        <v>#REF!</v>
      </c>
      <c r="T19" s="33">
        <v>241</v>
      </c>
      <c r="U19" s="22">
        <v>0</v>
      </c>
      <c r="V19" s="23" t="e">
        <f>U19+'03.04'!V19</f>
        <v>#REF!</v>
      </c>
      <c r="W19" s="33">
        <v>14</v>
      </c>
      <c r="X19" s="22">
        <v>23</v>
      </c>
      <c r="Y19" s="23" t="e">
        <f>X19+'03.04'!Y19</f>
        <v>#REF!</v>
      </c>
      <c r="Z19" s="33">
        <v>7</v>
      </c>
      <c r="AA19" s="22">
        <v>0</v>
      </c>
      <c r="AB19" s="23" t="e">
        <f>AA19+'03.04'!AB19</f>
        <v>#REF!</v>
      </c>
      <c r="AC19" s="33">
        <v>32</v>
      </c>
      <c r="AD19" s="22">
        <v>19</v>
      </c>
      <c r="AE19" s="23" t="e">
        <f>AD19+'03.04'!AE19</f>
        <v>#REF!</v>
      </c>
      <c r="AF19" s="19">
        <f t="shared" si="1"/>
        <v>4400</v>
      </c>
      <c r="AG19" s="20" t="e">
        <f t="shared" si="1"/>
        <v>#REF!</v>
      </c>
      <c r="AH19" s="24">
        <v>950</v>
      </c>
      <c r="AI19" s="23" t="e">
        <f>AH19+'03.04'!AI19</f>
        <v>#REF!</v>
      </c>
      <c r="AJ19" s="24">
        <v>950</v>
      </c>
      <c r="AK19" s="23" t="e">
        <f>AJ19+'03.04'!AK19</f>
        <v>#REF!</v>
      </c>
      <c r="AL19" s="22">
        <v>1250</v>
      </c>
      <c r="AM19" s="23" t="e">
        <f>AL19+'03.04'!AM19</f>
        <v>#REF!</v>
      </c>
      <c r="AN19" s="22">
        <v>1250</v>
      </c>
      <c r="AO19" s="23" t="e">
        <f>AN19+'03.04'!AO19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AS19+'03.04'!AT19</f>
        <v>#REF!</v>
      </c>
      <c r="AU19" s="34">
        <v>0</v>
      </c>
      <c r="AV19" s="23" t="e">
        <f>AU19+'03.04'!AV19</f>
        <v>#REF!</v>
      </c>
      <c r="AW19" s="34">
        <v>0</v>
      </c>
      <c r="AX19" s="23" t="e">
        <f>AW19+'03.04'!AX19</f>
        <v>#REF!</v>
      </c>
      <c r="AY19" s="34">
        <v>0</v>
      </c>
      <c r="AZ19" s="23" t="e">
        <f>AY19+'03.04'!AZ19</f>
        <v>#REF!</v>
      </c>
      <c r="BA19" s="34">
        <v>0</v>
      </c>
      <c r="BB19" s="23" t="e">
        <f>BA19+'03.04'!BB19</f>
        <v>#REF!</v>
      </c>
      <c r="BC19" s="19">
        <f t="shared" si="3"/>
        <v>0</v>
      </c>
      <c r="BD19" s="20" t="e">
        <f t="shared" si="3"/>
        <v>#REF!</v>
      </c>
      <c r="BE19" s="22"/>
      <c r="BF19" s="23" t="e">
        <f>BE19+'03.04'!BF19</f>
        <v>#REF!</v>
      </c>
      <c r="BG19" s="34">
        <v>0</v>
      </c>
      <c r="BH19" s="23" t="e">
        <f>BG19+'03.04'!BH19</f>
        <v>#REF!</v>
      </c>
      <c r="BI19" s="22"/>
      <c r="BJ19" s="23" t="e">
        <f>BI19+'03.04'!BJ19</f>
        <v>#REF!</v>
      </c>
      <c r="BK19" s="22"/>
      <c r="BL19" s="23" t="e">
        <f>BK19+'03.04'!BL19</f>
        <v>#REF!</v>
      </c>
      <c r="BM19" s="22">
        <v>0</v>
      </c>
      <c r="BN19" s="23" t="e">
        <f>BM19+'03.04'!BN19</f>
        <v>#REF!</v>
      </c>
      <c r="BO19" s="36">
        <v>2898</v>
      </c>
      <c r="BP19" s="37">
        <v>0</v>
      </c>
      <c r="BQ19" s="23" t="e">
        <f>BP19+'03.04'!BQ19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295</v>
      </c>
      <c r="D20" s="31" t="e">
        <f t="shared" si="0"/>
        <v>#REF!</v>
      </c>
      <c r="E20" s="32">
        <v>723</v>
      </c>
      <c r="F20" s="22">
        <v>222</v>
      </c>
      <c r="G20" s="23" t="e">
        <f>F20+'03.04'!G20</f>
        <v>#REF!</v>
      </c>
      <c r="H20" s="33">
        <v>5</v>
      </c>
      <c r="I20" s="34">
        <v>1</v>
      </c>
      <c r="J20" s="23" t="e">
        <f>I20+'03.04'!J20</f>
        <v>#REF!</v>
      </c>
      <c r="K20" s="33">
        <v>3</v>
      </c>
      <c r="L20" s="22">
        <v>0</v>
      </c>
      <c r="M20" s="23" t="e">
        <f>L20+'03.04'!M20</f>
        <v>#REF!</v>
      </c>
      <c r="N20" s="33">
        <v>975</v>
      </c>
      <c r="O20" s="22">
        <v>32</v>
      </c>
      <c r="P20" s="23" t="e">
        <f>O20+'03.04'!P20</f>
        <v>#REF!</v>
      </c>
      <c r="Q20" s="61">
        <v>1862</v>
      </c>
      <c r="R20" s="22">
        <v>3</v>
      </c>
      <c r="S20" s="23" t="e">
        <f>R20+'03.04'!S20</f>
        <v>#REF!</v>
      </c>
      <c r="T20" s="33">
        <v>35</v>
      </c>
      <c r="U20" s="22">
        <v>1</v>
      </c>
      <c r="V20" s="23" t="e">
        <f>U20+'03.04'!V20</f>
        <v>#REF!</v>
      </c>
      <c r="W20" s="33">
        <v>64</v>
      </c>
      <c r="X20" s="22">
        <v>3</v>
      </c>
      <c r="Y20" s="23" t="e">
        <f>X20+'03.04'!Y20</f>
        <v>#REF!</v>
      </c>
      <c r="Z20" s="33">
        <v>15</v>
      </c>
      <c r="AA20" s="22">
        <v>1</v>
      </c>
      <c r="AB20" s="23" t="e">
        <f>AA20+'03.04'!AB20</f>
        <v>#REF!</v>
      </c>
      <c r="AC20" s="33">
        <v>1546</v>
      </c>
      <c r="AD20" s="22">
        <v>32</v>
      </c>
      <c r="AE20" s="23" t="e">
        <f>AD20+'03.04'!AE20</f>
        <v>#REF!</v>
      </c>
      <c r="AF20" s="19">
        <f t="shared" si="1"/>
        <v>14140</v>
      </c>
      <c r="AG20" s="20" t="e">
        <f t="shared" si="1"/>
        <v>#REF!</v>
      </c>
      <c r="AH20" s="24">
        <v>5650</v>
      </c>
      <c r="AI20" s="23" t="e">
        <f>AH20+'03.04'!AI20</f>
        <v>#REF!</v>
      </c>
      <c r="AJ20" s="24">
        <v>7490</v>
      </c>
      <c r="AK20" s="23" t="e">
        <f>AJ20+'03.04'!AK20</f>
        <v>#REF!</v>
      </c>
      <c r="AL20" s="22">
        <v>650</v>
      </c>
      <c r="AM20" s="23" t="e">
        <f>AL20+'03.04'!AM20</f>
        <v>#REF!</v>
      </c>
      <c r="AN20" s="22">
        <v>350</v>
      </c>
      <c r="AO20" s="23" t="e">
        <f>AN20+'03.04'!AO20</f>
        <v>#REF!</v>
      </c>
      <c r="AP20" s="28" t="s">
        <v>55</v>
      </c>
      <c r="AQ20" s="19">
        <f t="shared" si="4"/>
        <v>215</v>
      </c>
      <c r="AR20" s="20" t="e">
        <f t="shared" si="2"/>
        <v>#REF!</v>
      </c>
      <c r="AS20" s="34">
        <v>1</v>
      </c>
      <c r="AT20" s="23" t="e">
        <f>AS20+'03.04'!AT20</f>
        <v>#REF!</v>
      </c>
      <c r="AU20" s="34">
        <v>0</v>
      </c>
      <c r="AV20" s="23" t="e">
        <f>AU20+'03.04'!AV20</f>
        <v>#REF!</v>
      </c>
      <c r="AW20" s="34">
        <v>0</v>
      </c>
      <c r="AX20" s="23" t="e">
        <f>AW20+'03.04'!AX20</f>
        <v>#REF!</v>
      </c>
      <c r="AY20" s="34">
        <v>0</v>
      </c>
      <c r="AZ20" s="23" t="e">
        <f>AY20+'03.04'!AZ20</f>
        <v>#REF!</v>
      </c>
      <c r="BA20" s="34">
        <v>214</v>
      </c>
      <c r="BB20" s="23" t="e">
        <f>BA20+'03.04'!BB20</f>
        <v>#REF!</v>
      </c>
      <c r="BC20" s="19">
        <f t="shared" si="3"/>
        <v>2308</v>
      </c>
      <c r="BD20" s="20" t="e">
        <f t="shared" si="3"/>
        <v>#REF!</v>
      </c>
      <c r="BE20" s="22">
        <v>2</v>
      </c>
      <c r="BF20" s="23" t="e">
        <f>BE20+'03.04'!BF20</f>
        <v>#REF!</v>
      </c>
      <c r="BG20" s="34">
        <v>0</v>
      </c>
      <c r="BH20" s="23" t="e">
        <f>BG20+'03.04'!BH20</f>
        <v>#REF!</v>
      </c>
      <c r="BI20" s="22">
        <v>1000</v>
      </c>
      <c r="BJ20" s="23" t="e">
        <f>BI20+'03.04'!BJ20</f>
        <v>#REF!</v>
      </c>
      <c r="BK20" s="22">
        <v>1306</v>
      </c>
      <c r="BL20" s="23" t="e">
        <f>BK20+'03.04'!BL20</f>
        <v>#REF!</v>
      </c>
      <c r="BM20" s="22">
        <v>0</v>
      </c>
      <c r="BN20" s="23" t="e">
        <f>BM20+'03.04'!BN20</f>
        <v>#REF!</v>
      </c>
      <c r="BO20" s="36">
        <v>5854</v>
      </c>
      <c r="BP20" s="37">
        <v>0</v>
      </c>
      <c r="BQ20" s="23" t="e">
        <f>BP20+'03.04'!BQ20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365</v>
      </c>
      <c r="D21" s="31" t="e">
        <f t="shared" si="0"/>
        <v>#REF!</v>
      </c>
      <c r="E21" s="32">
        <v>1017</v>
      </c>
      <c r="F21" s="22">
        <v>340</v>
      </c>
      <c r="G21" s="23" t="e">
        <f>F21+'03.04'!G21</f>
        <v>#REF!</v>
      </c>
      <c r="H21" s="33">
        <v>8</v>
      </c>
      <c r="I21" s="34">
        <v>0</v>
      </c>
      <c r="J21" s="23" t="e">
        <f>I21+'03.04'!J21</f>
        <v>#REF!</v>
      </c>
      <c r="K21" s="33">
        <v>4</v>
      </c>
      <c r="L21" s="22">
        <v>0</v>
      </c>
      <c r="M21" s="23" t="e">
        <f>L21+'03.04'!M21</f>
        <v>#REF!</v>
      </c>
      <c r="N21" s="33">
        <v>963</v>
      </c>
      <c r="O21" s="22">
        <v>0</v>
      </c>
      <c r="P21" s="23" t="e">
        <f>O21+'03.04'!P21</f>
        <v>#REF!</v>
      </c>
      <c r="Q21" s="33">
        <v>912</v>
      </c>
      <c r="R21" s="22">
        <v>0</v>
      </c>
      <c r="S21" s="23" t="e">
        <f>R21+'03.04'!S21</f>
        <v>#REF!</v>
      </c>
      <c r="T21" s="33">
        <v>199</v>
      </c>
      <c r="U21" s="22">
        <v>5</v>
      </c>
      <c r="V21" s="23" t="e">
        <f>U21+'03.04'!V21</f>
        <v>#REF!</v>
      </c>
      <c r="W21" s="33">
        <v>101</v>
      </c>
      <c r="X21" s="22">
        <v>10</v>
      </c>
      <c r="Y21" s="23" t="e">
        <f>X21+'03.04'!Y21</f>
        <v>#REF!</v>
      </c>
      <c r="Z21" s="33">
        <v>42</v>
      </c>
      <c r="AA21" s="22">
        <v>0</v>
      </c>
      <c r="AB21" s="23" t="e">
        <f>AA21+'03.04'!AB21</f>
        <v>#REF!</v>
      </c>
      <c r="AC21" s="33">
        <v>20</v>
      </c>
      <c r="AD21" s="22">
        <v>10</v>
      </c>
      <c r="AE21" s="23" t="e">
        <f>AD21+'03.04'!AE21</f>
        <v>#REF!</v>
      </c>
      <c r="AF21" s="19">
        <f t="shared" si="1"/>
        <v>361000</v>
      </c>
      <c r="AG21" s="20" t="e">
        <f t="shared" si="1"/>
        <v>#REF!</v>
      </c>
      <c r="AH21" s="24">
        <v>1000</v>
      </c>
      <c r="AI21" s="23" t="e">
        <f>AH21+'03.04'!AI21</f>
        <v>#REF!</v>
      </c>
      <c r="AJ21" s="24">
        <v>110000</v>
      </c>
      <c r="AK21" s="23" t="e">
        <f>AJ21+'03.04'!AK21</f>
        <v>#REF!</v>
      </c>
      <c r="AL21" s="22">
        <v>15000</v>
      </c>
      <c r="AM21" s="23" t="e">
        <f>AL21+'03.04'!AM21</f>
        <v>#REF!</v>
      </c>
      <c r="AN21" s="22">
        <v>235000</v>
      </c>
      <c r="AO21" s="23" t="e">
        <f>AN21+'03.04'!AO21</f>
        <v>#REF!</v>
      </c>
      <c r="AP21" s="28" t="s">
        <v>58</v>
      </c>
      <c r="AQ21" s="19">
        <f t="shared" si="4"/>
        <v>9</v>
      </c>
      <c r="AR21" s="20" t="e">
        <f t="shared" si="2"/>
        <v>#REF!</v>
      </c>
      <c r="AS21" s="34">
        <v>1</v>
      </c>
      <c r="AT21" s="23" t="e">
        <f>AS21+'03.04'!AT21</f>
        <v>#REF!</v>
      </c>
      <c r="AU21" s="34">
        <v>4</v>
      </c>
      <c r="AV21" s="23" t="e">
        <f>AU21+'03.04'!AV21</f>
        <v>#REF!</v>
      </c>
      <c r="AW21" s="34">
        <v>0</v>
      </c>
      <c r="AX21" s="23" t="e">
        <f>AW21+'03.04'!AX21</f>
        <v>#REF!</v>
      </c>
      <c r="AY21" s="34">
        <v>0</v>
      </c>
      <c r="AZ21" s="23" t="e">
        <f>AY21+'03.04'!AZ21</f>
        <v>#REF!</v>
      </c>
      <c r="BA21" s="34">
        <v>4</v>
      </c>
      <c r="BB21" s="23" t="e">
        <f>BA21+'03.04'!BB21</f>
        <v>#REF!</v>
      </c>
      <c r="BC21" s="19">
        <f t="shared" si="3"/>
        <v>4000</v>
      </c>
      <c r="BD21" s="20" t="e">
        <f t="shared" si="3"/>
        <v>#REF!</v>
      </c>
      <c r="BE21" s="22">
        <v>0</v>
      </c>
      <c r="BF21" s="23" t="e">
        <f>BE21+'03.04'!BF21</f>
        <v>#REF!</v>
      </c>
      <c r="BG21" s="34">
        <v>0</v>
      </c>
      <c r="BH21" s="23" t="e">
        <f>BG21+'03.04'!BH21</f>
        <v>#REF!</v>
      </c>
      <c r="BI21" s="22">
        <v>4000</v>
      </c>
      <c r="BJ21" s="23" t="e">
        <f>BI21+'03.04'!BJ21</f>
        <v>#REF!</v>
      </c>
      <c r="BK21" s="22">
        <v>0</v>
      </c>
      <c r="BL21" s="23" t="e">
        <f>BK21+'03.04'!BL21</f>
        <v>#REF!</v>
      </c>
      <c r="BM21" s="22">
        <v>0</v>
      </c>
      <c r="BN21" s="23" t="e">
        <f>BM21+'03.04'!BN21</f>
        <v>#REF!</v>
      </c>
      <c r="BO21" s="36">
        <v>68</v>
      </c>
      <c r="BP21" s="37">
        <v>2</v>
      </c>
      <c r="BQ21" s="23" t="e">
        <f>BP21+'03.04'!BQ21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1184</v>
      </c>
      <c r="D22" s="31" t="e">
        <f t="shared" si="0"/>
        <v>#REF!</v>
      </c>
      <c r="E22" s="32">
        <v>509</v>
      </c>
      <c r="F22" s="22">
        <v>241</v>
      </c>
      <c r="G22" s="23" t="e">
        <f>F22+'03.04'!G22</f>
        <v>#REF!</v>
      </c>
      <c r="H22" s="33">
        <v>8</v>
      </c>
      <c r="I22" s="34">
        <v>1</v>
      </c>
      <c r="J22" s="23" t="e">
        <f>I22+'03.04'!J22</f>
        <v>#REF!</v>
      </c>
      <c r="K22" s="33">
        <v>21</v>
      </c>
      <c r="L22" s="22">
        <v>5</v>
      </c>
      <c r="M22" s="23" t="e">
        <f>L22+'03.04'!M22</f>
        <v>#REF!</v>
      </c>
      <c r="N22" s="33">
        <v>560</v>
      </c>
      <c r="O22" s="22">
        <v>20</v>
      </c>
      <c r="P22" s="23" t="e">
        <f>O22+'03.04'!P22</f>
        <v>#REF!</v>
      </c>
      <c r="Q22" s="33">
        <v>375</v>
      </c>
      <c r="R22" s="22">
        <v>25</v>
      </c>
      <c r="S22" s="23" t="e">
        <f>R22+'03.04'!S22</f>
        <v>#REF!</v>
      </c>
      <c r="T22" s="33">
        <v>165</v>
      </c>
      <c r="U22" s="22">
        <v>18</v>
      </c>
      <c r="V22" s="23" t="e">
        <f>U22+'03.04'!V22</f>
        <v>#REF!</v>
      </c>
      <c r="W22" s="33">
        <v>28</v>
      </c>
      <c r="X22" s="22">
        <v>105</v>
      </c>
      <c r="Y22" s="23" t="e">
        <f>X22+'03.04'!Y22</f>
        <v>#REF!</v>
      </c>
      <c r="Z22" s="33">
        <v>9</v>
      </c>
      <c r="AA22" s="22"/>
      <c r="AB22" s="23" t="e">
        <f>AA22+'03.04'!AB22</f>
        <v>#REF!</v>
      </c>
      <c r="AC22" s="33">
        <v>112</v>
      </c>
      <c r="AD22" s="22">
        <v>769</v>
      </c>
      <c r="AE22" s="23" t="e">
        <f>AD22+'03.04'!AE22</f>
        <v>#REF!</v>
      </c>
      <c r="AF22" s="19">
        <f t="shared" si="1"/>
        <v>653662</v>
      </c>
      <c r="AG22" s="20" t="e">
        <f t="shared" si="1"/>
        <v>#REF!</v>
      </c>
      <c r="AH22" s="24">
        <v>451</v>
      </c>
      <c r="AI22" s="23" t="e">
        <f>AH22+'03.04'!AI22</f>
        <v>#REF!</v>
      </c>
      <c r="AJ22" s="24">
        <v>8000</v>
      </c>
      <c r="AK22" s="23" t="e">
        <f>AJ22+'03.04'!AK22</f>
        <v>#REF!</v>
      </c>
      <c r="AL22" s="22">
        <v>211</v>
      </c>
      <c r="AM22" s="23" t="e">
        <f>AL22+'03.04'!AM22</f>
        <v>#REF!</v>
      </c>
      <c r="AN22" s="22">
        <v>645000</v>
      </c>
      <c r="AO22" s="23" t="e">
        <f>AN22+'03.04'!AO22</f>
        <v>#REF!</v>
      </c>
      <c r="AP22" s="28" t="s">
        <v>59</v>
      </c>
      <c r="AQ22" s="19">
        <f t="shared" si="4"/>
        <v>1542</v>
      </c>
      <c r="AR22" s="20" t="e">
        <f t="shared" si="2"/>
        <v>#REF!</v>
      </c>
      <c r="AS22" s="34">
        <v>0</v>
      </c>
      <c r="AT22" s="23" t="e">
        <f>AS22+'03.04'!AT22</f>
        <v>#REF!</v>
      </c>
      <c r="AU22" s="34">
        <v>0</v>
      </c>
      <c r="AV22" s="23" t="e">
        <f>AU22+'03.04'!AV22</f>
        <v>#REF!</v>
      </c>
      <c r="AW22" s="34">
        <v>0</v>
      </c>
      <c r="AX22" s="23" t="e">
        <f>AW22+'03.04'!AX22</f>
        <v>#REF!</v>
      </c>
      <c r="AY22" s="34">
        <v>0</v>
      </c>
      <c r="AZ22" s="23" t="e">
        <f>AY22+'03.04'!AZ22</f>
        <v>#REF!</v>
      </c>
      <c r="BA22" s="34">
        <v>1542</v>
      </c>
      <c r="BB22" s="23" t="e">
        <f>BA22+'03.04'!BB22</f>
        <v>#REF!</v>
      </c>
      <c r="BC22" s="19">
        <f t="shared" si="3"/>
        <v>6642</v>
      </c>
      <c r="BD22" s="20" t="e">
        <f t="shared" si="3"/>
        <v>#REF!</v>
      </c>
      <c r="BE22" s="22">
        <v>28</v>
      </c>
      <c r="BF22" s="23" t="e">
        <f>BE22+'03.04'!BF22</f>
        <v>#REF!</v>
      </c>
      <c r="BG22" s="34">
        <v>8</v>
      </c>
      <c r="BH22" s="23" t="e">
        <f>BG22+'03.04'!BH22</f>
        <v>#REF!</v>
      </c>
      <c r="BI22" s="22">
        <v>6584</v>
      </c>
      <c r="BJ22" s="23" t="e">
        <f>BI22+'03.04'!BJ22</f>
        <v>#REF!</v>
      </c>
      <c r="BK22" s="22">
        <v>22</v>
      </c>
      <c r="BL22" s="23" t="e">
        <f>BK22+'03.04'!BL22</f>
        <v>#REF!</v>
      </c>
      <c r="BM22" s="22">
        <v>0</v>
      </c>
      <c r="BN22" s="23" t="e">
        <f>BM22+'03.04'!BN22</f>
        <v>#REF!</v>
      </c>
      <c r="BO22" s="36">
        <v>26</v>
      </c>
      <c r="BP22" s="37">
        <v>15</v>
      </c>
      <c r="BQ22" s="23" t="e">
        <f>BP22+'03.04'!BQ22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4201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1809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8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6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79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29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28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698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1542</v>
      </c>
      <c r="AE23" s="68" t="e">
        <f t="shared" si="5"/>
        <v>#REF!</v>
      </c>
      <c r="AF23" s="64">
        <f t="shared" si="5"/>
        <v>3685733</v>
      </c>
      <c r="AG23" s="64" t="e">
        <f t="shared" si="5"/>
        <v>#REF!</v>
      </c>
      <c r="AH23" s="67">
        <f t="shared" si="5"/>
        <v>37963</v>
      </c>
      <c r="AI23" s="68" t="e">
        <f t="shared" si="5"/>
        <v>#REF!</v>
      </c>
      <c r="AJ23" s="67">
        <f t="shared" si="5"/>
        <v>185954</v>
      </c>
      <c r="AK23" s="68" t="e">
        <f t="shared" si="5"/>
        <v>#REF!</v>
      </c>
      <c r="AL23" s="67">
        <f t="shared" si="5"/>
        <v>840486</v>
      </c>
      <c r="AM23" s="68" t="e">
        <f t="shared" si="5"/>
        <v>#REF!</v>
      </c>
      <c r="AN23" s="67">
        <f t="shared" si="5"/>
        <v>2621330</v>
      </c>
      <c r="AO23" s="68" t="e">
        <f t="shared" si="5"/>
        <v>#REF!</v>
      </c>
      <c r="AP23" s="62" t="s">
        <v>12</v>
      </c>
      <c r="AQ23" s="64">
        <f t="shared" ref="AQ23:BQ23" si="6">SUM(AQ8:AQ22)</f>
        <v>2062</v>
      </c>
      <c r="AR23" s="64" t="e">
        <f t="shared" si="6"/>
        <v>#REF!</v>
      </c>
      <c r="AS23" s="67">
        <f t="shared" si="6"/>
        <v>5</v>
      </c>
      <c r="AT23" s="68" t="e">
        <f t="shared" si="6"/>
        <v>#REF!</v>
      </c>
      <c r="AU23" s="67">
        <f t="shared" si="6"/>
        <v>8</v>
      </c>
      <c r="AV23" s="68" t="e">
        <f t="shared" si="6"/>
        <v>#REF!</v>
      </c>
      <c r="AW23" s="67">
        <f t="shared" si="6"/>
        <v>2</v>
      </c>
      <c r="AX23" s="68" t="e">
        <f t="shared" si="6"/>
        <v>#REF!</v>
      </c>
      <c r="AY23" s="67">
        <f t="shared" si="6"/>
        <v>1</v>
      </c>
      <c r="AZ23" s="68" t="e">
        <f t="shared" si="6"/>
        <v>#REF!</v>
      </c>
      <c r="BA23" s="67">
        <f t="shared" si="6"/>
        <v>2046</v>
      </c>
      <c r="BB23" s="68" t="e">
        <f t="shared" si="6"/>
        <v>#REF!</v>
      </c>
      <c r="BC23" s="64">
        <f t="shared" si="6"/>
        <v>44452</v>
      </c>
      <c r="BD23" s="64" t="e">
        <f t="shared" si="6"/>
        <v>#REF!</v>
      </c>
      <c r="BE23" s="67">
        <f t="shared" si="6"/>
        <v>1548</v>
      </c>
      <c r="BF23" s="68" t="e">
        <f t="shared" si="6"/>
        <v>#REF!</v>
      </c>
      <c r="BG23" s="67">
        <f t="shared" si="6"/>
        <v>56</v>
      </c>
      <c r="BH23" s="68" t="e">
        <f t="shared" si="6"/>
        <v>#REF!</v>
      </c>
      <c r="BI23" s="67">
        <f t="shared" si="6"/>
        <v>38184</v>
      </c>
      <c r="BJ23" s="68" t="e">
        <f t="shared" si="6"/>
        <v>#REF!</v>
      </c>
      <c r="BK23" s="67">
        <f t="shared" si="6"/>
        <v>4663</v>
      </c>
      <c r="BL23" s="68" t="e">
        <f t="shared" si="6"/>
        <v>#REF!</v>
      </c>
      <c r="BM23" s="67">
        <f t="shared" si="6"/>
        <v>1</v>
      </c>
      <c r="BN23" s="68" t="e">
        <f t="shared" si="6"/>
        <v>#REF!</v>
      </c>
      <c r="BO23" s="69">
        <f t="shared" si="6"/>
        <v>37684</v>
      </c>
      <c r="BP23" s="70">
        <f t="shared" si="6"/>
        <v>40</v>
      </c>
      <c r="BQ23" s="71" t="e">
        <f t="shared" si="6"/>
        <v>#REF!</v>
      </c>
    </row>
    <row r="24" spans="1:73">
      <c r="F24" s="72"/>
    </row>
    <row r="28" spans="1:73">
      <c r="H28">
        <v>5858</v>
      </c>
    </row>
    <row r="29" spans="1:73">
      <c r="H29">
        <v>1485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U27"/>
  <sheetViews>
    <sheetView zoomScale="115" zoomScaleNormal="115" workbookViewId="0">
      <pane xSplit="4" ySplit="8" topLeftCell="AR16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7.425781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12.28515625" customWidth="1"/>
    <col min="37" max="37" width="10.28515625" customWidth="1"/>
    <col min="38" max="38" width="10.85546875" customWidth="1"/>
    <col min="39" max="39" width="11.85546875" customWidth="1"/>
    <col min="40" max="40" width="13.7109375" customWidth="1"/>
    <col min="41" max="41" width="10.285156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63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F9+'04.04'!G9</f>
        <v>#REF!</v>
      </c>
      <c r="H9" s="33">
        <v>12</v>
      </c>
      <c r="I9" s="34">
        <v>0</v>
      </c>
      <c r="J9" s="23" t="e">
        <f>I9+'04.04'!J9</f>
        <v>#REF!</v>
      </c>
      <c r="K9" s="33">
        <v>2</v>
      </c>
      <c r="L9" s="22">
        <v>0</v>
      </c>
      <c r="M9" s="23" t="e">
        <f>L9+'04.04'!M9</f>
        <v>#REF!</v>
      </c>
      <c r="N9" s="33">
        <v>735</v>
      </c>
      <c r="O9" s="22">
        <v>0</v>
      </c>
      <c r="P9" s="23" t="e">
        <f>O9+'04.04'!P9</f>
        <v>#REF!</v>
      </c>
      <c r="Q9" s="33">
        <v>502</v>
      </c>
      <c r="R9" s="22">
        <v>0</v>
      </c>
      <c r="S9" s="23" t="e">
        <f>R9+'04.04'!S9</f>
        <v>#REF!</v>
      </c>
      <c r="T9" s="33">
        <v>197</v>
      </c>
      <c r="U9" s="22">
        <v>0</v>
      </c>
      <c r="V9" s="23" t="e">
        <f>U9+'04.04'!V9</f>
        <v>#REF!</v>
      </c>
      <c r="W9" s="33">
        <v>47</v>
      </c>
      <c r="X9" s="22">
        <v>1</v>
      </c>
      <c r="Y9" s="23" t="e">
        <f>X9+'04.04'!Y9</f>
        <v>#REF!</v>
      </c>
      <c r="Z9" s="33">
        <v>34</v>
      </c>
      <c r="AA9" s="22">
        <v>0</v>
      </c>
      <c r="AB9" s="23" t="e">
        <f>AA9+'04.04'!AB9</f>
        <v>#REF!</v>
      </c>
      <c r="AC9" s="33">
        <v>1860</v>
      </c>
      <c r="AD9" s="22">
        <v>0</v>
      </c>
      <c r="AE9" s="23" t="e">
        <f>AD9+'04.04'!AE9</f>
        <v>#REF!</v>
      </c>
      <c r="AF9" s="19">
        <f t="shared" ref="AF9:AG22" si="1">AH9+AJ9+AL9+AN9</f>
        <v>7550</v>
      </c>
      <c r="AG9" s="20" t="e">
        <f t="shared" si="1"/>
        <v>#REF!</v>
      </c>
      <c r="AH9" s="24">
        <v>100</v>
      </c>
      <c r="AI9" s="23" t="e">
        <f>AH9+'04.04'!AI9</f>
        <v>#REF!</v>
      </c>
      <c r="AJ9" s="24">
        <v>250</v>
      </c>
      <c r="AK9" s="23" t="e">
        <f>AJ9+'04.04'!AK9</f>
        <v>#REF!</v>
      </c>
      <c r="AL9" s="22">
        <v>3200</v>
      </c>
      <c r="AM9" s="23" t="e">
        <f>AL9+'04.04'!AM9</f>
        <v>#REF!</v>
      </c>
      <c r="AN9" s="22">
        <v>4000</v>
      </c>
      <c r="AO9" s="23" t="e">
        <f>AN9+'04.04'!AO9</f>
        <v>#REF!</v>
      </c>
      <c r="AP9" s="28" t="s">
        <v>43</v>
      </c>
      <c r="AQ9" s="19">
        <f t="shared" ref="AQ9:AR22" si="2">AS9+AU9+AW9+AY9+BA9</f>
        <v>72</v>
      </c>
      <c r="AR9" s="20" t="e">
        <f t="shared" si="2"/>
        <v>#REF!</v>
      </c>
      <c r="AS9" s="34">
        <v>1</v>
      </c>
      <c r="AT9" s="23" t="e">
        <f>AS9+'04.04'!AT9</f>
        <v>#REF!</v>
      </c>
      <c r="AU9" s="34">
        <v>0</v>
      </c>
      <c r="AV9" s="23" t="e">
        <f>AU9+'04.04'!AV9</f>
        <v>#REF!</v>
      </c>
      <c r="AW9" s="34">
        <v>0</v>
      </c>
      <c r="AX9" s="23" t="e">
        <f>AW9+'04.04'!AX9</f>
        <v>#REF!</v>
      </c>
      <c r="AY9" s="34">
        <v>0</v>
      </c>
      <c r="AZ9" s="23" t="e">
        <f>AY9+'04.04'!AZ9</f>
        <v>#REF!</v>
      </c>
      <c r="BA9" s="34">
        <v>71</v>
      </c>
      <c r="BB9" s="23" t="e">
        <f>BA9+'04.04'!BB9</f>
        <v>#REF!</v>
      </c>
      <c r="BC9" s="19">
        <f t="shared" ref="BC9:BD22" si="3">BE9+BG9+BI9+BK9+BM9</f>
        <v>481</v>
      </c>
      <c r="BD9" s="20" t="e">
        <f t="shared" si="3"/>
        <v>#REF!</v>
      </c>
      <c r="BE9" s="22">
        <v>1</v>
      </c>
      <c r="BF9" s="23" t="e">
        <f>BE9+'04.04'!BF9</f>
        <v>#REF!</v>
      </c>
      <c r="BG9" s="34">
        <v>0</v>
      </c>
      <c r="BH9" s="23" t="e">
        <f>BG9+'04.04'!BH9</f>
        <v>#REF!</v>
      </c>
      <c r="BI9" s="22">
        <v>480</v>
      </c>
      <c r="BJ9" s="23" t="e">
        <f>BI9+'04.04'!BJ9</f>
        <v>#REF!</v>
      </c>
      <c r="BK9" s="22">
        <v>0</v>
      </c>
      <c r="BL9" s="23" t="e">
        <f>BK9+'04.04'!BL9</f>
        <v>#REF!</v>
      </c>
      <c r="BM9" s="22">
        <v>0</v>
      </c>
      <c r="BN9" s="23" t="e">
        <f>BM9+'04.04'!BN9</f>
        <v>#REF!</v>
      </c>
      <c r="BO9" s="36">
        <v>14</v>
      </c>
      <c r="BP9" s="37">
        <v>0</v>
      </c>
      <c r="BQ9" s="23" t="e">
        <f>BP9+'04.04'!BQ9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72</v>
      </c>
      <c r="D10" s="31" t="e">
        <f t="shared" si="0"/>
        <v>#REF!</v>
      </c>
      <c r="E10" s="32">
        <v>585</v>
      </c>
      <c r="F10" s="22">
        <v>1</v>
      </c>
      <c r="G10" s="23" t="e">
        <f>F10+'04.04'!G10</f>
        <v>#REF!</v>
      </c>
      <c r="H10" s="33">
        <v>93</v>
      </c>
      <c r="I10" s="34">
        <v>0</v>
      </c>
      <c r="J10" s="23" t="e">
        <f>I10+'04.04'!J10</f>
        <v>#REF!</v>
      </c>
      <c r="K10" s="33">
        <v>34</v>
      </c>
      <c r="L10" s="22">
        <v>0</v>
      </c>
      <c r="M10" s="23" t="e">
        <f>L10+'04.04'!M10</f>
        <v>#REF!</v>
      </c>
      <c r="N10" s="33">
        <v>352</v>
      </c>
      <c r="O10" s="22">
        <v>0</v>
      </c>
      <c r="P10" s="23" t="e">
        <f>O10+'04.04'!P10</f>
        <v>#REF!</v>
      </c>
      <c r="Q10" s="33">
        <v>549</v>
      </c>
      <c r="R10" s="22">
        <v>0</v>
      </c>
      <c r="S10" s="23" t="e">
        <f>R10+'04.04'!S10</f>
        <v>#REF!</v>
      </c>
      <c r="T10" s="33">
        <v>198</v>
      </c>
      <c r="U10" s="22">
        <v>0</v>
      </c>
      <c r="V10" s="23" t="e">
        <f>U10+'04.04'!V10</f>
        <v>#REF!</v>
      </c>
      <c r="W10" s="38">
        <v>55</v>
      </c>
      <c r="X10" s="22">
        <v>14</v>
      </c>
      <c r="Y10" s="23" t="e">
        <f>X10+'04.04'!Y10</f>
        <v>#REF!</v>
      </c>
      <c r="Z10" s="38">
        <v>71</v>
      </c>
      <c r="AA10" s="22">
        <v>1</v>
      </c>
      <c r="AB10" s="23" t="e">
        <f>AA10+'04.04'!AB10</f>
        <v>#REF!</v>
      </c>
      <c r="AC10" s="38">
        <v>1690</v>
      </c>
      <c r="AD10" s="22">
        <v>56</v>
      </c>
      <c r="AE10" s="23" t="e">
        <f>AD10+'04.04'!AE10</f>
        <v>#REF!</v>
      </c>
      <c r="AF10" s="19">
        <f t="shared" si="1"/>
        <v>113371</v>
      </c>
      <c r="AG10" s="20" t="e">
        <f t="shared" si="1"/>
        <v>#REF!</v>
      </c>
      <c r="AH10" s="24">
        <v>533</v>
      </c>
      <c r="AI10" s="23" t="e">
        <f>AH10+'04.04'!AI10</f>
        <v>#REF!</v>
      </c>
      <c r="AJ10" s="24">
        <v>4402</v>
      </c>
      <c r="AK10" s="23" t="e">
        <f>AJ10+'04.04'!AK10</f>
        <v>#REF!</v>
      </c>
      <c r="AL10" s="22">
        <v>10934</v>
      </c>
      <c r="AM10" s="23" t="e">
        <f>AL10+'04.04'!AM10</f>
        <v>#REF!</v>
      </c>
      <c r="AN10" s="22">
        <v>97502</v>
      </c>
      <c r="AO10" s="23" t="e">
        <f>AN10+'04.04'!AO10</f>
        <v>#REF!</v>
      </c>
      <c r="AP10" s="28" t="s">
        <v>44</v>
      </c>
      <c r="AQ10" s="19">
        <f t="shared" si="2"/>
        <v>1</v>
      </c>
      <c r="AR10" s="20" t="e">
        <f t="shared" si="2"/>
        <v>#REF!</v>
      </c>
      <c r="AS10" s="34">
        <v>0</v>
      </c>
      <c r="AT10" s="23" t="e">
        <f>AS10+'04.04'!AT10</f>
        <v>#REF!</v>
      </c>
      <c r="AU10" s="34">
        <v>0</v>
      </c>
      <c r="AV10" s="23" t="e">
        <f>AU10+'04.04'!AV10</f>
        <v>#REF!</v>
      </c>
      <c r="AW10" s="34">
        <v>0</v>
      </c>
      <c r="AX10" s="23" t="e">
        <f>AW10+'04.04'!AX10</f>
        <v>#REF!</v>
      </c>
      <c r="AY10" s="34">
        <v>0</v>
      </c>
      <c r="AZ10" s="23" t="e">
        <f>AY10+'04.04'!AZ10</f>
        <v>#REF!</v>
      </c>
      <c r="BA10" s="34">
        <v>1</v>
      </c>
      <c r="BB10" s="23" t="e">
        <f>BA10+'04.04'!BB10</f>
        <v>#REF!</v>
      </c>
      <c r="BC10" s="19">
        <f t="shared" si="3"/>
        <v>3362</v>
      </c>
      <c r="BD10" s="20" t="e">
        <f t="shared" si="3"/>
        <v>#REF!</v>
      </c>
      <c r="BE10" s="22">
        <v>507</v>
      </c>
      <c r="BF10" s="23" t="e">
        <f>BE10+'04.04'!BF10</f>
        <v>#REF!</v>
      </c>
      <c r="BG10" s="34">
        <v>1</v>
      </c>
      <c r="BH10" s="23" t="e">
        <f>BG10+'04.04'!BH10</f>
        <v>#REF!</v>
      </c>
      <c r="BI10" s="22">
        <v>1806</v>
      </c>
      <c r="BJ10" s="23" t="e">
        <f>BI10+'04.04'!BJ10</f>
        <v>#REF!</v>
      </c>
      <c r="BK10" s="22">
        <v>1048</v>
      </c>
      <c r="BL10" s="23" t="e">
        <f>BK10+'04.04'!BL10</f>
        <v>#REF!</v>
      </c>
      <c r="BM10" s="22">
        <v>0</v>
      </c>
      <c r="BN10" s="23" t="e">
        <f>BM10+'04.04'!BN10</f>
        <v>#REF!</v>
      </c>
      <c r="BO10" s="36">
        <v>32</v>
      </c>
      <c r="BP10" s="37">
        <v>0</v>
      </c>
      <c r="BQ10" s="23" t="e">
        <f>BP10+'04.04'!BQ10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132</v>
      </c>
      <c r="D11" s="31" t="e">
        <f t="shared" si="0"/>
        <v>#REF!</v>
      </c>
      <c r="E11" s="32">
        <v>883</v>
      </c>
      <c r="F11" s="22">
        <v>62</v>
      </c>
      <c r="G11" s="23" t="e">
        <f>F11+'04.04'!G11</f>
        <v>#REF!</v>
      </c>
      <c r="H11" s="33">
        <v>16</v>
      </c>
      <c r="I11" s="34">
        <v>0</v>
      </c>
      <c r="J11" s="23" t="e">
        <f>I11+'04.04'!J11</f>
        <v>#REF!</v>
      </c>
      <c r="K11" s="33">
        <v>3</v>
      </c>
      <c r="L11" s="22">
        <v>0</v>
      </c>
      <c r="M11" s="23" t="e">
        <f>L11+'04.04'!M11</f>
        <v>#REF!</v>
      </c>
      <c r="N11" s="33">
        <v>875</v>
      </c>
      <c r="O11" s="22">
        <v>0</v>
      </c>
      <c r="P11" s="23" t="e">
        <f>O11+'04.04'!P11</f>
        <v>#REF!</v>
      </c>
      <c r="Q11" s="33">
        <v>2424</v>
      </c>
      <c r="R11" s="22">
        <v>0</v>
      </c>
      <c r="S11" s="23" t="e">
        <f>R11+'04.04'!S11</f>
        <v>#REF!</v>
      </c>
      <c r="T11" s="33">
        <v>69</v>
      </c>
      <c r="U11" s="22">
        <v>0</v>
      </c>
      <c r="V11" s="23" t="e">
        <f>U11+'04.04'!V11</f>
        <v>#REF!</v>
      </c>
      <c r="W11" s="38">
        <v>133</v>
      </c>
      <c r="X11" s="22">
        <v>62</v>
      </c>
      <c r="Y11" s="23" t="e">
        <f>X11+'04.04'!Y11</f>
        <v>#REF!</v>
      </c>
      <c r="Z11" s="38">
        <v>1116</v>
      </c>
      <c r="AA11" s="22">
        <v>0</v>
      </c>
      <c r="AB11" s="23" t="e">
        <f>AA11+'04.04'!AB11</f>
        <v>#REF!</v>
      </c>
      <c r="AC11" s="38">
        <v>9862</v>
      </c>
      <c r="AD11" s="22">
        <v>8</v>
      </c>
      <c r="AE11" s="23" t="e">
        <f>AD11+'04.04'!AE11</f>
        <v>#REF!</v>
      </c>
      <c r="AF11" s="19">
        <f t="shared" si="1"/>
        <v>179100</v>
      </c>
      <c r="AG11" s="20" t="e">
        <f t="shared" si="1"/>
        <v>#REF!</v>
      </c>
      <c r="AH11" s="24">
        <v>7800</v>
      </c>
      <c r="AI11" s="23" t="e">
        <f>AH11+'04.04'!AI11</f>
        <v>#REF!</v>
      </c>
      <c r="AJ11" s="24">
        <v>9300</v>
      </c>
      <c r="AK11" s="23" t="e">
        <f>AJ11+'04.04'!AK11</f>
        <v>#REF!</v>
      </c>
      <c r="AL11" s="22">
        <v>58000</v>
      </c>
      <c r="AM11" s="23" t="e">
        <f>AL11+'04.04'!AM11</f>
        <v>#REF!</v>
      </c>
      <c r="AN11" s="22">
        <v>104000</v>
      </c>
      <c r="AO11" s="23" t="e">
        <f>AN11+'04.04'!AO11</f>
        <v>#REF!</v>
      </c>
      <c r="AP11" s="28" t="s">
        <v>45</v>
      </c>
      <c r="AQ11" s="19">
        <f t="shared" si="2"/>
        <v>11</v>
      </c>
      <c r="AR11" s="20" t="e">
        <f t="shared" si="2"/>
        <v>#REF!</v>
      </c>
      <c r="AS11" s="34">
        <v>0</v>
      </c>
      <c r="AT11" s="23" t="e">
        <f>AS11+'04.04'!AT11</f>
        <v>#REF!</v>
      </c>
      <c r="AU11" s="34">
        <v>0</v>
      </c>
      <c r="AV11" s="23" t="e">
        <f>AU11+'04.04'!AV11</f>
        <v>#REF!</v>
      </c>
      <c r="AW11" s="34">
        <v>0</v>
      </c>
      <c r="AX11" s="23" t="e">
        <f>AW11+'04.04'!AX11</f>
        <v>#REF!</v>
      </c>
      <c r="AY11" s="34">
        <v>0</v>
      </c>
      <c r="AZ11" s="23" t="e">
        <f>AY11+'04.04'!AZ11</f>
        <v>#REF!</v>
      </c>
      <c r="BA11" s="34">
        <v>11</v>
      </c>
      <c r="BB11" s="23" t="e">
        <f>BA11+'04.04'!BB11</f>
        <v>#REF!</v>
      </c>
      <c r="BC11" s="19">
        <f t="shared" si="3"/>
        <v>5746</v>
      </c>
      <c r="BD11" s="20" t="e">
        <f t="shared" si="3"/>
        <v>#REF!</v>
      </c>
      <c r="BE11" s="22">
        <v>12</v>
      </c>
      <c r="BF11" s="23" t="e">
        <f>BE11+'04.04'!BF11</f>
        <v>#REF!</v>
      </c>
      <c r="BG11" s="34">
        <v>6</v>
      </c>
      <c r="BH11" s="23" t="e">
        <f>BG11+'04.04'!BH11</f>
        <v>#REF!</v>
      </c>
      <c r="BI11" s="22">
        <v>5600</v>
      </c>
      <c r="BJ11" s="23" t="e">
        <f>BI11+'04.04'!BJ11</f>
        <v>#REF!</v>
      </c>
      <c r="BK11" s="22">
        <v>128</v>
      </c>
      <c r="BL11" s="23" t="e">
        <f>BK11+'04.04'!BL11</f>
        <v>#REF!</v>
      </c>
      <c r="BM11" s="22">
        <v>0</v>
      </c>
      <c r="BN11" s="23" t="e">
        <f>BM11+'04.04'!BN11</f>
        <v>#REF!</v>
      </c>
      <c r="BO11" s="36">
        <v>11506</v>
      </c>
      <c r="BP11" s="37">
        <v>8</v>
      </c>
      <c r="BQ11" s="23" t="e">
        <f>BP11+'04.04'!BQ11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252</v>
      </c>
      <c r="D12" s="31" t="e">
        <f t="shared" si="0"/>
        <v>#REF!</v>
      </c>
      <c r="E12" s="32">
        <v>909</v>
      </c>
      <c r="F12" s="22">
        <v>43</v>
      </c>
      <c r="G12" s="23" t="e">
        <f>F12+'04.04'!G12</f>
        <v>#REF!</v>
      </c>
      <c r="H12" s="33">
        <v>80</v>
      </c>
      <c r="I12" s="34">
        <v>5</v>
      </c>
      <c r="J12" s="23" t="e">
        <f>I12+'04.04'!J12</f>
        <v>#REF!</v>
      </c>
      <c r="K12" s="33">
        <v>5</v>
      </c>
      <c r="L12" s="22">
        <v>0</v>
      </c>
      <c r="M12" s="23" t="e">
        <f>L12+'04.04'!M12</f>
        <v>#REF!</v>
      </c>
      <c r="N12" s="33">
        <v>820</v>
      </c>
      <c r="O12" s="22">
        <v>22</v>
      </c>
      <c r="P12" s="23" t="e">
        <f>O12+'04.04'!P12</f>
        <v>#REF!</v>
      </c>
      <c r="Q12" s="33">
        <v>549</v>
      </c>
      <c r="R12" s="22">
        <v>0</v>
      </c>
      <c r="S12" s="23" t="e">
        <f>R12+'04.04'!S12</f>
        <v>#REF!</v>
      </c>
      <c r="T12" s="33">
        <v>992</v>
      </c>
      <c r="U12" s="22">
        <v>0</v>
      </c>
      <c r="V12" s="23" t="e">
        <f>U12+'04.04'!V12</f>
        <v>#REF!</v>
      </c>
      <c r="W12" s="33">
        <v>38</v>
      </c>
      <c r="X12" s="22">
        <v>151</v>
      </c>
      <c r="Y12" s="23" t="e">
        <f>X12+'04.04'!Y12</f>
        <v>#REF!</v>
      </c>
      <c r="Z12" s="33">
        <v>68</v>
      </c>
      <c r="AA12" s="22">
        <v>0</v>
      </c>
      <c r="AB12" s="23" t="e">
        <f>AA12+'04.04'!AB12</f>
        <v>#REF!</v>
      </c>
      <c r="AC12" s="33">
        <v>26703</v>
      </c>
      <c r="AD12" s="22">
        <v>31</v>
      </c>
      <c r="AE12" s="23" t="e">
        <f>AD12+'04.04'!AE12</f>
        <v>#REF!</v>
      </c>
      <c r="AF12" s="19">
        <f t="shared" si="1"/>
        <v>18000</v>
      </c>
      <c r="AG12" s="20" t="e">
        <f t="shared" si="1"/>
        <v>#REF!</v>
      </c>
      <c r="AH12" s="24">
        <v>6000</v>
      </c>
      <c r="AI12" s="23" t="e">
        <f>AH12+'04.04'!AI12</f>
        <v>#REF!</v>
      </c>
      <c r="AJ12" s="24">
        <v>10500</v>
      </c>
      <c r="AK12" s="23" t="e">
        <f>AJ12+'04.04'!AK12</f>
        <v>#REF!</v>
      </c>
      <c r="AL12" s="22">
        <v>300</v>
      </c>
      <c r="AM12" s="23" t="e">
        <f>AL12+'04.04'!AM12</f>
        <v>#REF!</v>
      </c>
      <c r="AN12" s="22">
        <v>1200</v>
      </c>
      <c r="AO12" s="23" t="e">
        <f>AN12+'04.04'!AO12</f>
        <v>#REF!</v>
      </c>
      <c r="AP12" s="28" t="s">
        <v>46</v>
      </c>
      <c r="AQ12" s="19">
        <f t="shared" si="2"/>
        <v>97</v>
      </c>
      <c r="AR12" s="20" t="e">
        <f t="shared" si="2"/>
        <v>#REF!</v>
      </c>
      <c r="AS12" s="34">
        <v>0</v>
      </c>
      <c r="AT12" s="23" t="e">
        <f>AS12+'04.04'!AT12</f>
        <v>#REF!</v>
      </c>
      <c r="AU12" s="34">
        <v>0</v>
      </c>
      <c r="AV12" s="23" t="e">
        <f>AU12+'04.04'!AV12</f>
        <v>#REF!</v>
      </c>
      <c r="AW12" s="34">
        <v>0</v>
      </c>
      <c r="AX12" s="23" t="e">
        <f>AW12+'04.04'!AX12</f>
        <v>#REF!</v>
      </c>
      <c r="AY12" s="34">
        <v>0</v>
      </c>
      <c r="AZ12" s="23" t="e">
        <f>AY12+'04.04'!AZ12</f>
        <v>#REF!</v>
      </c>
      <c r="BA12" s="34">
        <v>97</v>
      </c>
      <c r="BB12" s="23" t="e">
        <f>BA12+'04.04'!BB12</f>
        <v>#REF!</v>
      </c>
      <c r="BC12" s="19">
        <f t="shared" si="3"/>
        <v>2749</v>
      </c>
      <c r="BD12" s="20" t="e">
        <f t="shared" si="3"/>
        <v>#REF!</v>
      </c>
      <c r="BE12" s="22">
        <v>134</v>
      </c>
      <c r="BF12" s="23" t="e">
        <f>BE12+'04.04'!BF12</f>
        <v>#REF!</v>
      </c>
      <c r="BG12" s="34">
        <v>15</v>
      </c>
      <c r="BH12" s="23" t="e">
        <f>BG12+'04.04'!BH12</f>
        <v>#REF!</v>
      </c>
      <c r="BI12" s="22">
        <v>2300</v>
      </c>
      <c r="BJ12" s="23" t="e">
        <f>BI12+'04.04'!BJ12</f>
        <v>#REF!</v>
      </c>
      <c r="BK12" s="22">
        <v>300</v>
      </c>
      <c r="BL12" s="23" t="e">
        <f>BK12+'04.04'!BL12</f>
        <v>#REF!</v>
      </c>
      <c r="BM12" s="22">
        <v>0</v>
      </c>
      <c r="BN12" s="23" t="e">
        <f>BM12+'04.04'!BN12</f>
        <v>#REF!</v>
      </c>
      <c r="BO12" s="36"/>
      <c r="BP12" s="37">
        <v>2</v>
      </c>
      <c r="BQ12" s="23" t="e">
        <f>BP12+'04.04'!BQ12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 t="e">
        <f t="shared" si="0"/>
        <v>#REF!</v>
      </c>
      <c r="E13" s="32">
        <v>516</v>
      </c>
      <c r="F13" s="22">
        <v>0</v>
      </c>
      <c r="G13" s="23" t="e">
        <f>F13+'04.04'!G13</f>
        <v>#REF!</v>
      </c>
      <c r="H13" s="33">
        <v>10</v>
      </c>
      <c r="I13" s="34">
        <v>0</v>
      </c>
      <c r="J13" s="23" t="e">
        <f>I13+'04.04'!J13</f>
        <v>#REF!</v>
      </c>
      <c r="K13" s="33">
        <v>38</v>
      </c>
      <c r="L13" s="22">
        <v>0</v>
      </c>
      <c r="M13" s="23" t="e">
        <f>L13+'04.04'!M13</f>
        <v>#REF!</v>
      </c>
      <c r="N13" s="33">
        <v>581</v>
      </c>
      <c r="O13" s="22">
        <v>0</v>
      </c>
      <c r="P13" s="23" t="e">
        <f>O13+'04.04'!P13</f>
        <v>#REF!</v>
      </c>
      <c r="Q13" s="33">
        <v>525</v>
      </c>
      <c r="R13" s="22">
        <v>0</v>
      </c>
      <c r="S13" s="23" t="e">
        <f>R13+'04.04'!S13</f>
        <v>#REF!</v>
      </c>
      <c r="T13" s="33">
        <v>263</v>
      </c>
      <c r="U13" s="22">
        <v>0</v>
      </c>
      <c r="V13" s="23" t="e">
        <f>U13+'04.04'!V13</f>
        <v>#REF!</v>
      </c>
      <c r="W13" s="33">
        <v>43</v>
      </c>
      <c r="X13" s="22">
        <v>1</v>
      </c>
      <c r="Y13" s="23" t="e">
        <f>X13+'04.04'!Y13</f>
        <v>#REF!</v>
      </c>
      <c r="Z13" s="33">
        <v>17</v>
      </c>
      <c r="AA13" s="22">
        <v>0</v>
      </c>
      <c r="AB13" s="23" t="e">
        <f>AA13+'04.04'!AB13</f>
        <v>#REF!</v>
      </c>
      <c r="AC13" s="33">
        <v>51</v>
      </c>
      <c r="AD13" s="22">
        <v>1</v>
      </c>
      <c r="AE13" s="23" t="e">
        <f>AD13+'04.04'!AE13</f>
        <v>#REF!</v>
      </c>
      <c r="AF13" s="19">
        <f t="shared" si="1"/>
        <v>65000</v>
      </c>
      <c r="AG13" s="20" t="e">
        <f t="shared" si="1"/>
        <v>#REF!</v>
      </c>
      <c r="AH13" s="24">
        <v>1000</v>
      </c>
      <c r="AI13" s="23" t="e">
        <f>AH13+'04.04'!AI13</f>
        <v>#REF!</v>
      </c>
      <c r="AJ13" s="24">
        <v>9000</v>
      </c>
      <c r="AK13" s="23" t="e">
        <f>AJ13+'04.04'!AK13</f>
        <v>#REF!</v>
      </c>
      <c r="AL13" s="22">
        <v>30000</v>
      </c>
      <c r="AM13" s="23" t="e">
        <f>AL13+'04.04'!AM13</f>
        <v>#REF!</v>
      </c>
      <c r="AN13" s="22">
        <v>25000</v>
      </c>
      <c r="AO13" s="23" t="e">
        <f>AN13+'04.04'!AO13</f>
        <v>#REF!</v>
      </c>
      <c r="AP13" s="28" t="s">
        <v>47</v>
      </c>
      <c r="AQ13" s="19">
        <f t="shared" si="2"/>
        <v>10</v>
      </c>
      <c r="AR13" s="20" t="e">
        <f t="shared" si="2"/>
        <v>#REF!</v>
      </c>
      <c r="AS13" s="34">
        <v>0</v>
      </c>
      <c r="AT13" s="23" t="e">
        <f>AS13+'04.04'!AT13</f>
        <v>#REF!</v>
      </c>
      <c r="AU13" s="34">
        <v>0</v>
      </c>
      <c r="AV13" s="23" t="e">
        <f>AU13+'04.04'!AV13</f>
        <v>#REF!</v>
      </c>
      <c r="AW13" s="34">
        <v>0</v>
      </c>
      <c r="AX13" s="23" t="e">
        <f>AW13+'04.04'!AX13</f>
        <v>#REF!</v>
      </c>
      <c r="AY13" s="34">
        <v>0</v>
      </c>
      <c r="AZ13" s="23" t="e">
        <f>AY13+'04.04'!AZ13</f>
        <v>#REF!</v>
      </c>
      <c r="BA13" s="34">
        <v>10</v>
      </c>
      <c r="BB13" s="23" t="e">
        <f>BA13+'04.04'!BB13</f>
        <v>#REF!</v>
      </c>
      <c r="BC13" s="19">
        <f t="shared" si="3"/>
        <v>4040</v>
      </c>
      <c r="BD13" s="20" t="e">
        <f t="shared" si="3"/>
        <v>#REF!</v>
      </c>
      <c r="BE13" s="22">
        <v>516</v>
      </c>
      <c r="BF13" s="23" t="e">
        <f>BE13+'04.04'!BF13</f>
        <v>#REF!</v>
      </c>
      <c r="BG13" s="34">
        <v>10</v>
      </c>
      <c r="BH13" s="23" t="e">
        <f>BG13+'04.04'!BH13</f>
        <v>#REF!</v>
      </c>
      <c r="BI13" s="22">
        <v>3500</v>
      </c>
      <c r="BJ13" s="23" t="e">
        <f>BI13+'04.04'!BJ13</f>
        <v>#REF!</v>
      </c>
      <c r="BK13" s="22">
        <v>14</v>
      </c>
      <c r="BL13" s="23" t="e">
        <f>BK13+'04.04'!BL13</f>
        <v>#REF!</v>
      </c>
      <c r="BM13" s="22">
        <v>0</v>
      </c>
      <c r="BN13" s="23" t="e">
        <f>BM13+'04.04'!BN13</f>
        <v>#REF!</v>
      </c>
      <c r="BO13" s="36"/>
      <c r="BP13" s="37">
        <v>0</v>
      </c>
      <c r="BQ13" s="23" t="e">
        <f>BP13+'04.04'!BQ13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108</v>
      </c>
      <c r="D14" s="42" t="e">
        <f t="shared" si="0"/>
        <v>#REF!</v>
      </c>
      <c r="E14" s="43">
        <v>304</v>
      </c>
      <c r="F14" s="22">
        <v>85</v>
      </c>
      <c r="G14" s="23" t="e">
        <f>F14+'04.04'!G14</f>
        <v>#REF!</v>
      </c>
      <c r="H14" s="44">
        <v>5</v>
      </c>
      <c r="I14" s="45">
        <v>0</v>
      </c>
      <c r="J14" s="23" t="e">
        <f>I14+'04.04'!J14</f>
        <v>#REF!</v>
      </c>
      <c r="K14" s="44">
        <v>34</v>
      </c>
      <c r="L14" s="22">
        <v>0</v>
      </c>
      <c r="M14" s="23" t="e">
        <f>L14+'04.04'!M14</f>
        <v>#REF!</v>
      </c>
      <c r="N14" s="44">
        <v>583</v>
      </c>
      <c r="O14" s="22">
        <v>0</v>
      </c>
      <c r="P14" s="23" t="e">
        <f>O14+'04.04'!P14</f>
        <v>#REF!</v>
      </c>
      <c r="Q14" s="44">
        <v>254</v>
      </c>
      <c r="R14" s="22">
        <v>0</v>
      </c>
      <c r="S14" s="23" t="e">
        <f>R14+'04.04'!S14</f>
        <v>#REF!</v>
      </c>
      <c r="T14" s="44">
        <v>196</v>
      </c>
      <c r="U14" s="22">
        <v>0</v>
      </c>
      <c r="V14" s="23" t="e">
        <f>U14+'04.04'!V14</f>
        <v>#REF!</v>
      </c>
      <c r="W14" s="44">
        <v>30</v>
      </c>
      <c r="X14" s="22">
        <v>20</v>
      </c>
      <c r="Y14" s="23" t="e">
        <f>X14+'04.04'!Y14</f>
        <v>#REF!</v>
      </c>
      <c r="Z14" s="44">
        <v>10</v>
      </c>
      <c r="AA14" s="22">
        <v>0</v>
      </c>
      <c r="AB14" s="23" t="e">
        <f>AA14+'04.04'!AB14</f>
        <v>#REF!</v>
      </c>
      <c r="AC14" s="44">
        <v>2500</v>
      </c>
      <c r="AD14" s="22">
        <v>3</v>
      </c>
      <c r="AE14" s="23" t="e">
        <f>AD14+'04.04'!AE14</f>
        <v>#REF!</v>
      </c>
      <c r="AF14" s="19">
        <f t="shared" si="1"/>
        <v>155750</v>
      </c>
      <c r="AG14" s="20" t="e">
        <f t="shared" si="1"/>
        <v>#REF!</v>
      </c>
      <c r="AH14" s="24">
        <v>3250</v>
      </c>
      <c r="AI14" s="23" t="e">
        <f>AH14+'04.04'!AI14</f>
        <v>#REF!</v>
      </c>
      <c r="AJ14" s="24">
        <v>7000</v>
      </c>
      <c r="AK14" s="23" t="e">
        <f>AJ14+'04.04'!AK14</f>
        <v>#REF!</v>
      </c>
      <c r="AL14" s="22">
        <v>18500</v>
      </c>
      <c r="AM14" s="23" t="e">
        <f>AL14+'04.04'!AM14</f>
        <v>#REF!</v>
      </c>
      <c r="AN14" s="22">
        <v>127000</v>
      </c>
      <c r="AO14" s="23" t="e">
        <f>AN14+'04.04'!AO14</f>
        <v>#REF!</v>
      </c>
      <c r="AP14" s="39" t="s">
        <v>48</v>
      </c>
      <c r="AQ14" s="19">
        <f t="shared" si="2"/>
        <v>6</v>
      </c>
      <c r="AR14" s="20" t="e">
        <f t="shared" si="2"/>
        <v>#REF!</v>
      </c>
      <c r="AS14" s="45">
        <v>0</v>
      </c>
      <c r="AT14" s="23" t="e">
        <f>AS14+'04.04'!AT14</f>
        <v>#REF!</v>
      </c>
      <c r="AU14" s="45">
        <v>0</v>
      </c>
      <c r="AV14" s="23" t="e">
        <f>AU14+'04.04'!AV14</f>
        <v>#REF!</v>
      </c>
      <c r="AW14" s="45">
        <v>0</v>
      </c>
      <c r="AX14" s="23" t="e">
        <f>AW14+'04.04'!AX14</f>
        <v>#REF!</v>
      </c>
      <c r="AY14" s="45">
        <v>0</v>
      </c>
      <c r="AZ14" s="23" t="e">
        <f>AY14+'04.04'!AZ14</f>
        <v>#REF!</v>
      </c>
      <c r="BA14" s="45">
        <v>6</v>
      </c>
      <c r="BB14" s="23" t="e">
        <f>BA14+'04.04'!BB14</f>
        <v>#REF!</v>
      </c>
      <c r="BC14" s="19">
        <f t="shared" si="3"/>
        <v>6067</v>
      </c>
      <c r="BD14" s="20" t="e">
        <f t="shared" si="3"/>
        <v>#REF!</v>
      </c>
      <c r="BE14" s="22">
        <v>12</v>
      </c>
      <c r="BF14" s="23" t="e">
        <f>BE14+'04.04'!BF14</f>
        <v>#REF!</v>
      </c>
      <c r="BG14" s="45">
        <v>5</v>
      </c>
      <c r="BH14" s="23" t="e">
        <f>BG14+'04.04'!BH14</f>
        <v>#REF!</v>
      </c>
      <c r="BI14" s="22">
        <v>6000</v>
      </c>
      <c r="BJ14" s="23" t="e">
        <f>BI14+'04.04'!BJ14</f>
        <v>#REF!</v>
      </c>
      <c r="BK14" s="22">
        <v>50</v>
      </c>
      <c r="BL14" s="23" t="e">
        <f>BK14+'04.04'!BL14</f>
        <v>#REF!</v>
      </c>
      <c r="BM14" s="22">
        <v>0</v>
      </c>
      <c r="BN14" s="23" t="e">
        <f>BM14+'04.04'!BN14</f>
        <v>#REF!</v>
      </c>
      <c r="BO14" s="48">
        <v>2</v>
      </c>
      <c r="BP14" s="49">
        <v>0</v>
      </c>
      <c r="BQ14" s="23" t="e">
        <f>BP14+'04.04'!BQ14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510</v>
      </c>
      <c r="D15" s="53" t="e">
        <f t="shared" si="0"/>
        <v>#REF!</v>
      </c>
      <c r="E15" s="54">
        <v>776</v>
      </c>
      <c r="F15" s="55">
        <v>350</v>
      </c>
      <c r="G15" s="23" t="e">
        <f>F15+'04.04'!G15</f>
        <v>#REF!</v>
      </c>
      <c r="H15" s="56">
        <v>9</v>
      </c>
      <c r="I15" s="57">
        <v>0</v>
      </c>
      <c r="J15" s="23" t="e">
        <f>I15+'04.04'!J15</f>
        <v>#REF!</v>
      </c>
      <c r="K15" s="56">
        <v>6</v>
      </c>
      <c r="L15" s="55">
        <v>0</v>
      </c>
      <c r="M15" s="23" t="e">
        <f>L15+'04.04'!M15</f>
        <v>#REF!</v>
      </c>
      <c r="N15" s="56">
        <v>1305</v>
      </c>
      <c r="O15" s="55">
        <v>0</v>
      </c>
      <c r="P15" s="23" t="e">
        <f>O15+'04.04'!P15</f>
        <v>#REF!</v>
      </c>
      <c r="Q15" s="56">
        <v>447</v>
      </c>
      <c r="R15" s="55">
        <v>0</v>
      </c>
      <c r="S15" s="23" t="e">
        <f>R15+'04.04'!S15</f>
        <v>#REF!</v>
      </c>
      <c r="T15" s="56">
        <v>337</v>
      </c>
      <c r="U15" s="55">
        <v>0</v>
      </c>
      <c r="V15" s="23" t="e">
        <f>U15+'04.04'!V15</f>
        <v>#REF!</v>
      </c>
      <c r="W15" s="56">
        <v>78</v>
      </c>
      <c r="X15" s="55">
        <v>0</v>
      </c>
      <c r="Y15" s="23" t="e">
        <f>X15+'04.04'!Y15</f>
        <v>#REF!</v>
      </c>
      <c r="Z15" s="56">
        <v>141</v>
      </c>
      <c r="AA15" s="55">
        <v>0</v>
      </c>
      <c r="AB15" s="23" t="e">
        <f>AA15+'04.04'!AB15</f>
        <v>#REF!</v>
      </c>
      <c r="AC15" s="56">
        <v>798</v>
      </c>
      <c r="AD15" s="55">
        <v>160</v>
      </c>
      <c r="AE15" s="23" t="e">
        <f>AD15+'04.04'!AE15</f>
        <v>#REF!</v>
      </c>
      <c r="AF15" s="58">
        <f t="shared" si="1"/>
        <v>1270520</v>
      </c>
      <c r="AG15" s="59" t="e">
        <f t="shared" si="1"/>
        <v>#REF!</v>
      </c>
      <c r="AH15" s="60">
        <v>1070</v>
      </c>
      <c r="AI15" s="23" t="e">
        <f>AH15+'04.04'!AI15</f>
        <v>#REF!</v>
      </c>
      <c r="AJ15" s="60">
        <v>3600</v>
      </c>
      <c r="AK15" s="23" t="e">
        <f>AJ15+'04.04'!AK15</f>
        <v>#REF!</v>
      </c>
      <c r="AL15" s="55">
        <v>632925</v>
      </c>
      <c r="AM15" s="23" t="e">
        <f>AL15+'04.04'!AM15</f>
        <v>#REF!</v>
      </c>
      <c r="AN15" s="55">
        <v>632925</v>
      </c>
      <c r="AO15" s="23" t="e">
        <f>AN15+'04.04'!AO15</f>
        <v>#REF!</v>
      </c>
      <c r="AP15" s="50" t="s">
        <v>49</v>
      </c>
      <c r="AQ15" s="58">
        <f t="shared" si="2"/>
        <v>1952</v>
      </c>
      <c r="AR15" s="59" t="e">
        <f t="shared" si="2"/>
        <v>#REF!</v>
      </c>
      <c r="AS15" s="57">
        <v>65</v>
      </c>
      <c r="AT15" s="23" t="e">
        <f>AS15+'04.04'!AT15</f>
        <v>#REF!</v>
      </c>
      <c r="AU15" s="57">
        <v>3</v>
      </c>
      <c r="AV15" s="23" t="e">
        <f>AU15+'04.04'!AV15</f>
        <v>#REF!</v>
      </c>
      <c r="AW15" s="57">
        <v>940</v>
      </c>
      <c r="AX15" s="23" t="e">
        <f>AW15+'04.04'!AX15</f>
        <v>#REF!</v>
      </c>
      <c r="AY15" s="57">
        <v>940</v>
      </c>
      <c r="AZ15" s="23" t="e">
        <f>AY15+'04.04'!AZ15</f>
        <v>#REF!</v>
      </c>
      <c r="BA15" s="57">
        <v>4</v>
      </c>
      <c r="BB15" s="23" t="e">
        <f>BA15+'04.04'!BB15</f>
        <v>#REF!</v>
      </c>
      <c r="BC15" s="58">
        <f t="shared" si="3"/>
        <v>1948</v>
      </c>
      <c r="BD15" s="59" t="e">
        <f t="shared" si="3"/>
        <v>#REF!</v>
      </c>
      <c r="BE15" s="55">
        <v>65</v>
      </c>
      <c r="BF15" s="23" t="e">
        <f>BE15+'04.04'!BF15</f>
        <v>#REF!</v>
      </c>
      <c r="BG15" s="57">
        <v>3</v>
      </c>
      <c r="BH15" s="23" t="e">
        <f>BG15+'04.04'!BH15</f>
        <v>#REF!</v>
      </c>
      <c r="BI15" s="55">
        <v>940</v>
      </c>
      <c r="BJ15" s="23" t="e">
        <f>BI15+'04.04'!BJ15</f>
        <v>#REF!</v>
      </c>
      <c r="BK15" s="55">
        <v>940</v>
      </c>
      <c r="BL15" s="23" t="e">
        <f>BK15+'04.04'!BL15</f>
        <v>#REF!</v>
      </c>
      <c r="BM15" s="55">
        <v>0</v>
      </c>
      <c r="BN15" s="23" t="e">
        <f>BM15+'04.04'!BN15</f>
        <v>#REF!</v>
      </c>
      <c r="BO15" s="36">
        <v>6274</v>
      </c>
      <c r="BP15" s="37">
        <v>2</v>
      </c>
      <c r="BQ15" s="23" t="e">
        <f>BP15+'04.04'!BQ15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119</v>
      </c>
      <c r="D16" s="31" t="e">
        <f t="shared" si="0"/>
        <v>#REF!</v>
      </c>
      <c r="E16" s="32">
        <v>310</v>
      </c>
      <c r="F16" s="22">
        <v>38</v>
      </c>
      <c r="G16" s="23" t="e">
        <f>F16+'04.04'!G16</f>
        <v>#REF!</v>
      </c>
      <c r="H16" s="33">
        <v>5</v>
      </c>
      <c r="I16" s="34">
        <v>0</v>
      </c>
      <c r="J16" s="23" t="e">
        <f>I16+'04.04'!J16</f>
        <v>#REF!</v>
      </c>
      <c r="K16" s="33">
        <v>3</v>
      </c>
      <c r="L16" s="22">
        <v>0</v>
      </c>
      <c r="M16" s="23" t="e">
        <f>L16+'04.04'!M16</f>
        <v>#REF!</v>
      </c>
      <c r="N16" s="33">
        <v>384</v>
      </c>
      <c r="O16" s="22">
        <v>0</v>
      </c>
      <c r="P16" s="23" t="e">
        <f>O16+'04.04'!P16</f>
        <v>#REF!</v>
      </c>
      <c r="Q16" s="33">
        <v>245</v>
      </c>
      <c r="R16" s="22">
        <v>0</v>
      </c>
      <c r="S16" s="23" t="e">
        <f>R16+'04.04'!S16</f>
        <v>#REF!</v>
      </c>
      <c r="T16" s="33">
        <v>397</v>
      </c>
      <c r="U16" s="22">
        <v>0</v>
      </c>
      <c r="V16" s="23" t="e">
        <f>U16+'04.04'!V16</f>
        <v>#REF!</v>
      </c>
      <c r="W16" s="33">
        <v>24</v>
      </c>
      <c r="X16" s="22">
        <v>36</v>
      </c>
      <c r="Y16" s="23" t="e">
        <f>X16+'04.04'!Y16</f>
        <v>#REF!</v>
      </c>
      <c r="Z16" s="33">
        <v>18</v>
      </c>
      <c r="AA16" s="22">
        <v>0</v>
      </c>
      <c r="AB16" s="23" t="e">
        <f>AA16+'04.04'!AB16</f>
        <v>#REF!</v>
      </c>
      <c r="AC16" s="33">
        <v>18515</v>
      </c>
      <c r="AD16" s="22">
        <v>45</v>
      </c>
      <c r="AE16" s="23" t="e">
        <f>AD16+'04.04'!AE16</f>
        <v>#REF!</v>
      </c>
      <c r="AF16" s="19">
        <f t="shared" si="1"/>
        <v>53082</v>
      </c>
      <c r="AG16" s="20" t="e">
        <f t="shared" si="1"/>
        <v>#REF!</v>
      </c>
      <c r="AH16" s="24">
        <v>310</v>
      </c>
      <c r="AI16" s="23" t="e">
        <f>AH16+'04.04'!AI16</f>
        <v>#REF!</v>
      </c>
      <c r="AJ16" s="24">
        <v>1432</v>
      </c>
      <c r="AK16" s="23" t="e">
        <f>AJ16+'04.04'!AK16</f>
        <v>#REF!</v>
      </c>
      <c r="AL16" s="22">
        <v>3215</v>
      </c>
      <c r="AM16" s="23" t="e">
        <f>AL16+'04.04'!AM16</f>
        <v>#REF!</v>
      </c>
      <c r="AN16" s="22">
        <v>48125</v>
      </c>
      <c r="AO16" s="23" t="e">
        <f>AN16+'04.04'!AO16</f>
        <v>#REF!</v>
      </c>
      <c r="AP16" s="28" t="s">
        <v>51</v>
      </c>
      <c r="AQ16" s="19">
        <f t="shared" si="2"/>
        <v>56</v>
      </c>
      <c r="AR16" s="20" t="e">
        <f t="shared" si="2"/>
        <v>#REF!</v>
      </c>
      <c r="AS16" s="34">
        <v>0</v>
      </c>
      <c r="AT16" s="23" t="e">
        <f>AS16+'04.04'!AT16</f>
        <v>#REF!</v>
      </c>
      <c r="AU16" s="34">
        <v>2</v>
      </c>
      <c r="AV16" s="23" t="e">
        <f>AU16+'04.04'!AV16</f>
        <v>#REF!</v>
      </c>
      <c r="AW16" s="34">
        <v>0</v>
      </c>
      <c r="AX16" s="23" t="e">
        <f>AW16+'04.04'!AX16</f>
        <v>#REF!</v>
      </c>
      <c r="AY16" s="34">
        <v>0</v>
      </c>
      <c r="AZ16" s="23" t="e">
        <f>AY16+'04.04'!AZ16</f>
        <v>#REF!</v>
      </c>
      <c r="BA16" s="34">
        <v>54</v>
      </c>
      <c r="BB16" s="23" t="e">
        <f>BA16+'04.04'!BB16</f>
        <v>#REF!</v>
      </c>
      <c r="BC16" s="19">
        <f t="shared" si="3"/>
        <v>712</v>
      </c>
      <c r="BD16" s="20" t="e">
        <f t="shared" si="3"/>
        <v>#REF!</v>
      </c>
      <c r="BE16" s="22">
        <v>62</v>
      </c>
      <c r="BF16" s="23" t="e">
        <f>BE16+'04.04'!BF16</f>
        <v>#REF!</v>
      </c>
      <c r="BG16" s="34">
        <v>0</v>
      </c>
      <c r="BH16" s="23" t="e">
        <f>BG16+'04.04'!BH16</f>
        <v>#REF!</v>
      </c>
      <c r="BI16" s="22">
        <v>450</v>
      </c>
      <c r="BJ16" s="23" t="e">
        <f>BI16+'04.04'!BJ16</f>
        <v>#REF!</v>
      </c>
      <c r="BK16" s="22">
        <v>200</v>
      </c>
      <c r="BL16" s="23" t="e">
        <f>BK16+'04.04'!BL16</f>
        <v>#REF!</v>
      </c>
      <c r="BM16" s="22">
        <v>0</v>
      </c>
      <c r="BN16" s="23" t="e">
        <f>BM16+'04.04'!BN16</f>
        <v>#REF!</v>
      </c>
      <c r="BO16" s="36">
        <v>2546</v>
      </c>
      <c r="BP16" s="37">
        <v>0</v>
      </c>
      <c r="BQ16" s="23" t="e">
        <f>BP16+'04.04'!BQ16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166</v>
      </c>
      <c r="D17" s="31" t="e">
        <f t="shared" si="0"/>
        <v>#REF!</v>
      </c>
      <c r="E17" s="32">
        <v>754</v>
      </c>
      <c r="F17" s="22">
        <v>90</v>
      </c>
      <c r="G17" s="23" t="e">
        <f>F17+'04.04'!G17</f>
        <v>#REF!</v>
      </c>
      <c r="H17" s="33">
        <v>9</v>
      </c>
      <c r="I17" s="34">
        <v>0</v>
      </c>
      <c r="J17" s="23" t="e">
        <f>I17+'04.04'!J17</f>
        <v>#REF!</v>
      </c>
      <c r="K17" s="33">
        <v>5</v>
      </c>
      <c r="L17" s="22">
        <v>0</v>
      </c>
      <c r="M17" s="23" t="e">
        <f>L17+'04.04'!M17</f>
        <v>#REF!</v>
      </c>
      <c r="N17" s="33">
        <v>768</v>
      </c>
      <c r="O17" s="22">
        <v>0</v>
      </c>
      <c r="P17" s="23" t="e">
        <f>O17+'04.04'!P17</f>
        <v>#REF!</v>
      </c>
      <c r="Q17" s="33">
        <v>624</v>
      </c>
      <c r="R17" s="22">
        <v>0</v>
      </c>
      <c r="S17" s="23" t="e">
        <f>R17+'04.04'!S17</f>
        <v>#REF!</v>
      </c>
      <c r="T17" s="33">
        <v>742</v>
      </c>
      <c r="U17" s="22">
        <v>0</v>
      </c>
      <c r="V17" s="23" t="e">
        <f>U17+'04.04'!V17</f>
        <v>#REF!</v>
      </c>
      <c r="W17" s="33">
        <v>54</v>
      </c>
      <c r="X17" s="22">
        <v>50</v>
      </c>
      <c r="Y17" s="23" t="e">
        <f>X17+'04.04'!Y17</f>
        <v>#REF!</v>
      </c>
      <c r="Z17" s="33">
        <v>66</v>
      </c>
      <c r="AA17" s="22">
        <v>0</v>
      </c>
      <c r="AB17" s="23" t="e">
        <f>AA17+'04.04'!AB17</f>
        <v>#REF!</v>
      </c>
      <c r="AC17" s="33">
        <v>2580</v>
      </c>
      <c r="AD17" s="22">
        <v>26</v>
      </c>
      <c r="AE17" s="23" t="e">
        <f>AD17+'04.04'!AE17</f>
        <v>#REF!</v>
      </c>
      <c r="AF17" s="19">
        <f t="shared" si="1"/>
        <v>174300</v>
      </c>
      <c r="AG17" s="20" t="e">
        <f t="shared" si="1"/>
        <v>#REF!</v>
      </c>
      <c r="AH17" s="24">
        <v>10300</v>
      </c>
      <c r="AI17" s="23" t="e">
        <f>AH17+'04.04'!AI17</f>
        <v>#REF!</v>
      </c>
      <c r="AJ17" s="24">
        <v>8500</v>
      </c>
      <c r="AK17" s="23" t="e">
        <f>AJ17+'04.04'!AK17</f>
        <v>#REF!</v>
      </c>
      <c r="AL17" s="22">
        <v>65000</v>
      </c>
      <c r="AM17" s="23" t="e">
        <f>AL17+'04.04'!AM17</f>
        <v>#REF!</v>
      </c>
      <c r="AN17" s="22">
        <v>90500</v>
      </c>
      <c r="AO17" s="23" t="e">
        <f>AN17+'04.04'!AO17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0</v>
      </c>
      <c r="AT17" s="23" t="e">
        <f>AS17+'04.04'!AT17</f>
        <v>#REF!</v>
      </c>
      <c r="AU17" s="34">
        <v>2</v>
      </c>
      <c r="AV17" s="23" t="e">
        <f>AU17+'04.04'!AV17</f>
        <v>#REF!</v>
      </c>
      <c r="AW17" s="34">
        <v>0</v>
      </c>
      <c r="AX17" s="23" t="e">
        <f>AW17+'04.04'!AX17</f>
        <v>#REF!</v>
      </c>
      <c r="AY17" s="34">
        <v>0</v>
      </c>
      <c r="AZ17" s="23" t="e">
        <f>AY17+'04.04'!AZ17</f>
        <v>#REF!</v>
      </c>
      <c r="BA17" s="34">
        <v>14</v>
      </c>
      <c r="BB17" s="23" t="e">
        <f>BA17+'04.04'!BB17</f>
        <v>#REF!</v>
      </c>
      <c r="BC17" s="19">
        <f t="shared" si="3"/>
        <v>1510</v>
      </c>
      <c r="BD17" s="20" t="e">
        <f t="shared" si="3"/>
        <v>#REF!</v>
      </c>
      <c r="BE17" s="22">
        <v>46</v>
      </c>
      <c r="BF17" s="23" t="e">
        <f>BE17+'04.04'!BF17</f>
        <v>#REF!</v>
      </c>
      <c r="BG17" s="34">
        <v>4</v>
      </c>
      <c r="BH17" s="23" t="e">
        <f>BG17+'04.04'!BH17</f>
        <v>#REF!</v>
      </c>
      <c r="BI17" s="22">
        <v>1300</v>
      </c>
      <c r="BJ17" s="23" t="e">
        <f>BI17+'04.04'!BJ17</f>
        <v>#REF!</v>
      </c>
      <c r="BK17" s="22">
        <v>160</v>
      </c>
      <c r="BL17" s="23" t="e">
        <f>BK17+'04.04'!BL17</f>
        <v>#REF!</v>
      </c>
      <c r="BM17" s="22">
        <v>0</v>
      </c>
      <c r="BN17" s="23" t="e">
        <f>BM17+'04.04'!BN17</f>
        <v>#REF!</v>
      </c>
      <c r="BO17" s="36">
        <v>8022</v>
      </c>
      <c r="BP17" s="37">
        <v>0</v>
      </c>
      <c r="BQ17" s="23" t="e">
        <f>BP17+'04.04'!BQ17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522</v>
      </c>
      <c r="D18" s="20" t="e">
        <f t="shared" si="0"/>
        <v>#REF!</v>
      </c>
      <c r="E18" s="21">
        <v>1063</v>
      </c>
      <c r="F18" s="22">
        <v>309</v>
      </c>
      <c r="G18" s="23" t="e">
        <f>F18+'04.04'!G18</f>
        <v>#REF!</v>
      </c>
      <c r="H18" s="21">
        <v>19</v>
      </c>
      <c r="I18" s="22">
        <v>0</v>
      </c>
      <c r="J18" s="23" t="e">
        <f>I18+'04.04'!J18</f>
        <v>#REF!</v>
      </c>
      <c r="K18" s="21">
        <v>8</v>
      </c>
      <c r="L18" s="22">
        <v>0</v>
      </c>
      <c r="M18" s="23" t="e">
        <f>L18+'04.04'!M18</f>
        <v>#REF!</v>
      </c>
      <c r="N18" s="21">
        <v>1331</v>
      </c>
      <c r="O18" s="22">
        <v>0</v>
      </c>
      <c r="P18" s="23" t="e">
        <f>O18+'04.04'!P18</f>
        <v>#REF!</v>
      </c>
      <c r="Q18" s="21">
        <v>777</v>
      </c>
      <c r="R18" s="22">
        <v>0</v>
      </c>
      <c r="S18" s="23" t="e">
        <f>R18+'04.04'!S18</f>
        <v>#REF!</v>
      </c>
      <c r="T18" s="21">
        <v>318</v>
      </c>
      <c r="U18" s="22">
        <v>0</v>
      </c>
      <c r="V18" s="23" t="e">
        <f>U18+'04.04'!V18</f>
        <v>#REF!</v>
      </c>
      <c r="W18" s="21">
        <v>60</v>
      </c>
      <c r="X18" s="22">
        <v>213</v>
      </c>
      <c r="Y18" s="23" t="e">
        <f>X18+'04.04'!Y18</f>
        <v>#REF!</v>
      </c>
      <c r="Z18" s="21">
        <v>72</v>
      </c>
      <c r="AA18" s="22">
        <v>0</v>
      </c>
      <c r="AB18" s="23" t="e">
        <f>AA18+'04.04'!AB18</f>
        <v>#REF!</v>
      </c>
      <c r="AC18" s="21">
        <v>143</v>
      </c>
      <c r="AD18" s="22">
        <v>0</v>
      </c>
      <c r="AE18" s="23" t="e">
        <f>AD18+'04.04'!AE18</f>
        <v>#REF!</v>
      </c>
      <c r="AF18" s="19">
        <f t="shared" si="1"/>
        <v>325240</v>
      </c>
      <c r="AG18" s="20" t="e">
        <f t="shared" si="1"/>
        <v>#REF!</v>
      </c>
      <c r="AH18" s="24">
        <v>538</v>
      </c>
      <c r="AI18" s="23" t="e">
        <f>AH18+'04.04'!AI18</f>
        <v>#REF!</v>
      </c>
      <c r="AJ18" s="24">
        <v>4584</v>
      </c>
      <c r="AK18" s="23" t="e">
        <f>AJ18+'04.04'!AK18</f>
        <v>#REF!</v>
      </c>
      <c r="AL18" s="22">
        <v>5145</v>
      </c>
      <c r="AM18" s="23" t="e">
        <f>AL18+'04.04'!AM18</f>
        <v>#REF!</v>
      </c>
      <c r="AN18" s="22">
        <v>314973</v>
      </c>
      <c r="AO18" s="23" t="e">
        <f>AN18+'04.04'!AO18</f>
        <v>#REF!</v>
      </c>
      <c r="AP18" s="17" t="s">
        <v>53</v>
      </c>
      <c r="AQ18" s="19">
        <f>AS18+AU18+AW18+AY18+BA18</f>
        <v>5</v>
      </c>
      <c r="AR18" s="20" t="e">
        <f t="shared" si="2"/>
        <v>#REF!</v>
      </c>
      <c r="AS18" s="22">
        <v>0</v>
      </c>
      <c r="AT18" s="23" t="e">
        <f>AS18+'04.04'!AT18</f>
        <v>#REF!</v>
      </c>
      <c r="AU18" s="22">
        <v>0</v>
      </c>
      <c r="AV18" s="23" t="e">
        <f>AU18+'04.04'!AV18</f>
        <v>#REF!</v>
      </c>
      <c r="AW18" s="22">
        <v>0</v>
      </c>
      <c r="AX18" s="23" t="e">
        <f>AW18+'04.04'!AX18</f>
        <v>#REF!</v>
      </c>
      <c r="AY18" s="22">
        <v>0</v>
      </c>
      <c r="AZ18" s="23" t="e">
        <f>AY18+'04.04'!AZ18</f>
        <v>#REF!</v>
      </c>
      <c r="BA18" s="22">
        <v>5</v>
      </c>
      <c r="BB18" s="23" t="e">
        <f>BA18+'04.04'!BB18</f>
        <v>#REF!</v>
      </c>
      <c r="BC18" s="19">
        <f t="shared" si="3"/>
        <v>2969</v>
      </c>
      <c r="BD18" s="20" t="e">
        <f>BF18+BH18+BJ18+BL18+BN18</f>
        <v>#REF!</v>
      </c>
      <c r="BE18" s="22">
        <v>1</v>
      </c>
      <c r="BF18" s="23" t="e">
        <f>BE18+'04.04'!BF18</f>
        <v>#REF!</v>
      </c>
      <c r="BG18" s="22">
        <v>0</v>
      </c>
      <c r="BH18" s="23" t="e">
        <f>BG18+'04.04'!BH18</f>
        <v>#REF!</v>
      </c>
      <c r="BI18" s="22">
        <v>2854</v>
      </c>
      <c r="BJ18" s="23" t="e">
        <f>BI18+'04.04'!BJ18</f>
        <v>#REF!</v>
      </c>
      <c r="BK18" s="22">
        <v>114</v>
      </c>
      <c r="BL18" s="23" t="e">
        <f>BK18+'04.04'!BL18</f>
        <v>#REF!</v>
      </c>
      <c r="BM18" s="22">
        <v>0</v>
      </c>
      <c r="BN18" s="23" t="e">
        <f>BM18+'04.04'!BN18</f>
        <v>#REF!</v>
      </c>
      <c r="BO18" s="36">
        <v>442</v>
      </c>
      <c r="BP18" s="37">
        <v>0</v>
      </c>
      <c r="BQ18" s="23" t="e">
        <f>BP18+'04.04'!BQ18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47</v>
      </c>
      <c r="D19" s="31" t="e">
        <f t="shared" si="0"/>
        <v>#REF!</v>
      </c>
      <c r="E19" s="33">
        <v>221</v>
      </c>
      <c r="F19" s="22">
        <v>8</v>
      </c>
      <c r="G19" s="23" t="e">
        <f>F19+'04.04'!G19</f>
        <v>#REF!</v>
      </c>
      <c r="H19" s="33">
        <v>5</v>
      </c>
      <c r="I19" s="34">
        <v>0</v>
      </c>
      <c r="J19" s="23" t="e">
        <f>I19+'04.04'!J19</f>
        <v>#REF!</v>
      </c>
      <c r="K19" s="33">
        <v>4</v>
      </c>
      <c r="L19" s="22">
        <v>0</v>
      </c>
      <c r="M19" s="23" t="e">
        <f>L19+'04.04'!M19</f>
        <v>#REF!</v>
      </c>
      <c r="N19" s="33">
        <v>313</v>
      </c>
      <c r="O19" s="22">
        <v>0</v>
      </c>
      <c r="P19" s="23" t="e">
        <f>O19+'04.04'!P19</f>
        <v>#REF!</v>
      </c>
      <c r="Q19" s="33">
        <v>203</v>
      </c>
      <c r="R19" s="22">
        <v>0</v>
      </c>
      <c r="S19" s="23" t="e">
        <f>R19+'04.04'!S19</f>
        <v>#REF!</v>
      </c>
      <c r="T19" s="33">
        <v>241</v>
      </c>
      <c r="U19" s="22">
        <v>0</v>
      </c>
      <c r="V19" s="23" t="e">
        <f>U19+'04.04'!V19</f>
        <v>#REF!</v>
      </c>
      <c r="W19" s="33">
        <v>14</v>
      </c>
      <c r="X19" s="22">
        <v>15</v>
      </c>
      <c r="Y19" s="23" t="e">
        <f>X19+'04.04'!Y19</f>
        <v>#REF!</v>
      </c>
      <c r="Z19" s="33">
        <v>7</v>
      </c>
      <c r="AA19" s="22">
        <v>0</v>
      </c>
      <c r="AB19" s="23" t="e">
        <f>AA19+'04.04'!AB19</f>
        <v>#REF!</v>
      </c>
      <c r="AC19" s="33">
        <v>32</v>
      </c>
      <c r="AD19" s="22">
        <v>24</v>
      </c>
      <c r="AE19" s="23" t="e">
        <f>AD19+'04.04'!AE19</f>
        <v>#REF!</v>
      </c>
      <c r="AF19" s="19">
        <f t="shared" si="1"/>
        <v>3600</v>
      </c>
      <c r="AG19" s="20" t="e">
        <f t="shared" si="1"/>
        <v>#REF!</v>
      </c>
      <c r="AH19" s="24">
        <v>700</v>
      </c>
      <c r="AI19" s="23" t="e">
        <f>AH19+'04.04'!AI19</f>
        <v>#REF!</v>
      </c>
      <c r="AJ19" s="24">
        <v>700</v>
      </c>
      <c r="AK19" s="23" t="e">
        <f>AJ19+'04.04'!AK19</f>
        <v>#REF!</v>
      </c>
      <c r="AL19" s="22">
        <v>1100</v>
      </c>
      <c r="AM19" s="23" t="e">
        <f>AL19+'04.04'!AM19</f>
        <v>#REF!</v>
      </c>
      <c r="AN19" s="22">
        <v>1100</v>
      </c>
      <c r="AO19" s="23" t="e">
        <f>AN19+'04.04'!AO19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AS19+'04.04'!AT19</f>
        <v>#REF!</v>
      </c>
      <c r="AU19" s="34">
        <v>0</v>
      </c>
      <c r="AV19" s="23" t="e">
        <f>AU19+'04.04'!AV19</f>
        <v>#REF!</v>
      </c>
      <c r="AW19" s="34">
        <v>0</v>
      </c>
      <c r="AX19" s="23" t="e">
        <f>AW19+'04.04'!AX19</f>
        <v>#REF!</v>
      </c>
      <c r="AY19" s="34">
        <v>0</v>
      </c>
      <c r="AZ19" s="23" t="e">
        <f>AY19+'04.04'!AZ19</f>
        <v>#REF!</v>
      </c>
      <c r="BA19" s="34">
        <v>0</v>
      </c>
      <c r="BB19" s="23" t="e">
        <f>BA19+'04.04'!BB19</f>
        <v>#REF!</v>
      </c>
      <c r="BC19" s="19">
        <f t="shared" si="3"/>
        <v>1165</v>
      </c>
      <c r="BD19" s="20" t="e">
        <f t="shared" si="3"/>
        <v>#REF!</v>
      </c>
      <c r="BE19" s="22">
        <v>15</v>
      </c>
      <c r="BF19" s="23" t="e">
        <f>BE19+'04.04'!BF19</f>
        <v>#REF!</v>
      </c>
      <c r="BG19" s="34">
        <v>0</v>
      </c>
      <c r="BH19" s="23" t="e">
        <f>BG19+'04.04'!BH19</f>
        <v>#REF!</v>
      </c>
      <c r="BI19" s="22">
        <v>1000</v>
      </c>
      <c r="BJ19" s="23" t="e">
        <f>BI19+'04.04'!BJ19</f>
        <v>#REF!</v>
      </c>
      <c r="BK19" s="22">
        <v>150</v>
      </c>
      <c r="BL19" s="23" t="e">
        <f>BK19+'04.04'!BL19</f>
        <v>#REF!</v>
      </c>
      <c r="BM19" s="22">
        <v>0</v>
      </c>
      <c r="BN19" s="23" t="e">
        <f>BM19+'04.04'!BN19</f>
        <v>#REF!</v>
      </c>
      <c r="BO19" s="36">
        <v>2898</v>
      </c>
      <c r="BP19" s="37">
        <v>0</v>
      </c>
      <c r="BQ19" s="23" t="e">
        <f>BP19+'04.04'!BQ19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366</v>
      </c>
      <c r="D20" s="31" t="e">
        <f t="shared" si="0"/>
        <v>#REF!</v>
      </c>
      <c r="E20" s="32">
        <v>723</v>
      </c>
      <c r="F20" s="22">
        <v>231</v>
      </c>
      <c r="G20" s="23" t="e">
        <f>F20+'04.04'!G20</f>
        <v>#REF!</v>
      </c>
      <c r="H20" s="33">
        <v>5</v>
      </c>
      <c r="I20" s="34">
        <v>1</v>
      </c>
      <c r="J20" s="23" t="e">
        <f>I20+'04.04'!J20</f>
        <v>#REF!</v>
      </c>
      <c r="K20" s="33">
        <v>3</v>
      </c>
      <c r="L20" s="22">
        <v>0</v>
      </c>
      <c r="M20" s="23" t="e">
        <f>L20+'04.04'!M20</f>
        <v>#REF!</v>
      </c>
      <c r="N20" s="33">
        <v>975</v>
      </c>
      <c r="O20" s="22">
        <v>64</v>
      </c>
      <c r="P20" s="23" t="e">
        <f>O20+'04.04'!P20</f>
        <v>#REF!</v>
      </c>
      <c r="Q20" s="61">
        <v>1862</v>
      </c>
      <c r="R20" s="22">
        <v>2</v>
      </c>
      <c r="S20" s="23" t="e">
        <f>R20+'04.04'!S20</f>
        <v>#REF!</v>
      </c>
      <c r="T20" s="33">
        <v>35</v>
      </c>
      <c r="U20" s="22">
        <v>2</v>
      </c>
      <c r="V20" s="23" t="e">
        <f>U20+'04.04'!V20</f>
        <v>#REF!</v>
      </c>
      <c r="W20" s="33">
        <v>64</v>
      </c>
      <c r="X20" s="22">
        <v>2</v>
      </c>
      <c r="Y20" s="23" t="e">
        <f>X20+'04.04'!Y20</f>
        <v>#REF!</v>
      </c>
      <c r="Z20" s="33">
        <v>15</v>
      </c>
      <c r="AA20" s="22">
        <v>0</v>
      </c>
      <c r="AB20" s="23" t="e">
        <f>AA20+'04.04'!AB20</f>
        <v>#REF!</v>
      </c>
      <c r="AC20" s="33">
        <v>1546</v>
      </c>
      <c r="AD20" s="22">
        <v>64</v>
      </c>
      <c r="AE20" s="23" t="e">
        <f>AD20+'04.04'!AE20</f>
        <v>#REF!</v>
      </c>
      <c r="AF20" s="19">
        <f t="shared" si="1"/>
        <v>15867</v>
      </c>
      <c r="AG20" s="20" t="e">
        <f t="shared" si="1"/>
        <v>#REF!</v>
      </c>
      <c r="AH20" s="24">
        <v>8070</v>
      </c>
      <c r="AI20" s="23" t="e">
        <f>AH20+'04.04'!AI20</f>
        <v>#REF!</v>
      </c>
      <c r="AJ20" s="24">
        <v>6697</v>
      </c>
      <c r="AK20" s="23" t="e">
        <f>AJ20+'04.04'!AK20</f>
        <v>#REF!</v>
      </c>
      <c r="AL20" s="22">
        <v>440</v>
      </c>
      <c r="AM20" s="23" t="e">
        <f>AL20+'04.04'!AM20</f>
        <v>#REF!</v>
      </c>
      <c r="AN20" s="22">
        <v>660</v>
      </c>
      <c r="AO20" s="23" t="e">
        <f>AN20+'04.04'!AO20</f>
        <v>#REF!</v>
      </c>
      <c r="AP20" s="28" t="s">
        <v>55</v>
      </c>
      <c r="AQ20" s="19">
        <f t="shared" si="4"/>
        <v>241</v>
      </c>
      <c r="AR20" s="20" t="e">
        <f t="shared" si="2"/>
        <v>#REF!</v>
      </c>
      <c r="AS20" s="34">
        <v>1</v>
      </c>
      <c r="AT20" s="23" t="e">
        <f>AS20+'04.04'!AT20</f>
        <v>#REF!</v>
      </c>
      <c r="AU20" s="34">
        <v>0</v>
      </c>
      <c r="AV20" s="23" t="e">
        <f>AU20+'04.04'!AV20</f>
        <v>#REF!</v>
      </c>
      <c r="AW20" s="34">
        <v>0</v>
      </c>
      <c r="AX20" s="23" t="e">
        <f>AW20+'04.04'!AX20</f>
        <v>#REF!</v>
      </c>
      <c r="AY20" s="34">
        <v>0</v>
      </c>
      <c r="AZ20" s="23" t="e">
        <f>AY20+'04.04'!AZ20</f>
        <v>#REF!</v>
      </c>
      <c r="BA20" s="34">
        <v>240</v>
      </c>
      <c r="BB20" s="23" t="e">
        <f>BA20+'04.04'!BB20</f>
        <v>#REF!</v>
      </c>
      <c r="BC20" s="19">
        <f t="shared" si="3"/>
        <v>2646</v>
      </c>
      <c r="BD20" s="20" t="e">
        <f t="shared" si="3"/>
        <v>#REF!</v>
      </c>
      <c r="BE20" s="22">
        <v>2</v>
      </c>
      <c r="BF20" s="23" t="e">
        <f>BE20+'04.04'!BF20</f>
        <v>#REF!</v>
      </c>
      <c r="BG20" s="34">
        <v>0</v>
      </c>
      <c r="BH20" s="23" t="e">
        <f>BG20+'04.04'!BH20</f>
        <v>#REF!</v>
      </c>
      <c r="BI20" s="22">
        <v>1240</v>
      </c>
      <c r="BJ20" s="23" t="e">
        <f>BI20+'04.04'!BJ20</f>
        <v>#REF!</v>
      </c>
      <c r="BK20" s="22">
        <v>1404</v>
      </c>
      <c r="BL20" s="23" t="e">
        <f>BK20+'04.04'!BL20</f>
        <v>#REF!</v>
      </c>
      <c r="BM20" s="22">
        <v>0</v>
      </c>
      <c r="BN20" s="23" t="e">
        <f>BM20+'04.04'!BN20</f>
        <v>#REF!</v>
      </c>
      <c r="BO20" s="36">
        <v>5854</v>
      </c>
      <c r="BP20" s="37">
        <v>0</v>
      </c>
      <c r="BQ20" s="23" t="e">
        <f>BP20+'04.04'!BQ20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316</v>
      </c>
      <c r="D21" s="31" t="e">
        <f t="shared" si="0"/>
        <v>#REF!</v>
      </c>
      <c r="E21" s="32">
        <v>1017</v>
      </c>
      <c r="F21" s="22">
        <v>256</v>
      </c>
      <c r="G21" s="23" t="e">
        <f>F21+'04.04'!G21</f>
        <v>#REF!</v>
      </c>
      <c r="H21" s="33">
        <v>8</v>
      </c>
      <c r="I21" s="34">
        <v>5</v>
      </c>
      <c r="J21" s="23" t="e">
        <f>I21+'04.04'!J21</f>
        <v>#REF!</v>
      </c>
      <c r="K21" s="33">
        <v>4</v>
      </c>
      <c r="L21" s="22">
        <v>0</v>
      </c>
      <c r="M21" s="23" t="e">
        <f>L21+'04.04'!M21</f>
        <v>#REF!</v>
      </c>
      <c r="N21" s="33">
        <v>963</v>
      </c>
      <c r="O21" s="22">
        <v>0</v>
      </c>
      <c r="P21" s="23" t="e">
        <f>O21+'04.04'!P21</f>
        <v>#REF!</v>
      </c>
      <c r="Q21" s="33">
        <v>912</v>
      </c>
      <c r="R21" s="22">
        <v>0</v>
      </c>
      <c r="S21" s="23" t="e">
        <f>R21+'04.04'!S21</f>
        <v>#REF!</v>
      </c>
      <c r="T21" s="33">
        <v>199</v>
      </c>
      <c r="U21" s="22">
        <v>0</v>
      </c>
      <c r="V21" s="23" t="e">
        <f>U21+'04.04'!V21</f>
        <v>#REF!</v>
      </c>
      <c r="W21" s="33">
        <v>101</v>
      </c>
      <c r="X21" s="22">
        <v>55</v>
      </c>
      <c r="Y21" s="23" t="e">
        <f>X21+'04.04'!Y21</f>
        <v>#REF!</v>
      </c>
      <c r="Z21" s="33">
        <v>42</v>
      </c>
      <c r="AA21" s="22">
        <v>0</v>
      </c>
      <c r="AB21" s="23" t="e">
        <f>AA21+'04.04'!AB21</f>
        <v>#REF!</v>
      </c>
      <c r="AC21" s="33">
        <v>20</v>
      </c>
      <c r="AD21" s="22">
        <v>0</v>
      </c>
      <c r="AE21" s="23" t="e">
        <f>AD21+'04.04'!AE21</f>
        <v>#REF!</v>
      </c>
      <c r="AF21" s="19">
        <f t="shared" si="1"/>
        <v>370000</v>
      </c>
      <c r="AG21" s="20" t="e">
        <f t="shared" si="1"/>
        <v>#REF!</v>
      </c>
      <c r="AH21" s="24">
        <v>2000</v>
      </c>
      <c r="AI21" s="23" t="e">
        <f>AH21+'04.04'!AI21</f>
        <v>#REF!</v>
      </c>
      <c r="AJ21" s="24">
        <v>118000</v>
      </c>
      <c r="AK21" s="23" t="e">
        <f>AJ21+'04.04'!AK21</f>
        <v>#REF!</v>
      </c>
      <c r="AL21" s="22">
        <v>10000</v>
      </c>
      <c r="AM21" s="23" t="e">
        <f>AL21+'04.04'!AM21</f>
        <v>#REF!</v>
      </c>
      <c r="AN21" s="22">
        <v>240000</v>
      </c>
      <c r="AO21" s="23" t="e">
        <f>AN21+'04.04'!AO21</f>
        <v>#REF!</v>
      </c>
      <c r="AP21" s="28" t="s">
        <v>58</v>
      </c>
      <c r="AQ21" s="19">
        <f t="shared" si="4"/>
        <v>12</v>
      </c>
      <c r="AR21" s="20" t="e">
        <f t="shared" si="2"/>
        <v>#REF!</v>
      </c>
      <c r="AS21" s="34">
        <v>2</v>
      </c>
      <c r="AT21" s="23" t="e">
        <f>AS21+'04.04'!AT21</f>
        <v>#REF!</v>
      </c>
      <c r="AU21" s="34">
        <v>4</v>
      </c>
      <c r="AV21" s="23" t="e">
        <f>AU21+'04.04'!AV21</f>
        <v>#REF!</v>
      </c>
      <c r="AW21" s="34">
        <v>0</v>
      </c>
      <c r="AX21" s="23" t="e">
        <f>AW21+'04.04'!AX21</f>
        <v>#REF!</v>
      </c>
      <c r="AY21" s="34">
        <v>0</v>
      </c>
      <c r="AZ21" s="23" t="e">
        <f>AY21+'04.04'!AZ21</f>
        <v>#REF!</v>
      </c>
      <c r="BA21" s="34">
        <v>6</v>
      </c>
      <c r="BB21" s="23" t="e">
        <f>BA21+'04.04'!BB21</f>
        <v>#REF!</v>
      </c>
      <c r="BC21" s="19">
        <f t="shared" si="3"/>
        <v>10000</v>
      </c>
      <c r="BD21" s="20" t="e">
        <f t="shared" si="3"/>
        <v>#REF!</v>
      </c>
      <c r="BE21" s="22">
        <v>0</v>
      </c>
      <c r="BF21" s="23" t="e">
        <f>BE21+'04.04'!BF21</f>
        <v>#REF!</v>
      </c>
      <c r="BG21" s="34">
        <v>0</v>
      </c>
      <c r="BH21" s="23" t="e">
        <f>BG21+'04.04'!BH21</f>
        <v>#REF!</v>
      </c>
      <c r="BI21" s="22">
        <v>10000</v>
      </c>
      <c r="BJ21" s="23" t="e">
        <f>BI21+'04.04'!BJ21</f>
        <v>#REF!</v>
      </c>
      <c r="BK21" s="22">
        <v>0</v>
      </c>
      <c r="BL21" s="23" t="e">
        <f>BK21+'04.04'!BL21</f>
        <v>#REF!</v>
      </c>
      <c r="BM21" s="22">
        <v>0</v>
      </c>
      <c r="BN21" s="23" t="e">
        <f>BM21+'04.04'!BN21</f>
        <v>#REF!</v>
      </c>
      <c r="BO21" s="36"/>
      <c r="BP21" s="37">
        <v>0</v>
      </c>
      <c r="BQ21" s="23" t="e">
        <f>BP21+'04.04'!BQ21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783</v>
      </c>
      <c r="D22" s="31" t="e">
        <f t="shared" si="0"/>
        <v>#REF!</v>
      </c>
      <c r="E22" s="32">
        <v>509</v>
      </c>
      <c r="F22" s="22">
        <v>644</v>
      </c>
      <c r="G22" s="23" t="e">
        <f>F22+'04.04'!G22</f>
        <v>#REF!</v>
      </c>
      <c r="H22" s="33">
        <v>8</v>
      </c>
      <c r="I22" s="34">
        <v>0</v>
      </c>
      <c r="J22" s="23" t="e">
        <f>I22+'04.04'!J22</f>
        <v>#REF!</v>
      </c>
      <c r="K22" s="33">
        <v>21</v>
      </c>
      <c r="L22" s="22">
        <v>0</v>
      </c>
      <c r="M22" s="23" t="e">
        <f>L22+'04.04'!M22</f>
        <v>#REF!</v>
      </c>
      <c r="N22" s="33">
        <v>560</v>
      </c>
      <c r="O22" s="22">
        <v>0</v>
      </c>
      <c r="P22" s="23" t="e">
        <f>O22+'04.04'!P22</f>
        <v>#REF!</v>
      </c>
      <c r="Q22" s="33">
        <v>375</v>
      </c>
      <c r="R22" s="22">
        <v>0</v>
      </c>
      <c r="S22" s="23" t="e">
        <f>R22+'04.04'!S22</f>
        <v>#REF!</v>
      </c>
      <c r="T22" s="33">
        <v>165</v>
      </c>
      <c r="U22" s="22">
        <v>0</v>
      </c>
      <c r="V22" s="23" t="e">
        <f>U22+'04.04'!V22</f>
        <v>#REF!</v>
      </c>
      <c r="W22" s="33">
        <v>28</v>
      </c>
      <c r="X22" s="22">
        <v>50</v>
      </c>
      <c r="Y22" s="23" t="e">
        <f>X22+'04.04'!Y22</f>
        <v>#REF!</v>
      </c>
      <c r="Z22" s="33">
        <v>9</v>
      </c>
      <c r="AA22" s="22">
        <v>0</v>
      </c>
      <c r="AB22" s="23" t="e">
        <f>AA22+'04.04'!AB22</f>
        <v>#REF!</v>
      </c>
      <c r="AC22" s="33">
        <v>112</v>
      </c>
      <c r="AD22" s="22">
        <v>89</v>
      </c>
      <c r="AE22" s="23" t="e">
        <f>AD22+'04.04'!AE22</f>
        <v>#REF!</v>
      </c>
      <c r="AF22" s="19">
        <f t="shared" si="1"/>
        <v>1207427</v>
      </c>
      <c r="AG22" s="20" t="e">
        <f t="shared" si="1"/>
        <v>#REF!</v>
      </c>
      <c r="AH22" s="24">
        <v>315</v>
      </c>
      <c r="AI22" s="23" t="e">
        <f>AH22+'04.04'!AI22</f>
        <v>#REF!</v>
      </c>
      <c r="AJ22" s="24">
        <v>2000</v>
      </c>
      <c r="AK22" s="23" t="e">
        <f>AJ22+'04.04'!AK22</f>
        <v>#REF!</v>
      </c>
      <c r="AL22" s="22">
        <v>205112</v>
      </c>
      <c r="AM22" s="23" t="e">
        <f>AL22+'04.04'!AM22</f>
        <v>#REF!</v>
      </c>
      <c r="AN22" s="22">
        <v>1000000</v>
      </c>
      <c r="AO22" s="23" t="e">
        <f>AN22+'04.04'!AO22</f>
        <v>#REF!</v>
      </c>
      <c r="AP22" s="28" t="s">
        <v>59</v>
      </c>
      <c r="AQ22" s="19">
        <f t="shared" si="4"/>
        <v>696</v>
      </c>
      <c r="AR22" s="20" t="e">
        <f t="shared" si="2"/>
        <v>#REF!</v>
      </c>
      <c r="AS22" s="34">
        <v>0</v>
      </c>
      <c r="AT22" s="23" t="e">
        <f>AS22+'04.04'!AT22</f>
        <v>#REF!</v>
      </c>
      <c r="AU22" s="34">
        <v>0</v>
      </c>
      <c r="AV22" s="23" t="e">
        <f>AU22+'04.04'!AV22</f>
        <v>#REF!</v>
      </c>
      <c r="AW22" s="34">
        <v>0</v>
      </c>
      <c r="AX22" s="23" t="e">
        <f>AW22+'04.04'!AX22</f>
        <v>#REF!</v>
      </c>
      <c r="AY22" s="34">
        <v>0</v>
      </c>
      <c r="AZ22" s="23" t="e">
        <f>AY22+'04.04'!AZ22</f>
        <v>#REF!</v>
      </c>
      <c r="BA22" s="34">
        <v>696</v>
      </c>
      <c r="BB22" s="23" t="e">
        <f>BA22+'04.04'!BB22</f>
        <v>#REF!</v>
      </c>
      <c r="BC22" s="19">
        <f t="shared" si="3"/>
        <v>6380</v>
      </c>
      <c r="BD22" s="20" t="e">
        <f t="shared" si="3"/>
        <v>#REF!</v>
      </c>
      <c r="BE22" s="22">
        <v>5</v>
      </c>
      <c r="BF22" s="23" t="e">
        <f>BE22+'04.04'!BF22</f>
        <v>#REF!</v>
      </c>
      <c r="BG22" s="34">
        <v>12</v>
      </c>
      <c r="BH22" s="23" t="e">
        <f>BG22+'04.04'!BH22</f>
        <v>#REF!</v>
      </c>
      <c r="BI22" s="22">
        <v>6343</v>
      </c>
      <c r="BJ22" s="23" t="e">
        <f>BI22+'04.04'!BJ22</f>
        <v>#REF!</v>
      </c>
      <c r="BK22" s="22">
        <v>20</v>
      </c>
      <c r="BL22" s="23" t="e">
        <f>BK22+'04.04'!BL22</f>
        <v>#REF!</v>
      </c>
      <c r="BM22" s="22">
        <v>0</v>
      </c>
      <c r="BN22" s="23" t="e">
        <f>BM22+'04.04'!BN22</f>
        <v>#REF!</v>
      </c>
      <c r="BO22" s="36">
        <v>26</v>
      </c>
      <c r="BP22" s="37">
        <v>23</v>
      </c>
      <c r="BQ22" s="23" t="e">
        <f>BP22+'04.04'!BQ22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3397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2118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11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86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2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670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1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507</v>
      </c>
      <c r="AE23" s="68" t="e">
        <f t="shared" si="5"/>
        <v>#REF!</v>
      </c>
      <c r="AF23" s="64">
        <f t="shared" si="5"/>
        <v>3958807</v>
      </c>
      <c r="AG23" s="64" t="e">
        <f t="shared" si="5"/>
        <v>#REF!</v>
      </c>
      <c r="AH23" s="67">
        <f t="shared" si="5"/>
        <v>41986</v>
      </c>
      <c r="AI23" s="68" t="e">
        <f t="shared" si="5"/>
        <v>#REF!</v>
      </c>
      <c r="AJ23" s="67">
        <f t="shared" si="5"/>
        <v>185965</v>
      </c>
      <c r="AK23" s="68" t="e">
        <f t="shared" si="5"/>
        <v>#REF!</v>
      </c>
      <c r="AL23" s="67">
        <f t="shared" si="5"/>
        <v>1043871</v>
      </c>
      <c r="AM23" s="68" t="e">
        <f t="shared" si="5"/>
        <v>#REF!</v>
      </c>
      <c r="AN23" s="67">
        <f t="shared" si="5"/>
        <v>2686985</v>
      </c>
      <c r="AO23" s="68" t="e">
        <f t="shared" si="5"/>
        <v>#REF!</v>
      </c>
      <c r="AP23" s="62" t="s">
        <v>12</v>
      </c>
      <c r="AQ23" s="64">
        <f t="shared" ref="AQ23:BQ23" si="6">SUM(AQ8:AQ22)</f>
        <v>3175</v>
      </c>
      <c r="AR23" s="64" t="e">
        <f t="shared" si="6"/>
        <v>#REF!</v>
      </c>
      <c r="AS23" s="67">
        <f t="shared" si="6"/>
        <v>69</v>
      </c>
      <c r="AT23" s="68" t="e">
        <f t="shared" si="6"/>
        <v>#REF!</v>
      </c>
      <c r="AU23" s="67">
        <f t="shared" si="6"/>
        <v>11</v>
      </c>
      <c r="AV23" s="68" t="e">
        <f t="shared" si="6"/>
        <v>#REF!</v>
      </c>
      <c r="AW23" s="67">
        <f t="shared" si="6"/>
        <v>940</v>
      </c>
      <c r="AX23" s="68" t="e">
        <f t="shared" si="6"/>
        <v>#REF!</v>
      </c>
      <c r="AY23" s="67">
        <f t="shared" si="6"/>
        <v>940</v>
      </c>
      <c r="AZ23" s="68" t="e">
        <f t="shared" si="6"/>
        <v>#REF!</v>
      </c>
      <c r="BA23" s="67">
        <f t="shared" si="6"/>
        <v>1215</v>
      </c>
      <c r="BB23" s="68" t="e">
        <f t="shared" si="6"/>
        <v>#REF!</v>
      </c>
      <c r="BC23" s="64">
        <f t="shared" si="6"/>
        <v>49775</v>
      </c>
      <c r="BD23" s="64" t="e">
        <f t="shared" si="6"/>
        <v>#REF!</v>
      </c>
      <c r="BE23" s="67">
        <f t="shared" si="6"/>
        <v>1378</v>
      </c>
      <c r="BF23" s="68" t="e">
        <f t="shared" si="6"/>
        <v>#REF!</v>
      </c>
      <c r="BG23" s="67">
        <f t="shared" si="6"/>
        <v>56</v>
      </c>
      <c r="BH23" s="68" t="e">
        <f t="shared" si="6"/>
        <v>#REF!</v>
      </c>
      <c r="BI23" s="67">
        <f t="shared" si="6"/>
        <v>43813</v>
      </c>
      <c r="BJ23" s="68" t="e">
        <f t="shared" si="6"/>
        <v>#REF!</v>
      </c>
      <c r="BK23" s="67">
        <f t="shared" si="6"/>
        <v>4528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35</v>
      </c>
      <c r="BQ23" s="71" t="e">
        <f t="shared" si="6"/>
        <v>#REF!</v>
      </c>
    </row>
    <row r="24" spans="1:73">
      <c r="F24" s="72"/>
    </row>
    <row r="26" spans="1:73">
      <c r="I26">
        <v>3404</v>
      </c>
    </row>
    <row r="27" spans="1:73">
      <c r="I27">
        <v>2118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BU23"/>
  <sheetViews>
    <sheetView zoomScale="145" zoomScaleNormal="145" workbookViewId="0">
      <pane xSplit="4" ySplit="8" topLeftCell="AM20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8.140625" customWidth="1"/>
    <col min="5" max="6" width="6.28515625" customWidth="1"/>
    <col min="7" max="7" width="7.1406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40" width="9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F9+'05.04'!G9</f>
        <v>#REF!</v>
      </c>
      <c r="H9" s="33">
        <v>12</v>
      </c>
      <c r="I9" s="34">
        <v>0</v>
      </c>
      <c r="J9" s="23" t="e">
        <f>I9+'05.04'!J9</f>
        <v>#REF!</v>
      </c>
      <c r="K9" s="33">
        <v>2</v>
      </c>
      <c r="L9" s="22">
        <v>0</v>
      </c>
      <c r="M9" s="23" t="e">
        <f>L9+'05.04'!M9</f>
        <v>#REF!</v>
      </c>
      <c r="N9" s="33">
        <v>735</v>
      </c>
      <c r="O9" s="22">
        <v>0</v>
      </c>
      <c r="P9" s="23" t="e">
        <f>O9+'05.04'!P9</f>
        <v>#REF!</v>
      </c>
      <c r="Q9" s="33">
        <v>502</v>
      </c>
      <c r="R9" s="22">
        <v>0</v>
      </c>
      <c r="S9" s="23" t="e">
        <f>R9+'05.04'!S9</f>
        <v>#REF!</v>
      </c>
      <c r="T9" s="33">
        <v>197</v>
      </c>
      <c r="U9" s="22">
        <v>0</v>
      </c>
      <c r="V9" s="23" t="e">
        <f>U9+'05.04'!V9</f>
        <v>#REF!</v>
      </c>
      <c r="W9" s="33">
        <v>47</v>
      </c>
      <c r="X9" s="22">
        <v>1</v>
      </c>
      <c r="Y9" s="23" t="e">
        <f>X9+'05.04'!Y9</f>
        <v>#REF!</v>
      </c>
      <c r="Z9" s="33">
        <v>34</v>
      </c>
      <c r="AA9" s="22">
        <v>0</v>
      </c>
      <c r="AB9" s="23" t="e">
        <f>AA9+'05.04'!AB9</f>
        <v>#REF!</v>
      </c>
      <c r="AC9" s="33">
        <v>1860</v>
      </c>
      <c r="AD9" s="22">
        <v>0</v>
      </c>
      <c r="AE9" s="23" t="e">
        <f>AD9+'05.04'!AE9</f>
        <v>#REF!</v>
      </c>
      <c r="AF9" s="19">
        <f t="shared" ref="AF9:AG22" si="1">AH9+AJ9+AL9+AN9</f>
        <v>8587</v>
      </c>
      <c r="AG9" s="20" t="e">
        <f t="shared" si="1"/>
        <v>#REF!</v>
      </c>
      <c r="AH9" s="24">
        <v>97</v>
      </c>
      <c r="AI9" s="23" t="e">
        <f>AH9+'05.04'!AI9</f>
        <v>#REF!</v>
      </c>
      <c r="AJ9" s="24">
        <v>390</v>
      </c>
      <c r="AK9" s="23" t="e">
        <f>AJ9+'05.04'!AK9</f>
        <v>#REF!</v>
      </c>
      <c r="AL9" s="22">
        <v>2900</v>
      </c>
      <c r="AM9" s="23" t="e">
        <f>AL9+'05.04'!AM9</f>
        <v>#REF!</v>
      </c>
      <c r="AN9" s="22">
        <v>5200</v>
      </c>
      <c r="AO9" s="23" t="e">
        <f>AN9+'05.04'!AO9</f>
        <v>#REF!</v>
      </c>
      <c r="AP9" s="28" t="s">
        <v>43</v>
      </c>
      <c r="AQ9" s="19">
        <f t="shared" ref="AQ9:AR22" si="2">AS9+AU9+AW9+AY9+BA9</f>
        <v>60</v>
      </c>
      <c r="AR9" s="20" t="e">
        <f t="shared" si="2"/>
        <v>#REF!</v>
      </c>
      <c r="AS9" s="34">
        <v>1</v>
      </c>
      <c r="AT9" s="23" t="e">
        <f>AS9+'05.04'!AT9</f>
        <v>#REF!</v>
      </c>
      <c r="AU9" s="34">
        <v>1</v>
      </c>
      <c r="AV9" s="23" t="e">
        <f>AU9+'05.04'!AV9</f>
        <v>#REF!</v>
      </c>
      <c r="AW9" s="34">
        <v>0</v>
      </c>
      <c r="AX9" s="23" t="e">
        <f>AW9+'05.04'!AX9</f>
        <v>#REF!</v>
      </c>
      <c r="AY9" s="34">
        <v>0</v>
      </c>
      <c r="AZ9" s="23" t="e">
        <f>AY9+'05.04'!AZ9</f>
        <v>#REF!</v>
      </c>
      <c r="BA9" s="34">
        <v>58</v>
      </c>
      <c r="BB9" s="23" t="e">
        <f>BA9+'05.04'!BB9</f>
        <v>#REF!</v>
      </c>
      <c r="BC9" s="19">
        <f t="shared" ref="BC9:BD22" si="3">BE9+BG9+BI9+BK9+BM9</f>
        <v>521</v>
      </c>
      <c r="BD9" s="20" t="e">
        <f t="shared" si="3"/>
        <v>#REF!</v>
      </c>
      <c r="BE9" s="22">
        <v>1</v>
      </c>
      <c r="BF9" s="23" t="e">
        <f>BE9+'05.04'!BF9</f>
        <v>#REF!</v>
      </c>
      <c r="BG9" s="34">
        <v>0</v>
      </c>
      <c r="BH9" s="23" t="e">
        <f>BG9+'05.04'!BH9</f>
        <v>#REF!</v>
      </c>
      <c r="BI9" s="22">
        <v>520</v>
      </c>
      <c r="BJ9" s="23" t="e">
        <f>BI9+'05.04'!BJ9</f>
        <v>#REF!</v>
      </c>
      <c r="BK9" s="22">
        <v>0</v>
      </c>
      <c r="BL9" s="23" t="e">
        <f>BK9+'05.04'!BL9</f>
        <v>#REF!</v>
      </c>
      <c r="BM9" s="22">
        <v>0</v>
      </c>
      <c r="BN9" s="23" t="e">
        <f>BM9+'05.04'!BN9</f>
        <v>#REF!</v>
      </c>
      <c r="BO9" s="36">
        <v>14</v>
      </c>
      <c r="BP9" s="37">
        <v>0</v>
      </c>
      <c r="BQ9" s="23" t="e">
        <f>BP9+'05.04'!BQ9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152</v>
      </c>
      <c r="D10" s="31" t="e">
        <f t="shared" si="0"/>
        <v>#REF!</v>
      </c>
      <c r="E10" s="32">
        <v>585</v>
      </c>
      <c r="F10" s="22">
        <v>23</v>
      </c>
      <c r="G10" s="23" t="e">
        <f>F10+'05.04'!G10</f>
        <v>#REF!</v>
      </c>
      <c r="H10" s="33">
        <v>93</v>
      </c>
      <c r="I10" s="34">
        <v>4</v>
      </c>
      <c r="J10" s="23" t="e">
        <f>I10+'05.04'!J10</f>
        <v>#REF!</v>
      </c>
      <c r="K10" s="33">
        <v>34</v>
      </c>
      <c r="L10" s="22">
        <v>0</v>
      </c>
      <c r="M10" s="23" t="e">
        <f>L10+'05.04'!M10</f>
        <v>#REF!</v>
      </c>
      <c r="N10" s="33">
        <v>352</v>
      </c>
      <c r="O10" s="22">
        <v>13</v>
      </c>
      <c r="P10" s="23" t="e">
        <f>O10+'05.04'!P10</f>
        <v>#REF!</v>
      </c>
      <c r="Q10" s="33">
        <v>549</v>
      </c>
      <c r="R10" s="22">
        <v>14</v>
      </c>
      <c r="S10" s="23" t="e">
        <f>R10+'05.04'!S10</f>
        <v>#REF!</v>
      </c>
      <c r="T10" s="33">
        <v>198</v>
      </c>
      <c r="U10" s="22">
        <v>8</v>
      </c>
      <c r="V10" s="23" t="e">
        <f>U10+'05.04'!V10</f>
        <v>#REF!</v>
      </c>
      <c r="W10" s="38">
        <v>55</v>
      </c>
      <c r="X10" s="22">
        <v>1</v>
      </c>
      <c r="Y10" s="23" t="e">
        <f>X10+'05.04'!Y10</f>
        <v>#REF!</v>
      </c>
      <c r="Z10" s="38">
        <v>71</v>
      </c>
      <c r="AA10" s="22">
        <v>2</v>
      </c>
      <c r="AB10" s="23" t="e">
        <f>AA10+'05.04'!AB10</f>
        <v>#REF!</v>
      </c>
      <c r="AC10" s="38">
        <v>1690</v>
      </c>
      <c r="AD10" s="22">
        <v>87</v>
      </c>
      <c r="AE10" s="23" t="e">
        <f>AD10+'05.04'!AE10</f>
        <v>#REF!</v>
      </c>
      <c r="AF10" s="19">
        <f t="shared" si="1"/>
        <v>127520</v>
      </c>
      <c r="AG10" s="20" t="e">
        <f t="shared" si="1"/>
        <v>#REF!</v>
      </c>
      <c r="AH10" s="24">
        <v>1052</v>
      </c>
      <c r="AI10" s="23" t="e">
        <f>AH10+'05.04'!AI10</f>
        <v>#REF!</v>
      </c>
      <c r="AJ10" s="24">
        <v>5993</v>
      </c>
      <c r="AK10" s="23" t="e">
        <f>AJ10+'05.04'!AK10</f>
        <v>#REF!</v>
      </c>
      <c r="AL10" s="22">
        <v>19988</v>
      </c>
      <c r="AM10" s="23" t="e">
        <f>AL10+'05.04'!AM10</f>
        <v>#REF!</v>
      </c>
      <c r="AN10" s="22">
        <v>100487</v>
      </c>
      <c r="AO10" s="23" t="e">
        <f>AN10+'05.04'!AO10</f>
        <v>#REF!</v>
      </c>
      <c r="AP10" s="28" t="s">
        <v>44</v>
      </c>
      <c r="AQ10" s="19">
        <f t="shared" si="2"/>
        <v>5</v>
      </c>
      <c r="AR10" s="20" t="e">
        <f t="shared" si="2"/>
        <v>#REF!</v>
      </c>
      <c r="AS10" s="34">
        <v>0</v>
      </c>
      <c r="AT10" s="23" t="e">
        <f>AS10+'05.04'!AT10</f>
        <v>#REF!</v>
      </c>
      <c r="AU10" s="34">
        <v>0</v>
      </c>
      <c r="AV10" s="23" t="e">
        <f>AU10+'05.04'!AV10</f>
        <v>#REF!</v>
      </c>
      <c r="AW10" s="34">
        <v>0</v>
      </c>
      <c r="AX10" s="23" t="e">
        <f>AW10+'05.04'!AX10</f>
        <v>#REF!</v>
      </c>
      <c r="AY10" s="34">
        <v>0</v>
      </c>
      <c r="AZ10" s="23" t="e">
        <f>AY10+'05.04'!AZ10</f>
        <v>#REF!</v>
      </c>
      <c r="BA10" s="34">
        <v>5</v>
      </c>
      <c r="BB10" s="23" t="e">
        <f>BA10+'05.04'!BB10</f>
        <v>#REF!</v>
      </c>
      <c r="BC10" s="19">
        <f t="shared" si="3"/>
        <v>5225</v>
      </c>
      <c r="BD10" s="20" t="e">
        <f t="shared" si="3"/>
        <v>#REF!</v>
      </c>
      <c r="BE10" s="22">
        <v>601</v>
      </c>
      <c r="BF10" s="23" t="e">
        <f>BE10+'05.04'!BF10</f>
        <v>#REF!</v>
      </c>
      <c r="BG10" s="34">
        <v>1</v>
      </c>
      <c r="BH10" s="23" t="e">
        <f>BG10+'05.04'!BH10</f>
        <v>#REF!</v>
      </c>
      <c r="BI10" s="22">
        <v>3262</v>
      </c>
      <c r="BJ10" s="23" t="e">
        <f>BI10+'05.04'!BJ10</f>
        <v>#REF!</v>
      </c>
      <c r="BK10" s="22">
        <v>1361</v>
      </c>
      <c r="BL10" s="23" t="e">
        <f>BK10+'05.04'!BL10</f>
        <v>#REF!</v>
      </c>
      <c r="BM10" s="22">
        <v>0</v>
      </c>
      <c r="BN10" s="23" t="e">
        <f>BM10+'05.04'!BN10</f>
        <v>#REF!</v>
      </c>
      <c r="BO10" s="36">
        <v>32</v>
      </c>
      <c r="BP10" s="37">
        <v>0</v>
      </c>
      <c r="BQ10" s="23" t="e">
        <f>BP10+'05.04'!BQ10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130</v>
      </c>
      <c r="D11" s="31" t="e">
        <f t="shared" si="0"/>
        <v>#REF!</v>
      </c>
      <c r="E11" s="32">
        <v>883</v>
      </c>
      <c r="F11" s="22">
        <v>59</v>
      </c>
      <c r="G11" s="23" t="e">
        <f>F11+'05.04'!G11</f>
        <v>#REF!</v>
      </c>
      <c r="H11" s="33">
        <v>16</v>
      </c>
      <c r="I11" s="34">
        <v>0</v>
      </c>
      <c r="J11" s="23" t="e">
        <f>I11+'05.04'!J11</f>
        <v>#REF!</v>
      </c>
      <c r="K11" s="33">
        <v>3</v>
      </c>
      <c r="L11" s="22">
        <v>0</v>
      </c>
      <c r="M11" s="23" t="e">
        <f>L11+'05.04'!M11</f>
        <v>#REF!</v>
      </c>
      <c r="N11" s="33">
        <v>875</v>
      </c>
      <c r="O11" s="22">
        <v>0</v>
      </c>
      <c r="P11" s="23" t="e">
        <f>O11+'05.04'!P11</f>
        <v>#REF!</v>
      </c>
      <c r="Q11" s="33">
        <v>2424</v>
      </c>
      <c r="R11" s="22">
        <v>0</v>
      </c>
      <c r="S11" s="23" t="e">
        <f>R11+'05.04'!S11</f>
        <v>#REF!</v>
      </c>
      <c r="T11" s="33">
        <v>69</v>
      </c>
      <c r="U11" s="22">
        <v>0</v>
      </c>
      <c r="V11" s="23" t="e">
        <f>U11+'05.04'!V11</f>
        <v>#REF!</v>
      </c>
      <c r="W11" s="38">
        <v>133</v>
      </c>
      <c r="X11" s="22">
        <v>64</v>
      </c>
      <c r="Y11" s="23" t="e">
        <f>X11+'05.04'!Y11</f>
        <v>#REF!</v>
      </c>
      <c r="Z11" s="38">
        <v>1116</v>
      </c>
      <c r="AA11" s="22">
        <v>0</v>
      </c>
      <c r="AB11" s="23" t="e">
        <f>AA11+'05.04'!AB11</f>
        <v>#REF!</v>
      </c>
      <c r="AC11" s="38">
        <v>9862</v>
      </c>
      <c r="AD11" s="22">
        <v>7</v>
      </c>
      <c r="AE11" s="23" t="e">
        <f>AD11+'05.04'!AE11</f>
        <v>#REF!</v>
      </c>
      <c r="AF11" s="19">
        <f t="shared" si="1"/>
        <v>166500</v>
      </c>
      <c r="AG11" s="20" t="e">
        <f t="shared" si="1"/>
        <v>#REF!</v>
      </c>
      <c r="AH11" s="24">
        <v>6800</v>
      </c>
      <c r="AI11" s="23" t="e">
        <f>AH11+'05.04'!AI11</f>
        <v>#REF!</v>
      </c>
      <c r="AJ11" s="24">
        <v>9700</v>
      </c>
      <c r="AK11" s="23" t="e">
        <f>AJ11+'05.04'!AK11</f>
        <v>#REF!</v>
      </c>
      <c r="AL11" s="22">
        <v>52000</v>
      </c>
      <c r="AM11" s="23" t="e">
        <f>AL11+'05.04'!AM11</f>
        <v>#REF!</v>
      </c>
      <c r="AN11" s="22">
        <v>98000</v>
      </c>
      <c r="AO11" s="23" t="e">
        <f>AN11+'05.04'!AO11</f>
        <v>#REF!</v>
      </c>
      <c r="AP11" s="28" t="s">
        <v>45</v>
      </c>
      <c r="AQ11" s="19">
        <f t="shared" si="2"/>
        <v>12</v>
      </c>
      <c r="AR11" s="20" t="e">
        <f t="shared" si="2"/>
        <v>#REF!</v>
      </c>
      <c r="AS11" s="34">
        <v>0</v>
      </c>
      <c r="AT11" s="23" t="e">
        <f>AS11+'05.04'!AT11</f>
        <v>#REF!</v>
      </c>
      <c r="AU11" s="34">
        <v>0</v>
      </c>
      <c r="AV11" s="23" t="e">
        <f>AU11+'05.04'!AV11</f>
        <v>#REF!</v>
      </c>
      <c r="AW11" s="34">
        <v>0</v>
      </c>
      <c r="AX11" s="23" t="e">
        <f>AW11+'05.04'!AX11</f>
        <v>#REF!</v>
      </c>
      <c r="AY11" s="34">
        <v>0</v>
      </c>
      <c r="AZ11" s="23" t="e">
        <f>AY11+'05.04'!AZ11</f>
        <v>#REF!</v>
      </c>
      <c r="BA11" s="34">
        <v>12</v>
      </c>
      <c r="BB11" s="23" t="e">
        <f>BA11+'05.04'!BB11</f>
        <v>#REF!</v>
      </c>
      <c r="BC11" s="19">
        <f t="shared" si="3"/>
        <v>6324</v>
      </c>
      <c r="BD11" s="20" t="e">
        <f t="shared" si="3"/>
        <v>#REF!</v>
      </c>
      <c r="BE11" s="22">
        <v>10</v>
      </c>
      <c r="BF11" s="23" t="e">
        <f>BE11+'05.04'!BF11</f>
        <v>#REF!</v>
      </c>
      <c r="BG11" s="34">
        <v>4</v>
      </c>
      <c r="BH11" s="23" t="e">
        <f>BG11+'05.04'!BH11</f>
        <v>#REF!</v>
      </c>
      <c r="BI11" s="22">
        <v>6200</v>
      </c>
      <c r="BJ11" s="23" t="e">
        <f>BI11+'05.04'!BJ11</f>
        <v>#REF!</v>
      </c>
      <c r="BK11" s="22">
        <v>110</v>
      </c>
      <c r="BL11" s="23" t="e">
        <f>BK11+'05.04'!BL11</f>
        <v>#REF!</v>
      </c>
      <c r="BM11" s="22">
        <v>0</v>
      </c>
      <c r="BN11" s="23" t="e">
        <f>BM11+'05.04'!BN11</f>
        <v>#REF!</v>
      </c>
      <c r="BO11" s="36">
        <v>11506</v>
      </c>
      <c r="BP11" s="37">
        <v>6</v>
      </c>
      <c r="BQ11" s="23" t="e">
        <f>BP11+'05.04'!BQ11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250</v>
      </c>
      <c r="D12" s="31" t="e">
        <f t="shared" si="0"/>
        <v>#REF!</v>
      </c>
      <c r="E12" s="32">
        <v>909</v>
      </c>
      <c r="F12" s="22">
        <v>51</v>
      </c>
      <c r="G12" s="23" t="e">
        <f>F12+'05.04'!G12</f>
        <v>#REF!</v>
      </c>
      <c r="H12" s="33">
        <v>80</v>
      </c>
      <c r="I12" s="34">
        <v>6</v>
      </c>
      <c r="J12" s="23" t="e">
        <f>I12+'05.04'!J12</f>
        <v>#REF!</v>
      </c>
      <c r="K12" s="33">
        <v>5</v>
      </c>
      <c r="L12" s="22">
        <v>0</v>
      </c>
      <c r="M12" s="23" t="e">
        <f>L12+'05.04'!M12</f>
        <v>#REF!</v>
      </c>
      <c r="N12" s="33">
        <v>820</v>
      </c>
      <c r="O12" s="22">
        <v>28</v>
      </c>
      <c r="P12" s="23" t="e">
        <f>O12+'05.04'!P12</f>
        <v>#REF!</v>
      </c>
      <c r="Q12" s="33">
        <v>549</v>
      </c>
      <c r="R12" s="22">
        <v>0</v>
      </c>
      <c r="S12" s="23" t="e">
        <f>R12+'05.04'!S12</f>
        <v>#REF!</v>
      </c>
      <c r="T12" s="33">
        <v>992</v>
      </c>
      <c r="U12" s="22">
        <v>0</v>
      </c>
      <c r="V12" s="23" t="e">
        <f>U12+'05.04'!V12</f>
        <v>#REF!</v>
      </c>
      <c r="W12" s="33">
        <v>38</v>
      </c>
      <c r="X12" s="22">
        <v>140</v>
      </c>
      <c r="Y12" s="23" t="e">
        <f>X12+'05.04'!Y12</f>
        <v>#REF!</v>
      </c>
      <c r="Z12" s="33">
        <v>68</v>
      </c>
      <c r="AA12" s="22">
        <v>0</v>
      </c>
      <c r="AB12" s="23" t="e">
        <f>AA12+'05.04'!AB12</f>
        <v>#REF!</v>
      </c>
      <c r="AC12" s="33">
        <v>26703</v>
      </c>
      <c r="AD12" s="22">
        <v>25</v>
      </c>
      <c r="AE12" s="23" t="e">
        <f>AD12+'05.04'!AE12</f>
        <v>#REF!</v>
      </c>
      <c r="AF12" s="19">
        <f t="shared" si="1"/>
        <v>16800</v>
      </c>
      <c r="AG12" s="20" t="e">
        <f t="shared" si="1"/>
        <v>#REF!</v>
      </c>
      <c r="AH12" s="24">
        <v>5800</v>
      </c>
      <c r="AI12" s="23" t="e">
        <f>AH12+'05.04'!AI12</f>
        <v>#REF!</v>
      </c>
      <c r="AJ12" s="24">
        <v>9500</v>
      </c>
      <c r="AK12" s="23" t="e">
        <f>AJ12+'05.04'!AK12</f>
        <v>#REF!</v>
      </c>
      <c r="AL12" s="22">
        <v>200</v>
      </c>
      <c r="AM12" s="23" t="e">
        <f>AL12+'05.04'!AM12</f>
        <v>#REF!</v>
      </c>
      <c r="AN12" s="22">
        <v>1300</v>
      </c>
      <c r="AO12" s="23" t="e">
        <f>AN12+'05.04'!AO12</f>
        <v>#REF!</v>
      </c>
      <c r="AP12" s="28" t="s">
        <v>46</v>
      </c>
      <c r="AQ12" s="19">
        <f t="shared" si="2"/>
        <v>88</v>
      </c>
      <c r="AR12" s="20" t="e">
        <f t="shared" si="2"/>
        <v>#REF!</v>
      </c>
      <c r="AS12" s="34">
        <v>0</v>
      </c>
      <c r="AT12" s="23" t="e">
        <f>AS12+'05.04'!AT12</f>
        <v>#REF!</v>
      </c>
      <c r="AU12" s="34">
        <v>0</v>
      </c>
      <c r="AV12" s="23" t="e">
        <f>AU12+'05.04'!AV12</f>
        <v>#REF!</v>
      </c>
      <c r="AW12" s="34">
        <v>0</v>
      </c>
      <c r="AX12" s="23" t="e">
        <f>AW12+'05.04'!AX12</f>
        <v>#REF!</v>
      </c>
      <c r="AY12" s="34">
        <v>0</v>
      </c>
      <c r="AZ12" s="23" t="e">
        <f>AY12+'05.04'!AZ12</f>
        <v>#REF!</v>
      </c>
      <c r="BA12" s="34">
        <v>88</v>
      </c>
      <c r="BB12" s="23" t="e">
        <f>BA12+'05.04'!BB12</f>
        <v>#REF!</v>
      </c>
      <c r="BC12" s="19">
        <f t="shared" si="3"/>
        <v>2991</v>
      </c>
      <c r="BD12" s="20" t="e">
        <f t="shared" si="3"/>
        <v>#REF!</v>
      </c>
      <c r="BE12" s="22">
        <v>127</v>
      </c>
      <c r="BF12" s="23" t="e">
        <f>BE12+'05.04'!BF12</f>
        <v>#REF!</v>
      </c>
      <c r="BG12" s="34">
        <v>14</v>
      </c>
      <c r="BH12" s="23" t="e">
        <f>BG12+'05.04'!BH12</f>
        <v>#REF!</v>
      </c>
      <c r="BI12" s="22">
        <v>2500</v>
      </c>
      <c r="BJ12" s="23" t="e">
        <f>BI12+'05.04'!BJ12</f>
        <v>#REF!</v>
      </c>
      <c r="BK12" s="22">
        <v>350</v>
      </c>
      <c r="BL12" s="23" t="e">
        <f>BK12+'05.04'!BL12</f>
        <v>#REF!</v>
      </c>
      <c r="BM12" s="22">
        <v>0</v>
      </c>
      <c r="BN12" s="23" t="e">
        <f>BM12+'05.04'!BN12</f>
        <v>#REF!</v>
      </c>
      <c r="BO12" s="36"/>
      <c r="BP12" s="37">
        <v>3</v>
      </c>
      <c r="BQ12" s="23" t="e">
        <f>BP12+'05.04'!BQ12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6</v>
      </c>
      <c r="D13" s="31" t="e">
        <f t="shared" si="0"/>
        <v>#REF!</v>
      </c>
      <c r="E13" s="32">
        <v>516</v>
      </c>
      <c r="F13" s="22">
        <v>3</v>
      </c>
      <c r="G13" s="23" t="e">
        <f>F13+'05.04'!G13</f>
        <v>#REF!</v>
      </c>
      <c r="H13" s="33">
        <v>10</v>
      </c>
      <c r="I13" s="34">
        <v>2</v>
      </c>
      <c r="J13" s="23" t="e">
        <f>I13+'05.04'!J13</f>
        <v>#REF!</v>
      </c>
      <c r="K13" s="33">
        <v>38</v>
      </c>
      <c r="L13" s="22">
        <v>0</v>
      </c>
      <c r="M13" s="23" t="e">
        <f>L13+'05.04'!M13</f>
        <v>#REF!</v>
      </c>
      <c r="N13" s="33">
        <v>581</v>
      </c>
      <c r="O13" s="22">
        <v>0</v>
      </c>
      <c r="P13" s="23" t="e">
        <f>O13+'05.04'!P13</f>
        <v>#REF!</v>
      </c>
      <c r="Q13" s="33">
        <v>525</v>
      </c>
      <c r="R13" s="22">
        <v>0</v>
      </c>
      <c r="S13" s="23" t="e">
        <f>R13+'05.04'!S13</f>
        <v>#REF!</v>
      </c>
      <c r="T13" s="33">
        <v>263</v>
      </c>
      <c r="U13" s="22">
        <v>0</v>
      </c>
      <c r="V13" s="23" t="e">
        <f>U13+'05.04'!V13</f>
        <v>#REF!</v>
      </c>
      <c r="W13" s="33">
        <v>43</v>
      </c>
      <c r="X13" s="22">
        <v>0</v>
      </c>
      <c r="Y13" s="23" t="e">
        <f>X13+'05.04'!Y13</f>
        <v>#REF!</v>
      </c>
      <c r="Z13" s="33">
        <v>17</v>
      </c>
      <c r="AA13" s="22">
        <v>0</v>
      </c>
      <c r="AB13" s="23" t="e">
        <f>AA13+'05.04'!AB13</f>
        <v>#REF!</v>
      </c>
      <c r="AC13" s="33">
        <v>51</v>
      </c>
      <c r="AD13" s="22">
        <v>1</v>
      </c>
      <c r="AE13" s="23" t="e">
        <f>AD13+'05.04'!AE13</f>
        <v>#REF!</v>
      </c>
      <c r="AF13" s="19">
        <f t="shared" si="1"/>
        <v>335000</v>
      </c>
      <c r="AG13" s="20" t="e">
        <f t="shared" si="1"/>
        <v>#REF!</v>
      </c>
      <c r="AH13" s="24">
        <v>2000</v>
      </c>
      <c r="AI13" s="23" t="e">
        <f>AH13+'05.04'!AI13</f>
        <v>#REF!</v>
      </c>
      <c r="AJ13" s="24">
        <v>13000</v>
      </c>
      <c r="AK13" s="23" t="e">
        <f>AJ13+'05.04'!AK13</f>
        <v>#REF!</v>
      </c>
      <c r="AL13" s="22">
        <v>30000</v>
      </c>
      <c r="AM13" s="23" t="e">
        <f>AL13+'05.04'!AM13</f>
        <v>#REF!</v>
      </c>
      <c r="AN13" s="22">
        <v>290000</v>
      </c>
      <c r="AO13" s="23" t="e">
        <f>AN13+'05.04'!AO13</f>
        <v>#REF!</v>
      </c>
      <c r="AP13" s="28" t="s">
        <v>47</v>
      </c>
      <c r="AQ13" s="19">
        <f t="shared" si="2"/>
        <v>14</v>
      </c>
      <c r="AR13" s="20" t="e">
        <f t="shared" si="2"/>
        <v>#REF!</v>
      </c>
      <c r="AS13" s="34">
        <v>1</v>
      </c>
      <c r="AT13" s="23" t="e">
        <f>AS13+'05.04'!AT13</f>
        <v>#REF!</v>
      </c>
      <c r="AU13" s="34">
        <v>1</v>
      </c>
      <c r="AV13" s="23" t="e">
        <f>AU13+'05.04'!AV13</f>
        <v>#REF!</v>
      </c>
      <c r="AW13" s="34">
        <v>0</v>
      </c>
      <c r="AX13" s="23" t="e">
        <f>AW13+'05.04'!AX13</f>
        <v>#REF!</v>
      </c>
      <c r="AY13" s="34">
        <v>0</v>
      </c>
      <c r="AZ13" s="23" t="e">
        <f>AY13+'05.04'!AZ13</f>
        <v>#REF!</v>
      </c>
      <c r="BA13" s="34">
        <v>12</v>
      </c>
      <c r="BB13" s="23" t="e">
        <f>BA13+'05.04'!BB13</f>
        <v>#REF!</v>
      </c>
      <c r="BC13" s="19">
        <f t="shared" si="3"/>
        <v>7630</v>
      </c>
      <c r="BD13" s="20" t="e">
        <f t="shared" si="3"/>
        <v>#REF!</v>
      </c>
      <c r="BE13" s="22">
        <v>518</v>
      </c>
      <c r="BF13" s="23" t="e">
        <f>BE13+'05.04'!BF13</f>
        <v>#REF!</v>
      </c>
      <c r="BG13" s="34">
        <v>12</v>
      </c>
      <c r="BH13" s="23" t="e">
        <f>BG13+'05.04'!BH13</f>
        <v>#REF!</v>
      </c>
      <c r="BI13" s="22">
        <v>7000</v>
      </c>
      <c r="BJ13" s="23" t="e">
        <f>BI13+'05.04'!BJ13</f>
        <v>#REF!</v>
      </c>
      <c r="BK13" s="22">
        <v>100</v>
      </c>
      <c r="BL13" s="23" t="e">
        <f>BK13+'05.04'!BL13</f>
        <v>#REF!</v>
      </c>
      <c r="BM13" s="22">
        <v>0</v>
      </c>
      <c r="BN13" s="23" t="e">
        <f>BM13+'05.04'!BN13</f>
        <v>#REF!</v>
      </c>
      <c r="BO13" s="36"/>
      <c r="BP13" s="37">
        <v>0</v>
      </c>
      <c r="BQ13" s="23" t="e">
        <f>BP13+'05.04'!BQ13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105</v>
      </c>
      <c r="D14" s="42" t="e">
        <f t="shared" si="0"/>
        <v>#REF!</v>
      </c>
      <c r="E14" s="43">
        <v>304</v>
      </c>
      <c r="F14" s="22">
        <v>93</v>
      </c>
      <c r="G14" s="23" t="e">
        <f>F14+'05.04'!G14</f>
        <v>#REF!</v>
      </c>
      <c r="H14" s="44">
        <v>5</v>
      </c>
      <c r="I14" s="45">
        <v>0</v>
      </c>
      <c r="J14" s="23" t="e">
        <f>I14+'05.04'!J14</f>
        <v>#REF!</v>
      </c>
      <c r="K14" s="44">
        <v>34</v>
      </c>
      <c r="L14" s="22">
        <v>0</v>
      </c>
      <c r="M14" s="23" t="e">
        <f>L14+'05.04'!M14</f>
        <v>#REF!</v>
      </c>
      <c r="N14" s="44">
        <v>583</v>
      </c>
      <c r="O14" s="22">
        <v>0</v>
      </c>
      <c r="P14" s="23" t="e">
        <f>O14+'05.04'!P14</f>
        <v>#REF!</v>
      </c>
      <c r="Q14" s="44">
        <v>254</v>
      </c>
      <c r="R14" s="22">
        <v>0</v>
      </c>
      <c r="S14" s="23" t="e">
        <f>R14+'05.04'!S14</f>
        <v>#REF!</v>
      </c>
      <c r="T14" s="44">
        <v>196</v>
      </c>
      <c r="U14" s="22">
        <v>0</v>
      </c>
      <c r="V14" s="23" t="e">
        <f>U14+'05.04'!V14</f>
        <v>#REF!</v>
      </c>
      <c r="W14" s="44">
        <v>30</v>
      </c>
      <c r="X14" s="22">
        <v>10</v>
      </c>
      <c r="Y14" s="23" t="e">
        <f>X14+'05.04'!Y14</f>
        <v>#REF!</v>
      </c>
      <c r="Z14" s="44">
        <v>10</v>
      </c>
      <c r="AA14" s="22">
        <v>0</v>
      </c>
      <c r="AB14" s="23" t="e">
        <f>AA14+'05.04'!AB14</f>
        <v>#REF!</v>
      </c>
      <c r="AC14" s="44">
        <v>2500</v>
      </c>
      <c r="AD14" s="22">
        <v>2</v>
      </c>
      <c r="AE14" s="23" t="e">
        <f>AD14+'05.04'!AE14</f>
        <v>#REF!</v>
      </c>
      <c r="AF14" s="19">
        <f t="shared" si="1"/>
        <v>173070</v>
      </c>
      <c r="AG14" s="20" t="e">
        <f t="shared" si="1"/>
        <v>#REF!</v>
      </c>
      <c r="AH14" s="24">
        <v>160</v>
      </c>
      <c r="AI14" s="23" t="e">
        <f>AH14+'05.04'!AI14</f>
        <v>#REF!</v>
      </c>
      <c r="AJ14" s="24">
        <v>10460</v>
      </c>
      <c r="AK14" s="23" t="e">
        <f>AJ14+'05.04'!AK14</f>
        <v>#REF!</v>
      </c>
      <c r="AL14" s="22">
        <v>18340</v>
      </c>
      <c r="AM14" s="23" t="e">
        <f>AL14+'05.04'!AM14</f>
        <v>#REF!</v>
      </c>
      <c r="AN14" s="22">
        <v>144110</v>
      </c>
      <c r="AO14" s="23" t="e">
        <f>AN14+'05.04'!AO14</f>
        <v>#REF!</v>
      </c>
      <c r="AP14" s="39" t="s">
        <v>48</v>
      </c>
      <c r="AQ14" s="19">
        <f t="shared" si="2"/>
        <v>12</v>
      </c>
      <c r="AR14" s="20" t="e">
        <f t="shared" si="2"/>
        <v>#REF!</v>
      </c>
      <c r="AS14" s="45">
        <v>0</v>
      </c>
      <c r="AT14" s="23" t="e">
        <f>AS14+'05.04'!AT14</f>
        <v>#REF!</v>
      </c>
      <c r="AU14" s="45">
        <v>0</v>
      </c>
      <c r="AV14" s="23" t="e">
        <f>AU14+'05.04'!AV14</f>
        <v>#REF!</v>
      </c>
      <c r="AW14" s="45">
        <v>0</v>
      </c>
      <c r="AX14" s="23" t="e">
        <f>AW14+'05.04'!AX14</f>
        <v>#REF!</v>
      </c>
      <c r="AY14" s="45">
        <v>0</v>
      </c>
      <c r="AZ14" s="23" t="e">
        <f>AY14+'05.04'!AZ14</f>
        <v>#REF!</v>
      </c>
      <c r="BA14" s="45">
        <v>12</v>
      </c>
      <c r="BB14" s="23" t="e">
        <f>BA14+'05.04'!BB14</f>
        <v>#REF!</v>
      </c>
      <c r="BC14" s="19">
        <f t="shared" si="3"/>
        <v>4574</v>
      </c>
      <c r="BD14" s="20" t="e">
        <f t="shared" si="3"/>
        <v>#REF!</v>
      </c>
      <c r="BE14" s="22">
        <v>11</v>
      </c>
      <c r="BF14" s="23" t="e">
        <f>BE14+'05.04'!BF14</f>
        <v>#REF!</v>
      </c>
      <c r="BG14" s="45">
        <v>3</v>
      </c>
      <c r="BH14" s="23" t="e">
        <f>BG14+'05.04'!BH14</f>
        <v>#REF!</v>
      </c>
      <c r="BI14" s="22">
        <v>4540</v>
      </c>
      <c r="BJ14" s="23" t="e">
        <f>BI14+'05.04'!BJ14</f>
        <v>#REF!</v>
      </c>
      <c r="BK14" s="22">
        <v>20</v>
      </c>
      <c r="BL14" s="23" t="e">
        <f>BK14+'05.04'!BL14</f>
        <v>#REF!</v>
      </c>
      <c r="BM14" s="22">
        <v>0</v>
      </c>
      <c r="BN14" s="23" t="e">
        <f>BM14+'05.04'!BN14</f>
        <v>#REF!</v>
      </c>
      <c r="BO14" s="48">
        <v>2</v>
      </c>
      <c r="BP14" s="49">
        <v>0</v>
      </c>
      <c r="BQ14" s="23" t="e">
        <f>BP14+'05.04'!BQ14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501</v>
      </c>
      <c r="D15" s="53" t="e">
        <f t="shared" si="0"/>
        <v>#REF!</v>
      </c>
      <c r="E15" s="54">
        <v>776</v>
      </c>
      <c r="F15" s="55">
        <v>345</v>
      </c>
      <c r="G15" s="23" t="e">
        <f>F15+'05.04'!G15</f>
        <v>#REF!</v>
      </c>
      <c r="H15" s="56">
        <v>9</v>
      </c>
      <c r="I15" s="57">
        <v>0</v>
      </c>
      <c r="J15" s="23" t="e">
        <f>I15+'05.04'!J15</f>
        <v>#REF!</v>
      </c>
      <c r="K15" s="56">
        <v>6</v>
      </c>
      <c r="L15" s="55">
        <v>0</v>
      </c>
      <c r="M15" s="23" t="e">
        <f>L15+'05.04'!M15</f>
        <v>#REF!</v>
      </c>
      <c r="N15" s="56">
        <v>1305</v>
      </c>
      <c r="O15" s="55">
        <v>0</v>
      </c>
      <c r="P15" s="23" t="e">
        <f>O15+'05.04'!P15</f>
        <v>#REF!</v>
      </c>
      <c r="Q15" s="56">
        <v>447</v>
      </c>
      <c r="R15" s="55">
        <v>0</v>
      </c>
      <c r="S15" s="23" t="e">
        <f>R15+'05.04'!S15</f>
        <v>#REF!</v>
      </c>
      <c r="T15" s="56">
        <v>337</v>
      </c>
      <c r="U15" s="55">
        <v>0</v>
      </c>
      <c r="V15" s="23" t="e">
        <f>U15+'05.04'!V15</f>
        <v>#REF!</v>
      </c>
      <c r="W15" s="56">
        <v>78</v>
      </c>
      <c r="X15" s="55">
        <v>0</v>
      </c>
      <c r="Y15" s="23" t="e">
        <f>X15+'05.04'!Y15</f>
        <v>#REF!</v>
      </c>
      <c r="Z15" s="56">
        <v>141</v>
      </c>
      <c r="AA15" s="55">
        <v>0</v>
      </c>
      <c r="AB15" s="23" t="e">
        <f>AA15+'05.04'!AB15</f>
        <v>#REF!</v>
      </c>
      <c r="AC15" s="56">
        <v>798</v>
      </c>
      <c r="AD15" s="55">
        <v>156</v>
      </c>
      <c r="AE15" s="23" t="e">
        <f>AD15+'05.04'!AE15</f>
        <v>#REF!</v>
      </c>
      <c r="AF15" s="58">
        <f t="shared" si="1"/>
        <v>1283024</v>
      </c>
      <c r="AG15" s="59" t="e">
        <f t="shared" si="1"/>
        <v>#REF!</v>
      </c>
      <c r="AH15" s="60">
        <v>1070</v>
      </c>
      <c r="AI15" s="23" t="e">
        <f>AH15+'05.04'!AI15</f>
        <v>#REF!</v>
      </c>
      <c r="AJ15" s="60">
        <v>3800</v>
      </c>
      <c r="AK15" s="23" t="e">
        <f>AJ15+'05.04'!AK15</f>
        <v>#REF!</v>
      </c>
      <c r="AL15" s="55">
        <v>639077</v>
      </c>
      <c r="AM15" s="23" t="e">
        <f>AL15+'05.04'!AM15</f>
        <v>#REF!</v>
      </c>
      <c r="AN15" s="55">
        <v>639077</v>
      </c>
      <c r="AO15" s="23" t="e">
        <f>AN15+'05.04'!AO15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AS15+'05.04'!AT15</f>
        <v>#REF!</v>
      </c>
      <c r="AU15" s="57">
        <v>0</v>
      </c>
      <c r="AV15" s="23" t="e">
        <f>AU15+'05.04'!AV15</f>
        <v>#REF!</v>
      </c>
      <c r="AW15" s="57">
        <v>0</v>
      </c>
      <c r="AX15" s="23" t="e">
        <f>AW15+'05.04'!AX15</f>
        <v>#REF!</v>
      </c>
      <c r="AY15" s="57">
        <v>0</v>
      </c>
      <c r="AZ15" s="23" t="e">
        <f>AY15+'05.04'!AZ15</f>
        <v>#REF!</v>
      </c>
      <c r="BA15" s="57">
        <v>4</v>
      </c>
      <c r="BB15" s="23" t="e">
        <f>BA15+'05.04'!BB15</f>
        <v>#REF!</v>
      </c>
      <c r="BC15" s="58">
        <f t="shared" si="3"/>
        <v>2014</v>
      </c>
      <c r="BD15" s="59" t="e">
        <f t="shared" si="3"/>
        <v>#REF!</v>
      </c>
      <c r="BE15" s="55">
        <v>70</v>
      </c>
      <c r="BF15" s="23" t="e">
        <f>BE15+'05.04'!BF15</f>
        <v>#REF!</v>
      </c>
      <c r="BG15" s="57">
        <v>4</v>
      </c>
      <c r="BH15" s="23" t="e">
        <f>BG15+'05.04'!BH15</f>
        <v>#REF!</v>
      </c>
      <c r="BI15" s="55">
        <v>970</v>
      </c>
      <c r="BJ15" s="23" t="e">
        <f>BI15+'05.04'!BJ15</f>
        <v>#REF!</v>
      </c>
      <c r="BK15" s="55">
        <v>970</v>
      </c>
      <c r="BL15" s="23" t="e">
        <f>BK15+'05.04'!BL15</f>
        <v>#REF!</v>
      </c>
      <c r="BM15" s="55">
        <v>0</v>
      </c>
      <c r="BN15" s="23" t="e">
        <f>BM15+'05.04'!BN15</f>
        <v>#REF!</v>
      </c>
      <c r="BO15" s="36">
        <v>6274</v>
      </c>
      <c r="BP15" s="37">
        <v>2</v>
      </c>
      <c r="BQ15" s="23" t="e">
        <f>BP15+'05.04'!BQ15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163</v>
      </c>
      <c r="D16" s="31" t="e">
        <f t="shared" si="0"/>
        <v>#REF!</v>
      </c>
      <c r="E16" s="32">
        <v>310</v>
      </c>
      <c r="F16" s="22">
        <v>54</v>
      </c>
      <c r="G16" s="23" t="e">
        <f>F16+'05.04'!G16</f>
        <v>#REF!</v>
      </c>
      <c r="H16" s="33">
        <v>5</v>
      </c>
      <c r="I16" s="34">
        <v>0</v>
      </c>
      <c r="J16" s="23" t="e">
        <f>I16+'05.04'!J16</f>
        <v>#REF!</v>
      </c>
      <c r="K16" s="33">
        <v>3</v>
      </c>
      <c r="L16" s="22">
        <v>0</v>
      </c>
      <c r="M16" s="23" t="e">
        <f>L16+'05.04'!M16</f>
        <v>#REF!</v>
      </c>
      <c r="N16" s="33">
        <v>384</v>
      </c>
      <c r="O16" s="22">
        <v>0</v>
      </c>
      <c r="P16" s="23" t="e">
        <f>O16+'05.04'!P16</f>
        <v>#REF!</v>
      </c>
      <c r="Q16" s="33">
        <v>245</v>
      </c>
      <c r="R16" s="22">
        <v>0</v>
      </c>
      <c r="S16" s="23" t="e">
        <f>R16+'05.04'!S16</f>
        <v>#REF!</v>
      </c>
      <c r="T16" s="33">
        <v>397</v>
      </c>
      <c r="U16" s="22">
        <v>0</v>
      </c>
      <c r="V16" s="23" t="e">
        <f>U16+'05.04'!V16</f>
        <v>#REF!</v>
      </c>
      <c r="W16" s="33">
        <v>24</v>
      </c>
      <c r="X16" s="22">
        <v>48</v>
      </c>
      <c r="Y16" s="23" t="e">
        <f>X16+'05.04'!Y16</f>
        <v>#REF!</v>
      </c>
      <c r="Z16" s="33">
        <v>18</v>
      </c>
      <c r="AA16" s="22">
        <v>0</v>
      </c>
      <c r="AB16" s="23" t="e">
        <f>AA16+'05.04'!AB16</f>
        <v>#REF!</v>
      </c>
      <c r="AC16" s="33">
        <v>18515</v>
      </c>
      <c r="AD16" s="22">
        <v>61</v>
      </c>
      <c r="AE16" s="23" t="e">
        <f>AD16+'05.04'!AE16</f>
        <v>#REF!</v>
      </c>
      <c r="AF16" s="19">
        <f t="shared" si="1"/>
        <v>106230</v>
      </c>
      <c r="AG16" s="20" t="e">
        <f t="shared" si="1"/>
        <v>#REF!</v>
      </c>
      <c r="AH16" s="24">
        <v>300</v>
      </c>
      <c r="AI16" s="23" t="e">
        <f>AH16+'05.04'!AI16</f>
        <v>#REF!</v>
      </c>
      <c r="AJ16" s="24">
        <v>1510</v>
      </c>
      <c r="AK16" s="23" t="e">
        <f>AJ16+'05.04'!AK16</f>
        <v>#REF!</v>
      </c>
      <c r="AL16" s="22">
        <v>5350</v>
      </c>
      <c r="AM16" s="23" t="e">
        <f>AL16+'05.04'!AM16</f>
        <v>#REF!</v>
      </c>
      <c r="AN16" s="22">
        <v>99070</v>
      </c>
      <c r="AO16" s="23" t="e">
        <f>AN16+'05.04'!AO16</f>
        <v>#REF!</v>
      </c>
      <c r="AP16" s="28" t="s">
        <v>51</v>
      </c>
      <c r="AQ16" s="19">
        <f t="shared" si="2"/>
        <v>38</v>
      </c>
      <c r="AR16" s="20" t="e">
        <f t="shared" si="2"/>
        <v>#REF!</v>
      </c>
      <c r="AS16" s="34">
        <v>0</v>
      </c>
      <c r="AT16" s="23" t="e">
        <f>AS16+'05.04'!AT16</f>
        <v>#REF!</v>
      </c>
      <c r="AU16" s="34">
        <v>0</v>
      </c>
      <c r="AV16" s="23" t="e">
        <f>AU16+'05.04'!AV16</f>
        <v>#REF!</v>
      </c>
      <c r="AW16" s="34">
        <v>0</v>
      </c>
      <c r="AX16" s="23" t="e">
        <f>AW16+'05.04'!AX16</f>
        <v>#REF!</v>
      </c>
      <c r="AY16" s="34">
        <v>0</v>
      </c>
      <c r="AZ16" s="23" t="e">
        <f>AY16+'05.04'!AZ16</f>
        <v>#REF!</v>
      </c>
      <c r="BA16" s="34">
        <v>38</v>
      </c>
      <c r="BB16" s="23" t="e">
        <f>BA16+'05.04'!BB16</f>
        <v>#REF!</v>
      </c>
      <c r="BC16" s="19">
        <f t="shared" si="3"/>
        <v>1699</v>
      </c>
      <c r="BD16" s="20" t="e">
        <f t="shared" si="3"/>
        <v>#REF!</v>
      </c>
      <c r="BE16" s="22">
        <v>97</v>
      </c>
      <c r="BF16" s="23" t="e">
        <f>BE16+'05.04'!BF16</f>
        <v>#REF!</v>
      </c>
      <c r="BG16" s="34">
        <v>2</v>
      </c>
      <c r="BH16" s="23" t="e">
        <f>BG16+'05.04'!BH16</f>
        <v>#REF!</v>
      </c>
      <c r="BI16" s="22">
        <v>1300</v>
      </c>
      <c r="BJ16" s="23" t="e">
        <f>BI16+'05.04'!BJ16</f>
        <v>#REF!</v>
      </c>
      <c r="BK16" s="22">
        <v>300</v>
      </c>
      <c r="BL16" s="23" t="e">
        <f>BK16+'05.04'!BL16</f>
        <v>#REF!</v>
      </c>
      <c r="BM16" s="22">
        <v>0</v>
      </c>
      <c r="BN16" s="23" t="e">
        <f>BM16+'05.04'!BN16</f>
        <v>#REF!</v>
      </c>
      <c r="BO16" s="36">
        <v>2546</v>
      </c>
      <c r="BP16" s="37">
        <v>1</v>
      </c>
      <c r="BQ16" s="23" t="e">
        <f>BP16+'05.04'!BQ16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182</v>
      </c>
      <c r="D17" s="31" t="e">
        <f t="shared" si="0"/>
        <v>#REF!</v>
      </c>
      <c r="E17" s="32">
        <v>754</v>
      </c>
      <c r="F17" s="22">
        <v>100</v>
      </c>
      <c r="G17" s="23" t="e">
        <f>F17+'05.04'!G17</f>
        <v>#REF!</v>
      </c>
      <c r="H17" s="33">
        <v>9</v>
      </c>
      <c r="I17" s="34">
        <v>0</v>
      </c>
      <c r="J17" s="23" t="e">
        <f>I17+'05.04'!J17</f>
        <v>#REF!</v>
      </c>
      <c r="K17" s="33">
        <v>5</v>
      </c>
      <c r="L17" s="22">
        <v>0</v>
      </c>
      <c r="M17" s="23" t="e">
        <f>L17+'05.04'!M17</f>
        <v>#REF!</v>
      </c>
      <c r="N17" s="33">
        <v>768</v>
      </c>
      <c r="O17" s="22">
        <v>0</v>
      </c>
      <c r="P17" s="23" t="e">
        <f>O17+'05.04'!P17</f>
        <v>#REF!</v>
      </c>
      <c r="Q17" s="33">
        <v>624</v>
      </c>
      <c r="R17" s="22">
        <v>0</v>
      </c>
      <c r="S17" s="23" t="e">
        <f>R17+'05.04'!S17</f>
        <v>#REF!</v>
      </c>
      <c r="T17" s="33">
        <v>742</v>
      </c>
      <c r="U17" s="22">
        <v>0</v>
      </c>
      <c r="V17" s="23" t="e">
        <f>U17+'05.04'!V17</f>
        <v>#REF!</v>
      </c>
      <c r="W17" s="33">
        <v>54</v>
      </c>
      <c r="X17" s="22">
        <v>62</v>
      </c>
      <c r="Y17" s="23" t="e">
        <f>X17+'05.04'!Y17</f>
        <v>#REF!</v>
      </c>
      <c r="Z17" s="33">
        <v>66</v>
      </c>
      <c r="AA17" s="22">
        <v>0</v>
      </c>
      <c r="AB17" s="23" t="e">
        <f>AA17+'05.04'!AB17</f>
        <v>#REF!</v>
      </c>
      <c r="AC17" s="33">
        <v>2580</v>
      </c>
      <c r="AD17" s="22">
        <v>20</v>
      </c>
      <c r="AE17" s="23" t="e">
        <f>AD17+'05.04'!AE17</f>
        <v>#REF!</v>
      </c>
      <c r="AF17" s="19">
        <f t="shared" si="1"/>
        <v>195300</v>
      </c>
      <c r="AG17" s="20" t="e">
        <f t="shared" si="1"/>
        <v>#REF!</v>
      </c>
      <c r="AH17" s="24">
        <v>10300</v>
      </c>
      <c r="AI17" s="23" t="e">
        <f>AH17+'05.04'!AI17</f>
        <v>#REF!</v>
      </c>
      <c r="AJ17" s="24">
        <v>9500</v>
      </c>
      <c r="AK17" s="23" t="e">
        <f>AJ17+'05.04'!AK17</f>
        <v>#REF!</v>
      </c>
      <c r="AL17" s="22">
        <v>75000</v>
      </c>
      <c r="AM17" s="23" t="e">
        <f>AL17+'05.04'!AM17</f>
        <v>#REF!</v>
      </c>
      <c r="AN17" s="22">
        <v>100500</v>
      </c>
      <c r="AO17" s="23" t="e">
        <f>AN17+'05.04'!AO17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AS17+'05.04'!AT17</f>
        <v>#REF!</v>
      </c>
      <c r="AU17" s="34">
        <v>1</v>
      </c>
      <c r="AV17" s="23" t="e">
        <f>AU17+'05.04'!AV17</f>
        <v>#REF!</v>
      </c>
      <c r="AW17" s="34">
        <v>0</v>
      </c>
      <c r="AX17" s="23" t="e">
        <f>AW17+'05.04'!AX17</f>
        <v>#REF!</v>
      </c>
      <c r="AY17" s="34">
        <v>0</v>
      </c>
      <c r="AZ17" s="23" t="e">
        <f>AY17+'05.04'!AZ17</f>
        <v>#REF!</v>
      </c>
      <c r="BA17" s="34">
        <v>14</v>
      </c>
      <c r="BB17" s="23" t="e">
        <f>BA17+'05.04'!BB17</f>
        <v>#REF!</v>
      </c>
      <c r="BC17" s="19">
        <f t="shared" si="3"/>
        <v>1502</v>
      </c>
      <c r="BD17" s="20" t="e">
        <f t="shared" si="3"/>
        <v>#REF!</v>
      </c>
      <c r="BE17" s="22">
        <v>38</v>
      </c>
      <c r="BF17" s="23" t="e">
        <f>BE17+'05.04'!BF17</f>
        <v>#REF!</v>
      </c>
      <c r="BG17" s="34">
        <v>4</v>
      </c>
      <c r="BH17" s="23" t="e">
        <f>BG17+'05.04'!BH17</f>
        <v>#REF!</v>
      </c>
      <c r="BI17" s="22">
        <v>1300</v>
      </c>
      <c r="BJ17" s="23" t="e">
        <f>BI17+'05.04'!BJ17</f>
        <v>#REF!</v>
      </c>
      <c r="BK17" s="22">
        <v>160</v>
      </c>
      <c r="BL17" s="23" t="e">
        <f>BK17+'05.04'!BL17</f>
        <v>#REF!</v>
      </c>
      <c r="BM17" s="22">
        <v>0</v>
      </c>
      <c r="BN17" s="23" t="e">
        <f>BM17+'05.04'!BN17</f>
        <v>#REF!</v>
      </c>
      <c r="BO17" s="36">
        <v>8022</v>
      </c>
      <c r="BP17" s="37">
        <v>10</v>
      </c>
      <c r="BQ17" s="23" t="e">
        <f>BP17+'05.04'!BQ17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542</v>
      </c>
      <c r="D18" s="20" t="e">
        <f t="shared" si="0"/>
        <v>#REF!</v>
      </c>
      <c r="E18" s="21">
        <v>1063</v>
      </c>
      <c r="F18" s="22">
        <v>314</v>
      </c>
      <c r="G18" s="23" t="e">
        <f>F18+'05.04'!G18</f>
        <v>#REF!</v>
      </c>
      <c r="H18" s="21">
        <v>19</v>
      </c>
      <c r="I18" s="22">
        <v>0</v>
      </c>
      <c r="J18" s="23" t="e">
        <f>I18+'05.04'!J18</f>
        <v>#REF!</v>
      </c>
      <c r="K18" s="21">
        <v>8</v>
      </c>
      <c r="L18" s="22">
        <v>0</v>
      </c>
      <c r="M18" s="23" t="e">
        <f>L18+'05.04'!M18</f>
        <v>#REF!</v>
      </c>
      <c r="N18" s="21">
        <v>1331</v>
      </c>
      <c r="O18" s="22">
        <v>0</v>
      </c>
      <c r="P18" s="23" t="e">
        <f>O18+'05.04'!P18</f>
        <v>#REF!</v>
      </c>
      <c r="Q18" s="21">
        <v>777</v>
      </c>
      <c r="R18" s="22">
        <v>0</v>
      </c>
      <c r="S18" s="23" t="e">
        <f>R18+'05.04'!S18</f>
        <v>#REF!</v>
      </c>
      <c r="T18" s="21">
        <v>318</v>
      </c>
      <c r="U18" s="22">
        <v>0</v>
      </c>
      <c r="V18" s="23" t="e">
        <f>U18+'05.04'!V18</f>
        <v>#REF!</v>
      </c>
      <c r="W18" s="21">
        <v>60</v>
      </c>
      <c r="X18" s="22">
        <v>228</v>
      </c>
      <c r="Y18" s="23" t="e">
        <f>X18+'05.04'!Y18</f>
        <v>#REF!</v>
      </c>
      <c r="Z18" s="21">
        <v>72</v>
      </c>
      <c r="AA18" s="22">
        <v>0</v>
      </c>
      <c r="AB18" s="23" t="e">
        <f>AA18+'05.04'!AB18</f>
        <v>#REF!</v>
      </c>
      <c r="AC18" s="21">
        <v>143</v>
      </c>
      <c r="AD18" s="22">
        <v>0</v>
      </c>
      <c r="AE18" s="23" t="e">
        <f>AD18+'05.04'!AE18</f>
        <v>#REF!</v>
      </c>
      <c r="AF18" s="19">
        <f t="shared" si="1"/>
        <v>347547</v>
      </c>
      <c r="AG18" s="20" t="e">
        <f t="shared" si="1"/>
        <v>#REF!</v>
      </c>
      <c r="AH18" s="24">
        <v>592</v>
      </c>
      <c r="AI18" s="23" t="e">
        <f>AH18+'05.04'!AI18</f>
        <v>#REF!</v>
      </c>
      <c r="AJ18" s="24">
        <v>4826</v>
      </c>
      <c r="AK18" s="23" t="e">
        <f>AJ18+'05.04'!AK18</f>
        <v>#REF!</v>
      </c>
      <c r="AL18" s="22">
        <v>5217</v>
      </c>
      <c r="AM18" s="23" t="e">
        <f>AL18+'05.04'!AM18</f>
        <v>#REF!</v>
      </c>
      <c r="AN18" s="22">
        <v>336912</v>
      </c>
      <c r="AO18" s="23" t="e">
        <f>AN18+'05.04'!AO18</f>
        <v>#REF!</v>
      </c>
      <c r="AP18" s="17" t="s">
        <v>53</v>
      </c>
      <c r="AQ18" s="19">
        <f>AS18+AU18+AW18+AY18+BA18</f>
        <v>9</v>
      </c>
      <c r="AR18" s="20" t="e">
        <f t="shared" si="2"/>
        <v>#REF!</v>
      </c>
      <c r="AS18" s="22">
        <v>1</v>
      </c>
      <c r="AT18" s="23" t="e">
        <f>AS18+'05.04'!AT18</f>
        <v>#REF!</v>
      </c>
      <c r="AU18" s="22">
        <v>0</v>
      </c>
      <c r="AV18" s="23" t="e">
        <f>AU18+'05.04'!AV18</f>
        <v>#REF!</v>
      </c>
      <c r="AW18" s="22">
        <v>0</v>
      </c>
      <c r="AX18" s="23" t="e">
        <f>AW18+'05.04'!AX18</f>
        <v>#REF!</v>
      </c>
      <c r="AY18" s="22">
        <v>0</v>
      </c>
      <c r="AZ18" s="23" t="e">
        <f>AY18+'05.04'!AZ18</f>
        <v>#REF!</v>
      </c>
      <c r="BA18" s="22">
        <v>8</v>
      </c>
      <c r="BB18" s="23" t="e">
        <f>BA18+'05.04'!BB18</f>
        <v>#REF!</v>
      </c>
      <c r="BC18" s="19">
        <f t="shared" si="3"/>
        <v>3022</v>
      </c>
      <c r="BD18" s="20" t="e">
        <f>BF18+BH18+BJ18+BL18+BN18</f>
        <v>#REF!</v>
      </c>
      <c r="BE18" s="22">
        <v>1</v>
      </c>
      <c r="BF18" s="23" t="e">
        <f>BE18+'05.04'!BF18</f>
        <v>#REF!</v>
      </c>
      <c r="BG18" s="22">
        <v>0</v>
      </c>
      <c r="BH18" s="23" t="e">
        <f>BG18+'05.04'!BH18</f>
        <v>#REF!</v>
      </c>
      <c r="BI18" s="22">
        <v>2897</v>
      </c>
      <c r="BJ18" s="23" t="e">
        <f>BI18+'05.04'!BJ18</f>
        <v>#REF!</v>
      </c>
      <c r="BK18" s="22">
        <v>124</v>
      </c>
      <c r="BL18" s="23" t="e">
        <f>BK18+'05.04'!BL18</f>
        <v>#REF!</v>
      </c>
      <c r="BM18" s="22">
        <v>0</v>
      </c>
      <c r="BN18" s="23" t="e">
        <f>BM18+'05.04'!BN18</f>
        <v>#REF!</v>
      </c>
      <c r="BO18" s="36">
        <v>442</v>
      </c>
      <c r="BP18" s="37">
        <v>0</v>
      </c>
      <c r="BQ18" s="23" t="e">
        <f>BP18+'05.04'!BQ18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57</v>
      </c>
      <c r="D19" s="31" t="e">
        <f t="shared" si="0"/>
        <v>#REF!</v>
      </c>
      <c r="E19" s="33">
        <v>221</v>
      </c>
      <c r="F19" s="22">
        <v>14</v>
      </c>
      <c r="G19" s="23" t="e">
        <f>F19+'05.04'!G19</f>
        <v>#REF!</v>
      </c>
      <c r="H19" s="33">
        <v>5</v>
      </c>
      <c r="I19" s="34">
        <v>0</v>
      </c>
      <c r="J19" s="23" t="e">
        <f>I19+'05.04'!J19</f>
        <v>#REF!</v>
      </c>
      <c r="K19" s="33">
        <v>4</v>
      </c>
      <c r="L19" s="22">
        <v>0</v>
      </c>
      <c r="M19" s="23" t="e">
        <f>L19+'05.04'!M19</f>
        <v>#REF!</v>
      </c>
      <c r="N19" s="33">
        <v>313</v>
      </c>
      <c r="O19" s="22">
        <v>0</v>
      </c>
      <c r="P19" s="23" t="e">
        <f>O19+'05.04'!P19</f>
        <v>#REF!</v>
      </c>
      <c r="Q19" s="33">
        <v>203</v>
      </c>
      <c r="R19" s="22">
        <v>0</v>
      </c>
      <c r="S19" s="23" t="e">
        <f>R19+'05.04'!S19</f>
        <v>#REF!</v>
      </c>
      <c r="T19" s="33">
        <v>241</v>
      </c>
      <c r="U19" s="22">
        <v>0</v>
      </c>
      <c r="V19" s="23" t="e">
        <f>U19+'05.04'!V19</f>
        <v>#REF!</v>
      </c>
      <c r="W19" s="33">
        <v>14</v>
      </c>
      <c r="X19" s="22">
        <v>18</v>
      </c>
      <c r="Y19" s="23" t="e">
        <f>X19+'05.04'!Y19</f>
        <v>#REF!</v>
      </c>
      <c r="Z19" s="33">
        <v>7</v>
      </c>
      <c r="AA19" s="22">
        <v>0</v>
      </c>
      <c r="AB19" s="23" t="e">
        <f>AA19+'05.04'!AB19</f>
        <v>#REF!</v>
      </c>
      <c r="AC19" s="33">
        <v>32</v>
      </c>
      <c r="AD19" s="22">
        <v>25</v>
      </c>
      <c r="AE19" s="23" t="e">
        <f>AD19+'05.04'!AE19</f>
        <v>#REF!</v>
      </c>
      <c r="AF19" s="19">
        <f t="shared" si="1"/>
        <v>3500</v>
      </c>
      <c r="AG19" s="20" t="e">
        <f t="shared" si="1"/>
        <v>#REF!</v>
      </c>
      <c r="AH19" s="24">
        <v>550</v>
      </c>
      <c r="AI19" s="23" t="e">
        <f>AH19+'05.04'!AI19</f>
        <v>#REF!</v>
      </c>
      <c r="AJ19" s="24">
        <v>550</v>
      </c>
      <c r="AK19" s="23" t="e">
        <f>AJ19+'05.04'!AK19</f>
        <v>#REF!</v>
      </c>
      <c r="AL19" s="22">
        <v>1200</v>
      </c>
      <c r="AM19" s="23" t="e">
        <f>AL19+'05.04'!AM19</f>
        <v>#REF!</v>
      </c>
      <c r="AN19" s="22">
        <v>1200</v>
      </c>
      <c r="AO19" s="23" t="e">
        <f>AN19+'05.04'!AO19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AS19+'05.04'!AT19</f>
        <v>#REF!</v>
      </c>
      <c r="AU19" s="34">
        <v>0</v>
      </c>
      <c r="AV19" s="23" t="e">
        <f>AU19+'05.04'!AV19</f>
        <v>#REF!</v>
      </c>
      <c r="AW19" s="34">
        <v>0</v>
      </c>
      <c r="AX19" s="23" t="e">
        <f>AW19+'05.04'!AX19</f>
        <v>#REF!</v>
      </c>
      <c r="AY19" s="34">
        <v>0</v>
      </c>
      <c r="AZ19" s="23" t="e">
        <f>AY19+'05.04'!AZ19</f>
        <v>#REF!</v>
      </c>
      <c r="BA19" s="34">
        <v>0</v>
      </c>
      <c r="BB19" s="23" t="e">
        <f>BA19+'05.04'!BB19</f>
        <v>#REF!</v>
      </c>
      <c r="BC19" s="19">
        <f t="shared" si="3"/>
        <v>1050</v>
      </c>
      <c r="BD19" s="20" t="e">
        <f t="shared" si="3"/>
        <v>#REF!</v>
      </c>
      <c r="BE19" s="22">
        <v>0</v>
      </c>
      <c r="BF19" s="23" t="e">
        <f>BE19+'05.04'!BF19</f>
        <v>#REF!</v>
      </c>
      <c r="BG19" s="34">
        <v>150</v>
      </c>
      <c r="BH19" s="23" t="e">
        <f>BG19+'05.04'!BH19</f>
        <v>#REF!</v>
      </c>
      <c r="BI19" s="22">
        <v>900</v>
      </c>
      <c r="BJ19" s="23" t="e">
        <f>BI19+'05.04'!BJ19</f>
        <v>#REF!</v>
      </c>
      <c r="BK19" s="22">
        <v>0</v>
      </c>
      <c r="BL19" s="23" t="e">
        <f>BK19+'05.04'!BL19</f>
        <v>#REF!</v>
      </c>
      <c r="BM19" s="22">
        <v>0</v>
      </c>
      <c r="BN19" s="23" t="e">
        <f>BM19+'05.04'!BN19</f>
        <v>#REF!</v>
      </c>
      <c r="BO19" s="36">
        <v>2898</v>
      </c>
      <c r="BP19" s="37">
        <v>0</v>
      </c>
      <c r="BQ19" s="23" t="e">
        <f>BP19+'05.04'!BQ19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368</v>
      </c>
      <c r="D20" s="31" t="e">
        <f t="shared" si="0"/>
        <v>#REF!</v>
      </c>
      <c r="E20" s="32">
        <v>723</v>
      </c>
      <c r="F20" s="22">
        <v>231</v>
      </c>
      <c r="G20" s="23" t="e">
        <f>F20+'05.04'!G20</f>
        <v>#REF!</v>
      </c>
      <c r="H20" s="33">
        <v>5</v>
      </c>
      <c r="I20" s="34">
        <v>1</v>
      </c>
      <c r="J20" s="23" t="e">
        <f>I20+'05.04'!J20</f>
        <v>#REF!</v>
      </c>
      <c r="K20" s="33">
        <v>3</v>
      </c>
      <c r="L20" s="22">
        <v>0</v>
      </c>
      <c r="M20" s="23" t="e">
        <f>L20+'05.04'!M20</f>
        <v>#REF!</v>
      </c>
      <c r="N20" s="33">
        <v>975</v>
      </c>
      <c r="O20" s="22">
        <v>64</v>
      </c>
      <c r="P20" s="23" t="e">
        <f>O20+'05.04'!P20</f>
        <v>#REF!</v>
      </c>
      <c r="Q20" s="61">
        <v>1862</v>
      </c>
      <c r="R20" s="22">
        <v>2</v>
      </c>
      <c r="S20" s="23" t="e">
        <f>R20+'05.04'!S20</f>
        <v>#REF!</v>
      </c>
      <c r="T20" s="33">
        <v>35</v>
      </c>
      <c r="U20" s="22">
        <v>2</v>
      </c>
      <c r="V20" s="23" t="e">
        <f>U20+'05.04'!V20</f>
        <v>#REF!</v>
      </c>
      <c r="W20" s="33">
        <v>64</v>
      </c>
      <c r="X20" s="22">
        <v>3</v>
      </c>
      <c r="Y20" s="23" t="e">
        <f>X20+'05.04'!Y20</f>
        <v>#REF!</v>
      </c>
      <c r="Z20" s="33">
        <v>15</v>
      </c>
      <c r="AA20" s="22">
        <v>1</v>
      </c>
      <c r="AB20" s="23" t="e">
        <f>AA20+'05.04'!AB20</f>
        <v>#REF!</v>
      </c>
      <c r="AC20" s="33">
        <v>1546</v>
      </c>
      <c r="AD20" s="22">
        <v>64</v>
      </c>
      <c r="AE20" s="23" t="e">
        <f>AD20+'05.04'!AE20</f>
        <v>#REF!</v>
      </c>
      <c r="AF20" s="19">
        <f t="shared" si="1"/>
        <v>15867</v>
      </c>
      <c r="AG20" s="20" t="e">
        <f t="shared" si="1"/>
        <v>#REF!</v>
      </c>
      <c r="AH20" s="24">
        <v>8070</v>
      </c>
      <c r="AI20" s="23" t="e">
        <f>AH20+'05.04'!AI20</f>
        <v>#REF!</v>
      </c>
      <c r="AJ20" s="24">
        <v>6697</v>
      </c>
      <c r="AK20" s="23" t="e">
        <f>AJ20+'05.04'!AK20</f>
        <v>#REF!</v>
      </c>
      <c r="AL20" s="22">
        <v>440</v>
      </c>
      <c r="AM20" s="23" t="e">
        <f>AL20+'05.04'!AM20</f>
        <v>#REF!</v>
      </c>
      <c r="AN20" s="22">
        <v>660</v>
      </c>
      <c r="AO20" s="23" t="e">
        <f>AN20+'05.04'!AO20</f>
        <v>#REF!</v>
      </c>
      <c r="AP20" s="28" t="s">
        <v>55</v>
      </c>
      <c r="AQ20" s="19">
        <f t="shared" si="4"/>
        <v>1</v>
      </c>
      <c r="AR20" s="20" t="e">
        <f t="shared" si="2"/>
        <v>#REF!</v>
      </c>
      <c r="AS20" s="34">
        <v>1</v>
      </c>
      <c r="AT20" s="23" t="e">
        <f>AS20+'05.04'!AT20</f>
        <v>#REF!</v>
      </c>
      <c r="AU20" s="34">
        <v>0</v>
      </c>
      <c r="AV20" s="23" t="e">
        <f>AU20+'05.04'!AV20</f>
        <v>#REF!</v>
      </c>
      <c r="AW20" s="34">
        <v>0</v>
      </c>
      <c r="AX20" s="23" t="e">
        <f>AW20+'05.04'!AX20</f>
        <v>#REF!</v>
      </c>
      <c r="AY20" s="34">
        <v>0</v>
      </c>
      <c r="AZ20" s="23" t="e">
        <f>AY20+'05.04'!AZ20</f>
        <v>#REF!</v>
      </c>
      <c r="BA20" s="34">
        <v>0</v>
      </c>
      <c r="BB20" s="23" t="e">
        <f>BA20+'05.04'!BB20</f>
        <v>#REF!</v>
      </c>
      <c r="BC20" s="19">
        <f t="shared" si="3"/>
        <v>2646</v>
      </c>
      <c r="BD20" s="20" t="e">
        <f t="shared" si="3"/>
        <v>#REF!</v>
      </c>
      <c r="BE20" s="22">
        <v>2</v>
      </c>
      <c r="BF20" s="23" t="e">
        <f>BE20+'05.04'!BF20</f>
        <v>#REF!</v>
      </c>
      <c r="BG20" s="34">
        <v>0</v>
      </c>
      <c r="BH20" s="23" t="e">
        <f>BG20+'05.04'!BH20</f>
        <v>#REF!</v>
      </c>
      <c r="BI20" s="22">
        <v>1240</v>
      </c>
      <c r="BJ20" s="23" t="e">
        <f>BI20+'05.04'!BJ20</f>
        <v>#REF!</v>
      </c>
      <c r="BK20" s="22">
        <v>1404</v>
      </c>
      <c r="BL20" s="23" t="e">
        <f>BK20+'05.04'!BL20</f>
        <v>#REF!</v>
      </c>
      <c r="BM20" s="22">
        <v>0</v>
      </c>
      <c r="BN20" s="23" t="e">
        <f>BM20+'05.04'!BN20</f>
        <v>#REF!</v>
      </c>
      <c r="BO20" s="36">
        <v>5854</v>
      </c>
      <c r="BP20" s="37"/>
      <c r="BQ20" s="23" t="e">
        <f>BP20+'05.04'!BQ20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328</v>
      </c>
      <c r="D21" s="31" t="e">
        <f t="shared" si="0"/>
        <v>#REF!</v>
      </c>
      <c r="E21" s="32">
        <v>1017</v>
      </c>
      <c r="F21" s="22">
        <v>300</v>
      </c>
      <c r="G21" s="23" t="e">
        <f>F21+'05.04'!G21</f>
        <v>#REF!</v>
      </c>
      <c r="H21" s="33">
        <v>8</v>
      </c>
      <c r="I21" s="34">
        <v>0</v>
      </c>
      <c r="J21" s="23" t="e">
        <f>I21+'05.04'!J21</f>
        <v>#REF!</v>
      </c>
      <c r="K21" s="33">
        <v>4</v>
      </c>
      <c r="L21" s="22">
        <v>0</v>
      </c>
      <c r="M21" s="23" t="e">
        <f>L21+'05.04'!M21</f>
        <v>#REF!</v>
      </c>
      <c r="N21" s="33">
        <v>963</v>
      </c>
      <c r="O21" s="22">
        <v>2</v>
      </c>
      <c r="P21" s="23" t="e">
        <f>O21+'05.04'!P21</f>
        <v>#REF!</v>
      </c>
      <c r="Q21" s="33">
        <v>912</v>
      </c>
      <c r="R21" s="22">
        <v>0</v>
      </c>
      <c r="S21" s="23" t="e">
        <f>R21+'05.04'!S21</f>
        <v>#REF!</v>
      </c>
      <c r="T21" s="33">
        <v>199</v>
      </c>
      <c r="U21" s="22">
        <v>3</v>
      </c>
      <c r="V21" s="23" t="e">
        <f>U21+'05.04'!V21</f>
        <v>#REF!</v>
      </c>
      <c r="W21" s="33">
        <v>101</v>
      </c>
      <c r="X21" s="22">
        <v>15</v>
      </c>
      <c r="Y21" s="23" t="e">
        <f>X21+'05.04'!Y21</f>
        <v>#REF!</v>
      </c>
      <c r="Z21" s="33">
        <v>42</v>
      </c>
      <c r="AA21" s="22">
        <v>0</v>
      </c>
      <c r="AB21" s="23" t="e">
        <f>AA21+'05.04'!AB21</f>
        <v>#REF!</v>
      </c>
      <c r="AC21" s="33">
        <v>20</v>
      </c>
      <c r="AD21" s="22">
        <v>8</v>
      </c>
      <c r="AE21" s="23" t="e">
        <f>AD21+'05.04'!AE21</f>
        <v>#REF!</v>
      </c>
      <c r="AF21" s="19">
        <f t="shared" si="1"/>
        <v>350000</v>
      </c>
      <c r="AG21" s="20" t="e">
        <f t="shared" si="1"/>
        <v>#REF!</v>
      </c>
      <c r="AH21" s="24">
        <v>2000</v>
      </c>
      <c r="AI21" s="23" t="e">
        <f>AH21+'05.04'!AI21</f>
        <v>#REF!</v>
      </c>
      <c r="AJ21" s="24">
        <v>98000</v>
      </c>
      <c r="AK21" s="23" t="e">
        <f>AJ21+'05.04'!AK21</f>
        <v>#REF!</v>
      </c>
      <c r="AL21" s="22">
        <v>5000</v>
      </c>
      <c r="AM21" s="23" t="e">
        <f>AL21+'05.04'!AM21</f>
        <v>#REF!</v>
      </c>
      <c r="AN21" s="22">
        <v>245000</v>
      </c>
      <c r="AO21" s="23" t="e">
        <f>AN21+'05.04'!AO21</f>
        <v>#REF!</v>
      </c>
      <c r="AP21" s="28" t="s">
        <v>58</v>
      </c>
      <c r="AQ21" s="19">
        <f t="shared" si="4"/>
        <v>10</v>
      </c>
      <c r="AR21" s="20" t="e">
        <f t="shared" si="2"/>
        <v>#REF!</v>
      </c>
      <c r="AS21" s="34">
        <v>0</v>
      </c>
      <c r="AT21" s="23" t="e">
        <f>AS21+'05.04'!AT21</f>
        <v>#REF!</v>
      </c>
      <c r="AU21" s="34">
        <v>2</v>
      </c>
      <c r="AV21" s="23" t="e">
        <f>AU21+'05.04'!AV21</f>
        <v>#REF!</v>
      </c>
      <c r="AW21" s="34">
        <v>0</v>
      </c>
      <c r="AX21" s="23" t="e">
        <f>AW21+'05.04'!AX21</f>
        <v>#REF!</v>
      </c>
      <c r="AY21" s="34">
        <v>0</v>
      </c>
      <c r="AZ21" s="23" t="e">
        <f>AY21+'05.04'!AZ21</f>
        <v>#REF!</v>
      </c>
      <c r="BA21" s="34">
        <v>8</v>
      </c>
      <c r="BB21" s="23" t="e">
        <f>BA21+'05.04'!BB21</f>
        <v>#REF!</v>
      </c>
      <c r="BC21" s="19">
        <f t="shared" si="3"/>
        <v>4000</v>
      </c>
      <c r="BD21" s="20" t="e">
        <f t="shared" si="3"/>
        <v>#REF!</v>
      </c>
      <c r="BE21" s="22">
        <v>0</v>
      </c>
      <c r="BF21" s="23" t="e">
        <f>BE21+'05.04'!BF21</f>
        <v>#REF!</v>
      </c>
      <c r="BG21" s="34">
        <v>0</v>
      </c>
      <c r="BH21" s="23" t="e">
        <f>BG21+'05.04'!BH21</f>
        <v>#REF!</v>
      </c>
      <c r="BI21" s="22">
        <v>4000</v>
      </c>
      <c r="BJ21" s="23" t="e">
        <f>BI21+'05.04'!BJ21</f>
        <v>#REF!</v>
      </c>
      <c r="BK21" s="22">
        <v>0</v>
      </c>
      <c r="BL21" s="23" t="e">
        <f>BK21+'05.04'!BL21</f>
        <v>#REF!</v>
      </c>
      <c r="BM21" s="22">
        <v>0</v>
      </c>
      <c r="BN21" s="23" t="e">
        <f>BM21+'05.04'!BN21</f>
        <v>#REF!</v>
      </c>
      <c r="BO21" s="36"/>
      <c r="BP21" s="37">
        <v>1</v>
      </c>
      <c r="BQ21" s="23" t="e">
        <f>BP21+'05.04'!BQ21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825</v>
      </c>
      <c r="D22" s="31" t="e">
        <f t="shared" si="0"/>
        <v>#REF!</v>
      </c>
      <c r="E22" s="32">
        <v>509</v>
      </c>
      <c r="F22" s="22">
        <v>380</v>
      </c>
      <c r="G22" s="23" t="e">
        <f>F22+'05.04'!G22</f>
        <v>#REF!</v>
      </c>
      <c r="H22" s="33">
        <v>8</v>
      </c>
      <c r="I22" s="34">
        <v>0</v>
      </c>
      <c r="J22" s="23" t="e">
        <f>I22+'05.04'!J22</f>
        <v>#REF!</v>
      </c>
      <c r="K22" s="33">
        <v>21</v>
      </c>
      <c r="L22" s="22">
        <v>0</v>
      </c>
      <c r="M22" s="23" t="e">
        <f>L22+'05.04'!M22</f>
        <v>#REF!</v>
      </c>
      <c r="N22" s="33">
        <v>560</v>
      </c>
      <c r="O22" s="22">
        <v>75</v>
      </c>
      <c r="P22" s="23" t="e">
        <f>O22+'05.04'!P22</f>
        <v>#REF!</v>
      </c>
      <c r="Q22" s="33">
        <v>375</v>
      </c>
      <c r="R22" s="22">
        <v>0</v>
      </c>
      <c r="S22" s="23" t="e">
        <f>R22+'05.04'!S22</f>
        <v>#REF!</v>
      </c>
      <c r="T22" s="33">
        <v>165</v>
      </c>
      <c r="U22" s="22">
        <v>22</v>
      </c>
      <c r="V22" s="23" t="e">
        <f>U22+'05.04'!V22</f>
        <v>#REF!</v>
      </c>
      <c r="W22" s="33">
        <v>28</v>
      </c>
      <c r="X22" s="22">
        <v>48</v>
      </c>
      <c r="Y22" s="23" t="e">
        <f>X22+'05.04'!Y22</f>
        <v>#REF!</v>
      </c>
      <c r="Z22" s="33">
        <v>9</v>
      </c>
      <c r="AA22" s="22">
        <v>0</v>
      </c>
      <c r="AB22" s="23" t="e">
        <f>AA22+'05.04'!AB22</f>
        <v>#REF!</v>
      </c>
      <c r="AC22" s="33">
        <v>112</v>
      </c>
      <c r="AD22" s="22">
        <v>300</v>
      </c>
      <c r="AE22" s="23" t="e">
        <f>AD22+'05.04'!AE22</f>
        <v>#REF!</v>
      </c>
      <c r="AF22" s="19">
        <f t="shared" si="1"/>
        <v>9849</v>
      </c>
      <c r="AG22" s="20" t="e">
        <f t="shared" si="1"/>
        <v>#REF!</v>
      </c>
      <c r="AH22" s="24">
        <v>494</v>
      </c>
      <c r="AI22" s="23" t="e">
        <f>AH22+'05.04'!AI22</f>
        <v>#REF!</v>
      </c>
      <c r="AJ22" s="24">
        <v>9000</v>
      </c>
      <c r="AK22" s="23" t="e">
        <f>AJ22+'05.04'!AK22</f>
        <v>#REF!</v>
      </c>
      <c r="AL22" s="22">
        <v>115</v>
      </c>
      <c r="AM22" s="23" t="e">
        <f>AL22+'05.04'!AM22</f>
        <v>#REF!</v>
      </c>
      <c r="AN22" s="22">
        <v>240</v>
      </c>
      <c r="AO22" s="23" t="e">
        <f>AN22+'05.04'!AO22</f>
        <v>#REF!</v>
      </c>
      <c r="AP22" s="28" t="s">
        <v>59</v>
      </c>
      <c r="AQ22" s="19">
        <f t="shared" si="4"/>
        <v>942</v>
      </c>
      <c r="AR22" s="20" t="e">
        <f t="shared" si="2"/>
        <v>#REF!</v>
      </c>
      <c r="AS22" s="34">
        <v>1</v>
      </c>
      <c r="AT22" s="23" t="e">
        <f>AS22+'05.04'!AT22</f>
        <v>#REF!</v>
      </c>
      <c r="AU22" s="34">
        <v>1</v>
      </c>
      <c r="AV22" s="23" t="e">
        <f>AU22+'05.04'!AV22</f>
        <v>#REF!</v>
      </c>
      <c r="AW22" s="34">
        <v>1</v>
      </c>
      <c r="AX22" s="23" t="e">
        <f>AW22+'05.04'!AX22</f>
        <v>#REF!</v>
      </c>
      <c r="AY22" s="34">
        <v>0</v>
      </c>
      <c r="AZ22" s="23" t="e">
        <f>AY22+'05.04'!AZ22</f>
        <v>#REF!</v>
      </c>
      <c r="BA22" s="34">
        <v>939</v>
      </c>
      <c r="BB22" s="23" t="e">
        <f>BA22+'05.04'!BB22</f>
        <v>#REF!</v>
      </c>
      <c r="BC22" s="19">
        <f t="shared" si="3"/>
        <v>7676</v>
      </c>
      <c r="BD22" s="20" t="e">
        <f t="shared" si="3"/>
        <v>#REF!</v>
      </c>
      <c r="BE22" s="22">
        <v>8</v>
      </c>
      <c r="BF22" s="23" t="e">
        <f>BE22+'05.04'!BF22</f>
        <v>#REF!</v>
      </c>
      <c r="BG22" s="34">
        <v>8</v>
      </c>
      <c r="BH22" s="23" t="e">
        <f>BG22+'05.04'!BH22</f>
        <v>#REF!</v>
      </c>
      <c r="BI22" s="22">
        <v>7642</v>
      </c>
      <c r="BJ22" s="23" t="e">
        <f>BI22+'05.04'!BJ22</f>
        <v>#REF!</v>
      </c>
      <c r="BK22" s="22">
        <v>18</v>
      </c>
      <c r="BL22" s="23" t="e">
        <f>BK22+'05.04'!BL22</f>
        <v>#REF!</v>
      </c>
      <c r="BM22" s="22">
        <v>0</v>
      </c>
      <c r="BN22" s="23" t="e">
        <f>BM22+'05.04'!BN22</f>
        <v>#REF!</v>
      </c>
      <c r="BO22" s="36">
        <v>26</v>
      </c>
      <c r="BP22" s="37">
        <v>35</v>
      </c>
      <c r="BQ22" s="23" t="e">
        <f>BP22+'05.04'!BQ22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3611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1968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13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182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16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35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638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756</v>
      </c>
      <c r="AE23" s="68" t="e">
        <f t="shared" si="5"/>
        <v>#REF!</v>
      </c>
      <c r="AF23" s="64">
        <f t="shared" si="5"/>
        <v>3138794</v>
      </c>
      <c r="AG23" s="64" t="e">
        <f t="shared" si="5"/>
        <v>#REF!</v>
      </c>
      <c r="AH23" s="67">
        <f t="shared" si="5"/>
        <v>39285</v>
      </c>
      <c r="AI23" s="68" t="e">
        <f t="shared" si="5"/>
        <v>#REF!</v>
      </c>
      <c r="AJ23" s="67">
        <f t="shared" si="5"/>
        <v>182926</v>
      </c>
      <c r="AK23" s="68" t="e">
        <f t="shared" si="5"/>
        <v>#REF!</v>
      </c>
      <c r="AL23" s="67">
        <f t="shared" si="5"/>
        <v>854827</v>
      </c>
      <c r="AM23" s="68" t="e">
        <f t="shared" si="5"/>
        <v>#REF!</v>
      </c>
      <c r="AN23" s="67">
        <f t="shared" si="5"/>
        <v>2061756</v>
      </c>
      <c r="AO23" s="68" t="e">
        <f t="shared" si="5"/>
        <v>#REF!</v>
      </c>
      <c r="AP23" s="62" t="s">
        <v>12</v>
      </c>
      <c r="AQ23" s="64">
        <f t="shared" ref="AQ23:BP23" si="6">SUM(AQ8:AQ22)</f>
        <v>1211</v>
      </c>
      <c r="AR23" s="64" t="e">
        <f t="shared" si="6"/>
        <v>#REF!</v>
      </c>
      <c r="AS23" s="67">
        <f t="shared" si="6"/>
        <v>6</v>
      </c>
      <c r="AT23" s="68" t="e">
        <f t="shared" si="6"/>
        <v>#REF!</v>
      </c>
      <c r="AU23" s="67">
        <f t="shared" si="6"/>
        <v>6</v>
      </c>
      <c r="AV23" s="68" t="e">
        <f t="shared" si="6"/>
        <v>#REF!</v>
      </c>
      <c r="AW23" s="67">
        <f t="shared" si="6"/>
        <v>1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1198</v>
      </c>
      <c r="BB23" s="68" t="e">
        <f t="shared" si="6"/>
        <v>#REF!</v>
      </c>
      <c r="BC23" s="64">
        <f t="shared" si="6"/>
        <v>50874</v>
      </c>
      <c r="BD23" s="64" t="e">
        <f t="shared" si="6"/>
        <v>#REF!</v>
      </c>
      <c r="BE23" s="67">
        <f t="shared" si="6"/>
        <v>1484</v>
      </c>
      <c r="BF23" s="68" t="e">
        <f t="shared" si="6"/>
        <v>#REF!</v>
      </c>
      <c r="BG23" s="67">
        <f t="shared" si="6"/>
        <v>202</v>
      </c>
      <c r="BH23" s="68" t="e">
        <f t="shared" si="6"/>
        <v>#REF!</v>
      </c>
      <c r="BI23" s="67">
        <f t="shared" si="6"/>
        <v>44271</v>
      </c>
      <c r="BJ23" s="68" t="e">
        <f t="shared" si="6"/>
        <v>#REF!</v>
      </c>
      <c r="BK23" s="67">
        <f t="shared" si="6"/>
        <v>4917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58</v>
      </c>
      <c r="BQ23" s="23">
        <f>BP23+'05.04'!BP23</f>
        <v>93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BU23"/>
  <sheetViews>
    <sheetView zoomScale="115" zoomScaleNormal="115" workbookViewId="0">
      <pane xSplit="4" ySplit="8" topLeftCell="AH15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140625" customWidth="1"/>
    <col min="5" max="6" width="6.28515625" customWidth="1"/>
    <col min="7" max="7" width="7.285156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39" width="11.85546875" customWidth="1"/>
    <col min="40" max="40" width="12.42578125" customWidth="1"/>
    <col min="41" max="41" width="11.710937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F9+'06.04'!G9</f>
        <v>#REF!</v>
      </c>
      <c r="H9" s="33">
        <v>12</v>
      </c>
      <c r="I9" s="34">
        <v>1</v>
      </c>
      <c r="J9" s="23" t="e">
        <f>I9+'06.04'!J9</f>
        <v>#REF!</v>
      </c>
      <c r="K9" s="33">
        <v>2</v>
      </c>
      <c r="L9" s="22">
        <v>0</v>
      </c>
      <c r="M9" s="23" t="e">
        <f>L9+'06.04'!M9</f>
        <v>#REF!</v>
      </c>
      <c r="N9" s="33">
        <v>735</v>
      </c>
      <c r="O9" s="22">
        <v>0</v>
      </c>
      <c r="P9" s="23" t="e">
        <f>O9+'06.04'!P9</f>
        <v>#REF!</v>
      </c>
      <c r="Q9" s="33">
        <v>502</v>
      </c>
      <c r="R9" s="22">
        <v>0</v>
      </c>
      <c r="S9" s="23" t="e">
        <f>R9+'06.04'!S9</f>
        <v>#REF!</v>
      </c>
      <c r="T9" s="33">
        <v>197</v>
      </c>
      <c r="U9" s="22">
        <v>0</v>
      </c>
      <c r="V9" s="23" t="e">
        <f>U9+'06.04'!V9</f>
        <v>#REF!</v>
      </c>
      <c r="W9" s="33">
        <v>47</v>
      </c>
      <c r="X9" s="22">
        <v>0</v>
      </c>
      <c r="Y9" s="23" t="e">
        <f>X9+'06.04'!Y9</f>
        <v>#REF!</v>
      </c>
      <c r="Z9" s="33">
        <v>34</v>
      </c>
      <c r="AA9" s="22">
        <v>0</v>
      </c>
      <c r="AB9" s="23" t="e">
        <f>AA9+'06.04'!AB9</f>
        <v>#REF!</v>
      </c>
      <c r="AC9" s="33">
        <v>1860</v>
      </c>
      <c r="AD9" s="22">
        <v>0</v>
      </c>
      <c r="AE9" s="23" t="e">
        <f>AD9+'06.04'!AE9</f>
        <v>#REF!</v>
      </c>
      <c r="AF9" s="19">
        <f t="shared" ref="AF9:AG22" si="1">AH9+AJ9+AL9+AN9</f>
        <v>7940</v>
      </c>
      <c r="AG9" s="20" t="e">
        <f t="shared" si="1"/>
        <v>#REF!</v>
      </c>
      <c r="AH9" s="24">
        <v>125</v>
      </c>
      <c r="AI9" s="23" t="e">
        <f>AH9+'06.04'!AI9</f>
        <v>#REF!</v>
      </c>
      <c r="AJ9" s="24">
        <v>415</v>
      </c>
      <c r="AK9" s="23" t="e">
        <f>AJ9+'06.04'!AK9</f>
        <v>#REF!</v>
      </c>
      <c r="AL9" s="22">
        <v>2400</v>
      </c>
      <c r="AM9" s="23" t="e">
        <f>AL9+'06.04'!AM9</f>
        <v>#REF!</v>
      </c>
      <c r="AN9" s="22">
        <v>5000</v>
      </c>
      <c r="AO9" s="23" t="e">
        <f>AN9+'06.04'!AO9</f>
        <v>#REF!</v>
      </c>
      <c r="AP9" s="28" t="s">
        <v>43</v>
      </c>
      <c r="AQ9" s="19">
        <f t="shared" ref="AQ9:AR22" si="2">AS9+AU9+AW9+AY9+BA9</f>
        <v>421</v>
      </c>
      <c r="AR9" s="20" t="e">
        <f t="shared" si="2"/>
        <v>#REF!</v>
      </c>
      <c r="AS9" s="34">
        <v>1</v>
      </c>
      <c r="AT9" s="23" t="e">
        <f>AS9+'06.04'!AT9</f>
        <v>#REF!</v>
      </c>
      <c r="AU9" s="34">
        <v>0</v>
      </c>
      <c r="AV9" s="23" t="e">
        <f>AU9+'06.04'!AV9</f>
        <v>#REF!</v>
      </c>
      <c r="AW9" s="34">
        <v>420</v>
      </c>
      <c r="AX9" s="23" t="e">
        <f>AW9+'06.04'!AX9</f>
        <v>#REF!</v>
      </c>
      <c r="AY9" s="34">
        <v>0</v>
      </c>
      <c r="AZ9" s="23" t="e">
        <f>AY9+'06.04'!AZ9</f>
        <v>#REF!</v>
      </c>
      <c r="BA9" s="34">
        <v>0</v>
      </c>
      <c r="BB9" s="23" t="e">
        <f>BA9+'06.04'!BB9</f>
        <v>#REF!</v>
      </c>
      <c r="BC9" s="19">
        <f t="shared" ref="BC9:BD22" si="3">BE9+BG9+BI9+BK9+BM9</f>
        <v>421</v>
      </c>
      <c r="BD9" s="20" t="e">
        <f t="shared" si="3"/>
        <v>#REF!</v>
      </c>
      <c r="BE9" s="22">
        <v>1</v>
      </c>
      <c r="BF9" s="23" t="e">
        <f>BE9+'06.04'!BF9</f>
        <v>#REF!</v>
      </c>
      <c r="BG9" s="34">
        <v>0</v>
      </c>
      <c r="BH9" s="23" t="e">
        <f>BG9+'06.04'!BH9</f>
        <v>#REF!</v>
      </c>
      <c r="BI9" s="22">
        <v>420</v>
      </c>
      <c r="BJ9" s="23" t="e">
        <f>BI9+'06.04'!BJ9</f>
        <v>#REF!</v>
      </c>
      <c r="BK9" s="22">
        <v>0</v>
      </c>
      <c r="BL9" s="23" t="e">
        <f>BK9+'06.04'!BL9</f>
        <v>#REF!</v>
      </c>
      <c r="BM9" s="22">
        <v>0</v>
      </c>
      <c r="BN9" s="23" t="e">
        <f>BM9+'06.04'!BN9</f>
        <v>#REF!</v>
      </c>
      <c r="BO9" s="36">
        <v>14</v>
      </c>
      <c r="BP9" s="37">
        <v>0</v>
      </c>
      <c r="BQ9" s="23" t="e">
        <f>BP9+'06.04'!BQ9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148</v>
      </c>
      <c r="D10" s="31" t="e">
        <f t="shared" si="0"/>
        <v>#REF!</v>
      </c>
      <c r="E10" s="32">
        <v>585</v>
      </c>
      <c r="F10" s="22">
        <v>22</v>
      </c>
      <c r="G10" s="23" t="e">
        <f>F10+'06.04'!G10</f>
        <v>#REF!</v>
      </c>
      <c r="H10" s="33">
        <v>93</v>
      </c>
      <c r="I10" s="34">
        <v>1</v>
      </c>
      <c r="J10" s="23" t="e">
        <f>I10+'06.04'!J10</f>
        <v>#REF!</v>
      </c>
      <c r="K10" s="33">
        <v>34</v>
      </c>
      <c r="L10" s="22">
        <v>3</v>
      </c>
      <c r="M10" s="23" t="e">
        <f>L10+'06.04'!M10</f>
        <v>#REF!</v>
      </c>
      <c r="N10" s="33">
        <v>352</v>
      </c>
      <c r="O10" s="22">
        <v>15</v>
      </c>
      <c r="P10" s="23" t="e">
        <f>O10+'06.04'!P10</f>
        <v>#REF!</v>
      </c>
      <c r="Q10" s="33">
        <v>549</v>
      </c>
      <c r="R10" s="22">
        <v>4</v>
      </c>
      <c r="S10" s="23" t="e">
        <f>R10+'06.04'!S10</f>
        <v>#REF!</v>
      </c>
      <c r="T10" s="33">
        <v>198</v>
      </c>
      <c r="U10" s="22">
        <v>7</v>
      </c>
      <c r="V10" s="23" t="e">
        <f>U10+'06.04'!V10</f>
        <v>#REF!</v>
      </c>
      <c r="W10" s="38">
        <v>55</v>
      </c>
      <c r="X10" s="22">
        <v>1</v>
      </c>
      <c r="Y10" s="23" t="e">
        <f>X10+'06.04'!Y10</f>
        <v>#REF!</v>
      </c>
      <c r="Z10" s="38">
        <v>71</v>
      </c>
      <c r="AA10" s="22">
        <v>1</v>
      </c>
      <c r="AB10" s="23" t="e">
        <f>AA10+'06.04'!AB10</f>
        <v>#REF!</v>
      </c>
      <c r="AC10" s="38">
        <v>1690</v>
      </c>
      <c r="AD10" s="22">
        <v>94</v>
      </c>
      <c r="AE10" s="23" t="e">
        <f>AD10+'06.04'!AE10</f>
        <v>#REF!</v>
      </c>
      <c r="AF10" s="19">
        <f t="shared" si="1"/>
        <v>111555</v>
      </c>
      <c r="AG10" s="20" t="e">
        <f t="shared" si="1"/>
        <v>#REF!</v>
      </c>
      <c r="AH10" s="24">
        <v>784</v>
      </c>
      <c r="AI10" s="23" t="e">
        <f>AH10+'06.04'!AI10</f>
        <v>#REF!</v>
      </c>
      <c r="AJ10" s="24">
        <v>4398</v>
      </c>
      <c r="AK10" s="23" t="e">
        <f>AJ10+'06.04'!AK10</f>
        <v>#REF!</v>
      </c>
      <c r="AL10" s="22">
        <v>14265</v>
      </c>
      <c r="AM10" s="23" t="e">
        <f>AL10+'06.04'!AM10</f>
        <v>#REF!</v>
      </c>
      <c r="AN10" s="22">
        <v>92108</v>
      </c>
      <c r="AO10" s="23" t="e">
        <f>AN10+'06.04'!AO10</f>
        <v>#REF!</v>
      </c>
      <c r="AP10" s="28" t="s">
        <v>44</v>
      </c>
      <c r="AQ10" s="19">
        <f t="shared" si="2"/>
        <v>4</v>
      </c>
      <c r="AR10" s="20" t="e">
        <f t="shared" si="2"/>
        <v>#REF!</v>
      </c>
      <c r="AS10" s="34">
        <v>0</v>
      </c>
      <c r="AT10" s="23" t="e">
        <f>AS10+'06.04'!AT10</f>
        <v>#REF!</v>
      </c>
      <c r="AU10" s="34">
        <v>0</v>
      </c>
      <c r="AV10" s="23" t="e">
        <f>AU10+'06.04'!AV10</f>
        <v>#REF!</v>
      </c>
      <c r="AW10" s="34">
        <v>0</v>
      </c>
      <c r="AX10" s="23" t="e">
        <f>AW10+'06.04'!AX10</f>
        <v>#REF!</v>
      </c>
      <c r="AY10" s="34">
        <v>0</v>
      </c>
      <c r="AZ10" s="23" t="e">
        <f>AY10+'06.04'!AZ10</f>
        <v>#REF!</v>
      </c>
      <c r="BA10" s="34">
        <v>4</v>
      </c>
      <c r="BB10" s="23" t="e">
        <f>BA10+'06.04'!BB10</f>
        <v>#REF!</v>
      </c>
      <c r="BC10" s="19">
        <f t="shared" si="3"/>
        <v>4577</v>
      </c>
      <c r="BD10" s="20" t="e">
        <f t="shared" si="3"/>
        <v>#REF!</v>
      </c>
      <c r="BE10" s="22">
        <v>620</v>
      </c>
      <c r="BF10" s="23" t="e">
        <f>BE10+'06.04'!BF10</f>
        <v>#REF!</v>
      </c>
      <c r="BG10" s="34">
        <v>4</v>
      </c>
      <c r="BH10" s="23" t="e">
        <f>BG10+'06.04'!BH10</f>
        <v>#REF!</v>
      </c>
      <c r="BI10" s="22">
        <v>2763</v>
      </c>
      <c r="BJ10" s="23" t="e">
        <f>BI10+'06.04'!BJ10</f>
        <v>#REF!</v>
      </c>
      <c r="BK10" s="22">
        <v>1190</v>
      </c>
      <c r="BL10" s="23" t="e">
        <f>BK10+'06.04'!BL10</f>
        <v>#REF!</v>
      </c>
      <c r="BM10" s="22">
        <v>0</v>
      </c>
      <c r="BN10" s="23" t="e">
        <f>BM10+'06.04'!BN10</f>
        <v>#REF!</v>
      </c>
      <c r="BO10" s="36">
        <v>32</v>
      </c>
      <c r="BP10" s="37">
        <v>0</v>
      </c>
      <c r="BQ10" s="23" t="e">
        <f>BP10+'06.04'!BQ10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116</v>
      </c>
      <c r="D11" s="31" t="e">
        <f t="shared" si="0"/>
        <v>#REF!</v>
      </c>
      <c r="E11" s="32">
        <v>883</v>
      </c>
      <c r="F11" s="22">
        <v>55</v>
      </c>
      <c r="G11" s="23" t="e">
        <f>F11+'06.04'!G11</f>
        <v>#REF!</v>
      </c>
      <c r="H11" s="33">
        <v>16</v>
      </c>
      <c r="I11" s="34">
        <v>0</v>
      </c>
      <c r="J11" s="23" t="e">
        <f>I11+'06.04'!J11</f>
        <v>#REF!</v>
      </c>
      <c r="K11" s="33">
        <v>3</v>
      </c>
      <c r="L11" s="22">
        <v>0</v>
      </c>
      <c r="M11" s="23" t="e">
        <f>L11+'06.04'!M11</f>
        <v>#REF!</v>
      </c>
      <c r="N11" s="33">
        <v>875</v>
      </c>
      <c r="O11" s="22">
        <v>0</v>
      </c>
      <c r="P11" s="23" t="e">
        <f>O11+'06.04'!P11</f>
        <v>#REF!</v>
      </c>
      <c r="Q11" s="33">
        <v>2424</v>
      </c>
      <c r="R11" s="22">
        <v>0</v>
      </c>
      <c r="S11" s="23" t="e">
        <f>R11+'06.04'!S11</f>
        <v>#REF!</v>
      </c>
      <c r="T11" s="33">
        <v>69</v>
      </c>
      <c r="U11" s="22">
        <v>0</v>
      </c>
      <c r="V11" s="23" t="e">
        <f>U11+'06.04'!V11</f>
        <v>#REF!</v>
      </c>
      <c r="W11" s="38">
        <v>133</v>
      </c>
      <c r="X11" s="22">
        <v>61</v>
      </c>
      <c r="Y11" s="23" t="e">
        <f>X11+'06.04'!Y11</f>
        <v>#REF!</v>
      </c>
      <c r="Z11" s="38">
        <v>1116</v>
      </c>
      <c r="AA11" s="22">
        <v>0</v>
      </c>
      <c r="AB11" s="23" t="e">
        <f>AA11+'06.04'!AB11</f>
        <v>#REF!</v>
      </c>
      <c r="AC11" s="38">
        <v>9862</v>
      </c>
      <c r="AD11" s="22">
        <v>0</v>
      </c>
      <c r="AE11" s="23" t="e">
        <f>AD11+'06.04'!AE11</f>
        <v>#REF!</v>
      </c>
      <c r="AF11" s="19">
        <f t="shared" si="1"/>
        <v>173200</v>
      </c>
      <c r="AG11" s="20" t="e">
        <f t="shared" si="1"/>
        <v>#REF!</v>
      </c>
      <c r="AH11" s="24">
        <v>7100</v>
      </c>
      <c r="AI11" s="23" t="e">
        <f>AH11+'06.04'!AI11</f>
        <v>#REF!</v>
      </c>
      <c r="AJ11" s="24">
        <v>9100</v>
      </c>
      <c r="AK11" s="23" t="e">
        <f>AJ11+'06.04'!AK11</f>
        <v>#REF!</v>
      </c>
      <c r="AL11" s="22">
        <v>49000</v>
      </c>
      <c r="AM11" s="23" t="e">
        <f>AL11+'06.04'!AM11</f>
        <v>#REF!</v>
      </c>
      <c r="AN11" s="22">
        <v>108000</v>
      </c>
      <c r="AO11" s="23" t="e">
        <f>AN11+'06.04'!AO11</f>
        <v>#REF!</v>
      </c>
      <c r="AP11" s="28" t="s">
        <v>45</v>
      </c>
      <c r="AQ11" s="19">
        <f t="shared" si="2"/>
        <v>12</v>
      </c>
      <c r="AR11" s="20" t="e">
        <f t="shared" si="2"/>
        <v>#REF!</v>
      </c>
      <c r="AS11" s="34">
        <v>0</v>
      </c>
      <c r="AT11" s="23" t="e">
        <f>AS11+'06.04'!AT11</f>
        <v>#REF!</v>
      </c>
      <c r="AU11" s="34">
        <v>0</v>
      </c>
      <c r="AV11" s="23" t="e">
        <f>AU11+'06.04'!AV11</f>
        <v>#REF!</v>
      </c>
      <c r="AW11" s="34">
        <v>0</v>
      </c>
      <c r="AX11" s="23" t="e">
        <f>AW11+'06.04'!AX11</f>
        <v>#REF!</v>
      </c>
      <c r="AY11" s="34">
        <v>0</v>
      </c>
      <c r="AZ11" s="23" t="e">
        <f>AY11+'06.04'!AZ11</f>
        <v>#REF!</v>
      </c>
      <c r="BA11" s="34">
        <v>12</v>
      </c>
      <c r="BB11" s="23" t="e">
        <f>BA11+'06.04'!BB11</f>
        <v>#REF!</v>
      </c>
      <c r="BC11" s="19">
        <f t="shared" si="3"/>
        <v>5539</v>
      </c>
      <c r="BD11" s="20" t="e">
        <f t="shared" si="3"/>
        <v>#REF!</v>
      </c>
      <c r="BE11" s="22">
        <v>10</v>
      </c>
      <c r="BF11" s="23" t="e">
        <f>BE11+'06.04'!BF11</f>
        <v>#REF!</v>
      </c>
      <c r="BG11" s="34">
        <v>5</v>
      </c>
      <c r="BH11" s="23" t="e">
        <f>BG11+'06.04'!BH11</f>
        <v>#REF!</v>
      </c>
      <c r="BI11" s="22">
        <v>5400</v>
      </c>
      <c r="BJ11" s="23" t="e">
        <f>BI11+'06.04'!BJ11</f>
        <v>#REF!</v>
      </c>
      <c r="BK11" s="22">
        <v>124</v>
      </c>
      <c r="BL11" s="23" t="e">
        <f>BK11+'06.04'!BL11</f>
        <v>#REF!</v>
      </c>
      <c r="BM11" s="22">
        <v>0</v>
      </c>
      <c r="BN11" s="23" t="e">
        <f>BM11+'06.04'!BN11</f>
        <v>#REF!</v>
      </c>
      <c r="BO11" s="36">
        <v>11506</v>
      </c>
      <c r="BP11" s="37">
        <v>7</v>
      </c>
      <c r="BQ11" s="23" t="e">
        <f>BP11+'06.04'!BQ11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233</v>
      </c>
      <c r="D12" s="31" t="e">
        <f t="shared" si="0"/>
        <v>#REF!</v>
      </c>
      <c r="E12" s="32">
        <v>909</v>
      </c>
      <c r="F12" s="22">
        <v>52</v>
      </c>
      <c r="G12" s="23" t="e">
        <f>F12+'06.04'!G12</f>
        <v>#REF!</v>
      </c>
      <c r="H12" s="33">
        <v>80</v>
      </c>
      <c r="I12" s="34">
        <v>4</v>
      </c>
      <c r="J12" s="23" t="e">
        <f>I12+'06.04'!J12</f>
        <v>#REF!</v>
      </c>
      <c r="K12" s="33">
        <v>5</v>
      </c>
      <c r="L12" s="22">
        <v>0</v>
      </c>
      <c r="M12" s="23" t="e">
        <f>L12+'06.04'!M12</f>
        <v>#REF!</v>
      </c>
      <c r="N12" s="33">
        <v>820</v>
      </c>
      <c r="O12" s="22">
        <v>31</v>
      </c>
      <c r="P12" s="23" t="e">
        <f>O12+'06.04'!P12</f>
        <v>#REF!</v>
      </c>
      <c r="Q12" s="33">
        <v>549</v>
      </c>
      <c r="R12" s="22">
        <v>0</v>
      </c>
      <c r="S12" s="23" t="e">
        <f>R12+'06.04'!S12</f>
        <v>#REF!</v>
      </c>
      <c r="T12" s="33">
        <v>992</v>
      </c>
      <c r="U12" s="22">
        <v>0</v>
      </c>
      <c r="V12" s="23" t="e">
        <f>U12+'06.04'!V12</f>
        <v>#REF!</v>
      </c>
      <c r="W12" s="33">
        <v>38</v>
      </c>
      <c r="X12" s="22">
        <v>116</v>
      </c>
      <c r="Y12" s="23" t="e">
        <f>X12+'06.04'!Y12</f>
        <v>#REF!</v>
      </c>
      <c r="Z12" s="33">
        <v>68</v>
      </c>
      <c r="AA12" s="22">
        <v>0</v>
      </c>
      <c r="AB12" s="23" t="e">
        <f>AA12+'06.04'!AB12</f>
        <v>#REF!</v>
      </c>
      <c r="AC12" s="33">
        <v>26703</v>
      </c>
      <c r="AD12" s="22">
        <v>30</v>
      </c>
      <c r="AE12" s="23" t="e">
        <f>AD12+'06.04'!AE12</f>
        <v>#REF!</v>
      </c>
      <c r="AF12" s="19">
        <f t="shared" si="1"/>
        <v>3130</v>
      </c>
      <c r="AG12" s="20" t="e">
        <f t="shared" si="1"/>
        <v>#REF!</v>
      </c>
      <c r="AH12" s="24">
        <v>1001</v>
      </c>
      <c r="AI12" s="23" t="e">
        <f>AH12+'06.04'!AI12</f>
        <v>#REF!</v>
      </c>
      <c r="AJ12" s="24">
        <v>809</v>
      </c>
      <c r="AK12" s="23" t="e">
        <f>AJ12+'06.04'!AK12</f>
        <v>#REF!</v>
      </c>
      <c r="AL12" s="22">
        <v>20</v>
      </c>
      <c r="AM12" s="23" t="e">
        <f>AL12+'06.04'!AM12</f>
        <v>#REF!</v>
      </c>
      <c r="AN12" s="22">
        <v>1300</v>
      </c>
      <c r="AO12" s="23" t="e">
        <f>AN12+'06.04'!AO12</f>
        <v>#REF!</v>
      </c>
      <c r="AP12" s="28" t="s">
        <v>46</v>
      </c>
      <c r="AQ12" s="19">
        <f t="shared" si="2"/>
        <v>85</v>
      </c>
      <c r="AR12" s="20" t="e">
        <f t="shared" si="2"/>
        <v>#REF!</v>
      </c>
      <c r="AS12" s="34">
        <v>0</v>
      </c>
      <c r="AT12" s="23" t="e">
        <f>AS12+'06.04'!AT12</f>
        <v>#REF!</v>
      </c>
      <c r="AU12" s="34">
        <v>0</v>
      </c>
      <c r="AV12" s="23" t="e">
        <f>AU12+'06.04'!AV12</f>
        <v>#REF!</v>
      </c>
      <c r="AW12" s="34">
        <v>0</v>
      </c>
      <c r="AX12" s="23" t="e">
        <f>AW12+'06.04'!AX12</f>
        <v>#REF!</v>
      </c>
      <c r="AY12" s="34">
        <v>0</v>
      </c>
      <c r="AZ12" s="23" t="e">
        <f>AY12+'06.04'!AZ12</f>
        <v>#REF!</v>
      </c>
      <c r="BA12" s="34">
        <v>85</v>
      </c>
      <c r="BB12" s="23" t="e">
        <f>BA12+'06.04'!BB12</f>
        <v>#REF!</v>
      </c>
      <c r="BC12" s="19">
        <f t="shared" si="3"/>
        <v>2382</v>
      </c>
      <c r="BD12" s="20" t="e">
        <f t="shared" si="3"/>
        <v>#REF!</v>
      </c>
      <c r="BE12" s="22">
        <v>120</v>
      </c>
      <c r="BF12" s="23" t="e">
        <f>BE12+'06.04'!BF12</f>
        <v>#REF!</v>
      </c>
      <c r="BG12" s="34">
        <v>12</v>
      </c>
      <c r="BH12" s="23" t="e">
        <f>BG12+'06.04'!BH12</f>
        <v>#REF!</v>
      </c>
      <c r="BI12" s="22">
        <v>2000</v>
      </c>
      <c r="BJ12" s="23" t="e">
        <f>BI12+'06.04'!BJ12</f>
        <v>#REF!</v>
      </c>
      <c r="BK12" s="22">
        <v>250</v>
      </c>
      <c r="BL12" s="23" t="e">
        <f>BK12+'06.04'!BL12</f>
        <v>#REF!</v>
      </c>
      <c r="BM12" s="22">
        <v>0</v>
      </c>
      <c r="BN12" s="23" t="e">
        <f>BM12+'06.04'!BN12</f>
        <v>#REF!</v>
      </c>
      <c r="BO12" s="36"/>
      <c r="BP12" s="37">
        <v>0</v>
      </c>
      <c r="BQ12" s="23" t="e">
        <f>BP12+'06.04'!BQ12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 t="e">
        <f t="shared" si="0"/>
        <v>#REF!</v>
      </c>
      <c r="E13" s="32">
        <v>516</v>
      </c>
      <c r="F13" s="22">
        <v>1</v>
      </c>
      <c r="G13" s="23" t="e">
        <f>F13+'06.04'!G13</f>
        <v>#REF!</v>
      </c>
      <c r="H13" s="33">
        <v>10</v>
      </c>
      <c r="I13" s="34">
        <v>2</v>
      </c>
      <c r="J13" s="23" t="e">
        <f>I13+'06.04'!J13</f>
        <v>#REF!</v>
      </c>
      <c r="K13" s="33">
        <v>38</v>
      </c>
      <c r="L13" s="22">
        <v>0</v>
      </c>
      <c r="M13" s="23" t="e">
        <f>L13+'06.04'!M13</f>
        <v>#REF!</v>
      </c>
      <c r="N13" s="33">
        <v>581</v>
      </c>
      <c r="O13" s="22">
        <v>0</v>
      </c>
      <c r="P13" s="23" t="e">
        <f>O13+'06.04'!P13</f>
        <v>#REF!</v>
      </c>
      <c r="Q13" s="33">
        <v>525</v>
      </c>
      <c r="R13" s="22">
        <v>0</v>
      </c>
      <c r="S13" s="23" t="e">
        <f>R13+'06.04'!S13</f>
        <v>#REF!</v>
      </c>
      <c r="T13" s="33">
        <v>263</v>
      </c>
      <c r="U13" s="22">
        <v>0</v>
      </c>
      <c r="V13" s="23" t="e">
        <f>U13+'06.04'!V13</f>
        <v>#REF!</v>
      </c>
      <c r="W13" s="33">
        <v>43</v>
      </c>
      <c r="X13" s="22">
        <v>0</v>
      </c>
      <c r="Y13" s="23" t="e">
        <f>X13+'06.04'!Y13</f>
        <v>#REF!</v>
      </c>
      <c r="Z13" s="33">
        <v>17</v>
      </c>
      <c r="AA13" s="22">
        <v>0</v>
      </c>
      <c r="AB13" s="23" t="e">
        <f>AA13+'06.04'!AB13</f>
        <v>#REF!</v>
      </c>
      <c r="AC13" s="33">
        <v>51</v>
      </c>
      <c r="AD13" s="22">
        <v>1</v>
      </c>
      <c r="AE13" s="23" t="e">
        <f>AD13+'06.04'!AE13</f>
        <v>#REF!</v>
      </c>
      <c r="AF13" s="19">
        <f t="shared" si="1"/>
        <v>230000</v>
      </c>
      <c r="AG13" s="20" t="e">
        <f t="shared" si="1"/>
        <v>#REF!</v>
      </c>
      <c r="AH13" s="24">
        <v>1000</v>
      </c>
      <c r="AI13" s="23" t="e">
        <f>AH13+'06.04'!AI13</f>
        <v>#REF!</v>
      </c>
      <c r="AJ13" s="24">
        <v>9000</v>
      </c>
      <c r="AK13" s="23" t="e">
        <f>AJ13+'06.04'!AK13</f>
        <v>#REF!</v>
      </c>
      <c r="AL13" s="22">
        <v>20000</v>
      </c>
      <c r="AM13" s="23" t="e">
        <f>AL13+'06.04'!AM13</f>
        <v>#REF!</v>
      </c>
      <c r="AN13" s="22">
        <v>200000</v>
      </c>
      <c r="AO13" s="23" t="e">
        <f>AN13+'06.04'!AO13</f>
        <v>#REF!</v>
      </c>
      <c r="AP13" s="28" t="s">
        <v>47</v>
      </c>
      <c r="AQ13" s="19">
        <f t="shared" si="2"/>
        <v>12</v>
      </c>
      <c r="AR13" s="20" t="e">
        <f t="shared" si="2"/>
        <v>#REF!</v>
      </c>
      <c r="AS13" s="34">
        <v>1</v>
      </c>
      <c r="AT13" s="23" t="e">
        <f>AS13+'06.04'!AT13</f>
        <v>#REF!</v>
      </c>
      <c r="AU13" s="34">
        <v>1</v>
      </c>
      <c r="AV13" s="23" t="e">
        <f>AU13+'06.04'!AV13</f>
        <v>#REF!</v>
      </c>
      <c r="AW13" s="34">
        <v>0</v>
      </c>
      <c r="AX13" s="23" t="e">
        <f>AW13+'06.04'!AX13</f>
        <v>#REF!</v>
      </c>
      <c r="AY13" s="34">
        <v>0</v>
      </c>
      <c r="AZ13" s="23" t="e">
        <f>AY13+'06.04'!AZ13</f>
        <v>#REF!</v>
      </c>
      <c r="BA13" s="34">
        <v>10</v>
      </c>
      <c r="BB13" s="23" t="e">
        <f>BA13+'06.04'!BB13</f>
        <v>#REF!</v>
      </c>
      <c r="BC13" s="19">
        <f t="shared" si="3"/>
        <v>5576</v>
      </c>
      <c r="BD13" s="20" t="e">
        <f t="shared" si="3"/>
        <v>#REF!</v>
      </c>
      <c r="BE13" s="22">
        <v>516</v>
      </c>
      <c r="BF13" s="23" t="e">
        <f>BE13+'06.04'!BF13</f>
        <v>#REF!</v>
      </c>
      <c r="BG13" s="34">
        <v>10</v>
      </c>
      <c r="BH13" s="23" t="e">
        <f>BG13+'06.04'!BH13</f>
        <v>#REF!</v>
      </c>
      <c r="BI13" s="22">
        <v>5000</v>
      </c>
      <c r="BJ13" s="23" t="e">
        <f>BI13+'06.04'!BJ13</f>
        <v>#REF!</v>
      </c>
      <c r="BK13" s="22">
        <v>50</v>
      </c>
      <c r="BL13" s="23" t="e">
        <f>BK13+'06.04'!BL13</f>
        <v>#REF!</v>
      </c>
      <c r="BM13" s="22">
        <v>0</v>
      </c>
      <c r="BN13" s="23" t="e">
        <f>BM13+'06.04'!BN13</f>
        <v>#REF!</v>
      </c>
      <c r="BO13" s="36"/>
      <c r="BP13" s="37">
        <v>0</v>
      </c>
      <c r="BQ13" s="23" t="e">
        <f>BP13+'06.04'!BQ13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140</v>
      </c>
      <c r="D14" s="42" t="e">
        <f t="shared" si="0"/>
        <v>#REF!</v>
      </c>
      <c r="E14" s="43">
        <v>304</v>
      </c>
      <c r="F14" s="22">
        <v>116</v>
      </c>
      <c r="G14" s="23" t="e">
        <f>F14+'06.04'!G14</f>
        <v>#REF!</v>
      </c>
      <c r="H14" s="44">
        <v>5</v>
      </c>
      <c r="I14" s="45">
        <v>0</v>
      </c>
      <c r="J14" s="23" t="e">
        <f>I14+'06.04'!J14</f>
        <v>#REF!</v>
      </c>
      <c r="K14" s="44">
        <v>34</v>
      </c>
      <c r="L14" s="22">
        <v>0</v>
      </c>
      <c r="M14" s="23" t="e">
        <f>L14+'06.04'!M14</f>
        <v>#REF!</v>
      </c>
      <c r="N14" s="44">
        <v>583</v>
      </c>
      <c r="O14" s="22">
        <v>0</v>
      </c>
      <c r="P14" s="23" t="e">
        <f>O14+'06.04'!P14</f>
        <v>#REF!</v>
      </c>
      <c r="Q14" s="44">
        <v>254</v>
      </c>
      <c r="R14" s="22">
        <v>0</v>
      </c>
      <c r="S14" s="23" t="e">
        <f>R14+'06.04'!S14</f>
        <v>#REF!</v>
      </c>
      <c r="T14" s="44">
        <v>196</v>
      </c>
      <c r="U14" s="22">
        <v>0</v>
      </c>
      <c r="V14" s="23" t="e">
        <f>U14+'06.04'!V14</f>
        <v>#REF!</v>
      </c>
      <c r="W14" s="44">
        <v>30</v>
      </c>
      <c r="X14" s="22">
        <v>20</v>
      </c>
      <c r="Y14" s="23" t="e">
        <f>X14+'06.04'!Y14</f>
        <v>#REF!</v>
      </c>
      <c r="Z14" s="44">
        <v>10</v>
      </c>
      <c r="AA14" s="22">
        <v>0</v>
      </c>
      <c r="AB14" s="23" t="e">
        <f>AA14+'06.04'!AB14</f>
        <v>#REF!</v>
      </c>
      <c r="AC14" s="44">
        <v>2500</v>
      </c>
      <c r="AD14" s="22">
        <v>4</v>
      </c>
      <c r="AE14" s="23" t="e">
        <f>AD14+'06.04'!AE14</f>
        <v>#REF!</v>
      </c>
      <c r="AF14" s="19">
        <f t="shared" si="1"/>
        <v>191000</v>
      </c>
      <c r="AG14" s="20" t="e">
        <f t="shared" si="1"/>
        <v>#REF!</v>
      </c>
      <c r="AH14" s="24">
        <v>4300</v>
      </c>
      <c r="AI14" s="23" t="e">
        <f>AH14+'06.04'!AI14</f>
        <v>#REF!</v>
      </c>
      <c r="AJ14" s="24">
        <v>11000</v>
      </c>
      <c r="AK14" s="23" t="e">
        <f>AJ14+'06.04'!AK14</f>
        <v>#REF!</v>
      </c>
      <c r="AL14" s="22">
        <v>20000</v>
      </c>
      <c r="AM14" s="23" t="e">
        <f>AL14+'06.04'!AM14</f>
        <v>#REF!</v>
      </c>
      <c r="AN14" s="22">
        <v>155700</v>
      </c>
      <c r="AO14" s="23" t="e">
        <f>AN14+'06.04'!AO14</f>
        <v>#REF!</v>
      </c>
      <c r="AP14" s="39" t="s">
        <v>48</v>
      </c>
      <c r="AQ14" s="19">
        <f t="shared" si="2"/>
        <v>17</v>
      </c>
      <c r="AR14" s="20" t="e">
        <f t="shared" si="2"/>
        <v>#REF!</v>
      </c>
      <c r="AS14" s="45">
        <v>0</v>
      </c>
      <c r="AT14" s="23" t="e">
        <f>AS14+'06.04'!AT14</f>
        <v>#REF!</v>
      </c>
      <c r="AU14" s="45">
        <v>0</v>
      </c>
      <c r="AV14" s="23" t="e">
        <f>AU14+'06.04'!AV14</f>
        <v>#REF!</v>
      </c>
      <c r="AW14" s="45">
        <v>1</v>
      </c>
      <c r="AX14" s="23" t="e">
        <f>AW14+'06.04'!AX14</f>
        <v>#REF!</v>
      </c>
      <c r="AY14" s="45">
        <v>0</v>
      </c>
      <c r="AZ14" s="23" t="e">
        <f>AY14+'06.04'!AZ14</f>
        <v>#REF!</v>
      </c>
      <c r="BA14" s="45">
        <v>16</v>
      </c>
      <c r="BB14" s="23" t="e">
        <f>BA14+'06.04'!BB14</f>
        <v>#REF!</v>
      </c>
      <c r="BC14" s="19">
        <f t="shared" si="3"/>
        <v>5036</v>
      </c>
      <c r="BD14" s="20" t="e">
        <f t="shared" si="3"/>
        <v>#REF!</v>
      </c>
      <c r="BE14" s="22">
        <v>10</v>
      </c>
      <c r="BF14" s="23" t="e">
        <f>BE14+'06.04'!BF14</f>
        <v>#REF!</v>
      </c>
      <c r="BG14" s="45">
        <v>4</v>
      </c>
      <c r="BH14" s="23" t="e">
        <f>BG14+'06.04'!BH14</f>
        <v>#REF!</v>
      </c>
      <c r="BI14" s="22">
        <v>5000</v>
      </c>
      <c r="BJ14" s="23" t="e">
        <f>BI14+'06.04'!BJ14</f>
        <v>#REF!</v>
      </c>
      <c r="BK14" s="22">
        <v>22</v>
      </c>
      <c r="BL14" s="23" t="e">
        <f>BK14+'06.04'!BL14</f>
        <v>#REF!</v>
      </c>
      <c r="BM14" s="22">
        <v>0</v>
      </c>
      <c r="BN14" s="23" t="e">
        <f>BM14+'06.04'!BN14</f>
        <v>#REF!</v>
      </c>
      <c r="BO14" s="48">
        <v>2</v>
      </c>
      <c r="BP14" s="49">
        <v>0</v>
      </c>
      <c r="BQ14" s="23" t="e">
        <f>BP14+'06.04'!BQ14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319</v>
      </c>
      <c r="D15" s="53" t="e">
        <f t="shared" si="0"/>
        <v>#REF!</v>
      </c>
      <c r="E15" s="54">
        <v>776</v>
      </c>
      <c r="F15" s="55">
        <v>315</v>
      </c>
      <c r="G15" s="23" t="e">
        <f>F15+'06.04'!G15</f>
        <v>#REF!</v>
      </c>
      <c r="H15" s="56">
        <v>9</v>
      </c>
      <c r="I15" s="57">
        <v>0</v>
      </c>
      <c r="J15" s="23" t="e">
        <f>I15+'06.04'!J15</f>
        <v>#REF!</v>
      </c>
      <c r="K15" s="56">
        <v>6</v>
      </c>
      <c r="L15" s="55">
        <v>0</v>
      </c>
      <c r="M15" s="23" t="e">
        <f>L15+'06.04'!M15</f>
        <v>#REF!</v>
      </c>
      <c r="N15" s="56">
        <v>1305</v>
      </c>
      <c r="O15" s="55">
        <v>0</v>
      </c>
      <c r="P15" s="23" t="e">
        <f>O15+'06.04'!P15</f>
        <v>#REF!</v>
      </c>
      <c r="Q15" s="56">
        <v>447</v>
      </c>
      <c r="R15" s="55">
        <v>0</v>
      </c>
      <c r="S15" s="23" t="e">
        <f>R15+'06.04'!S15</f>
        <v>#REF!</v>
      </c>
      <c r="T15" s="56">
        <v>337</v>
      </c>
      <c r="U15" s="55">
        <v>0</v>
      </c>
      <c r="V15" s="23" t="e">
        <f>U15+'06.04'!V15</f>
        <v>#REF!</v>
      </c>
      <c r="W15" s="56">
        <v>78</v>
      </c>
      <c r="X15" s="55">
        <v>0</v>
      </c>
      <c r="Y15" s="23" t="e">
        <f>X15+'06.04'!Y15</f>
        <v>#REF!</v>
      </c>
      <c r="Z15" s="56">
        <v>141</v>
      </c>
      <c r="AA15" s="55">
        <v>0</v>
      </c>
      <c r="AB15" s="23" t="e">
        <f>AA15+'06.04'!AB15</f>
        <v>#REF!</v>
      </c>
      <c r="AC15" s="56">
        <v>798</v>
      </c>
      <c r="AD15" s="55">
        <v>4</v>
      </c>
      <c r="AE15" s="23" t="e">
        <f>AD15+'06.04'!AE15</f>
        <v>#REF!</v>
      </c>
      <c r="AF15" s="58">
        <f t="shared" si="1"/>
        <v>1132620</v>
      </c>
      <c r="AG15" s="59" t="e">
        <f t="shared" si="1"/>
        <v>#REF!</v>
      </c>
      <c r="AH15" s="60">
        <v>1046</v>
      </c>
      <c r="AI15" s="23" t="e">
        <f>AH15+'06.04'!AI15</f>
        <v>#REF!</v>
      </c>
      <c r="AJ15" s="60">
        <v>3300</v>
      </c>
      <c r="AK15" s="23" t="e">
        <f>AJ15+'06.04'!AK15</f>
        <v>#REF!</v>
      </c>
      <c r="AL15" s="55">
        <v>564137</v>
      </c>
      <c r="AM15" s="23" t="e">
        <f>AL15+'06.04'!AM15</f>
        <v>#REF!</v>
      </c>
      <c r="AN15" s="55">
        <v>564137</v>
      </c>
      <c r="AO15" s="23" t="e">
        <f>AN15+'06.04'!AO15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AS15+'06.04'!AT15</f>
        <v>#REF!</v>
      </c>
      <c r="AU15" s="57">
        <v>0</v>
      </c>
      <c r="AV15" s="23" t="e">
        <f>AU15+'06.04'!AV15</f>
        <v>#REF!</v>
      </c>
      <c r="AW15" s="57">
        <v>0</v>
      </c>
      <c r="AX15" s="23" t="e">
        <f>AW15+'06.04'!AX15</f>
        <v>#REF!</v>
      </c>
      <c r="AY15" s="57">
        <v>0</v>
      </c>
      <c r="AZ15" s="23" t="e">
        <f>AY15+'06.04'!AZ15</f>
        <v>#REF!</v>
      </c>
      <c r="BA15" s="57">
        <v>4</v>
      </c>
      <c r="BB15" s="23" t="e">
        <f>BA15+'06.04'!BB15</f>
        <v>#REF!</v>
      </c>
      <c r="BC15" s="58">
        <f t="shared" si="3"/>
        <v>1568</v>
      </c>
      <c r="BD15" s="59" t="e">
        <f t="shared" si="3"/>
        <v>#REF!</v>
      </c>
      <c r="BE15" s="55">
        <v>62</v>
      </c>
      <c r="BF15" s="23" t="e">
        <f>BE15+'06.04'!BF15</f>
        <v>#REF!</v>
      </c>
      <c r="BG15" s="57">
        <v>4</v>
      </c>
      <c r="BH15" s="23" t="e">
        <f>BG15+'06.04'!BH15</f>
        <v>#REF!</v>
      </c>
      <c r="BI15" s="55">
        <v>750</v>
      </c>
      <c r="BJ15" s="23" t="e">
        <f>BI15+'06.04'!BJ15</f>
        <v>#REF!</v>
      </c>
      <c r="BK15" s="55">
        <v>750</v>
      </c>
      <c r="BL15" s="23" t="e">
        <f>BK15+'06.04'!BL15</f>
        <v>#REF!</v>
      </c>
      <c r="BM15" s="55">
        <v>2</v>
      </c>
      <c r="BN15" s="23" t="e">
        <f>BM15+'06.04'!BN15</f>
        <v>#REF!</v>
      </c>
      <c r="BO15" s="36">
        <v>6274</v>
      </c>
      <c r="BP15" s="37">
        <v>2</v>
      </c>
      <c r="BQ15" s="23" t="e">
        <f>BP15+'06.04'!BQ15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171</v>
      </c>
      <c r="D16" s="31" t="e">
        <f t="shared" si="0"/>
        <v>#REF!</v>
      </c>
      <c r="E16" s="32">
        <v>310</v>
      </c>
      <c r="F16" s="22">
        <v>64</v>
      </c>
      <c r="G16" s="23" t="e">
        <f>F16+'06.04'!G16</f>
        <v>#REF!</v>
      </c>
      <c r="H16" s="33">
        <v>5</v>
      </c>
      <c r="I16" s="34">
        <v>0</v>
      </c>
      <c r="J16" s="23" t="e">
        <f>I16+'06.04'!J16</f>
        <v>#REF!</v>
      </c>
      <c r="K16" s="33">
        <v>3</v>
      </c>
      <c r="L16" s="22">
        <v>0</v>
      </c>
      <c r="M16" s="23" t="e">
        <f>L16+'06.04'!M16</f>
        <v>#REF!</v>
      </c>
      <c r="N16" s="33">
        <v>384</v>
      </c>
      <c r="O16" s="22">
        <v>0</v>
      </c>
      <c r="P16" s="23" t="e">
        <f>O16+'06.04'!P16</f>
        <v>#REF!</v>
      </c>
      <c r="Q16" s="33">
        <v>245</v>
      </c>
      <c r="R16" s="22">
        <v>0</v>
      </c>
      <c r="S16" s="23" t="e">
        <f>R16+'06.04'!S16</f>
        <v>#REF!</v>
      </c>
      <c r="T16" s="33">
        <v>397</v>
      </c>
      <c r="U16" s="22">
        <v>0</v>
      </c>
      <c r="V16" s="23" t="e">
        <f>U16+'06.04'!V16</f>
        <v>#REF!</v>
      </c>
      <c r="W16" s="33">
        <v>24</v>
      </c>
      <c r="X16" s="22">
        <v>51</v>
      </c>
      <c r="Y16" s="23" t="e">
        <f>X16+'06.04'!Y16</f>
        <v>#REF!</v>
      </c>
      <c r="Z16" s="33">
        <v>18</v>
      </c>
      <c r="AA16" s="22">
        <v>0</v>
      </c>
      <c r="AB16" s="23" t="e">
        <f>AA16+'06.04'!AB16</f>
        <v>#REF!</v>
      </c>
      <c r="AC16" s="33">
        <v>18515</v>
      </c>
      <c r="AD16" s="22">
        <v>56</v>
      </c>
      <c r="AE16" s="23" t="e">
        <f>AD16+'06.04'!AE16</f>
        <v>#REF!</v>
      </c>
      <c r="AF16" s="19">
        <f t="shared" si="1"/>
        <v>61</v>
      </c>
      <c r="AG16" s="20" t="e">
        <f t="shared" si="1"/>
        <v>#REF!</v>
      </c>
      <c r="AH16" s="24">
        <v>0</v>
      </c>
      <c r="AI16" s="23" t="e">
        <f>AH16+'06.04'!AI16</f>
        <v>#REF!</v>
      </c>
      <c r="AJ16" s="24">
        <v>0</v>
      </c>
      <c r="AK16" s="23" t="e">
        <f>AJ16+'06.04'!AK16</f>
        <v>#REF!</v>
      </c>
      <c r="AL16" s="22">
        <v>0</v>
      </c>
      <c r="AM16" s="23" t="e">
        <f>AL16+'06.04'!AM16</f>
        <v>#REF!</v>
      </c>
      <c r="AN16" s="22">
        <v>61</v>
      </c>
      <c r="AO16" s="23" t="e">
        <f>AN16+'06.04'!AO16</f>
        <v>#REF!</v>
      </c>
      <c r="AP16" s="28" t="s">
        <v>51</v>
      </c>
      <c r="AQ16" s="19">
        <f t="shared" si="2"/>
        <v>61</v>
      </c>
      <c r="AR16" s="20" t="e">
        <f t="shared" si="2"/>
        <v>#REF!</v>
      </c>
      <c r="AS16" s="34">
        <v>0</v>
      </c>
      <c r="AT16" s="23" t="e">
        <f>AS16+'06.04'!AT16</f>
        <v>#REF!</v>
      </c>
      <c r="AU16" s="34">
        <v>0</v>
      </c>
      <c r="AV16" s="23" t="e">
        <f>AU16+'06.04'!AV16</f>
        <v>#REF!</v>
      </c>
      <c r="AW16" s="34">
        <v>0</v>
      </c>
      <c r="AX16" s="23" t="e">
        <f>AW16+'06.04'!AX16</f>
        <v>#REF!</v>
      </c>
      <c r="AY16" s="34">
        <v>0</v>
      </c>
      <c r="AZ16" s="23" t="e">
        <f>AY16+'06.04'!AZ16</f>
        <v>#REF!</v>
      </c>
      <c r="BA16" s="34">
        <v>61</v>
      </c>
      <c r="BB16" s="23" t="e">
        <f>BA16+'06.04'!BB16</f>
        <v>#REF!</v>
      </c>
      <c r="BC16" s="19">
        <f t="shared" si="3"/>
        <v>1674</v>
      </c>
      <c r="BD16" s="20" t="e">
        <f t="shared" si="3"/>
        <v>#REF!</v>
      </c>
      <c r="BE16" s="22">
        <v>112</v>
      </c>
      <c r="BF16" s="23" t="e">
        <f>BE16+'06.04'!BF16</f>
        <v>#REF!</v>
      </c>
      <c r="BG16" s="34">
        <v>2</v>
      </c>
      <c r="BH16" s="23" t="e">
        <f>BG16+'06.04'!BH16</f>
        <v>#REF!</v>
      </c>
      <c r="BI16" s="22">
        <v>1410</v>
      </c>
      <c r="BJ16" s="23" t="e">
        <f>BI16+'06.04'!BJ16</f>
        <v>#REF!</v>
      </c>
      <c r="BK16" s="22">
        <v>150</v>
      </c>
      <c r="BL16" s="23" t="e">
        <f>BK16+'06.04'!BL16</f>
        <v>#REF!</v>
      </c>
      <c r="BM16" s="22">
        <v>0</v>
      </c>
      <c r="BN16" s="23" t="e">
        <f>BM16+'06.04'!BN16</f>
        <v>#REF!</v>
      </c>
      <c r="BO16" s="36">
        <v>2546</v>
      </c>
      <c r="BP16" s="37">
        <v>0</v>
      </c>
      <c r="BQ16" s="23" t="e">
        <f>BP16+'06.04'!BQ16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192</v>
      </c>
      <c r="D17" s="31" t="e">
        <f t="shared" si="0"/>
        <v>#REF!</v>
      </c>
      <c r="E17" s="32">
        <v>754</v>
      </c>
      <c r="F17" s="22">
        <v>110</v>
      </c>
      <c r="G17" s="23" t="e">
        <f>F17+'06.04'!G17</f>
        <v>#REF!</v>
      </c>
      <c r="H17" s="33">
        <v>9</v>
      </c>
      <c r="I17" s="34">
        <v>0</v>
      </c>
      <c r="J17" s="23" t="e">
        <f>I17+'06.04'!J17</f>
        <v>#REF!</v>
      </c>
      <c r="K17" s="33">
        <v>5</v>
      </c>
      <c r="L17" s="22">
        <v>0</v>
      </c>
      <c r="M17" s="23" t="e">
        <f>L17+'06.04'!M17</f>
        <v>#REF!</v>
      </c>
      <c r="N17" s="33">
        <v>768</v>
      </c>
      <c r="O17" s="22">
        <v>0</v>
      </c>
      <c r="P17" s="23" t="e">
        <f>O17+'06.04'!P17</f>
        <v>#REF!</v>
      </c>
      <c r="Q17" s="33">
        <v>624</v>
      </c>
      <c r="R17" s="22">
        <v>0</v>
      </c>
      <c r="S17" s="23" t="e">
        <f>R17+'06.04'!S17</f>
        <v>#REF!</v>
      </c>
      <c r="T17" s="33">
        <v>742</v>
      </c>
      <c r="U17" s="22">
        <v>0</v>
      </c>
      <c r="V17" s="23" t="e">
        <f>U17+'06.04'!V17</f>
        <v>#REF!</v>
      </c>
      <c r="W17" s="33">
        <v>54</v>
      </c>
      <c r="X17" s="22">
        <v>0</v>
      </c>
      <c r="Y17" s="23" t="e">
        <f>X17+'06.04'!Y17</f>
        <v>#REF!</v>
      </c>
      <c r="Z17" s="33">
        <v>66</v>
      </c>
      <c r="AA17" s="22">
        <v>0</v>
      </c>
      <c r="AB17" s="23" t="e">
        <f>AA17+'06.04'!AB17</f>
        <v>#REF!</v>
      </c>
      <c r="AC17" s="33">
        <v>2580</v>
      </c>
      <c r="AD17" s="22">
        <v>82</v>
      </c>
      <c r="AE17" s="23" t="e">
        <f>AD17+'06.04'!AE17</f>
        <v>#REF!</v>
      </c>
      <c r="AF17" s="19">
        <f t="shared" si="1"/>
        <v>207300</v>
      </c>
      <c r="AG17" s="20" t="e">
        <f t="shared" si="1"/>
        <v>#REF!</v>
      </c>
      <c r="AH17" s="24">
        <v>10300</v>
      </c>
      <c r="AI17" s="23" t="e">
        <f>AH17+'06.04'!AI17</f>
        <v>#REF!</v>
      </c>
      <c r="AJ17" s="24">
        <v>11500</v>
      </c>
      <c r="AK17" s="23" t="e">
        <f>AJ17+'06.04'!AK17</f>
        <v>#REF!</v>
      </c>
      <c r="AL17" s="22">
        <v>75000</v>
      </c>
      <c r="AM17" s="23" t="e">
        <f>AL17+'06.04'!AM17</f>
        <v>#REF!</v>
      </c>
      <c r="AN17" s="22">
        <v>110500</v>
      </c>
      <c r="AO17" s="23" t="e">
        <f>AN17+'06.04'!AO17</f>
        <v>#REF!</v>
      </c>
      <c r="AP17" s="28" t="s">
        <v>52</v>
      </c>
      <c r="AQ17" s="19">
        <f t="shared" si="2"/>
        <v>14</v>
      </c>
      <c r="AR17" s="20" t="e">
        <f t="shared" si="2"/>
        <v>#REF!</v>
      </c>
      <c r="AS17" s="34">
        <v>0</v>
      </c>
      <c r="AT17" s="23" t="e">
        <f>AS17+'06.04'!AT17</f>
        <v>#REF!</v>
      </c>
      <c r="AU17" s="34">
        <v>0</v>
      </c>
      <c r="AV17" s="23" t="e">
        <f>AU17+'06.04'!AV17</f>
        <v>#REF!</v>
      </c>
      <c r="AW17" s="34">
        <v>0</v>
      </c>
      <c r="AX17" s="23" t="e">
        <f>AW17+'06.04'!AX17</f>
        <v>#REF!</v>
      </c>
      <c r="AY17" s="34">
        <v>0</v>
      </c>
      <c r="AZ17" s="23" t="e">
        <f>AY17+'06.04'!AZ17</f>
        <v>#REF!</v>
      </c>
      <c r="BA17" s="34">
        <v>14</v>
      </c>
      <c r="BB17" s="23" t="e">
        <f>BA17+'06.04'!BB17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BE17+'06.04'!BF17</f>
        <v>#REF!</v>
      </c>
      <c r="BG17" s="34">
        <v>4</v>
      </c>
      <c r="BH17" s="23" t="e">
        <f>BG17+'06.04'!BH17</f>
        <v>#REF!</v>
      </c>
      <c r="BI17" s="22">
        <v>1400</v>
      </c>
      <c r="BJ17" s="23" t="e">
        <f>BI17+'06.04'!BJ17</f>
        <v>#REF!</v>
      </c>
      <c r="BK17" s="22">
        <v>160</v>
      </c>
      <c r="BL17" s="23" t="e">
        <f>BK17+'06.04'!BL17</f>
        <v>#REF!</v>
      </c>
      <c r="BM17" s="22">
        <v>0</v>
      </c>
      <c r="BN17" s="23" t="e">
        <f>BM17+'06.04'!BN17</f>
        <v>#REF!</v>
      </c>
      <c r="BO17" s="36">
        <v>8022</v>
      </c>
      <c r="BP17" s="37">
        <v>10</v>
      </c>
      <c r="BQ17" s="23" t="e">
        <f>BP17+'06.04'!BQ17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585</v>
      </c>
      <c r="D18" s="20" t="e">
        <f t="shared" si="0"/>
        <v>#REF!</v>
      </c>
      <c r="E18" s="21">
        <v>1063</v>
      </c>
      <c r="F18" s="22">
        <v>342</v>
      </c>
      <c r="G18" s="23" t="e">
        <f>F18+'06.04'!G18</f>
        <v>#REF!</v>
      </c>
      <c r="H18" s="21">
        <v>19</v>
      </c>
      <c r="I18" s="22">
        <v>0</v>
      </c>
      <c r="J18" s="23" t="e">
        <f>I18+'06.04'!J18</f>
        <v>#REF!</v>
      </c>
      <c r="K18" s="21">
        <v>8</v>
      </c>
      <c r="L18" s="22">
        <v>0</v>
      </c>
      <c r="M18" s="23" t="e">
        <f>L18+'06.04'!M18</f>
        <v>#REF!</v>
      </c>
      <c r="N18" s="21">
        <v>1331</v>
      </c>
      <c r="O18" s="22">
        <v>0</v>
      </c>
      <c r="P18" s="23" t="e">
        <f>O18+'06.04'!P18</f>
        <v>#REF!</v>
      </c>
      <c r="Q18" s="21">
        <v>777</v>
      </c>
      <c r="R18" s="22">
        <v>0</v>
      </c>
      <c r="S18" s="23" t="e">
        <f>R18+'06.04'!S18</f>
        <v>#REF!</v>
      </c>
      <c r="T18" s="21">
        <v>318</v>
      </c>
      <c r="U18" s="22">
        <v>0</v>
      </c>
      <c r="V18" s="23" t="e">
        <f>U18+'06.04'!V18</f>
        <v>#REF!</v>
      </c>
      <c r="W18" s="21">
        <v>60</v>
      </c>
      <c r="X18" s="22">
        <v>234</v>
      </c>
      <c r="Y18" s="23" t="e">
        <f>X18+'06.04'!Y18</f>
        <v>#REF!</v>
      </c>
      <c r="Z18" s="21">
        <v>72</v>
      </c>
      <c r="AA18" s="22">
        <v>0</v>
      </c>
      <c r="AB18" s="23" t="e">
        <f>AA18+'06.04'!AB18</f>
        <v>#REF!</v>
      </c>
      <c r="AC18" s="21">
        <v>143</v>
      </c>
      <c r="AD18" s="22">
        <v>9</v>
      </c>
      <c r="AE18" s="23" t="e">
        <f>AD18+'06.04'!AE18</f>
        <v>#REF!</v>
      </c>
      <c r="AF18" s="19">
        <f t="shared" si="1"/>
        <v>357028</v>
      </c>
      <c r="AG18" s="20" t="e">
        <f t="shared" si="1"/>
        <v>#REF!</v>
      </c>
      <c r="AH18" s="24">
        <v>687</v>
      </c>
      <c r="AI18" s="23" t="e">
        <f>AH18+'06.04'!AI18</f>
        <v>#REF!</v>
      </c>
      <c r="AJ18" s="24">
        <v>5065</v>
      </c>
      <c r="AK18" s="23" t="e">
        <f>AJ18+'06.04'!AK18</f>
        <v>#REF!</v>
      </c>
      <c r="AL18" s="22">
        <v>5517</v>
      </c>
      <c r="AM18" s="23" t="e">
        <f>AL18+'06.04'!AM18</f>
        <v>#REF!</v>
      </c>
      <c r="AN18" s="22">
        <v>345759</v>
      </c>
      <c r="AO18" s="23" t="e">
        <f>AN18+'06.04'!AO18</f>
        <v>#REF!</v>
      </c>
      <c r="AP18" s="17" t="s">
        <v>53</v>
      </c>
      <c r="AQ18" s="19">
        <f>AS18+AU18+AW18+AY18+BA18</f>
        <v>9</v>
      </c>
      <c r="AR18" s="20" t="e">
        <f t="shared" si="2"/>
        <v>#REF!</v>
      </c>
      <c r="AS18" s="22">
        <v>0</v>
      </c>
      <c r="AT18" s="23" t="e">
        <f>AS18+'06.04'!AT18</f>
        <v>#REF!</v>
      </c>
      <c r="AU18" s="22">
        <v>0</v>
      </c>
      <c r="AV18" s="23" t="e">
        <f>AU18+'06.04'!AV18</f>
        <v>#REF!</v>
      </c>
      <c r="AW18" s="22">
        <v>0</v>
      </c>
      <c r="AX18" s="23" t="e">
        <f>AW18+'06.04'!AX18</f>
        <v>#REF!</v>
      </c>
      <c r="AY18" s="22">
        <v>0</v>
      </c>
      <c r="AZ18" s="23" t="e">
        <f>AY18+'06.04'!AZ18</f>
        <v>#REF!</v>
      </c>
      <c r="BA18" s="22">
        <v>9</v>
      </c>
      <c r="BB18" s="23" t="e">
        <f>BA18+'06.04'!BB18</f>
        <v>#REF!</v>
      </c>
      <c r="BC18" s="19">
        <f t="shared" si="3"/>
        <v>3089</v>
      </c>
      <c r="BD18" s="20" t="e">
        <f>BF18+BH18+BJ18+BL18+BN18</f>
        <v>#REF!</v>
      </c>
      <c r="BE18" s="22">
        <v>3</v>
      </c>
      <c r="BF18" s="23" t="e">
        <f>BE18+'06.04'!BF18</f>
        <v>#REF!</v>
      </c>
      <c r="BG18" s="22">
        <v>0</v>
      </c>
      <c r="BH18" s="23" t="e">
        <f>BG18+'06.04'!BH18</f>
        <v>#REF!</v>
      </c>
      <c r="BI18" s="22">
        <v>2948</v>
      </c>
      <c r="BJ18" s="23" t="e">
        <f>BI18+'06.04'!BJ18</f>
        <v>#REF!</v>
      </c>
      <c r="BK18" s="22">
        <v>138</v>
      </c>
      <c r="BL18" s="23" t="e">
        <f>BK18+'06.04'!BL18</f>
        <v>#REF!</v>
      </c>
      <c r="BM18" s="22">
        <v>0</v>
      </c>
      <c r="BN18" s="23" t="e">
        <f>BM18+'06.04'!BN18</f>
        <v>#REF!</v>
      </c>
      <c r="BO18" s="36">
        <v>442</v>
      </c>
      <c r="BP18" s="37">
        <v>0</v>
      </c>
      <c r="BQ18" s="23" t="e">
        <f>BP18+'06.04'!BQ18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32</v>
      </c>
      <c r="D19" s="31" t="e">
        <f t="shared" si="0"/>
        <v>#REF!</v>
      </c>
      <c r="E19" s="33">
        <v>221</v>
      </c>
      <c r="F19" s="22">
        <v>7</v>
      </c>
      <c r="G19" s="23" t="e">
        <f>F19+'06.04'!G19</f>
        <v>#REF!</v>
      </c>
      <c r="H19" s="33">
        <v>5</v>
      </c>
      <c r="I19" s="34">
        <v>0</v>
      </c>
      <c r="J19" s="23" t="e">
        <f>I19+'06.04'!J19</f>
        <v>#REF!</v>
      </c>
      <c r="K19" s="33">
        <v>4</v>
      </c>
      <c r="L19" s="22">
        <v>0</v>
      </c>
      <c r="M19" s="23" t="e">
        <f>L19+'06.04'!M19</f>
        <v>#REF!</v>
      </c>
      <c r="N19" s="33">
        <v>313</v>
      </c>
      <c r="O19" s="22">
        <v>0</v>
      </c>
      <c r="P19" s="23" t="e">
        <f>O19+'06.04'!P19</f>
        <v>#REF!</v>
      </c>
      <c r="Q19" s="33">
        <v>203</v>
      </c>
      <c r="R19" s="22">
        <v>0</v>
      </c>
      <c r="S19" s="23" t="e">
        <f>R19+'06.04'!S19</f>
        <v>#REF!</v>
      </c>
      <c r="T19" s="33">
        <v>241</v>
      </c>
      <c r="U19" s="22">
        <v>0</v>
      </c>
      <c r="V19" s="23" t="e">
        <f>U19+'06.04'!V19</f>
        <v>#REF!</v>
      </c>
      <c r="W19" s="33">
        <v>14</v>
      </c>
      <c r="X19" s="22">
        <v>7</v>
      </c>
      <c r="Y19" s="23" t="e">
        <f>X19+'06.04'!Y19</f>
        <v>#REF!</v>
      </c>
      <c r="Z19" s="33">
        <v>7</v>
      </c>
      <c r="AA19" s="22">
        <v>0</v>
      </c>
      <c r="AB19" s="23" t="e">
        <f>AA19+'06.04'!AB19</f>
        <v>#REF!</v>
      </c>
      <c r="AC19" s="33">
        <v>32</v>
      </c>
      <c r="AD19" s="22">
        <v>18</v>
      </c>
      <c r="AE19" s="23" t="e">
        <f>AD19+'06.04'!AE19</f>
        <v>#REF!</v>
      </c>
      <c r="AF19" s="19">
        <f t="shared" si="1"/>
        <v>6300</v>
      </c>
      <c r="AG19" s="20" t="e">
        <f t="shared" si="1"/>
        <v>#REF!</v>
      </c>
      <c r="AH19" s="24">
        <v>1700</v>
      </c>
      <c r="AI19" s="23" t="e">
        <f>AH19+'06.04'!AI19</f>
        <v>#REF!</v>
      </c>
      <c r="AJ19" s="24">
        <v>1700</v>
      </c>
      <c r="AK19" s="23" t="e">
        <f>AJ19+'06.04'!AK19</f>
        <v>#REF!</v>
      </c>
      <c r="AL19" s="22">
        <v>1450</v>
      </c>
      <c r="AM19" s="23" t="e">
        <f>AL19+'06.04'!AM19</f>
        <v>#REF!</v>
      </c>
      <c r="AN19" s="22">
        <v>1450</v>
      </c>
      <c r="AO19" s="23" t="e">
        <f>AN19+'06.04'!AO19</f>
        <v>#REF!</v>
      </c>
      <c r="AP19" s="28" t="s">
        <v>54</v>
      </c>
      <c r="AQ19" s="19">
        <f t="shared" ref="AQ19:AQ22" si="4">AS19+AU19+AW19+AY19+BA19</f>
        <v>18</v>
      </c>
      <c r="AR19" s="20" t="e">
        <f t="shared" si="2"/>
        <v>#REF!</v>
      </c>
      <c r="AS19" s="34">
        <v>0</v>
      </c>
      <c r="AT19" s="23" t="e">
        <f>AS19+'06.04'!AT19</f>
        <v>#REF!</v>
      </c>
      <c r="AU19" s="34">
        <v>0</v>
      </c>
      <c r="AV19" s="23" t="e">
        <f>AU19+'06.04'!AV19</f>
        <v>#REF!</v>
      </c>
      <c r="AW19" s="34">
        <v>0</v>
      </c>
      <c r="AX19" s="23" t="e">
        <f>AW19+'06.04'!AX19</f>
        <v>#REF!</v>
      </c>
      <c r="AY19" s="34">
        <v>0</v>
      </c>
      <c r="AZ19" s="23" t="e">
        <f>AY19+'06.04'!AZ19</f>
        <v>#REF!</v>
      </c>
      <c r="BA19" s="34">
        <v>18</v>
      </c>
      <c r="BB19" s="23" t="e">
        <f>BA19+'06.04'!BB19</f>
        <v>#REF!</v>
      </c>
      <c r="BC19" s="19">
        <f t="shared" si="3"/>
        <v>1367</v>
      </c>
      <c r="BD19" s="20" t="e">
        <f t="shared" si="3"/>
        <v>#REF!</v>
      </c>
      <c r="BE19" s="22">
        <v>17</v>
      </c>
      <c r="BF19" s="23" t="e">
        <f>BE19+'06.04'!BF19</f>
        <v>#REF!</v>
      </c>
      <c r="BG19" s="34">
        <v>0</v>
      </c>
      <c r="BH19" s="23" t="e">
        <f>BG19+'06.04'!BH19</f>
        <v>#REF!</v>
      </c>
      <c r="BI19" s="22">
        <v>1200</v>
      </c>
      <c r="BJ19" s="23" t="e">
        <f>BI19+'06.04'!BJ19</f>
        <v>#REF!</v>
      </c>
      <c r="BK19" s="22">
        <v>150</v>
      </c>
      <c r="BL19" s="23" t="e">
        <f>BK19+'06.04'!BL19</f>
        <v>#REF!</v>
      </c>
      <c r="BM19" s="22">
        <v>0</v>
      </c>
      <c r="BN19" s="23" t="e">
        <f>BM19+'06.04'!BN19</f>
        <v>#REF!</v>
      </c>
      <c r="BO19" s="36">
        <v>2898</v>
      </c>
      <c r="BP19" s="37">
        <v>0</v>
      </c>
      <c r="BQ19" s="23" t="e">
        <f>BP19+'06.04'!BQ19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378</v>
      </c>
      <c r="D20" s="31" t="e">
        <f t="shared" si="0"/>
        <v>#REF!</v>
      </c>
      <c r="E20" s="32">
        <v>723</v>
      </c>
      <c r="F20" s="22">
        <v>256</v>
      </c>
      <c r="G20" s="23" t="e">
        <f>F20+'06.04'!G20</f>
        <v>#REF!</v>
      </c>
      <c r="H20" s="33">
        <v>5</v>
      </c>
      <c r="I20" s="34">
        <v>1</v>
      </c>
      <c r="J20" s="23" t="e">
        <f>I20+'06.04'!J20</f>
        <v>#REF!</v>
      </c>
      <c r="K20" s="33">
        <v>3</v>
      </c>
      <c r="L20" s="22">
        <v>0</v>
      </c>
      <c r="M20" s="23" t="e">
        <f>L20+'06.04'!M20</f>
        <v>#REF!</v>
      </c>
      <c r="N20" s="33">
        <v>975</v>
      </c>
      <c r="O20" s="22">
        <v>54</v>
      </c>
      <c r="P20" s="23" t="e">
        <f>O20+'06.04'!P20</f>
        <v>#REF!</v>
      </c>
      <c r="Q20" s="61">
        <v>1862</v>
      </c>
      <c r="R20" s="22">
        <v>4</v>
      </c>
      <c r="S20" s="23" t="e">
        <f>R20+'06.04'!S20</f>
        <v>#REF!</v>
      </c>
      <c r="T20" s="33">
        <v>35</v>
      </c>
      <c r="U20" s="22">
        <v>2</v>
      </c>
      <c r="V20" s="23" t="e">
        <f>U20+'06.04'!V20</f>
        <v>#REF!</v>
      </c>
      <c r="W20" s="33">
        <v>64</v>
      </c>
      <c r="X20" s="22">
        <v>3</v>
      </c>
      <c r="Y20" s="23" t="e">
        <f>X20+'06.04'!Y20</f>
        <v>#REF!</v>
      </c>
      <c r="Z20" s="33">
        <v>15</v>
      </c>
      <c r="AA20" s="22">
        <v>2</v>
      </c>
      <c r="AB20" s="23" t="e">
        <f>AA20+'06.04'!AB20</f>
        <v>#REF!</v>
      </c>
      <c r="AC20" s="33">
        <v>1546</v>
      </c>
      <c r="AD20" s="22">
        <v>56</v>
      </c>
      <c r="AE20" s="23" t="e">
        <f>AD20+'06.04'!AE20</f>
        <v>#REF!</v>
      </c>
      <c r="AF20" s="19">
        <f t="shared" si="1"/>
        <v>13767</v>
      </c>
      <c r="AG20" s="20" t="e">
        <f t="shared" si="1"/>
        <v>#REF!</v>
      </c>
      <c r="AH20" s="24">
        <v>7800</v>
      </c>
      <c r="AI20" s="23" t="e">
        <f>AH20+'06.04'!AI20</f>
        <v>#REF!</v>
      </c>
      <c r="AJ20" s="24">
        <v>5367</v>
      </c>
      <c r="AK20" s="23" t="e">
        <f>AJ20+'06.04'!AK20</f>
        <v>#REF!</v>
      </c>
      <c r="AL20" s="22">
        <v>250</v>
      </c>
      <c r="AM20" s="23" t="e">
        <f>AL20+'06.04'!AM20</f>
        <v>#REF!</v>
      </c>
      <c r="AN20" s="22">
        <v>350</v>
      </c>
      <c r="AO20" s="23" t="e">
        <f>AN20+'06.04'!AO20</f>
        <v>#REF!</v>
      </c>
      <c r="AP20" s="28" t="s">
        <v>55</v>
      </c>
      <c r="AQ20" s="19">
        <f t="shared" si="4"/>
        <v>241</v>
      </c>
      <c r="AR20" s="20" t="e">
        <f t="shared" si="2"/>
        <v>#REF!</v>
      </c>
      <c r="AS20" s="34">
        <v>1</v>
      </c>
      <c r="AT20" s="23" t="e">
        <f>AS20+'06.04'!AT20</f>
        <v>#REF!</v>
      </c>
      <c r="AU20" s="34">
        <v>0</v>
      </c>
      <c r="AV20" s="23" t="e">
        <f>AU20+'06.04'!AV20</f>
        <v>#REF!</v>
      </c>
      <c r="AW20" s="34">
        <v>0</v>
      </c>
      <c r="AX20" s="23" t="e">
        <f>AW20+'06.04'!AX20</f>
        <v>#REF!</v>
      </c>
      <c r="AY20" s="34">
        <v>0</v>
      </c>
      <c r="AZ20" s="23" t="e">
        <f>AY20+'06.04'!AZ20</f>
        <v>#REF!</v>
      </c>
      <c r="BA20" s="34">
        <v>240</v>
      </c>
      <c r="BB20" s="23" t="e">
        <f>BA20+'06.04'!BB20</f>
        <v>#REF!</v>
      </c>
      <c r="BC20" s="19">
        <f t="shared" si="3"/>
        <v>2614</v>
      </c>
      <c r="BD20" s="20" t="e">
        <f t="shared" si="3"/>
        <v>#REF!</v>
      </c>
      <c r="BE20" s="22">
        <v>2</v>
      </c>
      <c r="BF20" s="23" t="e">
        <f>BE20+'06.04'!BF20</f>
        <v>#REF!</v>
      </c>
      <c r="BG20" s="34">
        <v>0</v>
      </c>
      <c r="BH20" s="23" t="e">
        <f>BG20+'06.04'!BH20</f>
        <v>#REF!</v>
      </c>
      <c r="BI20" s="22">
        <v>1430</v>
      </c>
      <c r="BJ20" s="23" t="e">
        <f>BI20+'06.04'!BJ20</f>
        <v>#REF!</v>
      </c>
      <c r="BK20" s="22">
        <v>1182</v>
      </c>
      <c r="BL20" s="23" t="e">
        <f>BK20+'06.04'!BL20</f>
        <v>#REF!</v>
      </c>
      <c r="BM20" s="22">
        <v>0</v>
      </c>
      <c r="BN20" s="23" t="e">
        <f>BM20+'06.04'!BN20</f>
        <v>#REF!</v>
      </c>
      <c r="BO20" s="36">
        <v>5854</v>
      </c>
      <c r="BP20" s="37">
        <v>0</v>
      </c>
      <c r="BQ20" s="23" t="e">
        <f>BP20+'06.04'!BQ20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375</v>
      </c>
      <c r="D21" s="31" t="e">
        <f t="shared" si="0"/>
        <v>#REF!</v>
      </c>
      <c r="E21" s="32">
        <v>1017</v>
      </c>
      <c r="F21" s="22">
        <v>355</v>
      </c>
      <c r="G21" s="23" t="e">
        <f>F21+'06.04'!G21</f>
        <v>#REF!</v>
      </c>
      <c r="H21" s="33">
        <v>8</v>
      </c>
      <c r="I21" s="34">
        <v>0</v>
      </c>
      <c r="J21" s="23" t="e">
        <f>I21+'06.04'!J21</f>
        <v>#REF!</v>
      </c>
      <c r="K21" s="33">
        <v>4</v>
      </c>
      <c r="L21" s="22">
        <v>0</v>
      </c>
      <c r="M21" s="23" t="e">
        <f>L21+'06.04'!M21</f>
        <v>#REF!</v>
      </c>
      <c r="N21" s="33">
        <v>963</v>
      </c>
      <c r="O21" s="22">
        <v>0</v>
      </c>
      <c r="P21" s="23" t="e">
        <f>O21+'06.04'!P21</f>
        <v>#REF!</v>
      </c>
      <c r="Q21" s="33">
        <v>912</v>
      </c>
      <c r="R21" s="22">
        <v>0</v>
      </c>
      <c r="S21" s="23" t="e">
        <f>R21+'06.04'!S21</f>
        <v>#REF!</v>
      </c>
      <c r="T21" s="33">
        <v>199</v>
      </c>
      <c r="U21" s="22">
        <v>0</v>
      </c>
      <c r="V21" s="23" t="e">
        <f>U21+'06.04'!V21</f>
        <v>#REF!</v>
      </c>
      <c r="W21" s="33">
        <v>101</v>
      </c>
      <c r="X21" s="22">
        <v>20</v>
      </c>
      <c r="Y21" s="23" t="e">
        <f>X21+'06.04'!Y21</f>
        <v>#REF!</v>
      </c>
      <c r="Z21" s="33">
        <v>42</v>
      </c>
      <c r="AA21" s="22">
        <v>0</v>
      </c>
      <c r="AB21" s="23" t="e">
        <f>AA21+'06.04'!AB21</f>
        <v>#REF!</v>
      </c>
      <c r="AC21" s="33">
        <v>20</v>
      </c>
      <c r="AD21" s="22">
        <v>0</v>
      </c>
      <c r="AE21" s="23" t="e">
        <f>AD21+'06.04'!AE21</f>
        <v>#REF!</v>
      </c>
      <c r="AF21" s="19">
        <f t="shared" si="1"/>
        <v>7070000</v>
      </c>
      <c r="AG21" s="20" t="e">
        <f t="shared" si="1"/>
        <v>#REF!</v>
      </c>
      <c r="AH21" s="24">
        <v>2000</v>
      </c>
      <c r="AI21" s="23" t="e">
        <f>AH21+'06.04'!AI21</f>
        <v>#REF!</v>
      </c>
      <c r="AJ21" s="24">
        <v>68000</v>
      </c>
      <c r="AK21" s="23" t="e">
        <f>AJ21+'06.04'!AK21</f>
        <v>#REF!</v>
      </c>
      <c r="AL21" s="22">
        <v>1000000</v>
      </c>
      <c r="AM21" s="23" t="e">
        <f>AL21+'06.04'!AM21</f>
        <v>#REF!</v>
      </c>
      <c r="AN21" s="22">
        <v>6000000</v>
      </c>
      <c r="AO21" s="23" t="e">
        <f>AN21+'06.04'!AO21</f>
        <v>#REF!</v>
      </c>
      <c r="AP21" s="28" t="s">
        <v>58</v>
      </c>
      <c r="AQ21" s="19">
        <f t="shared" si="4"/>
        <v>0</v>
      </c>
      <c r="AR21" s="20" t="e">
        <f t="shared" si="2"/>
        <v>#REF!</v>
      </c>
      <c r="AS21" s="34">
        <v>0</v>
      </c>
      <c r="AT21" s="23" t="e">
        <f>AS21+'06.04'!AT21</f>
        <v>#REF!</v>
      </c>
      <c r="AU21" s="34">
        <v>0</v>
      </c>
      <c r="AV21" s="23" t="e">
        <f>AU21+'06.04'!AV21</f>
        <v>#REF!</v>
      </c>
      <c r="AW21" s="34">
        <v>0</v>
      </c>
      <c r="AX21" s="23" t="e">
        <f>AW21+'06.04'!AX21</f>
        <v>#REF!</v>
      </c>
      <c r="AY21" s="34">
        <v>0</v>
      </c>
      <c r="AZ21" s="23" t="e">
        <f>AY21+'06.04'!AZ21</f>
        <v>#REF!</v>
      </c>
      <c r="BA21" s="34">
        <v>0</v>
      </c>
      <c r="BB21" s="23" t="e">
        <f>BA21+'06.04'!BB21</f>
        <v>#REF!</v>
      </c>
      <c r="BC21" s="19">
        <f t="shared" si="3"/>
        <v>7000</v>
      </c>
      <c r="BD21" s="20" t="e">
        <f t="shared" si="3"/>
        <v>#REF!</v>
      </c>
      <c r="BE21" s="22">
        <v>0</v>
      </c>
      <c r="BF21" s="23" t="e">
        <f>BE21+'06.04'!BF21</f>
        <v>#REF!</v>
      </c>
      <c r="BG21" s="34">
        <v>0</v>
      </c>
      <c r="BH21" s="23" t="e">
        <f>BG21+'06.04'!BH21</f>
        <v>#REF!</v>
      </c>
      <c r="BI21" s="22">
        <v>7000</v>
      </c>
      <c r="BJ21" s="23" t="e">
        <f>BI21+'06.04'!BJ21</f>
        <v>#REF!</v>
      </c>
      <c r="BK21" s="22">
        <v>0</v>
      </c>
      <c r="BL21" s="23" t="e">
        <f>BK21+'06.04'!BL21</f>
        <v>#REF!</v>
      </c>
      <c r="BM21" s="22">
        <v>0</v>
      </c>
      <c r="BN21" s="23" t="e">
        <f>BM21+'06.04'!BN21</f>
        <v>#REF!</v>
      </c>
      <c r="BO21" s="36"/>
      <c r="BP21" s="37">
        <v>0</v>
      </c>
      <c r="BQ21" s="23" t="e">
        <f>BP21+'06.04'!BQ21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558</v>
      </c>
      <c r="D22" s="31" t="e">
        <f t="shared" si="0"/>
        <v>#REF!</v>
      </c>
      <c r="E22" s="32">
        <v>509</v>
      </c>
      <c r="F22" s="22">
        <v>295</v>
      </c>
      <c r="G22" s="23" t="e">
        <f>F22+'06.04'!G22</f>
        <v>#REF!</v>
      </c>
      <c r="H22" s="33">
        <v>8</v>
      </c>
      <c r="I22" s="34">
        <v>0</v>
      </c>
      <c r="J22" s="23" t="e">
        <f>I22+'06.04'!J22</f>
        <v>#REF!</v>
      </c>
      <c r="K22" s="33">
        <v>21</v>
      </c>
      <c r="L22" s="22">
        <v>0</v>
      </c>
      <c r="M22" s="23" t="e">
        <f>L22+'06.04'!M22</f>
        <v>#REF!</v>
      </c>
      <c r="N22" s="33">
        <v>560</v>
      </c>
      <c r="O22" s="22">
        <v>101</v>
      </c>
      <c r="P22" s="23" t="e">
        <f>O22+'06.04'!P22</f>
        <v>#REF!</v>
      </c>
      <c r="Q22" s="33">
        <v>375</v>
      </c>
      <c r="R22" s="22">
        <v>0</v>
      </c>
      <c r="S22" s="23" t="e">
        <f>R22+'06.04'!S22</f>
        <v>#REF!</v>
      </c>
      <c r="T22" s="33">
        <v>165</v>
      </c>
      <c r="U22" s="22">
        <v>33</v>
      </c>
      <c r="V22" s="23" t="e">
        <f>U22+'06.04'!V22</f>
        <v>#REF!</v>
      </c>
      <c r="W22" s="33">
        <v>28</v>
      </c>
      <c r="X22" s="22">
        <v>51</v>
      </c>
      <c r="Y22" s="23" t="e">
        <f>X22+'06.04'!Y22</f>
        <v>#REF!</v>
      </c>
      <c r="Z22" s="33">
        <v>9</v>
      </c>
      <c r="AA22" s="22">
        <v>0</v>
      </c>
      <c r="AB22" s="23" t="e">
        <f>AA22+'06.04'!AB22</f>
        <v>#REF!</v>
      </c>
      <c r="AC22" s="33">
        <v>112</v>
      </c>
      <c r="AD22" s="22">
        <v>78</v>
      </c>
      <c r="AE22" s="23" t="e">
        <f>AD22+'06.04'!AE22</f>
        <v>#REF!</v>
      </c>
      <c r="AF22" s="19">
        <f t="shared" si="1"/>
        <v>854274</v>
      </c>
      <c r="AG22" s="20" t="e">
        <f t="shared" si="1"/>
        <v>#REF!</v>
      </c>
      <c r="AH22" s="24">
        <v>514</v>
      </c>
      <c r="AI22" s="23" t="e">
        <f>AH22+'06.04'!AI22</f>
        <v>#REF!</v>
      </c>
      <c r="AJ22" s="24">
        <v>8546</v>
      </c>
      <c r="AK22" s="23" t="e">
        <f>AJ22+'06.04'!AK22</f>
        <v>#REF!</v>
      </c>
      <c r="AL22" s="22">
        <v>2451</v>
      </c>
      <c r="AM22" s="23" t="e">
        <f>AL22+'06.04'!AM22</f>
        <v>#REF!</v>
      </c>
      <c r="AN22" s="22">
        <v>842763</v>
      </c>
      <c r="AO22" s="23" t="e">
        <f>AN22+'06.04'!AO22</f>
        <v>#REF!</v>
      </c>
      <c r="AP22" s="28" t="s">
        <v>59</v>
      </c>
      <c r="AQ22" s="19">
        <f t="shared" si="4"/>
        <v>1775</v>
      </c>
      <c r="AR22" s="20" t="e">
        <f t="shared" si="2"/>
        <v>#REF!</v>
      </c>
      <c r="AS22" s="34">
        <v>2</v>
      </c>
      <c r="AT22" s="23" t="e">
        <f>AS22+'06.04'!AT22</f>
        <v>#REF!</v>
      </c>
      <c r="AU22" s="34">
        <v>0</v>
      </c>
      <c r="AV22" s="23" t="e">
        <f>AU22+'06.04'!AV22</f>
        <v>#REF!</v>
      </c>
      <c r="AW22" s="34">
        <v>0</v>
      </c>
      <c r="AX22" s="23" t="e">
        <f>AW22+'06.04'!AX22</f>
        <v>#REF!</v>
      </c>
      <c r="AY22" s="34">
        <v>0</v>
      </c>
      <c r="AZ22" s="23" t="e">
        <f>AY22+'06.04'!AZ22</f>
        <v>#REF!</v>
      </c>
      <c r="BA22" s="34">
        <v>1773</v>
      </c>
      <c r="BB22" s="23" t="e">
        <f>BA22+'06.04'!BB22</f>
        <v>#REF!</v>
      </c>
      <c r="BC22" s="19">
        <f t="shared" si="3"/>
        <v>6470</v>
      </c>
      <c r="BD22" s="20" t="e">
        <f t="shared" si="3"/>
        <v>#REF!</v>
      </c>
      <c r="BE22" s="22">
        <v>4</v>
      </c>
      <c r="BF22" s="23" t="e">
        <f>BE22+'06.04'!BF22</f>
        <v>#REF!</v>
      </c>
      <c r="BG22" s="34">
        <v>9</v>
      </c>
      <c r="BH22" s="23" t="e">
        <f>BG22+'06.04'!BH22</f>
        <v>#REF!</v>
      </c>
      <c r="BI22" s="22">
        <v>6425</v>
      </c>
      <c r="BJ22" s="23" t="e">
        <f>BI22+'06.04'!BJ22</f>
        <v>#REF!</v>
      </c>
      <c r="BK22" s="22">
        <v>32</v>
      </c>
      <c r="BL22" s="23" t="e">
        <f>BK22+'06.04'!BL22</f>
        <v>#REF!</v>
      </c>
      <c r="BM22" s="22">
        <v>0</v>
      </c>
      <c r="BN22" s="23" t="e">
        <f>BM22+'06.04'!BN22</f>
        <v>#REF!</v>
      </c>
      <c r="BO22" s="36">
        <v>26</v>
      </c>
      <c r="BP22" s="37">
        <v>21</v>
      </c>
      <c r="BQ22" s="23" t="e">
        <f>BP22+'06.04'!BQ22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3253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1991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9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3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201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8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564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432</v>
      </c>
      <c r="AE23" s="68" t="e">
        <f t="shared" si="5"/>
        <v>#REF!</v>
      </c>
      <c r="AF23" s="64">
        <f t="shared" si="5"/>
        <v>10358175</v>
      </c>
      <c r="AG23" s="64" t="e">
        <f t="shared" si="5"/>
        <v>#REF!</v>
      </c>
      <c r="AH23" s="67">
        <f t="shared" si="5"/>
        <v>38357</v>
      </c>
      <c r="AI23" s="68" t="e">
        <f t="shared" si="5"/>
        <v>#REF!</v>
      </c>
      <c r="AJ23" s="67">
        <f t="shared" si="5"/>
        <v>138200</v>
      </c>
      <c r="AK23" s="68" t="e">
        <f t="shared" si="5"/>
        <v>#REF!</v>
      </c>
      <c r="AL23" s="67">
        <f t="shared" si="5"/>
        <v>1754490</v>
      </c>
      <c r="AM23" s="68" t="e">
        <f t="shared" si="5"/>
        <v>#REF!</v>
      </c>
      <c r="AN23" s="67">
        <f t="shared" si="5"/>
        <v>8427128</v>
      </c>
      <c r="AO23" s="68" t="e">
        <f t="shared" si="5"/>
        <v>#REF!</v>
      </c>
      <c r="AP23" s="62" t="s">
        <v>12</v>
      </c>
      <c r="AQ23" s="64">
        <f t="shared" ref="AQ23:BP23" si="6">SUM(AQ8:AQ22)</f>
        <v>2673</v>
      </c>
      <c r="AR23" s="64" t="e">
        <f t="shared" si="6"/>
        <v>#REF!</v>
      </c>
      <c r="AS23" s="67">
        <f t="shared" si="6"/>
        <v>5</v>
      </c>
      <c r="AT23" s="68" t="e">
        <f t="shared" si="6"/>
        <v>#REF!</v>
      </c>
      <c r="AU23" s="67">
        <f t="shared" si="6"/>
        <v>1</v>
      </c>
      <c r="AV23" s="68" t="e">
        <f t="shared" si="6"/>
        <v>#REF!</v>
      </c>
      <c r="AW23" s="67">
        <f t="shared" si="6"/>
        <v>421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2246</v>
      </c>
      <c r="BB23" s="68" t="e">
        <f t="shared" si="6"/>
        <v>#REF!</v>
      </c>
      <c r="BC23" s="64">
        <f t="shared" si="6"/>
        <v>48915</v>
      </c>
      <c r="BD23" s="64" t="e">
        <f t="shared" si="6"/>
        <v>#REF!</v>
      </c>
      <c r="BE23" s="67">
        <f t="shared" si="6"/>
        <v>1515</v>
      </c>
      <c r="BF23" s="68" t="e">
        <f t="shared" si="6"/>
        <v>#REF!</v>
      </c>
      <c r="BG23" s="67">
        <f t="shared" si="6"/>
        <v>54</v>
      </c>
      <c r="BH23" s="68" t="e">
        <f t="shared" si="6"/>
        <v>#REF!</v>
      </c>
      <c r="BI23" s="67">
        <f t="shared" si="6"/>
        <v>43146</v>
      </c>
      <c r="BJ23" s="68" t="e">
        <f t="shared" si="6"/>
        <v>#REF!</v>
      </c>
      <c r="BK23" s="67">
        <f t="shared" si="6"/>
        <v>4198</v>
      </c>
      <c r="BL23" s="68" t="e">
        <f t="shared" si="6"/>
        <v>#REF!</v>
      </c>
      <c r="BM23" s="67">
        <f t="shared" si="6"/>
        <v>2</v>
      </c>
      <c r="BN23" s="68" t="e">
        <f t="shared" si="6"/>
        <v>#REF!</v>
      </c>
      <c r="BO23" s="69">
        <f t="shared" si="6"/>
        <v>37616</v>
      </c>
      <c r="BP23" s="70">
        <f t="shared" si="6"/>
        <v>40</v>
      </c>
      <c r="BQ23" s="23">
        <f>BP23+'06.04'!BP23</f>
        <v>98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BU23"/>
  <sheetViews>
    <sheetView zoomScale="115" zoomScaleNormal="115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F9+'07.04'!G9</f>
        <v>#REF!</v>
      </c>
      <c r="H9" s="33">
        <v>12</v>
      </c>
      <c r="I9" s="34">
        <v>1</v>
      </c>
      <c r="J9" s="23" t="e">
        <f>I9+'07.04'!J9</f>
        <v>#REF!</v>
      </c>
      <c r="K9" s="33">
        <v>2</v>
      </c>
      <c r="L9" s="22">
        <v>0</v>
      </c>
      <c r="M9" s="23" t="e">
        <f>L9+'07.04'!M9</f>
        <v>#REF!</v>
      </c>
      <c r="N9" s="33">
        <v>735</v>
      </c>
      <c r="O9" s="22">
        <v>0</v>
      </c>
      <c r="P9" s="23" t="e">
        <f>O9+'07.04'!P9</f>
        <v>#REF!</v>
      </c>
      <c r="Q9" s="33">
        <v>502</v>
      </c>
      <c r="R9" s="22">
        <v>0</v>
      </c>
      <c r="S9" s="23" t="e">
        <f>R9+'07.04'!S9</f>
        <v>#REF!</v>
      </c>
      <c r="T9" s="33">
        <v>197</v>
      </c>
      <c r="U9" s="22">
        <v>0</v>
      </c>
      <c r="V9" s="23" t="e">
        <f>U9+'07.04'!V9</f>
        <v>#REF!</v>
      </c>
      <c r="W9" s="33">
        <v>47</v>
      </c>
      <c r="X9" s="22">
        <v>0</v>
      </c>
      <c r="Y9" s="23" t="e">
        <f>X9+'07.04'!Y9</f>
        <v>#REF!</v>
      </c>
      <c r="Z9" s="33">
        <v>34</v>
      </c>
      <c r="AA9" s="22">
        <v>0</v>
      </c>
      <c r="AB9" s="23" t="e">
        <f>AA9+'07.04'!AB9</f>
        <v>#REF!</v>
      </c>
      <c r="AC9" s="33">
        <v>1860</v>
      </c>
      <c r="AD9" s="22">
        <v>0</v>
      </c>
      <c r="AE9" s="23" t="e">
        <f>AD9+'07.04'!AE9</f>
        <v>#REF!</v>
      </c>
      <c r="AF9" s="19">
        <f t="shared" ref="AF9:AG22" si="1">AH9+AJ9+AL9+AN9</f>
        <v>6860</v>
      </c>
      <c r="AG9" s="20" t="e">
        <f t="shared" si="1"/>
        <v>#REF!</v>
      </c>
      <c r="AH9" s="24">
        <v>180</v>
      </c>
      <c r="AI9" s="23" t="e">
        <f>AH9+'07.04'!AI9</f>
        <v>#REF!</v>
      </c>
      <c r="AJ9" s="24">
        <v>280</v>
      </c>
      <c r="AK9" s="23" t="e">
        <f>AJ9+'07.04'!AK9</f>
        <v>#REF!</v>
      </c>
      <c r="AL9" s="22">
        <v>2600</v>
      </c>
      <c r="AM9" s="23" t="e">
        <f>AL9+'07.04'!AM9</f>
        <v>#REF!</v>
      </c>
      <c r="AN9" s="22">
        <v>3800</v>
      </c>
      <c r="AO9" s="23" t="e">
        <f>AN9+'07.04'!AO9</f>
        <v>#REF!</v>
      </c>
      <c r="AP9" s="28" t="s">
        <v>43</v>
      </c>
      <c r="AQ9" s="19">
        <f t="shared" ref="AQ9:AR22" si="2">AS9+AU9+AW9+AY9+BA9</f>
        <v>36</v>
      </c>
      <c r="AR9" s="20" t="e">
        <f t="shared" si="2"/>
        <v>#REF!</v>
      </c>
      <c r="AS9" s="34">
        <v>1</v>
      </c>
      <c r="AT9" s="23" t="e">
        <f>AS9+'07.04'!AT9</f>
        <v>#REF!</v>
      </c>
      <c r="AU9" s="34">
        <v>1</v>
      </c>
      <c r="AV9" s="23" t="e">
        <f>AU9+'07.04'!AV9</f>
        <v>#REF!</v>
      </c>
      <c r="AW9" s="34">
        <v>0</v>
      </c>
      <c r="AX9" s="23" t="e">
        <f>AW9+'07.04'!AX9</f>
        <v>#REF!</v>
      </c>
      <c r="AY9" s="34">
        <v>0</v>
      </c>
      <c r="AZ9" s="23" t="e">
        <f>AY9+'07.04'!AZ9</f>
        <v>#REF!</v>
      </c>
      <c r="BA9" s="34">
        <v>34</v>
      </c>
      <c r="BB9" s="23" t="e">
        <f>BA9+'07.04'!BB9</f>
        <v>#REF!</v>
      </c>
      <c r="BC9" s="19">
        <f t="shared" ref="BC9:BD22" si="3">BE9+BG9+BI9+BK9+BM9</f>
        <v>421</v>
      </c>
      <c r="BD9" s="20" t="e">
        <f t="shared" si="3"/>
        <v>#REF!</v>
      </c>
      <c r="BE9" s="22">
        <v>1</v>
      </c>
      <c r="BF9" s="23" t="e">
        <f>BE9+'07.04'!BF9</f>
        <v>#REF!</v>
      </c>
      <c r="BG9" s="34">
        <v>0</v>
      </c>
      <c r="BH9" s="23" t="e">
        <f>BG9+'07.04'!BH9</f>
        <v>#REF!</v>
      </c>
      <c r="BI9" s="22">
        <v>420</v>
      </c>
      <c r="BJ9" s="23" t="e">
        <f>BI9+'07.04'!BJ9</f>
        <v>#REF!</v>
      </c>
      <c r="BK9" s="22">
        <v>0</v>
      </c>
      <c r="BL9" s="23" t="e">
        <f>BK9+'07.04'!BL9</f>
        <v>#REF!</v>
      </c>
      <c r="BM9" s="22">
        <v>0</v>
      </c>
      <c r="BN9" s="23" t="e">
        <f>BM9+'07.04'!BN9</f>
        <v>#REF!</v>
      </c>
      <c r="BO9" s="36">
        <v>14</v>
      </c>
      <c r="BP9" s="37">
        <v>0</v>
      </c>
      <c r="BQ9" s="23" t="e">
        <f>BP9+'07.04'!BQ9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169</v>
      </c>
      <c r="D10" s="31" t="e">
        <f t="shared" si="0"/>
        <v>#REF!</v>
      </c>
      <c r="E10" s="32">
        <v>585</v>
      </c>
      <c r="F10" s="22">
        <v>23</v>
      </c>
      <c r="G10" s="23" t="e">
        <f>F10+'07.04'!G10</f>
        <v>#REF!</v>
      </c>
      <c r="H10" s="33">
        <v>93</v>
      </c>
      <c r="I10" s="34">
        <v>4</v>
      </c>
      <c r="J10" s="23" t="e">
        <f>I10+'07.04'!J10</f>
        <v>#REF!</v>
      </c>
      <c r="K10" s="33">
        <v>34</v>
      </c>
      <c r="L10" s="22">
        <v>2</v>
      </c>
      <c r="M10" s="23" t="e">
        <f>L10+'07.04'!M10</f>
        <v>#REF!</v>
      </c>
      <c r="N10" s="33">
        <v>352</v>
      </c>
      <c r="O10" s="22">
        <v>17</v>
      </c>
      <c r="P10" s="23" t="e">
        <f>O10+'07.04'!P10</f>
        <v>#REF!</v>
      </c>
      <c r="Q10" s="33">
        <v>549</v>
      </c>
      <c r="R10" s="22">
        <v>10</v>
      </c>
      <c r="S10" s="23" t="e">
        <f>R10+'07.04'!S10</f>
        <v>#REF!</v>
      </c>
      <c r="T10" s="33">
        <v>198</v>
      </c>
      <c r="U10" s="22">
        <v>5</v>
      </c>
      <c r="V10" s="23" t="e">
        <f>U10+'07.04'!V10</f>
        <v>#REF!</v>
      </c>
      <c r="W10" s="38">
        <v>55</v>
      </c>
      <c r="X10" s="22">
        <v>0</v>
      </c>
      <c r="Y10" s="23" t="e">
        <f>X10+'07.04'!Y10</f>
        <v>#REF!</v>
      </c>
      <c r="Z10" s="38">
        <v>71</v>
      </c>
      <c r="AA10" s="22">
        <v>1</v>
      </c>
      <c r="AB10" s="23" t="e">
        <f>AA10+'07.04'!AB10</f>
        <v>#REF!</v>
      </c>
      <c r="AC10" s="38">
        <v>1690</v>
      </c>
      <c r="AD10" s="22">
        <v>107</v>
      </c>
      <c r="AE10" s="23" t="e">
        <f>AD10+'07.04'!AE10</f>
        <v>#REF!</v>
      </c>
      <c r="AF10" s="19">
        <f t="shared" si="1"/>
        <v>115940</v>
      </c>
      <c r="AG10" s="20" t="e">
        <f t="shared" si="1"/>
        <v>#REF!</v>
      </c>
      <c r="AH10" s="24">
        <v>1139</v>
      </c>
      <c r="AI10" s="23" t="e">
        <f>AH10+'07.04'!AI10</f>
        <v>#REF!</v>
      </c>
      <c r="AJ10" s="24">
        <v>4254</v>
      </c>
      <c r="AK10" s="23" t="e">
        <f>AJ10+'07.04'!AK10</f>
        <v>#REF!</v>
      </c>
      <c r="AL10" s="22">
        <v>15822</v>
      </c>
      <c r="AM10" s="23" t="e">
        <f>AL10+'07.04'!AM10</f>
        <v>#REF!</v>
      </c>
      <c r="AN10" s="22">
        <v>94725</v>
      </c>
      <c r="AO10" s="23" t="e">
        <f>AN10+'07.04'!AO10</f>
        <v>#REF!</v>
      </c>
      <c r="AP10" s="28" t="s">
        <v>44</v>
      </c>
      <c r="AQ10" s="19">
        <f t="shared" si="2"/>
        <v>10</v>
      </c>
      <c r="AR10" s="20" t="e">
        <f t="shared" si="2"/>
        <v>#REF!</v>
      </c>
      <c r="AS10" s="34">
        <v>0</v>
      </c>
      <c r="AT10" s="23" t="e">
        <f>AS10+'07.04'!AT10</f>
        <v>#REF!</v>
      </c>
      <c r="AU10" s="34">
        <v>0</v>
      </c>
      <c r="AV10" s="23" t="e">
        <f>AU10+'07.04'!AV10</f>
        <v>#REF!</v>
      </c>
      <c r="AW10" s="34">
        <v>2</v>
      </c>
      <c r="AX10" s="23" t="e">
        <f>AW10+'07.04'!AX10</f>
        <v>#REF!</v>
      </c>
      <c r="AY10" s="34">
        <v>0</v>
      </c>
      <c r="AZ10" s="23" t="e">
        <f>AY10+'07.04'!AZ10</f>
        <v>#REF!</v>
      </c>
      <c r="BA10" s="34">
        <v>8</v>
      </c>
      <c r="BB10" s="23" t="e">
        <f>BA10+'07.04'!BB10</f>
        <v>#REF!</v>
      </c>
      <c r="BC10" s="19">
        <f t="shared" si="3"/>
        <v>10253</v>
      </c>
      <c r="BD10" s="20" t="e">
        <f t="shared" si="3"/>
        <v>#REF!</v>
      </c>
      <c r="BE10" s="22">
        <v>601</v>
      </c>
      <c r="BF10" s="23" t="e">
        <f>BE10+'07.04'!BF10</f>
        <v>#REF!</v>
      </c>
      <c r="BG10" s="34">
        <v>0</v>
      </c>
      <c r="BH10" s="23" t="e">
        <f>BG10+'07.04'!BH10</f>
        <v>#REF!</v>
      </c>
      <c r="BI10" s="22">
        <v>4155</v>
      </c>
      <c r="BJ10" s="23" t="e">
        <f>BI10+'07.04'!BJ10</f>
        <v>#REF!</v>
      </c>
      <c r="BK10" s="22">
        <v>5497</v>
      </c>
      <c r="BL10" s="23" t="e">
        <f>BK10+'07.04'!BL10</f>
        <v>#REF!</v>
      </c>
      <c r="BM10" s="22">
        <v>0</v>
      </c>
      <c r="BN10" s="23" t="e">
        <f>BM10+'07.04'!BN10</f>
        <v>#REF!</v>
      </c>
      <c r="BO10" s="36">
        <v>32</v>
      </c>
      <c r="BP10" s="37">
        <v>0</v>
      </c>
      <c r="BQ10" s="23" t="e">
        <f>BP10+'07.04'!BQ10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122</v>
      </c>
      <c r="D11" s="31" t="e">
        <f t="shared" si="0"/>
        <v>#REF!</v>
      </c>
      <c r="E11" s="32">
        <v>883</v>
      </c>
      <c r="F11" s="22">
        <v>56</v>
      </c>
      <c r="G11" s="23" t="e">
        <f>F11+'07.04'!G11</f>
        <v>#REF!</v>
      </c>
      <c r="H11" s="33">
        <v>16</v>
      </c>
      <c r="I11" s="34">
        <v>0</v>
      </c>
      <c r="J11" s="23" t="e">
        <f>I11+'07.04'!J11</f>
        <v>#REF!</v>
      </c>
      <c r="K11" s="33">
        <v>3</v>
      </c>
      <c r="L11" s="22">
        <v>0</v>
      </c>
      <c r="M11" s="23" t="e">
        <f>L11+'07.04'!M11</f>
        <v>#REF!</v>
      </c>
      <c r="N11" s="33">
        <v>875</v>
      </c>
      <c r="O11" s="22">
        <v>0</v>
      </c>
      <c r="P11" s="23" t="e">
        <f>O11+'07.04'!P11</f>
        <v>#REF!</v>
      </c>
      <c r="Q11" s="33">
        <v>2424</v>
      </c>
      <c r="R11" s="22">
        <v>0</v>
      </c>
      <c r="S11" s="23" t="e">
        <f>R11+'07.04'!S11</f>
        <v>#REF!</v>
      </c>
      <c r="T11" s="33">
        <v>69</v>
      </c>
      <c r="U11" s="22">
        <v>0</v>
      </c>
      <c r="V11" s="23" t="e">
        <f>U11+'07.04'!V11</f>
        <v>#REF!</v>
      </c>
      <c r="W11" s="38">
        <v>133</v>
      </c>
      <c r="X11" s="22">
        <v>4</v>
      </c>
      <c r="Y11" s="23" t="e">
        <f>X11+'07.04'!Y11</f>
        <v>#REF!</v>
      </c>
      <c r="Z11" s="38">
        <v>1116</v>
      </c>
      <c r="AA11" s="22">
        <v>4</v>
      </c>
      <c r="AB11" s="23" t="e">
        <f>AA11+'07.04'!AB11</f>
        <v>#REF!</v>
      </c>
      <c r="AC11" s="38">
        <v>9862</v>
      </c>
      <c r="AD11" s="22">
        <v>58</v>
      </c>
      <c r="AE11" s="23" t="e">
        <f>AD11+'07.04'!AE11</f>
        <v>#REF!</v>
      </c>
      <c r="AF11" s="19">
        <f t="shared" si="1"/>
        <v>171800</v>
      </c>
      <c r="AG11" s="20" t="e">
        <f t="shared" si="1"/>
        <v>#REF!</v>
      </c>
      <c r="AH11" s="24">
        <v>7200</v>
      </c>
      <c r="AI11" s="23" t="e">
        <f>AH11+'07.04'!AI11</f>
        <v>#REF!</v>
      </c>
      <c r="AJ11" s="24">
        <v>9600</v>
      </c>
      <c r="AK11" s="23" t="e">
        <f>AJ11+'07.04'!AK11</f>
        <v>#REF!</v>
      </c>
      <c r="AL11" s="22">
        <v>51000</v>
      </c>
      <c r="AM11" s="23" t="e">
        <f>AL11+'07.04'!AM11</f>
        <v>#REF!</v>
      </c>
      <c r="AN11" s="22">
        <v>104000</v>
      </c>
      <c r="AO11" s="23" t="e">
        <f>AN11+'07.04'!AO11</f>
        <v>#REF!</v>
      </c>
      <c r="AP11" s="28" t="s">
        <v>45</v>
      </c>
      <c r="AQ11" s="19">
        <f t="shared" si="2"/>
        <v>11</v>
      </c>
      <c r="AR11" s="20" t="e">
        <f t="shared" si="2"/>
        <v>#REF!</v>
      </c>
      <c r="AS11" s="34">
        <v>0</v>
      </c>
      <c r="AT11" s="23" t="e">
        <f>AS11+'07.04'!AT11</f>
        <v>#REF!</v>
      </c>
      <c r="AU11" s="34">
        <v>0</v>
      </c>
      <c r="AV11" s="23" t="e">
        <f>AU11+'07.04'!AV11</f>
        <v>#REF!</v>
      </c>
      <c r="AW11" s="34">
        <v>0</v>
      </c>
      <c r="AX11" s="23" t="e">
        <f>AW11+'07.04'!AX11</f>
        <v>#REF!</v>
      </c>
      <c r="AY11" s="34">
        <v>0</v>
      </c>
      <c r="AZ11" s="23" t="e">
        <f>AY11+'07.04'!AZ11</f>
        <v>#REF!</v>
      </c>
      <c r="BA11" s="34">
        <v>11</v>
      </c>
      <c r="BB11" s="23" t="e">
        <f>BA11+'07.04'!BB11</f>
        <v>#REF!</v>
      </c>
      <c r="BC11" s="19">
        <f t="shared" si="3"/>
        <v>5947</v>
      </c>
      <c r="BD11" s="20" t="e">
        <f t="shared" si="3"/>
        <v>#REF!</v>
      </c>
      <c r="BE11" s="22">
        <v>10</v>
      </c>
      <c r="BF11" s="23" t="e">
        <f>BE11+'07.04'!BF11</f>
        <v>#REF!</v>
      </c>
      <c r="BG11" s="34">
        <v>5</v>
      </c>
      <c r="BH11" s="23" t="e">
        <f>BG11+'07.04'!BH11</f>
        <v>#REF!</v>
      </c>
      <c r="BI11" s="22">
        <v>5800</v>
      </c>
      <c r="BJ11" s="23" t="e">
        <f>BI11+'07.04'!BJ11</f>
        <v>#REF!</v>
      </c>
      <c r="BK11" s="22">
        <v>132</v>
      </c>
      <c r="BL11" s="23" t="e">
        <f>BK11+'07.04'!BL11</f>
        <v>#REF!</v>
      </c>
      <c r="BM11" s="22">
        <v>0</v>
      </c>
      <c r="BN11" s="23" t="e">
        <f>BM11+'07.04'!BN11</f>
        <v>#REF!</v>
      </c>
      <c r="BO11" s="36">
        <v>11506</v>
      </c>
      <c r="BP11" s="37">
        <v>8</v>
      </c>
      <c r="BQ11" s="23" t="e">
        <f>BP11+'07.04'!BQ11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255</v>
      </c>
      <c r="D12" s="31" t="e">
        <f t="shared" si="0"/>
        <v>#REF!</v>
      </c>
      <c r="E12" s="32">
        <v>909</v>
      </c>
      <c r="F12" s="22">
        <v>60</v>
      </c>
      <c r="G12" s="23" t="e">
        <f>F12+'07.04'!G12</f>
        <v>#REF!</v>
      </c>
      <c r="H12" s="33">
        <v>80</v>
      </c>
      <c r="I12" s="34">
        <v>7</v>
      </c>
      <c r="J12" s="23" t="e">
        <f>I12+'07.04'!J12</f>
        <v>#REF!</v>
      </c>
      <c r="K12" s="33">
        <v>5</v>
      </c>
      <c r="L12" s="22">
        <v>0</v>
      </c>
      <c r="M12" s="23" t="e">
        <f>L12+'07.04'!M12</f>
        <v>#REF!</v>
      </c>
      <c r="N12" s="33">
        <v>820</v>
      </c>
      <c r="O12" s="22">
        <v>35</v>
      </c>
      <c r="P12" s="23" t="e">
        <f>O12+'07.04'!P12</f>
        <v>#REF!</v>
      </c>
      <c r="Q12" s="33">
        <v>549</v>
      </c>
      <c r="R12" s="22">
        <v>0</v>
      </c>
      <c r="S12" s="23" t="e">
        <f>R12+'07.04'!S12</f>
        <v>#REF!</v>
      </c>
      <c r="T12" s="33">
        <v>992</v>
      </c>
      <c r="U12" s="22">
        <v>0</v>
      </c>
      <c r="V12" s="23" t="e">
        <f>U12+'07.04'!V12</f>
        <v>#REF!</v>
      </c>
      <c r="W12" s="33">
        <v>38</v>
      </c>
      <c r="X12" s="22">
        <v>121</v>
      </c>
      <c r="Y12" s="23" t="e">
        <f>X12+'07.04'!Y12</f>
        <v>#REF!</v>
      </c>
      <c r="Z12" s="33">
        <v>68</v>
      </c>
      <c r="AA12" s="22">
        <v>0</v>
      </c>
      <c r="AB12" s="23" t="e">
        <f>AA12+'07.04'!AB12</f>
        <v>#REF!</v>
      </c>
      <c r="AC12" s="33">
        <v>26703</v>
      </c>
      <c r="AD12" s="22">
        <v>32</v>
      </c>
      <c r="AE12" s="23" t="e">
        <f>AD12+'07.04'!AE12</f>
        <v>#REF!</v>
      </c>
      <c r="AF12" s="19">
        <f t="shared" si="1"/>
        <v>3135</v>
      </c>
      <c r="AG12" s="20" t="e">
        <f t="shared" si="1"/>
        <v>#REF!</v>
      </c>
      <c r="AH12" s="24">
        <v>621</v>
      </c>
      <c r="AI12" s="23" t="e">
        <f>AH12+'07.04'!AI12</f>
        <v>#REF!</v>
      </c>
      <c r="AJ12" s="24">
        <v>1029</v>
      </c>
      <c r="AK12" s="23" t="e">
        <f>AJ12+'07.04'!AK12</f>
        <v>#REF!</v>
      </c>
      <c r="AL12" s="22">
        <v>85</v>
      </c>
      <c r="AM12" s="23" t="e">
        <f>AL12+'07.04'!AM12</f>
        <v>#REF!</v>
      </c>
      <c r="AN12" s="22">
        <v>1400</v>
      </c>
      <c r="AO12" s="23" t="e">
        <f>AN12+'07.04'!AO12</f>
        <v>#REF!</v>
      </c>
      <c r="AP12" s="28" t="s">
        <v>46</v>
      </c>
      <c r="AQ12" s="19">
        <f t="shared" si="2"/>
        <v>81</v>
      </c>
      <c r="AR12" s="20" t="e">
        <f t="shared" si="2"/>
        <v>#REF!</v>
      </c>
      <c r="AS12" s="34">
        <v>0</v>
      </c>
      <c r="AT12" s="23" t="e">
        <f>AS12+'07.04'!AT12</f>
        <v>#REF!</v>
      </c>
      <c r="AU12" s="34">
        <v>0</v>
      </c>
      <c r="AV12" s="23" t="e">
        <f>AU12+'07.04'!AV12</f>
        <v>#REF!</v>
      </c>
      <c r="AW12" s="34">
        <v>0</v>
      </c>
      <c r="AX12" s="23" t="e">
        <f>AW12+'07.04'!AX12</f>
        <v>#REF!</v>
      </c>
      <c r="AY12" s="34">
        <v>0</v>
      </c>
      <c r="AZ12" s="23" t="e">
        <f>AY12+'07.04'!AZ12</f>
        <v>#REF!</v>
      </c>
      <c r="BA12" s="34">
        <v>81</v>
      </c>
      <c r="BB12" s="23" t="e">
        <f>BA12+'07.04'!BB12</f>
        <v>#REF!</v>
      </c>
      <c r="BC12" s="19">
        <f t="shared" si="3"/>
        <v>3029</v>
      </c>
      <c r="BD12" s="20" t="e">
        <f t="shared" si="3"/>
        <v>#REF!</v>
      </c>
      <c r="BE12" s="22">
        <v>114</v>
      </c>
      <c r="BF12" s="23" t="e">
        <f>BE12+'07.04'!BF12</f>
        <v>#REF!</v>
      </c>
      <c r="BG12" s="34">
        <v>15</v>
      </c>
      <c r="BH12" s="23" t="e">
        <f>BG12+'07.04'!BH12</f>
        <v>#REF!</v>
      </c>
      <c r="BI12" s="22">
        <v>2600</v>
      </c>
      <c r="BJ12" s="23" t="e">
        <f>BI12+'07.04'!BJ12</f>
        <v>#REF!</v>
      </c>
      <c r="BK12" s="22">
        <v>300</v>
      </c>
      <c r="BL12" s="23" t="e">
        <f>BK12+'07.04'!BL12</f>
        <v>#REF!</v>
      </c>
      <c r="BM12" s="22">
        <v>0</v>
      </c>
      <c r="BN12" s="23" t="e">
        <f>BM12+'07.04'!BN12</f>
        <v>#REF!</v>
      </c>
      <c r="BO12" s="36"/>
      <c r="BP12" s="37">
        <v>2</v>
      </c>
      <c r="BQ12" s="23" t="e">
        <f>BP12+'07.04'!BQ12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5</v>
      </c>
      <c r="D13" s="31" t="e">
        <f t="shared" si="0"/>
        <v>#REF!</v>
      </c>
      <c r="E13" s="32">
        <v>516</v>
      </c>
      <c r="F13" s="22">
        <v>2</v>
      </c>
      <c r="G13" s="23" t="e">
        <f>F13+'07.04'!G13</f>
        <v>#REF!</v>
      </c>
      <c r="H13" s="33">
        <v>10</v>
      </c>
      <c r="I13" s="34">
        <v>1</v>
      </c>
      <c r="J13" s="23" t="e">
        <f>I13+'07.04'!J13</f>
        <v>#REF!</v>
      </c>
      <c r="K13" s="33">
        <v>38</v>
      </c>
      <c r="L13" s="22">
        <v>0</v>
      </c>
      <c r="M13" s="23" t="e">
        <f>L13+'07.04'!M13</f>
        <v>#REF!</v>
      </c>
      <c r="N13" s="33">
        <v>581</v>
      </c>
      <c r="O13" s="22">
        <v>0</v>
      </c>
      <c r="P13" s="23" t="e">
        <f>O13+'07.04'!P13</f>
        <v>#REF!</v>
      </c>
      <c r="Q13" s="33">
        <v>525</v>
      </c>
      <c r="R13" s="22">
        <v>0</v>
      </c>
      <c r="S13" s="23" t="e">
        <f>R13+'07.04'!S13</f>
        <v>#REF!</v>
      </c>
      <c r="T13" s="33">
        <v>263</v>
      </c>
      <c r="U13" s="22">
        <v>0</v>
      </c>
      <c r="V13" s="23" t="e">
        <f>U13+'07.04'!V13</f>
        <v>#REF!</v>
      </c>
      <c r="W13" s="33">
        <v>43</v>
      </c>
      <c r="X13" s="22">
        <v>0</v>
      </c>
      <c r="Y13" s="23" t="e">
        <f>X13+'07.04'!Y13</f>
        <v>#REF!</v>
      </c>
      <c r="Z13" s="33">
        <v>17</v>
      </c>
      <c r="AA13" s="22">
        <v>0</v>
      </c>
      <c r="AB13" s="23" t="e">
        <f>AA13+'07.04'!AB13</f>
        <v>#REF!</v>
      </c>
      <c r="AC13" s="33">
        <v>51</v>
      </c>
      <c r="AD13" s="22">
        <v>2</v>
      </c>
      <c r="AE13" s="23" t="e">
        <f>AD13+'07.04'!AE13</f>
        <v>#REF!</v>
      </c>
      <c r="AF13" s="19">
        <f t="shared" si="1"/>
        <v>215000</v>
      </c>
      <c r="AG13" s="20" t="e">
        <f t="shared" si="1"/>
        <v>#REF!</v>
      </c>
      <c r="AH13" s="24">
        <v>2000</v>
      </c>
      <c r="AI13" s="23" t="e">
        <f>AH13+'07.04'!AI13</f>
        <v>#REF!</v>
      </c>
      <c r="AJ13" s="24">
        <v>13000</v>
      </c>
      <c r="AK13" s="23" t="e">
        <f>AJ13+'07.04'!AK13</f>
        <v>#REF!</v>
      </c>
      <c r="AL13" s="22">
        <v>20000</v>
      </c>
      <c r="AM13" s="23" t="e">
        <f>AL13+'07.04'!AM13</f>
        <v>#REF!</v>
      </c>
      <c r="AN13" s="22">
        <v>180000</v>
      </c>
      <c r="AO13" s="23" t="e">
        <f>AN13+'07.04'!AO13</f>
        <v>#REF!</v>
      </c>
      <c r="AP13" s="28" t="s">
        <v>47</v>
      </c>
      <c r="AQ13" s="19">
        <f t="shared" si="2"/>
        <v>520</v>
      </c>
      <c r="AR13" s="20" t="e">
        <f t="shared" si="2"/>
        <v>#REF!</v>
      </c>
      <c r="AS13" s="34">
        <v>2</v>
      </c>
      <c r="AT13" s="23" t="e">
        <f>AS13+'07.04'!AT13</f>
        <v>#REF!</v>
      </c>
      <c r="AU13" s="34">
        <v>2</v>
      </c>
      <c r="AV13" s="23" t="e">
        <f>AU13+'07.04'!AV13</f>
        <v>#REF!</v>
      </c>
      <c r="AW13" s="34">
        <v>0</v>
      </c>
      <c r="AX13" s="23" t="e">
        <f>AW13+'07.04'!AX13</f>
        <v>#REF!</v>
      </c>
      <c r="AY13" s="34">
        <v>0</v>
      </c>
      <c r="AZ13" s="23" t="e">
        <f>AY13+'07.04'!AZ13</f>
        <v>#REF!</v>
      </c>
      <c r="BA13" s="34">
        <v>516</v>
      </c>
      <c r="BB13" s="23" t="e">
        <f>BA13+'07.04'!BB13</f>
        <v>#REF!</v>
      </c>
      <c r="BC13" s="19">
        <f t="shared" si="3"/>
        <v>5064</v>
      </c>
      <c r="BD13" s="20" t="e">
        <f t="shared" si="3"/>
        <v>#REF!</v>
      </c>
      <c r="BE13" s="22">
        <v>2</v>
      </c>
      <c r="BF13" s="23" t="e">
        <f>BE13+'07.04'!BF13</f>
        <v>#REF!</v>
      </c>
      <c r="BG13" s="34">
        <v>12</v>
      </c>
      <c r="BH13" s="23" t="e">
        <f>BG13+'07.04'!BH13</f>
        <v>#REF!</v>
      </c>
      <c r="BI13" s="22">
        <v>5000</v>
      </c>
      <c r="BJ13" s="23" t="e">
        <f>BI13+'07.04'!BJ13</f>
        <v>#REF!</v>
      </c>
      <c r="BK13" s="22">
        <v>50</v>
      </c>
      <c r="BL13" s="23" t="e">
        <f>BK13+'07.04'!BL13</f>
        <v>#REF!</v>
      </c>
      <c r="BM13" s="22">
        <v>0</v>
      </c>
      <c r="BN13" s="23" t="e">
        <f>BM13+'07.04'!BN13</f>
        <v>#REF!</v>
      </c>
      <c r="BO13" s="36"/>
      <c r="BP13" s="37">
        <v>0</v>
      </c>
      <c r="BQ13" s="23" t="e">
        <f>BP13+'07.04'!BQ13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150</v>
      </c>
      <c r="D14" s="42" t="e">
        <f t="shared" si="0"/>
        <v>#REF!</v>
      </c>
      <c r="E14" s="43">
        <v>304</v>
      </c>
      <c r="F14" s="22">
        <v>120</v>
      </c>
      <c r="G14" s="23" t="e">
        <f>F14+'07.04'!G14</f>
        <v>#REF!</v>
      </c>
      <c r="H14" s="44">
        <v>5</v>
      </c>
      <c r="I14" s="45">
        <v>0</v>
      </c>
      <c r="J14" s="23" t="e">
        <f>I14+'07.04'!J14</f>
        <v>#REF!</v>
      </c>
      <c r="K14" s="44">
        <v>34</v>
      </c>
      <c r="L14" s="22">
        <v>0</v>
      </c>
      <c r="M14" s="23" t="e">
        <f>L14+'07.04'!M14</f>
        <v>#REF!</v>
      </c>
      <c r="N14" s="44">
        <v>583</v>
      </c>
      <c r="O14" s="22">
        <v>0</v>
      </c>
      <c r="P14" s="23" t="e">
        <f>O14+'07.04'!P14</f>
        <v>#REF!</v>
      </c>
      <c r="Q14" s="44">
        <v>254</v>
      </c>
      <c r="R14" s="22">
        <v>0</v>
      </c>
      <c r="S14" s="23" t="e">
        <f>R14+'07.04'!S14</f>
        <v>#REF!</v>
      </c>
      <c r="T14" s="44">
        <v>196</v>
      </c>
      <c r="U14" s="22">
        <v>0</v>
      </c>
      <c r="V14" s="23" t="e">
        <f>U14+'07.04'!V14</f>
        <v>#REF!</v>
      </c>
      <c r="W14" s="44">
        <v>30</v>
      </c>
      <c r="X14" s="22">
        <v>25</v>
      </c>
      <c r="Y14" s="23" t="e">
        <f>X14+'07.04'!Y14</f>
        <v>#REF!</v>
      </c>
      <c r="Z14" s="44">
        <v>10</v>
      </c>
      <c r="AA14" s="22">
        <v>0</v>
      </c>
      <c r="AB14" s="23" t="e">
        <f>AA14+'07.04'!AB14</f>
        <v>#REF!</v>
      </c>
      <c r="AC14" s="44">
        <v>2500</v>
      </c>
      <c r="AD14" s="22">
        <v>5</v>
      </c>
      <c r="AE14" s="23" t="e">
        <f>AD14+'07.04'!AE14</f>
        <v>#REF!</v>
      </c>
      <c r="AF14" s="19">
        <f t="shared" si="1"/>
        <v>151800</v>
      </c>
      <c r="AG14" s="20" t="e">
        <f t="shared" si="1"/>
        <v>#REF!</v>
      </c>
      <c r="AH14" s="24">
        <v>2300</v>
      </c>
      <c r="AI14" s="23" t="e">
        <f>AH14+'07.04'!AI14</f>
        <v>#REF!</v>
      </c>
      <c r="AJ14" s="24">
        <v>5500</v>
      </c>
      <c r="AK14" s="23" t="e">
        <f>AJ14+'07.04'!AK14</f>
        <v>#REF!</v>
      </c>
      <c r="AL14" s="22">
        <v>15000</v>
      </c>
      <c r="AM14" s="23" t="e">
        <f>AL14+'07.04'!AM14</f>
        <v>#REF!</v>
      </c>
      <c r="AN14" s="22">
        <v>129000</v>
      </c>
      <c r="AO14" s="23" t="e">
        <f>AN14+'07.04'!AO14</f>
        <v>#REF!</v>
      </c>
      <c r="AP14" s="39" t="s">
        <v>48</v>
      </c>
      <c r="AQ14" s="19">
        <f t="shared" si="2"/>
        <v>14</v>
      </c>
      <c r="AR14" s="20" t="e">
        <f t="shared" si="2"/>
        <v>#REF!</v>
      </c>
      <c r="AS14" s="45">
        <v>0</v>
      </c>
      <c r="AT14" s="23" t="e">
        <f>AS14+'07.04'!AT14</f>
        <v>#REF!</v>
      </c>
      <c r="AU14" s="45">
        <v>0</v>
      </c>
      <c r="AV14" s="23" t="e">
        <f>AU14+'07.04'!AV14</f>
        <v>#REF!</v>
      </c>
      <c r="AW14" s="45">
        <v>0</v>
      </c>
      <c r="AX14" s="23" t="e">
        <f>AW14+'07.04'!AX14</f>
        <v>#REF!</v>
      </c>
      <c r="AY14" s="45">
        <v>0</v>
      </c>
      <c r="AZ14" s="23" t="e">
        <f>AY14+'07.04'!AZ14</f>
        <v>#REF!</v>
      </c>
      <c r="BA14" s="45">
        <v>14</v>
      </c>
      <c r="BB14" s="23" t="e">
        <f>BA14+'07.04'!BB14</f>
        <v>#REF!</v>
      </c>
      <c r="BC14" s="19">
        <f t="shared" si="3"/>
        <v>6024</v>
      </c>
      <c r="BD14" s="20" t="e">
        <f t="shared" si="3"/>
        <v>#REF!</v>
      </c>
      <c r="BE14" s="22">
        <v>7</v>
      </c>
      <c r="BF14" s="23" t="e">
        <f>BE14+'07.04'!BF14</f>
        <v>#REF!</v>
      </c>
      <c r="BG14" s="45">
        <v>5</v>
      </c>
      <c r="BH14" s="23" t="e">
        <f>BG14+'07.04'!BH14</f>
        <v>#REF!</v>
      </c>
      <c r="BI14" s="22">
        <v>6000</v>
      </c>
      <c r="BJ14" s="23" t="e">
        <f>BI14+'07.04'!BJ14</f>
        <v>#REF!</v>
      </c>
      <c r="BK14" s="22">
        <v>12</v>
      </c>
      <c r="BL14" s="23" t="e">
        <f>BK14+'07.04'!BL14</f>
        <v>#REF!</v>
      </c>
      <c r="BM14" s="22">
        <v>0</v>
      </c>
      <c r="BN14" s="23" t="e">
        <f>BM14+'07.04'!BN14</f>
        <v>#REF!</v>
      </c>
      <c r="BO14" s="48">
        <v>2</v>
      </c>
      <c r="BP14" s="49">
        <v>0</v>
      </c>
      <c r="BQ14" s="23" t="e">
        <f>BP14+'07.04'!BQ14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629</v>
      </c>
      <c r="D15" s="53" t="e">
        <f t="shared" si="0"/>
        <v>#REF!</v>
      </c>
      <c r="E15" s="54">
        <v>776</v>
      </c>
      <c r="F15" s="55">
        <v>315</v>
      </c>
      <c r="G15" s="23" t="e">
        <f>F15+'07.04'!G15</f>
        <v>#REF!</v>
      </c>
      <c r="H15" s="56">
        <v>9</v>
      </c>
      <c r="I15" s="57">
        <v>0</v>
      </c>
      <c r="J15" s="23" t="e">
        <f>I15+'07.04'!J15</f>
        <v>#REF!</v>
      </c>
      <c r="K15" s="56">
        <v>6</v>
      </c>
      <c r="L15" s="55">
        <v>0</v>
      </c>
      <c r="M15" s="23" t="e">
        <f>L15+'07.04'!M15</f>
        <v>#REF!</v>
      </c>
      <c r="N15" s="56">
        <v>1305</v>
      </c>
      <c r="O15" s="55">
        <v>0</v>
      </c>
      <c r="P15" s="23" t="e">
        <f>O15+'07.04'!P15</f>
        <v>#REF!</v>
      </c>
      <c r="Q15" s="56">
        <v>447</v>
      </c>
      <c r="R15" s="55">
        <v>0</v>
      </c>
      <c r="S15" s="23" t="e">
        <f>R15+'07.04'!S15</f>
        <v>#REF!</v>
      </c>
      <c r="T15" s="56">
        <v>337</v>
      </c>
      <c r="U15" s="55">
        <v>0</v>
      </c>
      <c r="V15" s="23" t="e">
        <f>U15+'07.04'!V15</f>
        <v>#REF!</v>
      </c>
      <c r="W15" s="56">
        <v>78</v>
      </c>
      <c r="X15" s="55">
        <v>0</v>
      </c>
      <c r="Y15" s="23" t="e">
        <f>X15+'07.04'!Y15</f>
        <v>#REF!</v>
      </c>
      <c r="Z15" s="56">
        <v>141</v>
      </c>
      <c r="AA15" s="55">
        <v>0</v>
      </c>
      <c r="AB15" s="23" t="e">
        <f>AA15+'07.04'!AB15</f>
        <v>#REF!</v>
      </c>
      <c r="AC15" s="56">
        <v>798</v>
      </c>
      <c r="AD15" s="55">
        <v>314</v>
      </c>
      <c r="AE15" s="23" t="e">
        <f>AD15+'07.04'!AE15</f>
        <v>#REF!</v>
      </c>
      <c r="AF15" s="58">
        <f t="shared" si="1"/>
        <v>1226595</v>
      </c>
      <c r="AG15" s="59" t="e">
        <f t="shared" si="1"/>
        <v>#REF!</v>
      </c>
      <c r="AH15" s="60">
        <v>978</v>
      </c>
      <c r="AI15" s="23" t="e">
        <f>AH15+'07.04'!AI15</f>
        <v>#REF!</v>
      </c>
      <c r="AJ15" s="60">
        <v>3261</v>
      </c>
      <c r="AK15" s="23" t="e">
        <f>AJ15+'07.04'!AK15</f>
        <v>#REF!</v>
      </c>
      <c r="AL15" s="55">
        <v>611178</v>
      </c>
      <c r="AM15" s="23" t="e">
        <f>AL15+'07.04'!AM15</f>
        <v>#REF!</v>
      </c>
      <c r="AN15" s="55">
        <v>611178</v>
      </c>
      <c r="AO15" s="23" t="e">
        <f>AN15+'07.04'!AO15</f>
        <v>#REF!</v>
      </c>
      <c r="AP15" s="50" t="s">
        <v>49</v>
      </c>
      <c r="AQ15" s="58">
        <f t="shared" si="2"/>
        <v>3</v>
      </c>
      <c r="AR15" s="59" t="e">
        <f t="shared" si="2"/>
        <v>#REF!</v>
      </c>
      <c r="AS15" s="57">
        <v>0</v>
      </c>
      <c r="AT15" s="23" t="e">
        <f>AS15+'07.04'!AT15</f>
        <v>#REF!</v>
      </c>
      <c r="AU15" s="57">
        <v>0</v>
      </c>
      <c r="AV15" s="23" t="e">
        <f>AU15+'07.04'!AV15</f>
        <v>#REF!</v>
      </c>
      <c r="AW15" s="57">
        <v>0</v>
      </c>
      <c r="AX15" s="23" t="e">
        <f>AW15+'07.04'!AX15</f>
        <v>#REF!</v>
      </c>
      <c r="AY15" s="57">
        <v>0</v>
      </c>
      <c r="AZ15" s="23" t="e">
        <f>AY15+'07.04'!AZ15</f>
        <v>#REF!</v>
      </c>
      <c r="BA15" s="57">
        <v>3</v>
      </c>
      <c r="BB15" s="23" t="e">
        <f>BA15+'07.04'!BB15</f>
        <v>#REF!</v>
      </c>
      <c r="BC15" s="58">
        <f t="shared" si="3"/>
        <v>1794</v>
      </c>
      <c r="BD15" s="59" t="e">
        <f t="shared" si="3"/>
        <v>#REF!</v>
      </c>
      <c r="BE15" s="55">
        <v>61</v>
      </c>
      <c r="BF15" s="23" t="e">
        <f>BE15+'07.04'!BF15</f>
        <v>#REF!</v>
      </c>
      <c r="BG15" s="57">
        <v>3</v>
      </c>
      <c r="BH15" s="23" t="e">
        <f>BG15+'07.04'!BH15</f>
        <v>#REF!</v>
      </c>
      <c r="BI15" s="55">
        <v>830</v>
      </c>
      <c r="BJ15" s="23" t="e">
        <f>BI15+'07.04'!BJ15</f>
        <v>#REF!</v>
      </c>
      <c r="BK15" s="55">
        <v>900</v>
      </c>
      <c r="BL15" s="23" t="e">
        <f>BK15+'07.04'!BL15</f>
        <v>#REF!</v>
      </c>
      <c r="BM15" s="55">
        <v>0</v>
      </c>
      <c r="BN15" s="23" t="e">
        <f>BM15+'07.04'!BN15</f>
        <v>#REF!</v>
      </c>
      <c r="BO15" s="36">
        <v>6274</v>
      </c>
      <c r="BP15" s="37">
        <v>1</v>
      </c>
      <c r="BQ15" s="23" t="e">
        <f>BP15+'07.04'!BQ15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173</v>
      </c>
      <c r="D16" s="31" t="e">
        <f t="shared" si="0"/>
        <v>#REF!</v>
      </c>
      <c r="E16" s="32">
        <v>310</v>
      </c>
      <c r="F16" s="22">
        <v>59</v>
      </c>
      <c r="G16" s="23" t="e">
        <f>F16+'07.04'!G16</f>
        <v>#REF!</v>
      </c>
      <c r="H16" s="33">
        <v>5</v>
      </c>
      <c r="I16" s="34">
        <v>0</v>
      </c>
      <c r="J16" s="23" t="e">
        <f>I16+'07.04'!J16</f>
        <v>#REF!</v>
      </c>
      <c r="K16" s="33">
        <v>3</v>
      </c>
      <c r="L16" s="22">
        <v>0</v>
      </c>
      <c r="M16" s="23" t="e">
        <f>L16+'07.04'!M16</f>
        <v>#REF!</v>
      </c>
      <c r="N16" s="33">
        <v>384</v>
      </c>
      <c r="O16" s="22">
        <v>0</v>
      </c>
      <c r="P16" s="23" t="e">
        <f>O16+'07.04'!P16</f>
        <v>#REF!</v>
      </c>
      <c r="Q16" s="33">
        <v>245</v>
      </c>
      <c r="R16" s="22">
        <v>0</v>
      </c>
      <c r="S16" s="23" t="e">
        <f>R16+'07.04'!S16</f>
        <v>#REF!</v>
      </c>
      <c r="T16" s="33">
        <v>397</v>
      </c>
      <c r="U16" s="22">
        <v>0</v>
      </c>
      <c r="V16" s="23" t="e">
        <f>U16+'07.04'!V16</f>
        <v>#REF!</v>
      </c>
      <c r="W16" s="33">
        <v>24</v>
      </c>
      <c r="X16" s="22">
        <v>63</v>
      </c>
      <c r="Y16" s="23" t="e">
        <f>X16+'07.04'!Y16</f>
        <v>#REF!</v>
      </c>
      <c r="Z16" s="33">
        <v>18</v>
      </c>
      <c r="AA16" s="22">
        <v>0</v>
      </c>
      <c r="AB16" s="23" t="e">
        <f>AA16+'07.04'!AB16</f>
        <v>#REF!</v>
      </c>
      <c r="AC16" s="33">
        <v>18515</v>
      </c>
      <c r="AD16" s="22">
        <v>51</v>
      </c>
      <c r="AE16" s="23" t="e">
        <f>AD16+'07.04'!AE16</f>
        <v>#REF!</v>
      </c>
      <c r="AF16" s="19">
        <f t="shared" si="1"/>
        <v>188355</v>
      </c>
      <c r="AG16" s="20" t="e">
        <f t="shared" si="1"/>
        <v>#REF!</v>
      </c>
      <c r="AH16" s="24">
        <v>290</v>
      </c>
      <c r="AI16" s="23" t="e">
        <f>AH16+'07.04'!AI16</f>
        <v>#REF!</v>
      </c>
      <c r="AJ16" s="24">
        <v>1565</v>
      </c>
      <c r="AK16" s="23" t="e">
        <f>AJ16+'07.04'!AK16</f>
        <v>#REF!</v>
      </c>
      <c r="AL16" s="22">
        <v>5910</v>
      </c>
      <c r="AM16" s="23" t="e">
        <f>AL16+'07.04'!AM16</f>
        <v>#REF!</v>
      </c>
      <c r="AN16" s="22">
        <v>180590</v>
      </c>
      <c r="AO16" s="23" t="e">
        <f>AN16+'07.04'!AO16</f>
        <v>#REF!</v>
      </c>
      <c r="AP16" s="28" t="s">
        <v>51</v>
      </c>
      <c r="AQ16" s="19">
        <f t="shared" si="2"/>
        <v>68</v>
      </c>
      <c r="AR16" s="20" t="e">
        <f t="shared" si="2"/>
        <v>#REF!</v>
      </c>
      <c r="AS16" s="34">
        <v>0</v>
      </c>
      <c r="AT16" s="23" t="e">
        <f>AS16+'07.04'!AT16</f>
        <v>#REF!</v>
      </c>
      <c r="AU16" s="34">
        <v>0</v>
      </c>
      <c r="AV16" s="23" t="e">
        <f>AU16+'07.04'!AV16</f>
        <v>#REF!</v>
      </c>
      <c r="AW16" s="34">
        <v>0</v>
      </c>
      <c r="AX16" s="23" t="e">
        <f>AW16+'07.04'!AX16</f>
        <v>#REF!</v>
      </c>
      <c r="AY16" s="34">
        <v>0</v>
      </c>
      <c r="AZ16" s="23" t="e">
        <f>AY16+'07.04'!AZ16</f>
        <v>#REF!</v>
      </c>
      <c r="BA16" s="34">
        <v>68</v>
      </c>
      <c r="BB16" s="23" t="e">
        <f>BA16+'07.04'!BB16</f>
        <v>#REF!</v>
      </c>
      <c r="BC16" s="19">
        <f t="shared" si="3"/>
        <v>1877</v>
      </c>
      <c r="BD16" s="20" t="e">
        <f t="shared" si="3"/>
        <v>#REF!</v>
      </c>
      <c r="BE16" s="22">
        <v>35</v>
      </c>
      <c r="BF16" s="23" t="e">
        <f>BE16+'07.04'!BF16</f>
        <v>#REF!</v>
      </c>
      <c r="BG16" s="34">
        <v>2</v>
      </c>
      <c r="BH16" s="23" t="e">
        <f>BG16+'07.04'!BH16</f>
        <v>#REF!</v>
      </c>
      <c r="BI16" s="22">
        <v>1540</v>
      </c>
      <c r="BJ16" s="23" t="e">
        <f>BI16+'07.04'!BJ16</f>
        <v>#REF!</v>
      </c>
      <c r="BK16" s="22">
        <v>300</v>
      </c>
      <c r="BL16" s="23" t="e">
        <f>BK16+'07.04'!BL16</f>
        <v>#REF!</v>
      </c>
      <c r="BM16" s="22">
        <v>0</v>
      </c>
      <c r="BN16" s="23" t="e">
        <f>BM16+'07.04'!BN16</f>
        <v>#REF!</v>
      </c>
      <c r="BO16" s="36">
        <v>2546</v>
      </c>
      <c r="BP16" s="37">
        <v>0</v>
      </c>
      <c r="BQ16" s="23" t="e">
        <f>BP16+'07.04'!BQ16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195</v>
      </c>
      <c r="D17" s="31" t="e">
        <f t="shared" si="0"/>
        <v>#REF!</v>
      </c>
      <c r="E17" s="32">
        <v>754</v>
      </c>
      <c r="F17" s="22">
        <v>110</v>
      </c>
      <c r="G17" s="23" t="e">
        <f>F17+'07.04'!G17</f>
        <v>#REF!</v>
      </c>
      <c r="H17" s="33">
        <v>9</v>
      </c>
      <c r="I17" s="34">
        <v>0</v>
      </c>
      <c r="J17" s="23" t="e">
        <f>I17+'07.04'!J17</f>
        <v>#REF!</v>
      </c>
      <c r="K17" s="33">
        <v>5</v>
      </c>
      <c r="L17" s="22">
        <v>0</v>
      </c>
      <c r="M17" s="23" t="e">
        <f>L17+'07.04'!M17</f>
        <v>#REF!</v>
      </c>
      <c r="N17" s="33">
        <v>768</v>
      </c>
      <c r="O17" s="22">
        <v>0</v>
      </c>
      <c r="P17" s="23" t="e">
        <f>O17+'07.04'!P17</f>
        <v>#REF!</v>
      </c>
      <c r="Q17" s="33">
        <v>624</v>
      </c>
      <c r="R17" s="22">
        <v>0</v>
      </c>
      <c r="S17" s="23" t="e">
        <f>R17+'07.04'!S17</f>
        <v>#REF!</v>
      </c>
      <c r="T17" s="33">
        <v>742</v>
      </c>
      <c r="U17" s="22">
        <v>0</v>
      </c>
      <c r="V17" s="23" t="e">
        <f>U17+'07.04'!V17</f>
        <v>#REF!</v>
      </c>
      <c r="W17" s="33">
        <v>54</v>
      </c>
      <c r="X17" s="22">
        <v>0</v>
      </c>
      <c r="Y17" s="23" t="e">
        <f>X17+'07.04'!Y17</f>
        <v>#REF!</v>
      </c>
      <c r="Z17" s="33">
        <v>66</v>
      </c>
      <c r="AA17" s="22">
        <v>0</v>
      </c>
      <c r="AB17" s="23" t="e">
        <f>AA17+'07.04'!AB17</f>
        <v>#REF!</v>
      </c>
      <c r="AC17" s="33">
        <v>2580</v>
      </c>
      <c r="AD17" s="22">
        <v>85</v>
      </c>
      <c r="AE17" s="23" t="e">
        <f>AD17+'07.04'!AE17</f>
        <v>#REF!</v>
      </c>
      <c r="AF17" s="19">
        <f t="shared" si="1"/>
        <v>207600</v>
      </c>
      <c r="AG17" s="20" t="e">
        <f t="shared" si="1"/>
        <v>#REF!</v>
      </c>
      <c r="AH17" s="24">
        <v>10300</v>
      </c>
      <c r="AI17" s="23" t="e">
        <f>AH17+'07.04'!AI17</f>
        <v>#REF!</v>
      </c>
      <c r="AJ17" s="24">
        <v>11600</v>
      </c>
      <c r="AK17" s="23" t="e">
        <f>AJ17+'07.04'!AK17</f>
        <v>#REF!</v>
      </c>
      <c r="AL17" s="22">
        <v>75000</v>
      </c>
      <c r="AM17" s="23" t="e">
        <f>AL17+'07.04'!AM17</f>
        <v>#REF!</v>
      </c>
      <c r="AN17" s="22">
        <v>110700</v>
      </c>
      <c r="AO17" s="23" t="e">
        <f>AN17+'07.04'!AO17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AS17+'07.04'!AT17</f>
        <v>#REF!</v>
      </c>
      <c r="AU17" s="34">
        <v>1</v>
      </c>
      <c r="AV17" s="23" t="e">
        <f>AU17+'07.04'!AV17</f>
        <v>#REF!</v>
      </c>
      <c r="AW17" s="34">
        <v>0</v>
      </c>
      <c r="AX17" s="23" t="e">
        <f>AW17+'07.04'!AX17</f>
        <v>#REF!</v>
      </c>
      <c r="AY17" s="34">
        <v>0</v>
      </c>
      <c r="AZ17" s="23" t="e">
        <f>AY17+'07.04'!AZ17</f>
        <v>#REF!</v>
      </c>
      <c r="BA17" s="34">
        <v>14</v>
      </c>
      <c r="BB17" s="23" t="e">
        <f>BA17+'07.04'!BB17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BE17+'07.04'!BF17</f>
        <v>#REF!</v>
      </c>
      <c r="BG17" s="34">
        <v>4</v>
      </c>
      <c r="BH17" s="23" t="e">
        <f>BG17+'07.04'!BH17</f>
        <v>#REF!</v>
      </c>
      <c r="BI17" s="22">
        <v>1400</v>
      </c>
      <c r="BJ17" s="23" t="e">
        <f>BI17+'07.04'!BJ17</f>
        <v>#REF!</v>
      </c>
      <c r="BK17" s="22">
        <v>160</v>
      </c>
      <c r="BL17" s="23" t="e">
        <f>BK17+'07.04'!BL17</f>
        <v>#REF!</v>
      </c>
      <c r="BM17" s="22">
        <v>0</v>
      </c>
      <c r="BN17" s="23" t="e">
        <f>BM17+'07.04'!BN17</f>
        <v>#REF!</v>
      </c>
      <c r="BO17" s="36">
        <v>8022</v>
      </c>
      <c r="BP17" s="37">
        <v>10</v>
      </c>
      <c r="BQ17" s="23" t="e">
        <f>BP17+'07.04'!BQ17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589</v>
      </c>
      <c r="D18" s="20" t="e">
        <f t="shared" si="0"/>
        <v>#REF!</v>
      </c>
      <c r="E18" s="21">
        <v>1063</v>
      </c>
      <c r="F18" s="22">
        <v>351</v>
      </c>
      <c r="G18" s="23" t="e">
        <f>F18+'07.04'!G18</f>
        <v>#REF!</v>
      </c>
      <c r="H18" s="21">
        <v>19</v>
      </c>
      <c r="I18" s="22">
        <v>0</v>
      </c>
      <c r="J18" s="23" t="e">
        <f>I18+'07.04'!J18</f>
        <v>#REF!</v>
      </c>
      <c r="K18" s="21">
        <v>8</v>
      </c>
      <c r="L18" s="22">
        <v>0</v>
      </c>
      <c r="M18" s="23" t="e">
        <f>L18+'07.04'!M18</f>
        <v>#REF!</v>
      </c>
      <c r="N18" s="21">
        <v>1331</v>
      </c>
      <c r="O18" s="22">
        <v>0</v>
      </c>
      <c r="P18" s="23" t="e">
        <f>O18+'07.04'!P18</f>
        <v>#REF!</v>
      </c>
      <c r="Q18" s="21">
        <v>777</v>
      </c>
      <c r="R18" s="22">
        <v>0</v>
      </c>
      <c r="S18" s="23" t="e">
        <f>R18+'07.04'!S18</f>
        <v>#REF!</v>
      </c>
      <c r="T18" s="21">
        <v>318</v>
      </c>
      <c r="U18" s="22">
        <v>0</v>
      </c>
      <c r="V18" s="23" t="e">
        <f>U18+'07.04'!V18</f>
        <v>#REF!</v>
      </c>
      <c r="W18" s="21">
        <v>60</v>
      </c>
      <c r="X18" s="22">
        <v>238</v>
      </c>
      <c r="Y18" s="23" t="e">
        <f>X18+'07.04'!Y18</f>
        <v>#REF!</v>
      </c>
      <c r="Z18" s="21">
        <v>72</v>
      </c>
      <c r="AA18" s="22">
        <v>0</v>
      </c>
      <c r="AB18" s="23" t="e">
        <f>AA18+'07.04'!AB18</f>
        <v>#REF!</v>
      </c>
      <c r="AC18" s="21">
        <v>143</v>
      </c>
      <c r="AD18" s="22">
        <v>0</v>
      </c>
      <c r="AE18" s="23" t="e">
        <f>AD18+'07.04'!AE18</f>
        <v>#REF!</v>
      </c>
      <c r="AF18" s="19">
        <f t="shared" si="1"/>
        <v>373165</v>
      </c>
      <c r="AG18" s="20" t="e">
        <f t="shared" si="1"/>
        <v>#REF!</v>
      </c>
      <c r="AH18" s="24">
        <v>715</v>
      </c>
      <c r="AI18" s="23" t="e">
        <f>AH18+'07.04'!AI18</f>
        <v>#REF!</v>
      </c>
      <c r="AJ18" s="24">
        <v>5104</v>
      </c>
      <c r="AK18" s="23" t="e">
        <f>AJ18+'07.04'!AK18</f>
        <v>#REF!</v>
      </c>
      <c r="AL18" s="22">
        <v>5627</v>
      </c>
      <c r="AM18" s="23" t="e">
        <f>AL18+'07.04'!AM18</f>
        <v>#REF!</v>
      </c>
      <c r="AN18" s="22">
        <v>361719</v>
      </c>
      <c r="AO18" s="23" t="e">
        <f>AN18+'07.04'!AO18</f>
        <v>#REF!</v>
      </c>
      <c r="AP18" s="17" t="s">
        <v>53</v>
      </c>
      <c r="AQ18" s="19">
        <f>AS18+AU18+AW18+AY18+BA18</f>
        <v>10</v>
      </c>
      <c r="AR18" s="20" t="e">
        <f t="shared" si="2"/>
        <v>#REF!</v>
      </c>
      <c r="AS18" s="22">
        <v>1</v>
      </c>
      <c r="AT18" s="23" t="e">
        <f>AS18+'07.04'!AT18</f>
        <v>#REF!</v>
      </c>
      <c r="AU18" s="22">
        <v>0</v>
      </c>
      <c r="AV18" s="23" t="e">
        <f>AU18+'07.04'!AV18</f>
        <v>#REF!</v>
      </c>
      <c r="AW18" s="22">
        <v>0</v>
      </c>
      <c r="AX18" s="23" t="e">
        <f>AW18+'07.04'!AX18</f>
        <v>#REF!</v>
      </c>
      <c r="AY18" s="22">
        <v>0</v>
      </c>
      <c r="AZ18" s="23" t="e">
        <f>AY18+'07.04'!AZ18</f>
        <v>#REF!</v>
      </c>
      <c r="BA18" s="22">
        <v>9</v>
      </c>
      <c r="BB18" s="23" t="e">
        <f>BA18+'07.04'!BB18</f>
        <v>#REF!</v>
      </c>
      <c r="BC18" s="19">
        <f t="shared" si="3"/>
        <v>4270</v>
      </c>
      <c r="BD18" s="20" t="e">
        <f>BF18+BH18+BJ18+BL18+BN18</f>
        <v>#REF!</v>
      </c>
      <c r="BE18" s="22">
        <v>3</v>
      </c>
      <c r="BF18" s="23" t="e">
        <f>BE18+'07.04'!BF18</f>
        <v>#REF!</v>
      </c>
      <c r="BG18" s="22">
        <v>0</v>
      </c>
      <c r="BH18" s="23" t="e">
        <f>BG18+'07.04'!BH18</f>
        <v>#REF!</v>
      </c>
      <c r="BI18" s="22">
        <v>3972</v>
      </c>
      <c r="BJ18" s="23" t="e">
        <f>BI18+'07.04'!BJ18</f>
        <v>#REF!</v>
      </c>
      <c r="BK18" s="22">
        <v>295</v>
      </c>
      <c r="BL18" s="23" t="e">
        <f>BK18+'07.04'!BL18</f>
        <v>#REF!</v>
      </c>
      <c r="BM18" s="22">
        <v>0</v>
      </c>
      <c r="BN18" s="23" t="e">
        <f>BM18+'07.04'!BN18</f>
        <v>#REF!</v>
      </c>
      <c r="BO18" s="36">
        <v>442</v>
      </c>
      <c r="BP18" s="37">
        <v>0</v>
      </c>
      <c r="BQ18" s="23" t="e">
        <f>BP18+'07.04'!BQ18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47</v>
      </c>
      <c r="D19" s="31" t="e">
        <f t="shared" si="0"/>
        <v>#REF!</v>
      </c>
      <c r="E19" s="33">
        <v>221</v>
      </c>
      <c r="F19" s="22">
        <v>12</v>
      </c>
      <c r="G19" s="23" t="e">
        <f>F19+'07.04'!G19</f>
        <v>#REF!</v>
      </c>
      <c r="H19" s="33">
        <v>5</v>
      </c>
      <c r="I19" s="34">
        <v>0</v>
      </c>
      <c r="J19" s="23" t="e">
        <f>I19+'07.04'!J19</f>
        <v>#REF!</v>
      </c>
      <c r="K19" s="33">
        <v>4</v>
      </c>
      <c r="L19" s="22">
        <v>0</v>
      </c>
      <c r="M19" s="23" t="e">
        <f>L19+'07.04'!M19</f>
        <v>#REF!</v>
      </c>
      <c r="N19" s="33">
        <v>313</v>
      </c>
      <c r="O19" s="22">
        <v>0</v>
      </c>
      <c r="P19" s="23" t="e">
        <f>O19+'07.04'!P19</f>
        <v>#REF!</v>
      </c>
      <c r="Q19" s="33">
        <v>203</v>
      </c>
      <c r="R19" s="22">
        <v>0</v>
      </c>
      <c r="S19" s="23" t="e">
        <f>R19+'07.04'!S19</f>
        <v>#REF!</v>
      </c>
      <c r="T19" s="33">
        <v>241</v>
      </c>
      <c r="U19" s="22">
        <v>0</v>
      </c>
      <c r="V19" s="23" t="e">
        <f>U19+'07.04'!V19</f>
        <v>#REF!</v>
      </c>
      <c r="W19" s="33">
        <v>14</v>
      </c>
      <c r="X19" s="22">
        <v>16</v>
      </c>
      <c r="Y19" s="23" t="e">
        <f>X19+'07.04'!Y19</f>
        <v>#REF!</v>
      </c>
      <c r="Z19" s="33">
        <v>7</v>
      </c>
      <c r="AA19" s="22">
        <v>0</v>
      </c>
      <c r="AB19" s="23" t="e">
        <f>AA19+'07.04'!AB19</f>
        <v>#REF!</v>
      </c>
      <c r="AC19" s="33">
        <v>32</v>
      </c>
      <c r="AD19" s="22">
        <v>19</v>
      </c>
      <c r="AE19" s="23" t="e">
        <f>AD19+'07.04'!AE19</f>
        <v>#REF!</v>
      </c>
      <c r="AF19" s="19">
        <f t="shared" si="1"/>
        <v>4500</v>
      </c>
      <c r="AG19" s="20" t="e">
        <f t="shared" si="1"/>
        <v>#REF!</v>
      </c>
      <c r="AH19" s="24">
        <v>950</v>
      </c>
      <c r="AI19" s="23" t="e">
        <f>AH19+'07.04'!AI19</f>
        <v>#REF!</v>
      </c>
      <c r="AJ19" s="24">
        <v>950</v>
      </c>
      <c r="AK19" s="23" t="e">
        <f>AJ19+'07.04'!AK19</f>
        <v>#REF!</v>
      </c>
      <c r="AL19" s="22">
        <v>1300</v>
      </c>
      <c r="AM19" s="23" t="e">
        <f>AL19+'07.04'!AM19</f>
        <v>#REF!</v>
      </c>
      <c r="AN19" s="22">
        <v>1300</v>
      </c>
      <c r="AO19" s="23" t="e">
        <f>AN19+'07.04'!AO19</f>
        <v>#REF!</v>
      </c>
      <c r="AP19" s="28" t="s">
        <v>54</v>
      </c>
      <c r="AQ19" s="19">
        <f t="shared" ref="AQ19:AQ22" si="4">AS19+AU19+AW19+AY19+BA19</f>
        <v>7</v>
      </c>
      <c r="AR19" s="20" t="e">
        <f t="shared" si="2"/>
        <v>#REF!</v>
      </c>
      <c r="AS19" s="34">
        <v>0</v>
      </c>
      <c r="AT19" s="23" t="e">
        <f>AS19+'07.04'!AT19</f>
        <v>#REF!</v>
      </c>
      <c r="AU19" s="34">
        <v>0</v>
      </c>
      <c r="AV19" s="23" t="e">
        <f>AU19+'07.04'!AV19</f>
        <v>#REF!</v>
      </c>
      <c r="AW19" s="34">
        <v>0</v>
      </c>
      <c r="AX19" s="23" t="e">
        <f>AW19+'07.04'!AX19</f>
        <v>#REF!</v>
      </c>
      <c r="AY19" s="34">
        <v>0</v>
      </c>
      <c r="AZ19" s="23" t="e">
        <f>AY19+'07.04'!AZ19</f>
        <v>#REF!</v>
      </c>
      <c r="BA19" s="34">
        <v>7</v>
      </c>
      <c r="BB19" s="23" t="e">
        <f>BA19+'07.04'!BB19</f>
        <v>#REF!</v>
      </c>
      <c r="BC19" s="19">
        <f t="shared" si="3"/>
        <v>2018</v>
      </c>
      <c r="BD19" s="20" t="e">
        <f t="shared" si="3"/>
        <v>#REF!</v>
      </c>
      <c r="BE19" s="22">
        <v>18</v>
      </c>
      <c r="BF19" s="23" t="e">
        <f>BE19+'07.04'!BF19</f>
        <v>#REF!</v>
      </c>
      <c r="BG19" s="34">
        <v>300</v>
      </c>
      <c r="BH19" s="23" t="e">
        <f>BG19+'07.04'!BH19</f>
        <v>#REF!</v>
      </c>
      <c r="BI19" s="22">
        <v>1400</v>
      </c>
      <c r="BJ19" s="23" t="e">
        <f>BI19+'07.04'!BJ19</f>
        <v>#REF!</v>
      </c>
      <c r="BK19" s="22">
        <v>300</v>
      </c>
      <c r="BL19" s="23" t="e">
        <f>BK19+'07.04'!BL19</f>
        <v>#REF!</v>
      </c>
      <c r="BM19" s="22">
        <v>0</v>
      </c>
      <c r="BN19" s="23" t="e">
        <f>BM19+'07.04'!BN19</f>
        <v>#REF!</v>
      </c>
      <c r="BO19" s="36">
        <v>2898</v>
      </c>
      <c r="BP19" s="37">
        <v>0</v>
      </c>
      <c r="BQ19" s="23" t="e">
        <f>BP19+'07.04'!BQ19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424</v>
      </c>
      <c r="D20" s="31" t="e">
        <f t="shared" si="0"/>
        <v>#REF!</v>
      </c>
      <c r="E20" s="32">
        <v>723</v>
      </c>
      <c r="F20" s="22">
        <v>272</v>
      </c>
      <c r="G20" s="23" t="e">
        <f>F20+'07.04'!G20</f>
        <v>#REF!</v>
      </c>
      <c r="H20" s="33">
        <v>5</v>
      </c>
      <c r="I20" s="34">
        <v>1</v>
      </c>
      <c r="J20" s="23" t="e">
        <f>I20+'07.04'!J20</f>
        <v>#REF!</v>
      </c>
      <c r="K20" s="33">
        <v>3</v>
      </c>
      <c r="L20" s="22">
        <v>62</v>
      </c>
      <c r="M20" s="23" t="e">
        <f>L20+'07.04'!M20</f>
        <v>#REF!</v>
      </c>
      <c r="N20" s="33">
        <v>975</v>
      </c>
      <c r="O20" s="22">
        <v>0</v>
      </c>
      <c r="P20" s="23" t="e">
        <f>O20+'07.04'!P20</f>
        <v>#REF!</v>
      </c>
      <c r="Q20" s="61">
        <v>1862</v>
      </c>
      <c r="R20" s="22">
        <v>6</v>
      </c>
      <c r="S20" s="23" t="e">
        <f>R20+'07.04'!S20</f>
        <v>#REF!</v>
      </c>
      <c r="T20" s="33">
        <v>35</v>
      </c>
      <c r="U20" s="22">
        <v>5</v>
      </c>
      <c r="V20" s="23" t="e">
        <f>U20+'07.04'!V20</f>
        <v>#REF!</v>
      </c>
      <c r="W20" s="33">
        <v>64</v>
      </c>
      <c r="X20" s="22">
        <v>7</v>
      </c>
      <c r="Y20" s="23" t="e">
        <f>X20+'07.04'!Y20</f>
        <v>#REF!</v>
      </c>
      <c r="Z20" s="33">
        <v>15</v>
      </c>
      <c r="AA20" s="22">
        <v>1</v>
      </c>
      <c r="AB20" s="23" t="e">
        <f>AA20+'07.04'!AB20</f>
        <v>#REF!</v>
      </c>
      <c r="AC20" s="33">
        <v>1546</v>
      </c>
      <c r="AD20" s="22">
        <v>70</v>
      </c>
      <c r="AE20" s="23" t="e">
        <f>AD20+'07.04'!AE20</f>
        <v>#REF!</v>
      </c>
      <c r="AF20" s="19">
        <f t="shared" si="1"/>
        <v>19250</v>
      </c>
      <c r="AG20" s="20" t="e">
        <f t="shared" si="1"/>
        <v>#REF!</v>
      </c>
      <c r="AH20" s="24">
        <v>9880</v>
      </c>
      <c r="AI20" s="23" t="e">
        <f>AH20+'07.04'!AI20</f>
        <v>#REF!</v>
      </c>
      <c r="AJ20" s="24">
        <v>8520</v>
      </c>
      <c r="AK20" s="23" t="e">
        <f>AJ20+'07.04'!AK20</f>
        <v>#REF!</v>
      </c>
      <c r="AL20" s="22">
        <v>450</v>
      </c>
      <c r="AM20" s="23" t="e">
        <f>AL20+'07.04'!AM20</f>
        <v>#REF!</v>
      </c>
      <c r="AN20" s="22">
        <v>400</v>
      </c>
      <c r="AO20" s="23" t="e">
        <f>AN20+'07.04'!AO20</f>
        <v>#REF!</v>
      </c>
      <c r="AP20" s="28" t="s">
        <v>55</v>
      </c>
      <c r="AQ20" s="19">
        <f t="shared" si="4"/>
        <v>255</v>
      </c>
      <c r="AR20" s="20" t="e">
        <f t="shared" si="2"/>
        <v>#REF!</v>
      </c>
      <c r="AS20" s="34">
        <v>1</v>
      </c>
      <c r="AT20" s="23" t="e">
        <f>AS20+'07.04'!AT20</f>
        <v>#REF!</v>
      </c>
      <c r="AU20" s="34">
        <v>0</v>
      </c>
      <c r="AV20" s="23" t="e">
        <f>AU20+'07.04'!AV20</f>
        <v>#REF!</v>
      </c>
      <c r="AW20" s="34">
        <v>0</v>
      </c>
      <c r="AX20" s="23" t="e">
        <f>AW20+'07.04'!AX20</f>
        <v>#REF!</v>
      </c>
      <c r="AY20" s="34">
        <v>0</v>
      </c>
      <c r="AZ20" s="23" t="e">
        <f>AY20+'07.04'!AZ20</f>
        <v>#REF!</v>
      </c>
      <c r="BA20" s="34">
        <v>254</v>
      </c>
      <c r="BB20" s="23" t="e">
        <f>BA20+'07.04'!BB20</f>
        <v>#REF!</v>
      </c>
      <c r="BC20" s="19">
        <f t="shared" si="3"/>
        <v>3164</v>
      </c>
      <c r="BD20" s="20" t="e">
        <f t="shared" si="3"/>
        <v>#REF!</v>
      </c>
      <c r="BE20" s="22">
        <v>2</v>
      </c>
      <c r="BF20" s="23" t="e">
        <f>BE20+'07.04'!BF20</f>
        <v>#REF!</v>
      </c>
      <c r="BG20" s="34">
        <v>0</v>
      </c>
      <c r="BH20" s="23" t="e">
        <f>BG20+'07.04'!BH20</f>
        <v>#REF!</v>
      </c>
      <c r="BI20" s="22">
        <v>1525</v>
      </c>
      <c r="BJ20" s="23" t="e">
        <f>BI20+'07.04'!BJ20</f>
        <v>#REF!</v>
      </c>
      <c r="BK20" s="22">
        <v>1637</v>
      </c>
      <c r="BL20" s="23" t="e">
        <f>BK20+'07.04'!BL20</f>
        <v>#REF!</v>
      </c>
      <c r="BM20" s="22">
        <v>0</v>
      </c>
      <c r="BN20" s="23" t="e">
        <f>BM20+'07.04'!BN20</f>
        <v>#REF!</v>
      </c>
      <c r="BO20" s="36">
        <v>5854</v>
      </c>
      <c r="BP20" s="37">
        <v>0</v>
      </c>
      <c r="BQ20" s="23" t="e">
        <f>BP20+'07.04'!BQ20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290</v>
      </c>
      <c r="D21" s="31" t="e">
        <f t="shared" si="0"/>
        <v>#REF!</v>
      </c>
      <c r="E21" s="32">
        <v>1017</v>
      </c>
      <c r="F21" s="22">
        <v>250</v>
      </c>
      <c r="G21" s="23" t="e">
        <f>F21+'07.04'!G21</f>
        <v>#REF!</v>
      </c>
      <c r="H21" s="33">
        <v>8</v>
      </c>
      <c r="I21" s="34">
        <v>3</v>
      </c>
      <c r="J21" s="23" t="e">
        <f>I21+'07.04'!J21</f>
        <v>#REF!</v>
      </c>
      <c r="K21" s="33">
        <v>4</v>
      </c>
      <c r="L21" s="22">
        <v>2</v>
      </c>
      <c r="M21" s="23" t="e">
        <f>L21+'07.04'!M21</f>
        <v>#REF!</v>
      </c>
      <c r="N21" s="33">
        <v>963</v>
      </c>
      <c r="O21" s="22">
        <v>0</v>
      </c>
      <c r="P21" s="23" t="e">
        <f>O21+'07.04'!P21</f>
        <v>#REF!</v>
      </c>
      <c r="Q21" s="33">
        <v>912</v>
      </c>
      <c r="R21" s="22">
        <v>0</v>
      </c>
      <c r="S21" s="23" t="e">
        <f>R21+'07.04'!S21</f>
        <v>#REF!</v>
      </c>
      <c r="T21" s="33">
        <v>199</v>
      </c>
      <c r="U21" s="22">
        <v>2</v>
      </c>
      <c r="V21" s="23" t="e">
        <f>U21+'07.04'!V21</f>
        <v>#REF!</v>
      </c>
      <c r="W21" s="33">
        <v>101</v>
      </c>
      <c r="X21" s="22">
        <v>25</v>
      </c>
      <c r="Y21" s="23" t="e">
        <f>X21+'07.04'!Y21</f>
        <v>#REF!</v>
      </c>
      <c r="Z21" s="33">
        <v>42</v>
      </c>
      <c r="AA21" s="22">
        <v>0</v>
      </c>
      <c r="AB21" s="23" t="e">
        <f>AA21+'07.04'!AB21</f>
        <v>#REF!</v>
      </c>
      <c r="AC21" s="33">
        <v>20</v>
      </c>
      <c r="AD21" s="22">
        <v>8</v>
      </c>
      <c r="AE21" s="23" t="e">
        <f>AD21+'07.04'!AE21</f>
        <v>#REF!</v>
      </c>
      <c r="AF21" s="19">
        <f t="shared" si="1"/>
        <v>2012600</v>
      </c>
      <c r="AG21" s="20" t="e">
        <f t="shared" si="1"/>
        <v>#REF!</v>
      </c>
      <c r="AH21" s="24">
        <v>4000</v>
      </c>
      <c r="AI21" s="23" t="e">
        <f>AH21+'07.04'!AI21</f>
        <v>#REF!</v>
      </c>
      <c r="AJ21" s="24">
        <v>8600</v>
      </c>
      <c r="AK21" s="23" t="e">
        <f>AJ21+'07.04'!AK21</f>
        <v>#REF!</v>
      </c>
      <c r="AL21" s="22">
        <v>500000</v>
      </c>
      <c r="AM21" s="23" t="e">
        <f>AL21+'07.04'!AM21</f>
        <v>#REF!</v>
      </c>
      <c r="AN21" s="22">
        <v>1500000</v>
      </c>
      <c r="AO21" s="23" t="e">
        <f>AN21+'07.04'!AO21</f>
        <v>#REF!</v>
      </c>
      <c r="AP21" s="28" t="s">
        <v>58</v>
      </c>
      <c r="AQ21" s="19">
        <f t="shared" si="4"/>
        <v>15</v>
      </c>
      <c r="AR21" s="20" t="e">
        <f t="shared" si="2"/>
        <v>#REF!</v>
      </c>
      <c r="AS21" s="34">
        <v>1</v>
      </c>
      <c r="AT21" s="23" t="e">
        <f>AS21+'07.04'!AT21</f>
        <v>#REF!</v>
      </c>
      <c r="AU21" s="34">
        <v>4</v>
      </c>
      <c r="AV21" s="23" t="e">
        <f>AU21+'07.04'!AV21</f>
        <v>#REF!</v>
      </c>
      <c r="AW21" s="34">
        <v>0</v>
      </c>
      <c r="AX21" s="23" t="e">
        <f>AW21+'07.04'!AX21</f>
        <v>#REF!</v>
      </c>
      <c r="AY21" s="34">
        <v>0</v>
      </c>
      <c r="AZ21" s="23" t="e">
        <f>AY21+'07.04'!AZ21</f>
        <v>#REF!</v>
      </c>
      <c r="BA21" s="34">
        <v>10</v>
      </c>
      <c r="BB21" s="23" t="e">
        <f>BA21+'07.04'!BB21</f>
        <v>#REF!</v>
      </c>
      <c r="BC21" s="19">
        <f t="shared" si="3"/>
        <v>7140</v>
      </c>
      <c r="BD21" s="20" t="e">
        <f t="shared" si="3"/>
        <v>#REF!</v>
      </c>
      <c r="BE21" s="22">
        <v>140</v>
      </c>
      <c r="BF21" s="23" t="e">
        <f>BE21+'07.04'!BF21</f>
        <v>#REF!</v>
      </c>
      <c r="BG21" s="34">
        <v>0</v>
      </c>
      <c r="BH21" s="23" t="e">
        <f>BG21+'07.04'!BH21</f>
        <v>#REF!</v>
      </c>
      <c r="BI21" s="22">
        <v>7000</v>
      </c>
      <c r="BJ21" s="23" t="e">
        <f>BI21+'07.04'!BJ21</f>
        <v>#REF!</v>
      </c>
      <c r="BK21" s="22">
        <v>0</v>
      </c>
      <c r="BL21" s="23" t="e">
        <f>BK21+'07.04'!BL21</f>
        <v>#REF!</v>
      </c>
      <c r="BM21" s="22">
        <v>0</v>
      </c>
      <c r="BN21" s="23" t="e">
        <f>BM21+'07.04'!BN21</f>
        <v>#REF!</v>
      </c>
      <c r="BO21" s="36"/>
      <c r="BP21" s="37">
        <v>0</v>
      </c>
      <c r="BQ21" s="23" t="e">
        <f>BP21+'07.04'!BQ21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1913</v>
      </c>
      <c r="D22" s="31" t="e">
        <f t="shared" si="0"/>
        <v>#REF!</v>
      </c>
      <c r="E22" s="32">
        <v>509</v>
      </c>
      <c r="F22" s="22">
        <v>295</v>
      </c>
      <c r="G22" s="23" t="e">
        <f>F22+'07.04'!G22</f>
        <v>#REF!</v>
      </c>
      <c r="H22" s="33">
        <v>8</v>
      </c>
      <c r="I22" s="34">
        <v>1</v>
      </c>
      <c r="J22" s="23" t="e">
        <f>I22+'07.04'!J22</f>
        <v>#REF!</v>
      </c>
      <c r="K22" s="33">
        <v>21</v>
      </c>
      <c r="L22" s="22">
        <v>0</v>
      </c>
      <c r="M22" s="23" t="e">
        <f>L22+'07.04'!M22</f>
        <v>#REF!</v>
      </c>
      <c r="N22" s="33">
        <v>560</v>
      </c>
      <c r="O22" s="22">
        <v>50</v>
      </c>
      <c r="P22" s="23" t="e">
        <f>O22+'07.04'!P22</f>
        <v>#REF!</v>
      </c>
      <c r="Q22" s="33">
        <v>375</v>
      </c>
      <c r="R22" s="22">
        <v>50</v>
      </c>
      <c r="S22" s="23" t="e">
        <f>R22+'07.04'!S22</f>
        <v>#REF!</v>
      </c>
      <c r="T22" s="33">
        <v>165</v>
      </c>
      <c r="U22" s="22">
        <v>33</v>
      </c>
      <c r="V22" s="23" t="e">
        <f>U22+'07.04'!V22</f>
        <v>#REF!</v>
      </c>
      <c r="W22" s="33">
        <v>28</v>
      </c>
      <c r="X22" s="22">
        <v>51</v>
      </c>
      <c r="Y22" s="23" t="e">
        <f>X22+'07.04'!Y22</f>
        <v>#REF!</v>
      </c>
      <c r="Z22" s="33">
        <v>9</v>
      </c>
      <c r="AA22" s="22">
        <v>0</v>
      </c>
      <c r="AB22" s="23" t="e">
        <f>AA22+'07.04'!AB22</f>
        <v>#REF!</v>
      </c>
      <c r="AC22" s="33">
        <v>112</v>
      </c>
      <c r="AD22" s="22">
        <v>1433</v>
      </c>
      <c r="AE22" s="23" t="e">
        <f>AD22+'07.04'!AE22</f>
        <v>#REF!</v>
      </c>
      <c r="AF22" s="19">
        <f t="shared" si="1"/>
        <v>854274</v>
      </c>
      <c r="AG22" s="20" t="e">
        <f t="shared" si="1"/>
        <v>#REF!</v>
      </c>
      <c r="AH22" s="24">
        <v>514</v>
      </c>
      <c r="AI22" s="23" t="e">
        <f>AH22+'07.04'!AI22</f>
        <v>#REF!</v>
      </c>
      <c r="AJ22" s="24">
        <v>8546</v>
      </c>
      <c r="AK22" s="23" t="e">
        <f>AJ22+'07.04'!AK22</f>
        <v>#REF!</v>
      </c>
      <c r="AL22" s="22">
        <v>2451</v>
      </c>
      <c r="AM22" s="23" t="e">
        <f>AL22+'07.04'!AM22</f>
        <v>#REF!</v>
      </c>
      <c r="AN22" s="22">
        <v>842763</v>
      </c>
      <c r="AO22" s="23" t="e">
        <f>AN22+'07.04'!AO22</f>
        <v>#REF!</v>
      </c>
      <c r="AP22" s="28" t="s">
        <v>59</v>
      </c>
      <c r="AQ22" s="19">
        <f t="shared" si="4"/>
        <v>1735</v>
      </c>
      <c r="AR22" s="20" t="e">
        <f t="shared" si="2"/>
        <v>#REF!</v>
      </c>
      <c r="AS22" s="34">
        <v>2</v>
      </c>
      <c r="AT22" s="23" t="e">
        <f>AS22+'07.04'!AT22</f>
        <v>#REF!</v>
      </c>
      <c r="AU22" s="34">
        <v>0</v>
      </c>
      <c r="AV22" s="23" t="e">
        <f>AU22+'07.04'!AV22</f>
        <v>#REF!</v>
      </c>
      <c r="AW22" s="34">
        <v>0</v>
      </c>
      <c r="AX22" s="23" t="e">
        <f>AW22+'07.04'!AX22</f>
        <v>#REF!</v>
      </c>
      <c r="AY22" s="34">
        <v>0</v>
      </c>
      <c r="AZ22" s="23" t="e">
        <f>AY22+'07.04'!AZ22</f>
        <v>#REF!</v>
      </c>
      <c r="BA22" s="34">
        <v>1733</v>
      </c>
      <c r="BB22" s="23" t="e">
        <f>BA22+'07.04'!BB22</f>
        <v>#REF!</v>
      </c>
      <c r="BC22" s="19">
        <f t="shared" si="3"/>
        <v>6470</v>
      </c>
      <c r="BD22" s="20" t="e">
        <f t="shared" si="3"/>
        <v>#REF!</v>
      </c>
      <c r="BE22" s="22">
        <v>4</v>
      </c>
      <c r="BF22" s="23" t="e">
        <f>BE22+'07.04'!BF22</f>
        <v>#REF!</v>
      </c>
      <c r="BG22" s="34">
        <v>9</v>
      </c>
      <c r="BH22" s="23" t="e">
        <f>BG22+'07.04'!BH22</f>
        <v>#REF!</v>
      </c>
      <c r="BI22" s="22">
        <v>6425</v>
      </c>
      <c r="BJ22" s="23" t="e">
        <f>BI22+'07.04'!BJ22</f>
        <v>#REF!</v>
      </c>
      <c r="BK22" s="22">
        <v>32</v>
      </c>
      <c r="BL22" s="23" t="e">
        <f>BK22+'07.04'!BL22</f>
        <v>#REF!</v>
      </c>
      <c r="BM22" s="22">
        <v>0</v>
      </c>
      <c r="BN22" s="23" t="e">
        <f>BM22+'07.04'!BN22</f>
        <v>#REF!</v>
      </c>
      <c r="BO22" s="36">
        <v>26</v>
      </c>
      <c r="BP22" s="37">
        <v>0</v>
      </c>
      <c r="BQ22" s="23" t="e">
        <f>BP22+'07.04'!BQ22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4963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1926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18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66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102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66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45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550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6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2184</v>
      </c>
      <c r="AE23" s="68" t="e">
        <f t="shared" si="5"/>
        <v>#REF!</v>
      </c>
      <c r="AF23" s="64">
        <f t="shared" si="5"/>
        <v>5550874</v>
      </c>
      <c r="AG23" s="64" t="e">
        <f t="shared" si="5"/>
        <v>#REF!</v>
      </c>
      <c r="AH23" s="67">
        <f t="shared" si="5"/>
        <v>41067</v>
      </c>
      <c r="AI23" s="68" t="e">
        <f t="shared" si="5"/>
        <v>#REF!</v>
      </c>
      <c r="AJ23" s="67">
        <f t="shared" si="5"/>
        <v>81809</v>
      </c>
      <c r="AK23" s="68" t="e">
        <f t="shared" si="5"/>
        <v>#REF!</v>
      </c>
      <c r="AL23" s="67">
        <f t="shared" si="5"/>
        <v>1306423</v>
      </c>
      <c r="AM23" s="68" t="e">
        <f t="shared" si="5"/>
        <v>#REF!</v>
      </c>
      <c r="AN23" s="67">
        <f t="shared" si="5"/>
        <v>4121575</v>
      </c>
      <c r="AO23" s="68" t="e">
        <f t="shared" si="5"/>
        <v>#REF!</v>
      </c>
      <c r="AP23" s="62" t="s">
        <v>12</v>
      </c>
      <c r="AQ23" s="64">
        <f t="shared" ref="AQ23:BP23" si="6">SUM(AQ8:AQ22)</f>
        <v>2781</v>
      </c>
      <c r="AR23" s="64" t="e">
        <f t="shared" si="6"/>
        <v>#REF!</v>
      </c>
      <c r="AS23" s="67">
        <f t="shared" si="6"/>
        <v>9</v>
      </c>
      <c r="AT23" s="68" t="e">
        <f t="shared" si="6"/>
        <v>#REF!</v>
      </c>
      <c r="AU23" s="67">
        <f t="shared" si="6"/>
        <v>8</v>
      </c>
      <c r="AV23" s="68" t="e">
        <f t="shared" si="6"/>
        <v>#REF!</v>
      </c>
      <c r="AW23" s="67">
        <f t="shared" si="6"/>
        <v>2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2762</v>
      </c>
      <c r="BB23" s="68" t="e">
        <f t="shared" si="6"/>
        <v>#REF!</v>
      </c>
      <c r="BC23" s="64">
        <f t="shared" si="6"/>
        <v>59073</v>
      </c>
      <c r="BD23" s="64" t="e">
        <f t="shared" si="6"/>
        <v>#REF!</v>
      </c>
      <c r="BE23" s="67">
        <f t="shared" si="6"/>
        <v>1036</v>
      </c>
      <c r="BF23" s="68" t="e">
        <f t="shared" si="6"/>
        <v>#REF!</v>
      </c>
      <c r="BG23" s="67">
        <f t="shared" si="6"/>
        <v>355</v>
      </c>
      <c r="BH23" s="68" t="e">
        <f t="shared" si="6"/>
        <v>#REF!</v>
      </c>
      <c r="BI23" s="67">
        <f t="shared" si="6"/>
        <v>48067</v>
      </c>
      <c r="BJ23" s="68" t="e">
        <f t="shared" si="6"/>
        <v>#REF!</v>
      </c>
      <c r="BK23" s="67">
        <f t="shared" si="6"/>
        <v>9615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21</v>
      </c>
      <c r="BQ23" s="23">
        <f>BP23+'07.04'!BP23</f>
        <v>61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BU23"/>
  <sheetViews>
    <sheetView zoomScale="115" zoomScaleNormal="115" workbookViewId="0">
      <pane xSplit="4" ySplit="8" topLeftCell="E15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6" width="6.28515625" customWidth="1"/>
    <col min="7" max="7" width="8.855468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1</v>
      </c>
      <c r="G9" s="23" t="e">
        <f>F9+'08.04'!G9</f>
        <v>#REF!</v>
      </c>
      <c r="H9" s="33">
        <v>12</v>
      </c>
      <c r="I9" s="34">
        <v>1</v>
      </c>
      <c r="J9" s="23" t="e">
        <f>I9+'08.04'!J9</f>
        <v>#REF!</v>
      </c>
      <c r="K9" s="33">
        <v>2</v>
      </c>
      <c r="L9" s="22">
        <v>0</v>
      </c>
      <c r="M9" s="23" t="e">
        <f>L9+'08.04'!M9</f>
        <v>#REF!</v>
      </c>
      <c r="N9" s="33">
        <v>735</v>
      </c>
      <c r="O9" s="22">
        <v>0</v>
      </c>
      <c r="P9" s="23" t="e">
        <f>O9+'08.04'!P9</f>
        <v>#REF!</v>
      </c>
      <c r="Q9" s="33">
        <v>502</v>
      </c>
      <c r="R9" s="22">
        <v>0</v>
      </c>
      <c r="S9" s="23" t="e">
        <f>R9+'08.04'!S9</f>
        <v>#REF!</v>
      </c>
      <c r="T9" s="33">
        <v>197</v>
      </c>
      <c r="U9" s="22">
        <v>0</v>
      </c>
      <c r="V9" s="23" t="e">
        <f>U9+'08.04'!V9</f>
        <v>#REF!</v>
      </c>
      <c r="W9" s="33">
        <v>47</v>
      </c>
      <c r="X9" s="22">
        <v>0</v>
      </c>
      <c r="Y9" s="23" t="e">
        <f>X9+'08.04'!Y9</f>
        <v>#REF!</v>
      </c>
      <c r="Z9" s="33">
        <v>34</v>
      </c>
      <c r="AA9" s="22">
        <v>0</v>
      </c>
      <c r="AB9" s="23" t="e">
        <f>AA9+'08.04'!AB9</f>
        <v>#REF!</v>
      </c>
      <c r="AC9" s="33">
        <v>1860</v>
      </c>
      <c r="AD9" s="22">
        <v>1</v>
      </c>
      <c r="AE9" s="23" t="e">
        <f>AD9+'08.04'!AE9</f>
        <v>#REF!</v>
      </c>
      <c r="AF9" s="19">
        <f t="shared" ref="AF9:AG22" si="1">AH9+AJ9+AL9+AN9</f>
        <v>6370</v>
      </c>
      <c r="AG9" s="20" t="e">
        <f t="shared" si="1"/>
        <v>#REF!</v>
      </c>
      <c r="AH9" s="24">
        <v>170</v>
      </c>
      <c r="AI9" s="23" t="e">
        <f>AH9+'08.04'!AI9</f>
        <v>#REF!</v>
      </c>
      <c r="AJ9" s="24">
        <v>400</v>
      </c>
      <c r="AK9" s="23" t="e">
        <f>AJ9+'08.04'!AK9</f>
        <v>#REF!</v>
      </c>
      <c r="AL9" s="22">
        <v>1900</v>
      </c>
      <c r="AM9" s="23" t="e">
        <f>AL9+'08.04'!AM9</f>
        <v>#REF!</v>
      </c>
      <c r="AN9" s="22">
        <v>3900</v>
      </c>
      <c r="AO9" s="23" t="e">
        <f>AN9+'08.04'!AO9</f>
        <v>#REF!</v>
      </c>
      <c r="AP9" s="28" t="s">
        <v>43</v>
      </c>
      <c r="AQ9" s="19">
        <f t="shared" ref="AQ9:AR22" si="2">AS9+AU9+AW9+AY9+BA9</f>
        <v>44</v>
      </c>
      <c r="AR9" s="20" t="e">
        <f t="shared" si="2"/>
        <v>#REF!</v>
      </c>
      <c r="AS9" s="34">
        <v>1</v>
      </c>
      <c r="AT9" s="23" t="e">
        <f>AS9+'08.04'!AT9</f>
        <v>#REF!</v>
      </c>
      <c r="AU9" s="34">
        <v>1</v>
      </c>
      <c r="AV9" s="23" t="e">
        <f>AU9+'08.04'!AV9</f>
        <v>#REF!</v>
      </c>
      <c r="AW9" s="34">
        <v>0</v>
      </c>
      <c r="AX9" s="23" t="e">
        <f>AW9+'08.04'!AX9</f>
        <v>#REF!</v>
      </c>
      <c r="AY9" s="34">
        <v>0</v>
      </c>
      <c r="AZ9" s="23" t="e">
        <f>AY9+'08.04'!AZ9</f>
        <v>#REF!</v>
      </c>
      <c r="BA9" s="34">
        <v>42</v>
      </c>
      <c r="BB9" s="23" t="e">
        <f>BA9+'08.04'!BB9</f>
        <v>#REF!</v>
      </c>
      <c r="BC9" s="19">
        <f t="shared" ref="BC9:BD22" si="3">BE9+BG9+BI9+BK9+BM9</f>
        <v>572</v>
      </c>
      <c r="BD9" s="20" t="e">
        <f t="shared" si="3"/>
        <v>#REF!</v>
      </c>
      <c r="BE9" s="22">
        <v>2</v>
      </c>
      <c r="BF9" s="23" t="e">
        <f>BE9+'08.04'!BF9</f>
        <v>#REF!</v>
      </c>
      <c r="BG9" s="34">
        <v>0</v>
      </c>
      <c r="BH9" s="23" t="e">
        <f>BG9+'08.04'!BH9</f>
        <v>#REF!</v>
      </c>
      <c r="BI9" s="22">
        <v>570</v>
      </c>
      <c r="BJ9" s="23" t="e">
        <f>BI9+'08.04'!BJ9</f>
        <v>#REF!</v>
      </c>
      <c r="BK9" s="22">
        <v>0</v>
      </c>
      <c r="BL9" s="23" t="e">
        <f>BK9+'08.04'!BL9</f>
        <v>#REF!</v>
      </c>
      <c r="BM9" s="22">
        <v>0</v>
      </c>
      <c r="BN9" s="23" t="e">
        <f>BM9+'08.04'!BN9</f>
        <v>#REF!</v>
      </c>
      <c r="BO9" s="36">
        <v>14</v>
      </c>
      <c r="BP9" s="37">
        <v>0</v>
      </c>
      <c r="BQ9" s="23" t="e">
        <f>BP9+'08.04'!BQ9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71</v>
      </c>
      <c r="D10" s="31" t="e">
        <f t="shared" si="0"/>
        <v>#REF!</v>
      </c>
      <c r="E10" s="32">
        <v>585</v>
      </c>
      <c r="F10" s="22">
        <v>5</v>
      </c>
      <c r="G10" s="23" t="e">
        <f>F10+'08.04'!G10</f>
        <v>#REF!</v>
      </c>
      <c r="H10" s="33">
        <v>93</v>
      </c>
      <c r="I10" s="34">
        <v>4</v>
      </c>
      <c r="J10" s="23" t="e">
        <f>I10+'08.04'!J10</f>
        <v>#REF!</v>
      </c>
      <c r="K10" s="33">
        <v>34</v>
      </c>
      <c r="L10" s="22">
        <v>1</v>
      </c>
      <c r="M10" s="23" t="e">
        <f>L10+'08.04'!M10</f>
        <v>#REF!</v>
      </c>
      <c r="N10" s="33">
        <v>352</v>
      </c>
      <c r="O10" s="22">
        <v>3</v>
      </c>
      <c r="P10" s="23" t="e">
        <f>O10+'08.04'!P10</f>
        <v>#REF!</v>
      </c>
      <c r="Q10" s="33">
        <v>549</v>
      </c>
      <c r="R10" s="22">
        <v>1</v>
      </c>
      <c r="S10" s="23" t="e">
        <f>R10+'08.04'!S10</f>
        <v>#REF!</v>
      </c>
      <c r="T10" s="33">
        <v>198</v>
      </c>
      <c r="U10" s="22">
        <v>2</v>
      </c>
      <c r="V10" s="23" t="e">
        <f>U10+'08.04'!V10</f>
        <v>#REF!</v>
      </c>
      <c r="W10" s="38">
        <v>55</v>
      </c>
      <c r="X10" s="22">
        <v>0</v>
      </c>
      <c r="Y10" s="23" t="e">
        <f>X10+'08.04'!Y10</f>
        <v>#REF!</v>
      </c>
      <c r="Z10" s="38">
        <v>71</v>
      </c>
      <c r="AA10" s="22">
        <v>0</v>
      </c>
      <c r="AB10" s="23" t="e">
        <f>AA10+'08.04'!AB10</f>
        <v>#REF!</v>
      </c>
      <c r="AC10" s="38">
        <v>1690</v>
      </c>
      <c r="AD10" s="22">
        <v>55</v>
      </c>
      <c r="AE10" s="23" t="e">
        <f>AD10+'08.04'!AE10</f>
        <v>#REF!</v>
      </c>
      <c r="AF10" s="19">
        <f t="shared" si="1"/>
        <v>46201</v>
      </c>
      <c r="AG10" s="20" t="e">
        <f t="shared" si="1"/>
        <v>#REF!</v>
      </c>
      <c r="AH10" s="24">
        <v>262</v>
      </c>
      <c r="AI10" s="23" t="e">
        <f>AH10+'08.04'!AI10</f>
        <v>#REF!</v>
      </c>
      <c r="AJ10" s="24">
        <v>2289</v>
      </c>
      <c r="AK10" s="23" t="e">
        <f>AJ10+'08.04'!AK10</f>
        <v>#REF!</v>
      </c>
      <c r="AL10" s="22">
        <v>3722</v>
      </c>
      <c r="AM10" s="23" t="e">
        <f>AL10+'08.04'!AM10</f>
        <v>#REF!</v>
      </c>
      <c r="AN10" s="22">
        <v>39928</v>
      </c>
      <c r="AO10" s="23" t="e">
        <f>AN10+'08.04'!AO10</f>
        <v>#REF!</v>
      </c>
      <c r="AP10" s="28" t="s">
        <v>44</v>
      </c>
      <c r="AQ10" s="19">
        <f t="shared" si="2"/>
        <v>6</v>
      </c>
      <c r="AR10" s="20" t="e">
        <f t="shared" si="2"/>
        <v>#REF!</v>
      </c>
      <c r="AS10" s="34">
        <v>0</v>
      </c>
      <c r="AT10" s="23" t="e">
        <f>AS10+'08.04'!AT10</f>
        <v>#REF!</v>
      </c>
      <c r="AU10" s="34">
        <v>0</v>
      </c>
      <c r="AV10" s="23" t="e">
        <f>AU10+'08.04'!AV10</f>
        <v>#REF!</v>
      </c>
      <c r="AW10" s="34">
        <v>0</v>
      </c>
      <c r="AX10" s="23" t="e">
        <f>AW10+'08.04'!AX10</f>
        <v>#REF!</v>
      </c>
      <c r="AY10" s="34">
        <v>0</v>
      </c>
      <c r="AZ10" s="23" t="e">
        <f>AY10+'08.04'!AZ10</f>
        <v>#REF!</v>
      </c>
      <c r="BA10" s="34">
        <v>6</v>
      </c>
      <c r="BB10" s="23" t="e">
        <f>BA10+'08.04'!BB10</f>
        <v>#REF!</v>
      </c>
      <c r="BC10" s="19">
        <f t="shared" si="3"/>
        <v>2120</v>
      </c>
      <c r="BD10" s="20" t="e">
        <f t="shared" si="3"/>
        <v>#REF!</v>
      </c>
      <c r="BE10" s="22">
        <v>275</v>
      </c>
      <c r="BF10" s="23" t="e">
        <f>BE10+'08.04'!BF10</f>
        <v>#REF!</v>
      </c>
      <c r="BG10" s="34">
        <v>0</v>
      </c>
      <c r="BH10" s="23" t="e">
        <f>BG10+'08.04'!BH10</f>
        <v>#REF!</v>
      </c>
      <c r="BI10" s="22">
        <v>1713</v>
      </c>
      <c r="BJ10" s="23" t="e">
        <f>BI10+'08.04'!BJ10</f>
        <v>#REF!</v>
      </c>
      <c r="BK10" s="22">
        <v>132</v>
      </c>
      <c r="BL10" s="23" t="e">
        <f>BK10+'08.04'!BL10</f>
        <v>#REF!</v>
      </c>
      <c r="BM10" s="22">
        <v>0</v>
      </c>
      <c r="BN10" s="23" t="e">
        <f>BM10+'08.04'!BN10</f>
        <v>#REF!</v>
      </c>
      <c r="BO10" s="36">
        <v>32</v>
      </c>
      <c r="BP10" s="37">
        <v>0</v>
      </c>
      <c r="BQ10" s="23" t="e">
        <f>BP10+'08.04'!BQ10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117</v>
      </c>
      <c r="D11" s="31" t="e">
        <f t="shared" si="0"/>
        <v>#REF!</v>
      </c>
      <c r="E11" s="32">
        <v>883</v>
      </c>
      <c r="F11" s="22">
        <v>49</v>
      </c>
      <c r="G11" s="23" t="e">
        <f>F11+'08.04'!G11</f>
        <v>#REF!</v>
      </c>
      <c r="H11" s="33">
        <v>16</v>
      </c>
      <c r="I11" s="34">
        <v>0</v>
      </c>
      <c r="J11" s="23" t="e">
        <f>I11+'08.04'!J11</f>
        <v>#REF!</v>
      </c>
      <c r="K11" s="33">
        <v>3</v>
      </c>
      <c r="L11" s="22">
        <v>0</v>
      </c>
      <c r="M11" s="23" t="e">
        <f>L11+'08.04'!M11</f>
        <v>#REF!</v>
      </c>
      <c r="N11" s="33">
        <v>875</v>
      </c>
      <c r="O11" s="22">
        <v>0</v>
      </c>
      <c r="P11" s="23" t="e">
        <f>O11+'08.04'!P11</f>
        <v>#REF!</v>
      </c>
      <c r="Q11" s="33">
        <v>2424</v>
      </c>
      <c r="R11" s="22">
        <v>0</v>
      </c>
      <c r="S11" s="23" t="e">
        <f>R11+'08.04'!S11</f>
        <v>#REF!</v>
      </c>
      <c r="T11" s="33">
        <v>69</v>
      </c>
      <c r="U11" s="22">
        <v>0</v>
      </c>
      <c r="V11" s="23" t="e">
        <f>U11+'08.04'!V11</f>
        <v>#REF!</v>
      </c>
      <c r="W11" s="38">
        <v>133</v>
      </c>
      <c r="X11" s="22">
        <v>61</v>
      </c>
      <c r="Y11" s="23" t="e">
        <f>X11+'08.04'!Y11</f>
        <v>#REF!</v>
      </c>
      <c r="Z11" s="38">
        <v>1116</v>
      </c>
      <c r="AA11" s="22">
        <v>0</v>
      </c>
      <c r="AB11" s="23" t="e">
        <f>AA11+'08.04'!AB11</f>
        <v>#REF!</v>
      </c>
      <c r="AC11" s="38">
        <v>9862</v>
      </c>
      <c r="AD11" s="22">
        <v>7</v>
      </c>
      <c r="AE11" s="23" t="e">
        <f>AD11+'08.04'!AE11</f>
        <v>#REF!</v>
      </c>
      <c r="AF11" s="19">
        <f t="shared" si="1"/>
        <v>123800</v>
      </c>
      <c r="AG11" s="20" t="e">
        <f t="shared" si="1"/>
        <v>#REF!</v>
      </c>
      <c r="AH11" s="24">
        <v>6500</v>
      </c>
      <c r="AI11" s="23" t="e">
        <f>AH11+'08.04'!AI11</f>
        <v>#REF!</v>
      </c>
      <c r="AJ11" s="24">
        <v>7300</v>
      </c>
      <c r="AK11" s="23" t="e">
        <f>AJ11+'08.04'!AK11</f>
        <v>#REF!</v>
      </c>
      <c r="AL11" s="22">
        <v>42000</v>
      </c>
      <c r="AM11" s="23" t="e">
        <f>AL11+'08.04'!AM11</f>
        <v>#REF!</v>
      </c>
      <c r="AN11" s="22">
        <v>68000</v>
      </c>
      <c r="AO11" s="23" t="e">
        <f>AN11+'08.04'!AO11</f>
        <v>#REF!</v>
      </c>
      <c r="AP11" s="28" t="s">
        <v>45</v>
      </c>
      <c r="AQ11" s="19">
        <f t="shared" si="2"/>
        <v>10</v>
      </c>
      <c r="AR11" s="20" t="e">
        <f t="shared" si="2"/>
        <v>#REF!</v>
      </c>
      <c r="AS11" s="34">
        <v>0</v>
      </c>
      <c r="AT11" s="23" t="e">
        <f>AS11+'08.04'!AT11</f>
        <v>#REF!</v>
      </c>
      <c r="AU11" s="34">
        <v>0</v>
      </c>
      <c r="AV11" s="23" t="e">
        <f>AU11+'08.04'!AV11</f>
        <v>#REF!</v>
      </c>
      <c r="AW11" s="34">
        <v>0</v>
      </c>
      <c r="AX11" s="23" t="e">
        <f>AW11+'08.04'!AX11</f>
        <v>#REF!</v>
      </c>
      <c r="AY11" s="34">
        <v>0</v>
      </c>
      <c r="AZ11" s="23" t="e">
        <f>AY11+'08.04'!AZ11</f>
        <v>#REF!</v>
      </c>
      <c r="BA11" s="34">
        <v>10</v>
      </c>
      <c r="BB11" s="23" t="e">
        <f>BA11+'08.04'!BB11</f>
        <v>#REF!</v>
      </c>
      <c r="BC11" s="19">
        <f t="shared" si="3"/>
        <v>4791</v>
      </c>
      <c r="BD11" s="20" t="e">
        <f t="shared" si="3"/>
        <v>#REF!</v>
      </c>
      <c r="BE11" s="22">
        <v>7</v>
      </c>
      <c r="BF11" s="23" t="e">
        <f>BE11+'08.04'!BF11</f>
        <v>#REF!</v>
      </c>
      <c r="BG11" s="34">
        <v>4</v>
      </c>
      <c r="BH11" s="23" t="e">
        <f>BG11+'08.04'!BH11</f>
        <v>#REF!</v>
      </c>
      <c r="BI11" s="22">
        <v>4700</v>
      </c>
      <c r="BJ11" s="23" t="e">
        <f>BI11+'08.04'!BJ11</f>
        <v>#REF!</v>
      </c>
      <c r="BK11" s="22">
        <v>80</v>
      </c>
      <c r="BL11" s="23" t="e">
        <f>BK11+'08.04'!BL11</f>
        <v>#REF!</v>
      </c>
      <c r="BM11" s="22">
        <v>0</v>
      </c>
      <c r="BN11" s="23" t="e">
        <f>BM11+'08.04'!BN11</f>
        <v>#REF!</v>
      </c>
      <c r="BO11" s="36">
        <v>11506</v>
      </c>
      <c r="BP11" s="37">
        <v>5</v>
      </c>
      <c r="BQ11" s="23" t="e">
        <f>BP11+'08.04'!BQ11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270</v>
      </c>
      <c r="D12" s="31" t="e">
        <f t="shared" si="0"/>
        <v>#REF!</v>
      </c>
      <c r="E12" s="32">
        <v>909</v>
      </c>
      <c r="F12" s="22">
        <v>71</v>
      </c>
      <c r="G12" s="23" t="e">
        <f>F12+'08.04'!G12</f>
        <v>#REF!</v>
      </c>
      <c r="H12" s="33">
        <v>80</v>
      </c>
      <c r="I12" s="34">
        <v>5</v>
      </c>
      <c r="J12" s="23" t="e">
        <f>I12+'08.04'!J12</f>
        <v>#REF!</v>
      </c>
      <c r="K12" s="33">
        <v>5</v>
      </c>
      <c r="L12" s="22">
        <v>0</v>
      </c>
      <c r="M12" s="23" t="e">
        <f>L12+'08.04'!M12</f>
        <v>#REF!</v>
      </c>
      <c r="N12" s="33">
        <v>820</v>
      </c>
      <c r="O12" s="22">
        <v>0</v>
      </c>
      <c r="P12" s="23" t="e">
        <f>O12+'08.04'!P12</f>
        <v>#REF!</v>
      </c>
      <c r="Q12" s="33">
        <v>549</v>
      </c>
      <c r="R12" s="22">
        <v>24</v>
      </c>
      <c r="S12" s="23" t="e">
        <f>R12+'08.04'!S12</f>
        <v>#REF!</v>
      </c>
      <c r="T12" s="33">
        <v>992</v>
      </c>
      <c r="U12" s="22">
        <v>0</v>
      </c>
      <c r="V12" s="23" t="e">
        <f>U12+'08.04'!V12</f>
        <v>#REF!</v>
      </c>
      <c r="W12" s="33">
        <v>38</v>
      </c>
      <c r="X12" s="22">
        <v>132</v>
      </c>
      <c r="Y12" s="23" t="e">
        <f>X12+'08.04'!Y12</f>
        <v>#REF!</v>
      </c>
      <c r="Z12" s="33">
        <v>68</v>
      </c>
      <c r="AA12" s="22">
        <v>0</v>
      </c>
      <c r="AB12" s="23" t="e">
        <f>AA12+'08.04'!AB12</f>
        <v>#REF!</v>
      </c>
      <c r="AC12" s="33">
        <v>26703</v>
      </c>
      <c r="AD12" s="22">
        <v>38</v>
      </c>
      <c r="AE12" s="23" t="e">
        <f>AD12+'08.04'!AE12</f>
        <v>#REF!</v>
      </c>
      <c r="AF12" s="19">
        <f t="shared" si="1"/>
        <v>4639</v>
      </c>
      <c r="AG12" s="20" t="e">
        <f t="shared" si="1"/>
        <v>#REF!</v>
      </c>
      <c r="AH12" s="24">
        <v>839</v>
      </c>
      <c r="AI12" s="23" t="e">
        <f>AH12+'08.04'!AI12</f>
        <v>#REF!</v>
      </c>
      <c r="AJ12" s="24">
        <v>886</v>
      </c>
      <c r="AK12" s="23" t="e">
        <f>AJ12+'08.04'!AK12</f>
        <v>#REF!</v>
      </c>
      <c r="AL12" s="22">
        <v>1457</v>
      </c>
      <c r="AM12" s="23" t="e">
        <f>AL12+'08.04'!AM12</f>
        <v>#REF!</v>
      </c>
      <c r="AN12" s="22">
        <v>1457</v>
      </c>
      <c r="AO12" s="23" t="e">
        <f>AN12+'08.04'!AO12</f>
        <v>#REF!</v>
      </c>
      <c r="AP12" s="28" t="s">
        <v>46</v>
      </c>
      <c r="AQ12" s="19">
        <f t="shared" si="2"/>
        <v>73</v>
      </c>
      <c r="AR12" s="20" t="e">
        <f t="shared" si="2"/>
        <v>#REF!</v>
      </c>
      <c r="AS12" s="34">
        <v>0</v>
      </c>
      <c r="AT12" s="23" t="e">
        <f>AS12+'08.04'!AT12</f>
        <v>#REF!</v>
      </c>
      <c r="AU12" s="34">
        <v>0</v>
      </c>
      <c r="AV12" s="23" t="e">
        <f>AU12+'08.04'!AV12</f>
        <v>#REF!</v>
      </c>
      <c r="AW12" s="34">
        <v>0</v>
      </c>
      <c r="AX12" s="23" t="e">
        <f>AW12+'08.04'!AX12</f>
        <v>#REF!</v>
      </c>
      <c r="AY12" s="34">
        <v>0</v>
      </c>
      <c r="AZ12" s="23" t="e">
        <f>AY12+'08.04'!AZ12</f>
        <v>#REF!</v>
      </c>
      <c r="BA12" s="34">
        <v>73</v>
      </c>
      <c r="BB12" s="23" t="e">
        <f>BA12+'08.04'!BB12</f>
        <v>#REF!</v>
      </c>
      <c r="BC12" s="19">
        <f t="shared" si="3"/>
        <v>2119</v>
      </c>
      <c r="BD12" s="20" t="e">
        <f t="shared" si="3"/>
        <v>#REF!</v>
      </c>
      <c r="BE12" s="22">
        <v>5</v>
      </c>
      <c r="BF12" s="23" t="e">
        <f>BE12+'08.04'!BF12</f>
        <v>#REF!</v>
      </c>
      <c r="BG12" s="34">
        <v>14</v>
      </c>
      <c r="BH12" s="23" t="e">
        <f>BG12+'08.04'!BH12</f>
        <v>#REF!</v>
      </c>
      <c r="BI12" s="22">
        <v>1900</v>
      </c>
      <c r="BJ12" s="23" t="e">
        <f>BI12+'08.04'!BJ12</f>
        <v>#REF!</v>
      </c>
      <c r="BK12" s="22">
        <v>200</v>
      </c>
      <c r="BL12" s="23" t="e">
        <f>BK12+'08.04'!BL12</f>
        <v>#REF!</v>
      </c>
      <c r="BM12" s="22">
        <v>0</v>
      </c>
      <c r="BN12" s="23" t="e">
        <f>BM12+'08.04'!BN12</f>
        <v>#REF!</v>
      </c>
      <c r="BO12" s="36"/>
      <c r="BP12" s="37">
        <v>0</v>
      </c>
      <c r="BQ12" s="23" t="e">
        <f>BP12+'08.04'!BQ12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 t="e">
        <f t="shared" si="0"/>
        <v>#REF!</v>
      </c>
      <c r="E13" s="32">
        <v>516</v>
      </c>
      <c r="F13" s="22">
        <v>2</v>
      </c>
      <c r="G13" s="23" t="e">
        <f>F13+'08.04'!G13</f>
        <v>#REF!</v>
      </c>
      <c r="H13" s="33">
        <v>10</v>
      </c>
      <c r="I13" s="34">
        <v>1</v>
      </c>
      <c r="J13" s="23" t="e">
        <f>I13+'08.04'!J13</f>
        <v>#REF!</v>
      </c>
      <c r="K13" s="33">
        <v>38</v>
      </c>
      <c r="L13" s="22">
        <v>0</v>
      </c>
      <c r="M13" s="23" t="e">
        <f>L13+'08.04'!M13</f>
        <v>#REF!</v>
      </c>
      <c r="N13" s="33">
        <v>581</v>
      </c>
      <c r="O13" s="22">
        <v>0</v>
      </c>
      <c r="P13" s="23" t="e">
        <f>O13+'08.04'!P13</f>
        <v>#REF!</v>
      </c>
      <c r="Q13" s="33">
        <v>525</v>
      </c>
      <c r="R13" s="22">
        <v>0</v>
      </c>
      <c r="S13" s="23" t="e">
        <f>R13+'08.04'!S13</f>
        <v>#REF!</v>
      </c>
      <c r="T13" s="33">
        <v>263</v>
      </c>
      <c r="U13" s="22">
        <v>0</v>
      </c>
      <c r="V13" s="23" t="e">
        <f>U13+'08.04'!V13</f>
        <v>#REF!</v>
      </c>
      <c r="W13" s="33">
        <v>43</v>
      </c>
      <c r="X13" s="22">
        <v>0</v>
      </c>
      <c r="Y13" s="23" t="e">
        <f>X13+'08.04'!Y13</f>
        <v>#REF!</v>
      </c>
      <c r="Z13" s="33">
        <v>17</v>
      </c>
      <c r="AA13" s="22">
        <v>0</v>
      </c>
      <c r="AB13" s="23" t="e">
        <f>AA13+'08.04'!AB13</f>
        <v>#REF!</v>
      </c>
      <c r="AC13" s="33">
        <v>51</v>
      </c>
      <c r="AD13" s="22">
        <v>1</v>
      </c>
      <c r="AE13" s="23" t="e">
        <f>AD13+'08.04'!AE13</f>
        <v>#REF!</v>
      </c>
      <c r="AF13" s="19">
        <f t="shared" si="1"/>
        <v>237000</v>
      </c>
      <c r="AG13" s="20" t="e">
        <f t="shared" si="1"/>
        <v>#REF!</v>
      </c>
      <c r="AH13" s="24">
        <v>3000</v>
      </c>
      <c r="AI13" s="23" t="e">
        <f>AH13+'08.04'!AI13</f>
        <v>#REF!</v>
      </c>
      <c r="AJ13" s="24">
        <v>14000</v>
      </c>
      <c r="AK13" s="23" t="e">
        <f>AJ13+'08.04'!AK13</f>
        <v>#REF!</v>
      </c>
      <c r="AL13" s="22">
        <v>20000</v>
      </c>
      <c r="AM13" s="23" t="e">
        <f>AL13+'08.04'!AM13</f>
        <v>#REF!</v>
      </c>
      <c r="AN13" s="22">
        <v>200000</v>
      </c>
      <c r="AO13" s="23" t="e">
        <f>AN13+'08.04'!AO13</f>
        <v>#REF!</v>
      </c>
      <c r="AP13" s="28" t="s">
        <v>47</v>
      </c>
      <c r="AQ13" s="19">
        <f t="shared" si="2"/>
        <v>50</v>
      </c>
      <c r="AR13" s="20" t="e">
        <f t="shared" si="2"/>
        <v>#REF!</v>
      </c>
      <c r="AS13" s="34">
        <v>0</v>
      </c>
      <c r="AT13" s="23" t="e">
        <f>AS13+'08.04'!AT13</f>
        <v>#REF!</v>
      </c>
      <c r="AU13" s="34">
        <v>0</v>
      </c>
      <c r="AV13" s="23" t="e">
        <f>AU13+'08.04'!AV13</f>
        <v>#REF!</v>
      </c>
      <c r="AW13" s="34">
        <v>0</v>
      </c>
      <c r="AX13" s="23" t="e">
        <f>AW13+'08.04'!AX13</f>
        <v>#REF!</v>
      </c>
      <c r="AY13" s="34">
        <v>0</v>
      </c>
      <c r="AZ13" s="23" t="e">
        <f>AY13+'08.04'!AZ13</f>
        <v>#REF!</v>
      </c>
      <c r="BA13" s="34">
        <v>50</v>
      </c>
      <c r="BB13" s="23" t="e">
        <f>BA13+'08.04'!BB13</f>
        <v>#REF!</v>
      </c>
      <c r="BC13" s="19">
        <f t="shared" si="3"/>
        <v>7601</v>
      </c>
      <c r="BD13" s="20" t="e">
        <f t="shared" si="3"/>
        <v>#REF!</v>
      </c>
      <c r="BE13" s="22">
        <v>516</v>
      </c>
      <c r="BF13" s="23" t="e">
        <f>BE13+'08.04'!BF13</f>
        <v>#REF!</v>
      </c>
      <c r="BG13" s="34">
        <v>15</v>
      </c>
      <c r="BH13" s="23" t="e">
        <f>BG13+'08.04'!BH13</f>
        <v>#REF!</v>
      </c>
      <c r="BI13" s="22">
        <v>7000</v>
      </c>
      <c r="BJ13" s="23" t="e">
        <f>BI13+'08.04'!BJ13</f>
        <v>#REF!</v>
      </c>
      <c r="BK13" s="22">
        <v>70</v>
      </c>
      <c r="BL13" s="23" t="e">
        <f>BK13+'08.04'!BL13</f>
        <v>#REF!</v>
      </c>
      <c r="BM13" s="22">
        <v>0</v>
      </c>
      <c r="BN13" s="23" t="e">
        <f>BM13+'08.04'!BN13</f>
        <v>#REF!</v>
      </c>
      <c r="BO13" s="36"/>
      <c r="BP13" s="37">
        <v>0</v>
      </c>
      <c r="BQ13" s="23" t="e">
        <f>BP13+'08.04'!BQ13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155</v>
      </c>
      <c r="D14" s="42" t="e">
        <f t="shared" si="0"/>
        <v>#REF!</v>
      </c>
      <c r="E14" s="43">
        <v>304</v>
      </c>
      <c r="F14" s="22">
        <v>125</v>
      </c>
      <c r="G14" s="23" t="e">
        <f>F14+'08.04'!G14</f>
        <v>#REF!</v>
      </c>
      <c r="H14" s="44">
        <v>5</v>
      </c>
      <c r="I14" s="45">
        <v>0</v>
      </c>
      <c r="J14" s="23" t="e">
        <f>I14+'08.04'!J14</f>
        <v>#REF!</v>
      </c>
      <c r="K14" s="44">
        <v>34</v>
      </c>
      <c r="L14" s="22">
        <v>0</v>
      </c>
      <c r="M14" s="23" t="e">
        <f>L14+'08.04'!M14</f>
        <v>#REF!</v>
      </c>
      <c r="N14" s="44">
        <v>583</v>
      </c>
      <c r="O14" s="22">
        <v>0</v>
      </c>
      <c r="P14" s="23" t="e">
        <f>O14+'08.04'!P14</f>
        <v>#REF!</v>
      </c>
      <c r="Q14" s="44">
        <v>254</v>
      </c>
      <c r="R14" s="22">
        <v>0</v>
      </c>
      <c r="S14" s="23" t="e">
        <f>R14+'08.04'!S14</f>
        <v>#REF!</v>
      </c>
      <c r="T14" s="44">
        <v>196</v>
      </c>
      <c r="U14" s="22">
        <v>0</v>
      </c>
      <c r="V14" s="23" t="e">
        <f>U14+'08.04'!V14</f>
        <v>#REF!</v>
      </c>
      <c r="W14" s="44">
        <v>30</v>
      </c>
      <c r="X14" s="22">
        <v>26</v>
      </c>
      <c r="Y14" s="23" t="e">
        <f>X14+'08.04'!Y14</f>
        <v>#REF!</v>
      </c>
      <c r="Z14" s="44">
        <v>10</v>
      </c>
      <c r="AA14" s="22">
        <v>0</v>
      </c>
      <c r="AB14" s="23" t="e">
        <f>AA14+'08.04'!AB14</f>
        <v>#REF!</v>
      </c>
      <c r="AC14" s="44">
        <v>2500</v>
      </c>
      <c r="AD14" s="22">
        <v>4</v>
      </c>
      <c r="AE14" s="23" t="e">
        <f>AD14+'08.04'!AE14</f>
        <v>#REF!</v>
      </c>
      <c r="AF14" s="19">
        <f t="shared" si="1"/>
        <v>138500</v>
      </c>
      <c r="AG14" s="20" t="e">
        <f t="shared" si="1"/>
        <v>#REF!</v>
      </c>
      <c r="AH14" s="24">
        <v>3200</v>
      </c>
      <c r="AI14" s="23" t="e">
        <f>AH14+'08.04'!AI14</f>
        <v>#REF!</v>
      </c>
      <c r="AJ14" s="24">
        <v>5300</v>
      </c>
      <c r="AK14" s="23" t="e">
        <f>AJ14+'08.04'!AK14</f>
        <v>#REF!</v>
      </c>
      <c r="AL14" s="22">
        <v>14000</v>
      </c>
      <c r="AM14" s="23" t="e">
        <f>AL14+'08.04'!AM14</f>
        <v>#REF!</v>
      </c>
      <c r="AN14" s="22">
        <v>116000</v>
      </c>
      <c r="AO14" s="23" t="e">
        <f>AN14+'08.04'!AO14</f>
        <v>#REF!</v>
      </c>
      <c r="AP14" s="39" t="s">
        <v>48</v>
      </c>
      <c r="AQ14" s="19">
        <f t="shared" si="2"/>
        <v>12</v>
      </c>
      <c r="AR14" s="20" t="e">
        <f t="shared" si="2"/>
        <v>#REF!</v>
      </c>
      <c r="AS14" s="45">
        <v>0</v>
      </c>
      <c r="AT14" s="23" t="e">
        <f>AS14+'08.04'!AT14</f>
        <v>#REF!</v>
      </c>
      <c r="AU14" s="45">
        <v>0</v>
      </c>
      <c r="AV14" s="23" t="e">
        <f>AU14+'08.04'!AV14</f>
        <v>#REF!</v>
      </c>
      <c r="AW14" s="45">
        <v>0</v>
      </c>
      <c r="AX14" s="23" t="e">
        <f>AW14+'08.04'!AX14</f>
        <v>#REF!</v>
      </c>
      <c r="AY14" s="45">
        <v>0</v>
      </c>
      <c r="AZ14" s="23" t="e">
        <f>AY14+'08.04'!AZ14</f>
        <v>#REF!</v>
      </c>
      <c r="BA14" s="45">
        <v>12</v>
      </c>
      <c r="BB14" s="23" t="e">
        <f>BA14+'08.04'!BB14</f>
        <v>#REF!</v>
      </c>
      <c r="BC14" s="19">
        <f t="shared" si="3"/>
        <v>6023</v>
      </c>
      <c r="BD14" s="20" t="e">
        <f t="shared" si="3"/>
        <v>#REF!</v>
      </c>
      <c r="BE14" s="22">
        <v>6</v>
      </c>
      <c r="BF14" s="23" t="e">
        <f>BE14+'08.04'!BF14</f>
        <v>#REF!</v>
      </c>
      <c r="BG14" s="45">
        <v>5</v>
      </c>
      <c r="BH14" s="23" t="e">
        <f>BG14+'08.04'!BH14</f>
        <v>#REF!</v>
      </c>
      <c r="BI14" s="22">
        <v>6000</v>
      </c>
      <c r="BJ14" s="23" t="e">
        <f>BI14+'08.04'!BJ14</f>
        <v>#REF!</v>
      </c>
      <c r="BK14" s="22">
        <v>12</v>
      </c>
      <c r="BL14" s="23" t="e">
        <f>BK14+'08.04'!BL14</f>
        <v>#REF!</v>
      </c>
      <c r="BM14" s="22">
        <v>0</v>
      </c>
      <c r="BN14" s="23" t="e">
        <f>BM14+'08.04'!BN14</f>
        <v>#REF!</v>
      </c>
      <c r="BO14" s="48">
        <v>2</v>
      </c>
      <c r="BP14" s="49">
        <v>0</v>
      </c>
      <c r="BQ14" s="23" t="e">
        <f>BP14+'08.04'!BQ14</f>
        <v>#REF!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439</v>
      </c>
      <c r="D15" s="53" t="e">
        <f t="shared" si="0"/>
        <v>#REF!</v>
      </c>
      <c r="E15" s="54">
        <v>776</v>
      </c>
      <c r="F15" s="55">
        <v>315</v>
      </c>
      <c r="G15" s="23" t="e">
        <f>F15+'08.04'!G15</f>
        <v>#REF!</v>
      </c>
      <c r="H15" s="56">
        <v>9</v>
      </c>
      <c r="I15" s="57">
        <v>0</v>
      </c>
      <c r="J15" s="23" t="e">
        <f>I15+'08.04'!J15</f>
        <v>#REF!</v>
      </c>
      <c r="K15" s="56">
        <v>6</v>
      </c>
      <c r="L15" s="55">
        <v>0</v>
      </c>
      <c r="M15" s="23" t="e">
        <f>L15+'08.04'!M15</f>
        <v>#REF!</v>
      </c>
      <c r="N15" s="56">
        <v>1305</v>
      </c>
      <c r="O15" s="55">
        <v>0</v>
      </c>
      <c r="P15" s="23" t="e">
        <f>O15+'08.04'!P15</f>
        <v>#REF!</v>
      </c>
      <c r="Q15" s="56">
        <v>447</v>
      </c>
      <c r="R15" s="55">
        <v>0</v>
      </c>
      <c r="S15" s="23" t="e">
        <f>R15+'08.04'!S15</f>
        <v>#REF!</v>
      </c>
      <c r="T15" s="56">
        <v>337</v>
      </c>
      <c r="U15" s="55">
        <v>0</v>
      </c>
      <c r="V15" s="23" t="e">
        <f>U15+'08.04'!V15</f>
        <v>#REF!</v>
      </c>
      <c r="W15" s="56">
        <v>78</v>
      </c>
      <c r="X15" s="55">
        <v>0</v>
      </c>
      <c r="Y15" s="23" t="e">
        <f>X15+'08.04'!Y15</f>
        <v>#REF!</v>
      </c>
      <c r="Z15" s="56">
        <v>141</v>
      </c>
      <c r="AA15" s="55">
        <v>0</v>
      </c>
      <c r="AB15" s="23" t="e">
        <f>AA15+'08.04'!AB15</f>
        <v>#REF!</v>
      </c>
      <c r="AC15" s="56">
        <v>798</v>
      </c>
      <c r="AD15" s="55">
        <v>124</v>
      </c>
      <c r="AE15" s="23" t="e">
        <f>AD15+'08.04'!AE15</f>
        <v>#REF!</v>
      </c>
      <c r="AF15" s="58">
        <f t="shared" si="1"/>
        <v>1122438</v>
      </c>
      <c r="AG15" s="59" t="e">
        <f t="shared" si="1"/>
        <v>#REF!</v>
      </c>
      <c r="AH15" s="60">
        <v>1276</v>
      </c>
      <c r="AI15" s="23" t="e">
        <f>AH15+'08.04'!AI15</f>
        <v>#REF!</v>
      </c>
      <c r="AJ15" s="60">
        <v>3398</v>
      </c>
      <c r="AK15" s="23" t="e">
        <f>AJ15+'08.04'!AK15</f>
        <v>#REF!</v>
      </c>
      <c r="AL15" s="55">
        <v>558882</v>
      </c>
      <c r="AM15" s="23" t="e">
        <f>AL15+'08.04'!AM15</f>
        <v>#REF!</v>
      </c>
      <c r="AN15" s="55">
        <v>558882</v>
      </c>
      <c r="AO15" s="23" t="e">
        <f>AN15+'08.04'!AO15</f>
        <v>#REF!</v>
      </c>
      <c r="AP15" s="50" t="s">
        <v>49</v>
      </c>
      <c r="AQ15" s="58">
        <f t="shared" si="2"/>
        <v>3</v>
      </c>
      <c r="AR15" s="59" t="e">
        <f t="shared" si="2"/>
        <v>#REF!</v>
      </c>
      <c r="AS15" s="57">
        <v>0</v>
      </c>
      <c r="AT15" s="23" t="e">
        <f>AS15+'08.04'!AT15</f>
        <v>#REF!</v>
      </c>
      <c r="AU15" s="57">
        <v>0</v>
      </c>
      <c r="AV15" s="23" t="e">
        <f>AU15+'08.04'!AV15</f>
        <v>#REF!</v>
      </c>
      <c r="AW15" s="57">
        <v>0</v>
      </c>
      <c r="AX15" s="23" t="e">
        <f>AW15+'08.04'!AX15</f>
        <v>#REF!</v>
      </c>
      <c r="AY15" s="57">
        <v>0</v>
      </c>
      <c r="AZ15" s="23" t="e">
        <f>AY15+'08.04'!AZ15</f>
        <v>#REF!</v>
      </c>
      <c r="BA15" s="57">
        <v>3</v>
      </c>
      <c r="BB15" s="23" t="e">
        <f>BA15+'08.04'!BB15</f>
        <v>#REF!</v>
      </c>
      <c r="BC15" s="58">
        <f t="shared" si="3"/>
        <v>2111</v>
      </c>
      <c r="BD15" s="59" t="e">
        <f t="shared" si="3"/>
        <v>#REF!</v>
      </c>
      <c r="BE15" s="55">
        <v>68</v>
      </c>
      <c r="BF15" s="23" t="e">
        <f>BE15+'08.04'!BF15</f>
        <v>#REF!</v>
      </c>
      <c r="BG15" s="57">
        <v>3</v>
      </c>
      <c r="BH15" s="23" t="e">
        <f>BG15+'08.04'!BH15</f>
        <v>#REF!</v>
      </c>
      <c r="BI15" s="55">
        <v>990</v>
      </c>
      <c r="BJ15" s="23" t="e">
        <f>BI15+'08.04'!BJ15</f>
        <v>#REF!</v>
      </c>
      <c r="BK15" s="55">
        <v>1050</v>
      </c>
      <c r="BL15" s="23" t="e">
        <f>BK15+'08.04'!BL15</f>
        <v>#REF!</v>
      </c>
      <c r="BM15" s="55">
        <v>0</v>
      </c>
      <c r="BN15" s="23" t="e">
        <f>BM15+'08.04'!BN15</f>
        <v>#REF!</v>
      </c>
      <c r="BO15" s="36">
        <v>6274</v>
      </c>
      <c r="BP15" s="37">
        <v>1</v>
      </c>
      <c r="BQ15" s="23" t="e">
        <f>BP15+'08.04'!BQ15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142</v>
      </c>
      <c r="D16" s="31" t="e">
        <f t="shared" si="0"/>
        <v>#REF!</v>
      </c>
      <c r="E16" s="32">
        <v>310</v>
      </c>
      <c r="F16" s="22">
        <v>54</v>
      </c>
      <c r="G16" s="23" t="e">
        <f>F16+'08.04'!G16</f>
        <v>#REF!</v>
      </c>
      <c r="H16" s="33">
        <v>5</v>
      </c>
      <c r="I16" s="34">
        <v>0</v>
      </c>
      <c r="J16" s="23" t="e">
        <f>I16+'08.04'!J16</f>
        <v>#REF!</v>
      </c>
      <c r="K16" s="33">
        <v>3</v>
      </c>
      <c r="L16" s="22">
        <v>0</v>
      </c>
      <c r="M16" s="23" t="e">
        <f>L16+'08.04'!M16</f>
        <v>#REF!</v>
      </c>
      <c r="N16" s="33">
        <v>384</v>
      </c>
      <c r="O16" s="22">
        <v>0</v>
      </c>
      <c r="P16" s="23" t="e">
        <f>O16+'08.04'!P16</f>
        <v>#REF!</v>
      </c>
      <c r="Q16" s="33">
        <v>245</v>
      </c>
      <c r="R16" s="22">
        <v>0</v>
      </c>
      <c r="S16" s="23" t="e">
        <f>R16+'08.04'!S16</f>
        <v>#REF!</v>
      </c>
      <c r="T16" s="33">
        <v>397</v>
      </c>
      <c r="U16" s="22">
        <v>0</v>
      </c>
      <c r="V16" s="23" t="e">
        <f>U16+'08.04'!V16</f>
        <v>#REF!</v>
      </c>
      <c r="W16" s="33">
        <v>24</v>
      </c>
      <c r="X16" s="22">
        <v>41</v>
      </c>
      <c r="Y16" s="23" t="e">
        <f>X16+'08.04'!Y16</f>
        <v>#REF!</v>
      </c>
      <c r="Z16" s="33">
        <v>18</v>
      </c>
      <c r="AA16" s="22">
        <v>0</v>
      </c>
      <c r="AB16" s="23" t="e">
        <f>AA16+'08.04'!AB16</f>
        <v>#REF!</v>
      </c>
      <c r="AC16" s="33">
        <v>18515</v>
      </c>
      <c r="AD16" s="22">
        <v>47</v>
      </c>
      <c r="AE16" s="23" t="e">
        <f>AD16+'08.04'!AE16</f>
        <v>#REF!</v>
      </c>
      <c r="AF16" s="19">
        <f t="shared" si="1"/>
        <v>96260</v>
      </c>
      <c r="AG16" s="20" t="e">
        <f t="shared" si="1"/>
        <v>#REF!</v>
      </c>
      <c r="AH16" s="24">
        <v>350</v>
      </c>
      <c r="AI16" s="23" t="e">
        <f>AH16+'08.04'!AI16</f>
        <v>#REF!</v>
      </c>
      <c r="AJ16" s="24">
        <v>1210</v>
      </c>
      <c r="AK16" s="23" t="e">
        <f>AJ16+'08.04'!AK16</f>
        <v>#REF!</v>
      </c>
      <c r="AL16" s="22">
        <v>3240</v>
      </c>
      <c r="AM16" s="23" t="e">
        <f>AL16+'08.04'!AM16</f>
        <v>#REF!</v>
      </c>
      <c r="AN16" s="22">
        <v>91460</v>
      </c>
      <c r="AO16" s="23" t="e">
        <f>AN16+'08.04'!AO16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>
        <v>0</v>
      </c>
      <c r="AT16" s="23" t="e">
        <f>AS16+'08.04'!AT16</f>
        <v>#REF!</v>
      </c>
      <c r="AU16" s="34">
        <v>0</v>
      </c>
      <c r="AV16" s="23" t="e">
        <f>AU16+'08.04'!AV16</f>
        <v>#REF!</v>
      </c>
      <c r="AW16" s="34">
        <v>0</v>
      </c>
      <c r="AX16" s="23" t="e">
        <f>AW16+'08.04'!AX16</f>
        <v>#REF!</v>
      </c>
      <c r="AY16" s="34">
        <v>0</v>
      </c>
      <c r="AZ16" s="23" t="e">
        <f>AY16+'08.04'!AZ16</f>
        <v>#REF!</v>
      </c>
      <c r="BA16" s="34">
        <v>0</v>
      </c>
      <c r="BB16" s="23" t="e">
        <f>BA16+'08.04'!BB16</f>
        <v>#REF!</v>
      </c>
      <c r="BC16" s="19">
        <f t="shared" si="3"/>
        <v>1384</v>
      </c>
      <c r="BD16" s="20" t="e">
        <f t="shared" si="3"/>
        <v>#REF!</v>
      </c>
      <c r="BE16" s="22">
        <v>71</v>
      </c>
      <c r="BF16" s="23" t="e">
        <f>BE16+'08.04'!BF16</f>
        <v>#REF!</v>
      </c>
      <c r="BG16" s="34">
        <v>3</v>
      </c>
      <c r="BH16" s="23" t="e">
        <f>BG16+'08.04'!BH16</f>
        <v>#REF!</v>
      </c>
      <c r="BI16" s="22">
        <v>1060</v>
      </c>
      <c r="BJ16" s="23" t="e">
        <f>BI16+'08.04'!BJ16</f>
        <v>#REF!</v>
      </c>
      <c r="BK16" s="22">
        <v>250</v>
      </c>
      <c r="BL16" s="23" t="e">
        <f>BK16+'08.04'!BL16</f>
        <v>#REF!</v>
      </c>
      <c r="BM16" s="22">
        <v>0</v>
      </c>
      <c r="BN16" s="23" t="e">
        <f>BM16+'08.04'!BN16</f>
        <v>#REF!</v>
      </c>
      <c r="BO16" s="36">
        <v>2546</v>
      </c>
      <c r="BP16" s="37">
        <v>0</v>
      </c>
      <c r="BQ16" s="23" t="e">
        <f>BP16+'08.04'!BQ16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235</v>
      </c>
      <c r="D17" s="31" t="e">
        <f t="shared" si="0"/>
        <v>#REF!</v>
      </c>
      <c r="E17" s="32">
        <v>754</v>
      </c>
      <c r="F17" s="22">
        <v>165</v>
      </c>
      <c r="G17" s="23" t="e">
        <f>F17+'08.04'!G17</f>
        <v>#REF!</v>
      </c>
      <c r="H17" s="33">
        <v>9</v>
      </c>
      <c r="I17" s="34">
        <v>0</v>
      </c>
      <c r="J17" s="23" t="e">
        <f>I17+'08.04'!J17</f>
        <v>#REF!</v>
      </c>
      <c r="K17" s="33">
        <v>5</v>
      </c>
      <c r="L17" s="22">
        <v>0</v>
      </c>
      <c r="M17" s="23" t="e">
        <f>L17+'08.04'!M17</f>
        <v>#REF!</v>
      </c>
      <c r="N17" s="33">
        <v>768</v>
      </c>
      <c r="O17" s="22">
        <v>0</v>
      </c>
      <c r="P17" s="23" t="e">
        <f>O17+'08.04'!P17</f>
        <v>#REF!</v>
      </c>
      <c r="Q17" s="33">
        <v>624</v>
      </c>
      <c r="R17" s="22">
        <v>0</v>
      </c>
      <c r="S17" s="23" t="e">
        <f>R17+'08.04'!S17</f>
        <v>#REF!</v>
      </c>
      <c r="T17" s="33">
        <v>742</v>
      </c>
      <c r="U17" s="22">
        <v>0</v>
      </c>
      <c r="V17" s="23" t="e">
        <f>U17+'08.04'!V17</f>
        <v>#REF!</v>
      </c>
      <c r="W17" s="33">
        <v>54</v>
      </c>
      <c r="X17" s="22">
        <v>55</v>
      </c>
      <c r="Y17" s="23" t="e">
        <f>X17+'08.04'!Y17</f>
        <v>#REF!</v>
      </c>
      <c r="Z17" s="33">
        <v>66</v>
      </c>
      <c r="AA17" s="22">
        <v>0</v>
      </c>
      <c r="AB17" s="23" t="e">
        <f>AA17+'08.04'!AB17</f>
        <v>#REF!</v>
      </c>
      <c r="AC17" s="33">
        <v>2580</v>
      </c>
      <c r="AD17" s="22">
        <v>15</v>
      </c>
      <c r="AE17" s="23" t="e">
        <f>AD17+'08.04'!AE17</f>
        <v>#REF!</v>
      </c>
      <c r="AF17" s="19">
        <f t="shared" si="1"/>
        <v>207800</v>
      </c>
      <c r="AG17" s="20" t="e">
        <f t="shared" si="1"/>
        <v>#REF!</v>
      </c>
      <c r="AH17" s="24">
        <v>10300</v>
      </c>
      <c r="AI17" s="23" t="e">
        <f>AH17+'08.04'!AI17</f>
        <v>#REF!</v>
      </c>
      <c r="AJ17" s="24">
        <v>11600</v>
      </c>
      <c r="AK17" s="23" t="e">
        <f>AJ17+'08.04'!AK17</f>
        <v>#REF!</v>
      </c>
      <c r="AL17" s="22">
        <v>75200</v>
      </c>
      <c r="AM17" s="23" t="e">
        <f>AL17+'08.04'!AM17</f>
        <v>#REF!</v>
      </c>
      <c r="AN17" s="22">
        <v>110700</v>
      </c>
      <c r="AO17" s="23" t="e">
        <f>AN17+'08.04'!AO17</f>
        <v>#REF!</v>
      </c>
      <c r="AP17" s="28" t="s">
        <v>52</v>
      </c>
      <c r="AQ17" s="19">
        <f t="shared" si="2"/>
        <v>15</v>
      </c>
      <c r="AR17" s="20" t="e">
        <f t="shared" si="2"/>
        <v>#REF!</v>
      </c>
      <c r="AS17" s="34">
        <v>0</v>
      </c>
      <c r="AT17" s="23" t="e">
        <f>AS17+'08.04'!AT17</f>
        <v>#REF!</v>
      </c>
      <c r="AU17" s="34">
        <v>1</v>
      </c>
      <c r="AV17" s="23" t="e">
        <f>AU17+'08.04'!AV17</f>
        <v>#REF!</v>
      </c>
      <c r="AW17" s="34">
        <v>0</v>
      </c>
      <c r="AX17" s="23" t="e">
        <f>AW17+'08.04'!AX17</f>
        <v>#REF!</v>
      </c>
      <c r="AY17" s="34">
        <v>0</v>
      </c>
      <c r="AZ17" s="23" t="e">
        <f>AY17+'08.04'!AZ17</f>
        <v>#REF!</v>
      </c>
      <c r="BA17" s="34">
        <v>14</v>
      </c>
      <c r="BB17" s="23" t="e">
        <f>BA17+'08.04'!BB17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BE17+'08.04'!BF17</f>
        <v>#REF!</v>
      </c>
      <c r="BG17" s="34">
        <v>4</v>
      </c>
      <c r="BH17" s="23" t="e">
        <f>BG17+'08.04'!BH17</f>
        <v>#REF!</v>
      </c>
      <c r="BI17" s="22">
        <v>1400</v>
      </c>
      <c r="BJ17" s="23" t="e">
        <f>BI17+'08.04'!BJ17</f>
        <v>#REF!</v>
      </c>
      <c r="BK17" s="22">
        <v>160</v>
      </c>
      <c r="BL17" s="23" t="e">
        <f>BK17+'08.04'!BL17</f>
        <v>#REF!</v>
      </c>
      <c r="BM17" s="22">
        <v>0</v>
      </c>
      <c r="BN17" s="23" t="e">
        <f>BM17+'08.04'!BN17</f>
        <v>#REF!</v>
      </c>
      <c r="BO17" s="36">
        <v>8022</v>
      </c>
      <c r="BP17" s="37">
        <v>10</v>
      </c>
      <c r="BQ17" s="23" t="e">
        <f>BP17+'08.04'!BQ17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589</v>
      </c>
      <c r="D18" s="20" t="e">
        <f t="shared" si="0"/>
        <v>#REF!</v>
      </c>
      <c r="E18" s="21">
        <v>1063</v>
      </c>
      <c r="F18" s="22">
        <v>351</v>
      </c>
      <c r="G18" s="23" t="e">
        <f>F18+'08.04'!G18</f>
        <v>#REF!</v>
      </c>
      <c r="H18" s="21">
        <v>19</v>
      </c>
      <c r="I18" s="22">
        <v>0</v>
      </c>
      <c r="J18" s="23" t="e">
        <f>I18+'08.04'!J18</f>
        <v>#REF!</v>
      </c>
      <c r="K18" s="21">
        <v>8</v>
      </c>
      <c r="L18" s="22">
        <v>0</v>
      </c>
      <c r="M18" s="23" t="e">
        <f>L18+'08.04'!M18</f>
        <v>#REF!</v>
      </c>
      <c r="N18" s="21">
        <v>1331</v>
      </c>
      <c r="O18" s="22">
        <v>0</v>
      </c>
      <c r="P18" s="23" t="e">
        <f>O18+'08.04'!P18</f>
        <v>#REF!</v>
      </c>
      <c r="Q18" s="21">
        <v>777</v>
      </c>
      <c r="R18" s="22">
        <v>0</v>
      </c>
      <c r="S18" s="23" t="e">
        <f>R18+'08.04'!S18</f>
        <v>#REF!</v>
      </c>
      <c r="T18" s="21">
        <v>318</v>
      </c>
      <c r="U18" s="22">
        <v>0</v>
      </c>
      <c r="V18" s="23" t="e">
        <f>U18+'08.04'!V18</f>
        <v>#REF!</v>
      </c>
      <c r="W18" s="21">
        <v>60</v>
      </c>
      <c r="X18" s="22">
        <v>0</v>
      </c>
      <c r="Y18" s="23" t="e">
        <f>X18+'08.04'!Y18</f>
        <v>#REF!</v>
      </c>
      <c r="Z18" s="21">
        <v>72</v>
      </c>
      <c r="AA18" s="22">
        <v>0</v>
      </c>
      <c r="AB18" s="23" t="e">
        <f>AA18+'08.04'!AB18</f>
        <v>#REF!</v>
      </c>
      <c r="AC18" s="21">
        <v>143</v>
      </c>
      <c r="AD18" s="22">
        <v>238</v>
      </c>
      <c r="AE18" s="23" t="e">
        <f>AD18+'08.04'!AE18</f>
        <v>#REF!</v>
      </c>
      <c r="AF18" s="19">
        <f t="shared" si="1"/>
        <v>353657</v>
      </c>
      <c r="AG18" s="20" t="e">
        <f t="shared" si="1"/>
        <v>#REF!</v>
      </c>
      <c r="AH18" s="24">
        <v>624</v>
      </c>
      <c r="AI18" s="23" t="e">
        <f>AH18+'08.04'!AI18</f>
        <v>#REF!</v>
      </c>
      <c r="AJ18" s="24">
        <v>4894</v>
      </c>
      <c r="AK18" s="23" t="e">
        <f>AJ18+'08.04'!AK18</f>
        <v>#REF!</v>
      </c>
      <c r="AL18" s="22">
        <v>5276</v>
      </c>
      <c r="AM18" s="23" t="e">
        <f>AL18+'08.04'!AM18</f>
        <v>#REF!</v>
      </c>
      <c r="AN18" s="22">
        <v>342863</v>
      </c>
      <c r="AO18" s="23" t="e">
        <f>AN18+'08.04'!AO18</f>
        <v>#REF!</v>
      </c>
      <c r="AP18" s="17" t="s">
        <v>53</v>
      </c>
      <c r="AQ18" s="19">
        <f>AS18+AU18+AW18+AY18+BA18</f>
        <v>6</v>
      </c>
      <c r="AR18" s="20" t="e">
        <f t="shared" si="2"/>
        <v>#REF!</v>
      </c>
      <c r="AS18" s="22">
        <v>0</v>
      </c>
      <c r="AT18" s="23" t="e">
        <f>AS18+'08.04'!AT18</f>
        <v>#REF!</v>
      </c>
      <c r="AU18" s="22">
        <v>0</v>
      </c>
      <c r="AV18" s="23" t="e">
        <f>AU18+'08.04'!AV18</f>
        <v>#REF!</v>
      </c>
      <c r="AW18" s="22">
        <v>0</v>
      </c>
      <c r="AX18" s="23" t="e">
        <f>AW18+'08.04'!AX18</f>
        <v>#REF!</v>
      </c>
      <c r="AY18" s="22">
        <v>0</v>
      </c>
      <c r="AZ18" s="23" t="e">
        <f>AY18+'08.04'!AZ18</f>
        <v>#REF!</v>
      </c>
      <c r="BA18" s="22">
        <v>6</v>
      </c>
      <c r="BB18" s="23" t="e">
        <f>BA18+'08.04'!BB18</f>
        <v>#REF!</v>
      </c>
      <c r="BC18" s="19">
        <f t="shared" si="3"/>
        <v>3739</v>
      </c>
      <c r="BD18" s="20" t="e">
        <f>BF18+BH18+BJ18+BL18+BN18</f>
        <v>#REF!</v>
      </c>
      <c r="BE18" s="22">
        <v>2</v>
      </c>
      <c r="BF18" s="23" t="e">
        <f>BE18+'08.04'!BF18</f>
        <v>#REF!</v>
      </c>
      <c r="BG18" s="22">
        <v>0</v>
      </c>
      <c r="BH18" s="23" t="e">
        <f>BG18+'08.04'!BH18</f>
        <v>#REF!</v>
      </c>
      <c r="BI18" s="22">
        <v>3516</v>
      </c>
      <c r="BJ18" s="23" t="e">
        <f>BI18+'08.04'!BJ18</f>
        <v>#REF!</v>
      </c>
      <c r="BK18" s="22">
        <v>221</v>
      </c>
      <c r="BL18" s="23" t="e">
        <f>BK18+'08.04'!BL18</f>
        <v>#REF!</v>
      </c>
      <c r="BM18" s="22">
        <v>0</v>
      </c>
      <c r="BN18" s="23" t="e">
        <f>BM18+'08.04'!BN18</f>
        <v>#REF!</v>
      </c>
      <c r="BO18" s="36">
        <v>442</v>
      </c>
      <c r="BP18" s="37">
        <v>0</v>
      </c>
      <c r="BQ18" s="23" t="e">
        <f>BP18+'08.04'!BQ18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42</v>
      </c>
      <c r="D19" s="31" t="e">
        <f t="shared" si="0"/>
        <v>#REF!</v>
      </c>
      <c r="E19" s="33">
        <v>221</v>
      </c>
      <c r="F19" s="22">
        <v>10</v>
      </c>
      <c r="G19" s="23" t="e">
        <f>F19+'08.04'!G19</f>
        <v>#REF!</v>
      </c>
      <c r="H19" s="33">
        <v>5</v>
      </c>
      <c r="I19" s="34">
        <v>0</v>
      </c>
      <c r="J19" s="23" t="e">
        <f>I19+'08.04'!J19</f>
        <v>#REF!</v>
      </c>
      <c r="K19" s="33">
        <v>4</v>
      </c>
      <c r="L19" s="22">
        <v>0</v>
      </c>
      <c r="M19" s="23" t="e">
        <f>L19+'08.04'!M19</f>
        <v>#REF!</v>
      </c>
      <c r="N19" s="33">
        <v>313</v>
      </c>
      <c r="O19" s="22">
        <v>0</v>
      </c>
      <c r="P19" s="23" t="e">
        <f>O19+'08.04'!P19</f>
        <v>#REF!</v>
      </c>
      <c r="Q19" s="33">
        <v>203</v>
      </c>
      <c r="R19" s="22">
        <v>0</v>
      </c>
      <c r="S19" s="23" t="e">
        <f>R19+'08.04'!S19</f>
        <v>#REF!</v>
      </c>
      <c r="T19" s="33">
        <v>241</v>
      </c>
      <c r="U19" s="22">
        <v>0</v>
      </c>
      <c r="V19" s="23" t="e">
        <f>U19+'08.04'!V19</f>
        <v>#REF!</v>
      </c>
      <c r="W19" s="33">
        <v>14</v>
      </c>
      <c r="X19" s="22">
        <v>18</v>
      </c>
      <c r="Y19" s="23" t="e">
        <f>X19+'08.04'!Y19</f>
        <v>#REF!</v>
      </c>
      <c r="Z19" s="33">
        <v>7</v>
      </c>
      <c r="AA19" s="22">
        <v>0</v>
      </c>
      <c r="AB19" s="23" t="e">
        <f>AA19+'08.04'!AB19</f>
        <v>#REF!</v>
      </c>
      <c r="AC19" s="33">
        <v>32</v>
      </c>
      <c r="AD19" s="22">
        <v>14</v>
      </c>
      <c r="AE19" s="23" t="e">
        <f>AD19+'08.04'!AE19</f>
        <v>#REF!</v>
      </c>
      <c r="AF19" s="19">
        <f t="shared" si="1"/>
        <v>3100</v>
      </c>
      <c r="AG19" s="20" t="e">
        <f t="shared" si="1"/>
        <v>#REF!</v>
      </c>
      <c r="AH19" s="24">
        <v>200</v>
      </c>
      <c r="AI19" s="23" t="e">
        <f>AH19+'08.04'!AI19</f>
        <v>#REF!</v>
      </c>
      <c r="AJ19" s="24">
        <v>1000</v>
      </c>
      <c r="AK19" s="23" t="e">
        <f>AJ19+'08.04'!AK19</f>
        <v>#REF!</v>
      </c>
      <c r="AL19" s="22">
        <v>900</v>
      </c>
      <c r="AM19" s="23" t="e">
        <f>AL19+'08.04'!AM19</f>
        <v>#REF!</v>
      </c>
      <c r="AN19" s="22">
        <v>1000</v>
      </c>
      <c r="AO19" s="23" t="e">
        <f>AN19+'08.04'!AO19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AS19+'08.04'!AT19</f>
        <v>#REF!</v>
      </c>
      <c r="AU19" s="34">
        <v>0</v>
      </c>
      <c r="AV19" s="23" t="e">
        <f>AU19+'08.04'!AV19</f>
        <v>#REF!</v>
      </c>
      <c r="AW19" s="34">
        <v>0</v>
      </c>
      <c r="AX19" s="23" t="e">
        <f>AW19+'08.04'!AX19</f>
        <v>#REF!</v>
      </c>
      <c r="AY19" s="34">
        <v>0</v>
      </c>
      <c r="AZ19" s="23" t="e">
        <f>AY19+'08.04'!AZ19</f>
        <v>#REF!</v>
      </c>
      <c r="BA19" s="34">
        <v>0</v>
      </c>
      <c r="BB19" s="23" t="e">
        <f>BA19+'08.04'!BB19</f>
        <v>#REF!</v>
      </c>
      <c r="BC19" s="19">
        <f t="shared" si="3"/>
        <v>1166</v>
      </c>
      <c r="BD19" s="20" t="e">
        <f t="shared" si="3"/>
        <v>#REF!</v>
      </c>
      <c r="BE19" s="22">
        <v>16</v>
      </c>
      <c r="BF19" s="23" t="e">
        <f>BE19+'08.04'!BF19</f>
        <v>#REF!</v>
      </c>
      <c r="BG19" s="34">
        <v>0</v>
      </c>
      <c r="BH19" s="23" t="e">
        <f>BG19+'08.04'!BH19</f>
        <v>#REF!</v>
      </c>
      <c r="BI19" s="22">
        <v>1000</v>
      </c>
      <c r="BJ19" s="23" t="e">
        <f>BI19+'08.04'!BJ19</f>
        <v>#REF!</v>
      </c>
      <c r="BK19" s="22">
        <v>150</v>
      </c>
      <c r="BL19" s="23" t="e">
        <f>BK19+'08.04'!BL19</f>
        <v>#REF!</v>
      </c>
      <c r="BM19" s="22">
        <v>0</v>
      </c>
      <c r="BN19" s="23" t="e">
        <f>BM19+'08.04'!BN19</f>
        <v>#REF!</v>
      </c>
      <c r="BO19" s="36">
        <v>2898</v>
      </c>
      <c r="BP19" s="37">
        <v>0</v>
      </c>
      <c r="BQ19" s="23" t="e">
        <f>BP19+'08.04'!BQ19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435</v>
      </c>
      <c r="D20" s="31" t="e">
        <f t="shared" si="0"/>
        <v>#REF!</v>
      </c>
      <c r="E20" s="32">
        <v>723</v>
      </c>
      <c r="F20" s="22">
        <v>274</v>
      </c>
      <c r="G20" s="23" t="e">
        <f>F20+'08.04'!G20</f>
        <v>#REF!</v>
      </c>
      <c r="H20" s="33">
        <v>5</v>
      </c>
      <c r="I20" s="34">
        <v>2</v>
      </c>
      <c r="J20" s="23" t="e">
        <f>I20+'08.04'!J20</f>
        <v>#REF!</v>
      </c>
      <c r="K20" s="33">
        <v>3</v>
      </c>
      <c r="L20" s="22">
        <v>0</v>
      </c>
      <c r="M20" s="23" t="e">
        <f>L20+'08.04'!M20</f>
        <v>#REF!</v>
      </c>
      <c r="N20" s="33">
        <v>975</v>
      </c>
      <c r="O20" s="22">
        <v>67</v>
      </c>
      <c r="P20" s="23" t="e">
        <f>O20+'08.04'!P20</f>
        <v>#REF!</v>
      </c>
      <c r="Q20" s="61">
        <v>1862</v>
      </c>
      <c r="R20" s="22">
        <v>1</v>
      </c>
      <c r="S20" s="23" t="e">
        <f>R20+'08.04'!S20</f>
        <v>#REF!</v>
      </c>
      <c r="T20" s="33">
        <v>35</v>
      </c>
      <c r="U20" s="22">
        <v>5</v>
      </c>
      <c r="V20" s="23" t="e">
        <f>U20+'08.04'!V20</f>
        <v>#REF!</v>
      </c>
      <c r="W20" s="33">
        <v>64</v>
      </c>
      <c r="X20" s="22">
        <v>9</v>
      </c>
      <c r="Y20" s="23" t="e">
        <f>X20+'08.04'!Y20</f>
        <v>#REF!</v>
      </c>
      <c r="Z20" s="33">
        <v>15</v>
      </c>
      <c r="AA20" s="22">
        <v>2</v>
      </c>
      <c r="AB20" s="23" t="e">
        <f>AA20+'08.04'!AB20</f>
        <v>#REF!</v>
      </c>
      <c r="AC20" s="33">
        <v>1546</v>
      </c>
      <c r="AD20" s="22">
        <v>75</v>
      </c>
      <c r="AE20" s="23" t="e">
        <f>AD20+'08.04'!AE20</f>
        <v>#REF!</v>
      </c>
      <c r="AF20" s="19">
        <f t="shared" si="1"/>
        <v>10983</v>
      </c>
      <c r="AG20" s="20" t="e">
        <f t="shared" si="1"/>
        <v>#REF!</v>
      </c>
      <c r="AH20" s="24">
        <v>1063</v>
      </c>
      <c r="AI20" s="23" t="e">
        <f>AH20+'08.04'!AI20</f>
        <v>#REF!</v>
      </c>
      <c r="AJ20" s="24">
        <v>9020</v>
      </c>
      <c r="AK20" s="23" t="e">
        <f>AJ20+'08.04'!AK20</f>
        <v>#REF!</v>
      </c>
      <c r="AL20" s="22">
        <v>550</v>
      </c>
      <c r="AM20" s="23" t="e">
        <f>AL20+'08.04'!AM20</f>
        <v>#REF!</v>
      </c>
      <c r="AN20" s="22">
        <v>350</v>
      </c>
      <c r="AO20" s="23" t="e">
        <f>AN20+'08.04'!AO20</f>
        <v>#REF!</v>
      </c>
      <c r="AP20" s="28" t="s">
        <v>55</v>
      </c>
      <c r="AQ20" s="19">
        <f t="shared" si="4"/>
        <v>265</v>
      </c>
      <c r="AR20" s="20" t="e">
        <f t="shared" si="2"/>
        <v>#REF!</v>
      </c>
      <c r="AS20" s="34">
        <v>1</v>
      </c>
      <c r="AT20" s="23" t="e">
        <f>AS20+'08.04'!AT20</f>
        <v>#REF!</v>
      </c>
      <c r="AU20" s="34">
        <v>0</v>
      </c>
      <c r="AV20" s="23" t="e">
        <f>AU20+'08.04'!AV20</f>
        <v>#REF!</v>
      </c>
      <c r="AW20" s="34">
        <v>0</v>
      </c>
      <c r="AX20" s="23" t="e">
        <f>AW20+'08.04'!AX20</f>
        <v>#REF!</v>
      </c>
      <c r="AY20" s="34">
        <v>0</v>
      </c>
      <c r="AZ20" s="23" t="e">
        <f>AY20+'08.04'!AZ20</f>
        <v>#REF!</v>
      </c>
      <c r="BA20" s="34">
        <v>264</v>
      </c>
      <c r="BB20" s="23" t="e">
        <f>BA20+'08.04'!BB20</f>
        <v>#REF!</v>
      </c>
      <c r="BC20" s="19">
        <f t="shared" si="3"/>
        <v>3634</v>
      </c>
      <c r="BD20" s="20" t="e">
        <f t="shared" si="3"/>
        <v>#REF!</v>
      </c>
      <c r="BE20" s="22">
        <v>2</v>
      </c>
      <c r="BF20" s="23" t="e">
        <f>BE20+'08.04'!BF20</f>
        <v>#REF!</v>
      </c>
      <c r="BG20" s="34">
        <v>0</v>
      </c>
      <c r="BH20" s="23" t="e">
        <f>BG20+'08.04'!BH20</f>
        <v>#REF!</v>
      </c>
      <c r="BI20" s="22">
        <v>1790</v>
      </c>
      <c r="BJ20" s="23" t="e">
        <f>BI20+'08.04'!BJ20</f>
        <v>#REF!</v>
      </c>
      <c r="BK20" s="22">
        <v>1842</v>
      </c>
      <c r="BL20" s="23" t="e">
        <f>BK20+'08.04'!BL20</f>
        <v>#REF!</v>
      </c>
      <c r="BM20" s="22">
        <v>0</v>
      </c>
      <c r="BN20" s="23" t="e">
        <f>BM20+'08.04'!BN20</f>
        <v>#REF!</v>
      </c>
      <c r="BO20" s="36">
        <v>5854</v>
      </c>
      <c r="BP20" s="37">
        <v>0</v>
      </c>
      <c r="BQ20" s="23" t="e">
        <f>BP20+'08.04'!BQ20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311</v>
      </c>
      <c r="D21" s="31" t="e">
        <f t="shared" si="0"/>
        <v>#REF!</v>
      </c>
      <c r="E21" s="32">
        <v>1017</v>
      </c>
      <c r="F21" s="22">
        <v>240</v>
      </c>
      <c r="G21" s="23" t="e">
        <f>F21+'08.04'!G21</f>
        <v>#REF!</v>
      </c>
      <c r="H21" s="33">
        <v>8</v>
      </c>
      <c r="I21" s="34">
        <v>4</v>
      </c>
      <c r="J21" s="23" t="e">
        <f>I21+'08.04'!J21</f>
        <v>#REF!</v>
      </c>
      <c r="K21" s="33">
        <v>4</v>
      </c>
      <c r="L21" s="22">
        <v>0</v>
      </c>
      <c r="M21" s="23" t="e">
        <f>L21+'08.04'!M21</f>
        <v>#REF!</v>
      </c>
      <c r="N21" s="33">
        <v>963</v>
      </c>
      <c r="O21" s="22">
        <v>0</v>
      </c>
      <c r="P21" s="23" t="e">
        <f>O21+'08.04'!P21</f>
        <v>#REF!</v>
      </c>
      <c r="Q21" s="33">
        <v>912</v>
      </c>
      <c r="R21" s="22">
        <v>0</v>
      </c>
      <c r="S21" s="23" t="e">
        <f>R21+'08.04'!S21</f>
        <v>#REF!</v>
      </c>
      <c r="T21" s="33">
        <v>199</v>
      </c>
      <c r="U21" s="22">
        <v>3</v>
      </c>
      <c r="V21" s="23" t="e">
        <f>U21+'08.04'!V21</f>
        <v>#REF!</v>
      </c>
      <c r="W21" s="33">
        <v>101</v>
      </c>
      <c r="X21" s="22">
        <v>55</v>
      </c>
      <c r="Y21" s="23" t="e">
        <f>X21+'08.04'!Y21</f>
        <v>#REF!</v>
      </c>
      <c r="Z21" s="33">
        <v>42</v>
      </c>
      <c r="AA21" s="22">
        <v>0</v>
      </c>
      <c r="AB21" s="23" t="e">
        <f>AA21+'08.04'!AB21</f>
        <v>#REF!</v>
      </c>
      <c r="AC21" s="33">
        <v>20</v>
      </c>
      <c r="AD21" s="22">
        <v>9</v>
      </c>
      <c r="AE21" s="23" t="e">
        <f>AD21+'08.04'!AE21</f>
        <v>#REF!</v>
      </c>
      <c r="AF21" s="19">
        <f t="shared" si="1"/>
        <v>2100000</v>
      </c>
      <c r="AG21" s="20" t="e">
        <f t="shared" si="1"/>
        <v>#REF!</v>
      </c>
      <c r="AH21" s="24">
        <v>5000</v>
      </c>
      <c r="AI21" s="23" t="e">
        <f>AH21+'08.04'!AI21</f>
        <v>#REF!</v>
      </c>
      <c r="AJ21" s="24">
        <v>95000</v>
      </c>
      <c r="AK21" s="23" t="e">
        <f>AJ21+'08.04'!AK21</f>
        <v>#REF!</v>
      </c>
      <c r="AL21" s="22">
        <v>500000</v>
      </c>
      <c r="AM21" s="23" t="e">
        <f>AL21+'08.04'!AM21</f>
        <v>#REF!</v>
      </c>
      <c r="AN21" s="22">
        <v>1500000</v>
      </c>
      <c r="AO21" s="23" t="e">
        <f>AN21+'08.04'!AO21</f>
        <v>#REF!</v>
      </c>
      <c r="AP21" s="28" t="s">
        <v>58</v>
      </c>
      <c r="AQ21" s="19">
        <f t="shared" si="4"/>
        <v>13</v>
      </c>
      <c r="AR21" s="20" t="e">
        <f t="shared" si="2"/>
        <v>#REF!</v>
      </c>
      <c r="AS21" s="34">
        <v>1</v>
      </c>
      <c r="AT21" s="23" t="e">
        <f>AS21+'08.04'!AT21</f>
        <v>#REF!</v>
      </c>
      <c r="AU21" s="34">
        <v>4</v>
      </c>
      <c r="AV21" s="23" t="e">
        <f>AU21+'08.04'!AV21</f>
        <v>#REF!</v>
      </c>
      <c r="AW21" s="34">
        <v>0</v>
      </c>
      <c r="AX21" s="23" t="e">
        <f>AW21+'08.04'!AX21</f>
        <v>#REF!</v>
      </c>
      <c r="AY21" s="34">
        <v>0</v>
      </c>
      <c r="AZ21" s="23" t="e">
        <f>AY21+'08.04'!AZ21</f>
        <v>#REF!</v>
      </c>
      <c r="BA21" s="34">
        <v>8</v>
      </c>
      <c r="BB21" s="23" t="e">
        <f>BA21+'08.04'!BB21</f>
        <v>#REF!</v>
      </c>
      <c r="BC21" s="19">
        <f t="shared" si="3"/>
        <v>10140</v>
      </c>
      <c r="BD21" s="20" t="e">
        <f t="shared" si="3"/>
        <v>#REF!</v>
      </c>
      <c r="BE21" s="22">
        <v>140</v>
      </c>
      <c r="BF21" s="23" t="e">
        <f>BE21+'08.04'!BF21</f>
        <v>#REF!</v>
      </c>
      <c r="BG21" s="34">
        <v>0</v>
      </c>
      <c r="BH21" s="23" t="e">
        <f>BG21+'08.04'!BH21</f>
        <v>#REF!</v>
      </c>
      <c r="BI21" s="22">
        <v>10000</v>
      </c>
      <c r="BJ21" s="23" t="e">
        <f>BI21+'08.04'!BJ21</f>
        <v>#REF!</v>
      </c>
      <c r="BK21" s="22">
        <v>0</v>
      </c>
      <c r="BL21" s="23" t="e">
        <f>BK21+'08.04'!BL21</f>
        <v>#REF!</v>
      </c>
      <c r="BM21" s="22">
        <v>0</v>
      </c>
      <c r="BN21" s="23" t="e">
        <f>BM21+'08.04'!BN21</f>
        <v>#REF!</v>
      </c>
      <c r="BO21" s="36"/>
      <c r="BP21" s="37">
        <v>0</v>
      </c>
      <c r="BQ21" s="23" t="e">
        <f>BP21+'08.04'!BQ21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1781</v>
      </c>
      <c r="D22" s="31" t="e">
        <f t="shared" si="0"/>
        <v>#REF!</v>
      </c>
      <c r="E22" s="32">
        <v>509</v>
      </c>
      <c r="F22" s="22">
        <v>350</v>
      </c>
      <c r="G22" s="23" t="e">
        <f>F22+'08.04'!G22</f>
        <v>#REF!</v>
      </c>
      <c r="H22" s="33">
        <v>8</v>
      </c>
      <c r="I22" s="34">
        <v>6</v>
      </c>
      <c r="J22" s="23" t="e">
        <f>I22+'08.04'!J22</f>
        <v>#REF!</v>
      </c>
      <c r="K22" s="33">
        <v>21</v>
      </c>
      <c r="L22" s="22">
        <v>0</v>
      </c>
      <c r="M22" s="23" t="e">
        <f>L22+'08.04'!M22</f>
        <v>#REF!</v>
      </c>
      <c r="N22" s="33">
        <v>560</v>
      </c>
      <c r="O22" s="22">
        <v>15</v>
      </c>
      <c r="P22" s="23" t="e">
        <f>O22+'08.04'!P22</f>
        <v>#REF!</v>
      </c>
      <c r="Q22" s="33">
        <v>375</v>
      </c>
      <c r="R22" s="22">
        <v>55</v>
      </c>
      <c r="S22" s="23" t="e">
        <f>R22+'08.04'!S22</f>
        <v>#REF!</v>
      </c>
      <c r="T22" s="33">
        <v>165</v>
      </c>
      <c r="U22" s="22">
        <v>26</v>
      </c>
      <c r="V22" s="23" t="e">
        <f>U22+'08.04'!V22</f>
        <v>#REF!</v>
      </c>
      <c r="W22" s="33">
        <v>28</v>
      </c>
      <c r="X22" s="22">
        <v>42</v>
      </c>
      <c r="Y22" s="23" t="e">
        <f>X22+'08.04'!Y22</f>
        <v>#REF!</v>
      </c>
      <c r="Z22" s="33">
        <v>9</v>
      </c>
      <c r="AA22" s="22">
        <v>0</v>
      </c>
      <c r="AB22" s="23" t="e">
        <f>AA22+'08.04'!AB22</f>
        <v>#REF!</v>
      </c>
      <c r="AC22" s="33">
        <v>112</v>
      </c>
      <c r="AD22" s="22">
        <v>1287</v>
      </c>
      <c r="AE22" s="23" t="e">
        <f>AD22+'08.04'!AE22</f>
        <v>#REF!</v>
      </c>
      <c r="AF22" s="19">
        <f t="shared" si="1"/>
        <v>132955</v>
      </c>
      <c r="AG22" s="20" t="e">
        <f t="shared" si="1"/>
        <v>#REF!</v>
      </c>
      <c r="AH22" s="24">
        <v>943</v>
      </c>
      <c r="AI22" s="23" t="e">
        <f>AH22+'08.04'!AI22</f>
        <v>#REF!</v>
      </c>
      <c r="AJ22" s="24">
        <v>8000</v>
      </c>
      <c r="AK22" s="23" t="e">
        <f>AJ22+'08.04'!AK22</f>
        <v>#REF!</v>
      </c>
      <c r="AL22" s="22">
        <v>8541</v>
      </c>
      <c r="AM22" s="23" t="e">
        <f>AL22+'08.04'!AM22</f>
        <v>#REF!</v>
      </c>
      <c r="AN22" s="22">
        <v>115471</v>
      </c>
      <c r="AO22" s="23" t="e">
        <f>AN22+'08.04'!AO22</f>
        <v>#REF!</v>
      </c>
      <c r="AP22" s="28" t="s">
        <v>59</v>
      </c>
      <c r="AQ22" s="19">
        <f t="shared" si="4"/>
        <v>1582</v>
      </c>
      <c r="AR22" s="20" t="e">
        <f t="shared" si="2"/>
        <v>#REF!</v>
      </c>
      <c r="AS22" s="34">
        <v>1</v>
      </c>
      <c r="AT22" s="23" t="e">
        <f>AS22+'08.04'!AT22</f>
        <v>#REF!</v>
      </c>
      <c r="AU22" s="34">
        <v>0</v>
      </c>
      <c r="AV22" s="23" t="e">
        <f>AU22+'08.04'!AV22</f>
        <v>#REF!</v>
      </c>
      <c r="AW22" s="34">
        <v>0</v>
      </c>
      <c r="AX22" s="23" t="e">
        <f>AW22+'08.04'!AX22</f>
        <v>#REF!</v>
      </c>
      <c r="AY22" s="34">
        <v>0</v>
      </c>
      <c r="AZ22" s="23" t="e">
        <f>AY22+'08.04'!AZ22</f>
        <v>#REF!</v>
      </c>
      <c r="BA22" s="34">
        <v>1581</v>
      </c>
      <c r="BB22" s="23" t="e">
        <f>BA22+'08.04'!BB22</f>
        <v>#REF!</v>
      </c>
      <c r="BC22" s="19">
        <f t="shared" si="3"/>
        <v>6876</v>
      </c>
      <c r="BD22" s="20" t="e">
        <f t="shared" si="3"/>
        <v>#REF!</v>
      </c>
      <c r="BE22" s="22">
        <v>3</v>
      </c>
      <c r="BF22" s="23" t="e">
        <f>BE22+'08.04'!BF22</f>
        <v>#REF!</v>
      </c>
      <c r="BG22" s="34">
        <v>2</v>
      </c>
      <c r="BH22" s="23" t="e">
        <f>BG22+'08.04'!BH22</f>
        <v>#REF!</v>
      </c>
      <c r="BI22" s="22">
        <v>6857</v>
      </c>
      <c r="BJ22" s="23" t="e">
        <f>BI22+'08.04'!BJ22</f>
        <v>#REF!</v>
      </c>
      <c r="BK22" s="22">
        <v>14</v>
      </c>
      <c r="BL22" s="23" t="e">
        <f>BK22+'08.04'!BL22</f>
        <v>#REF!</v>
      </c>
      <c r="BM22" s="22">
        <v>0</v>
      </c>
      <c r="BN22" s="23" t="e">
        <f>BM22+'08.04'!BN22</f>
        <v>#REF!</v>
      </c>
      <c r="BO22" s="36">
        <v>26</v>
      </c>
      <c r="BP22" s="37">
        <v>8</v>
      </c>
      <c r="BQ22" s="23" t="e">
        <f>BP22+'08.04'!BQ22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4594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2012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23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1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85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81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36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439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1915</v>
      </c>
      <c r="AE23" s="68" t="e">
        <f t="shared" si="5"/>
        <v>#REF!</v>
      </c>
      <c r="AF23" s="64">
        <f t="shared" si="5"/>
        <v>4583703</v>
      </c>
      <c r="AG23" s="64" t="e">
        <f t="shared" si="5"/>
        <v>#REF!</v>
      </c>
      <c r="AH23" s="67">
        <f t="shared" si="5"/>
        <v>33727</v>
      </c>
      <c r="AI23" s="68" t="e">
        <f t="shared" si="5"/>
        <v>#REF!</v>
      </c>
      <c r="AJ23" s="67">
        <f t="shared" si="5"/>
        <v>164297</v>
      </c>
      <c r="AK23" s="68" t="e">
        <f t="shared" si="5"/>
        <v>#REF!</v>
      </c>
      <c r="AL23" s="67">
        <f t="shared" si="5"/>
        <v>1235668</v>
      </c>
      <c r="AM23" s="68" t="e">
        <f t="shared" si="5"/>
        <v>#REF!</v>
      </c>
      <c r="AN23" s="67">
        <f t="shared" si="5"/>
        <v>3150011</v>
      </c>
      <c r="AO23" s="68" t="e">
        <f t="shared" si="5"/>
        <v>#REF!</v>
      </c>
      <c r="AP23" s="62" t="s">
        <v>12</v>
      </c>
      <c r="AQ23" s="64">
        <f t="shared" ref="AQ23:BP23" si="6">SUM(AQ8:AQ22)</f>
        <v>2079</v>
      </c>
      <c r="AR23" s="64" t="e">
        <f t="shared" si="6"/>
        <v>#REF!</v>
      </c>
      <c r="AS23" s="67">
        <f t="shared" si="6"/>
        <v>4</v>
      </c>
      <c r="AT23" s="68" t="e">
        <f t="shared" si="6"/>
        <v>#REF!</v>
      </c>
      <c r="AU23" s="67">
        <f t="shared" si="6"/>
        <v>6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2069</v>
      </c>
      <c r="BB23" s="68" t="e">
        <f t="shared" si="6"/>
        <v>#REF!</v>
      </c>
      <c r="BC23" s="64">
        <f t="shared" si="6"/>
        <v>53878</v>
      </c>
      <c r="BD23" s="64" t="e">
        <f t="shared" si="6"/>
        <v>#REF!</v>
      </c>
      <c r="BE23" s="67">
        <f t="shared" si="6"/>
        <v>1151</v>
      </c>
      <c r="BF23" s="68" t="e">
        <f t="shared" si="6"/>
        <v>#REF!</v>
      </c>
      <c r="BG23" s="67">
        <f t="shared" si="6"/>
        <v>50</v>
      </c>
      <c r="BH23" s="68" t="e">
        <f t="shared" si="6"/>
        <v>#REF!</v>
      </c>
      <c r="BI23" s="67">
        <f t="shared" si="6"/>
        <v>48496</v>
      </c>
      <c r="BJ23" s="68" t="e">
        <f t="shared" si="6"/>
        <v>#REF!</v>
      </c>
      <c r="BK23" s="67">
        <f t="shared" si="6"/>
        <v>4181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37616</v>
      </c>
      <c r="BP23" s="70">
        <f t="shared" si="6"/>
        <v>24</v>
      </c>
      <c r="BQ23" s="23">
        <f>BP23+'08.04'!BP23</f>
        <v>45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BU23"/>
  <sheetViews>
    <sheetView zoomScale="115" zoomScaleNormal="115" workbookViewId="0">
      <pane xSplit="4" ySplit="8" topLeftCell="E18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6" width="6.28515625" customWidth="1"/>
    <col min="7" max="8" width="8.42578125" customWidth="1"/>
    <col min="9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1</v>
      </c>
      <c r="G9" s="23" t="e">
        <f>F9+'09.04'!G9</f>
        <v>#REF!</v>
      </c>
      <c r="H9" s="33">
        <v>12</v>
      </c>
      <c r="I9" s="34">
        <v>1</v>
      </c>
      <c r="J9" s="23" t="e">
        <f>I9+'09.04'!J9</f>
        <v>#REF!</v>
      </c>
      <c r="K9" s="33">
        <v>2</v>
      </c>
      <c r="L9" s="22">
        <v>0</v>
      </c>
      <c r="M9" s="23" t="e">
        <f>L9+'09.04'!M9</f>
        <v>#REF!</v>
      </c>
      <c r="N9" s="33">
        <v>735</v>
      </c>
      <c r="O9" s="22">
        <v>0</v>
      </c>
      <c r="P9" s="23" t="e">
        <f>O9+'09.04'!P9</f>
        <v>#REF!</v>
      </c>
      <c r="Q9" s="33">
        <v>502</v>
      </c>
      <c r="R9" s="22">
        <v>0</v>
      </c>
      <c r="S9" s="23" t="e">
        <f>R9+'09.04'!S9</f>
        <v>#REF!</v>
      </c>
      <c r="T9" s="33">
        <v>197</v>
      </c>
      <c r="U9" s="22">
        <v>0</v>
      </c>
      <c r="V9" s="23" t="e">
        <f>U9+'09.04'!V9</f>
        <v>#REF!</v>
      </c>
      <c r="W9" s="33">
        <v>47</v>
      </c>
      <c r="X9" s="22">
        <v>0</v>
      </c>
      <c r="Y9" s="23" t="e">
        <f>X9+'09.04'!Y9</f>
        <v>#REF!</v>
      </c>
      <c r="Z9" s="33">
        <v>34</v>
      </c>
      <c r="AA9" s="22">
        <v>0</v>
      </c>
      <c r="AB9" s="23" t="e">
        <f>AA9+'09.04'!AB9</f>
        <v>#REF!</v>
      </c>
      <c r="AC9" s="33">
        <v>1860</v>
      </c>
      <c r="AD9" s="22">
        <v>1</v>
      </c>
      <c r="AE9" s="23" t="e">
        <f>AD9+'09.04'!AE9</f>
        <v>#REF!</v>
      </c>
      <c r="AF9" s="19">
        <f t="shared" ref="AF9:AG22" si="1">AH9+AJ9+AL9+AN9</f>
        <v>8750</v>
      </c>
      <c r="AG9" s="20" t="e">
        <f t="shared" si="1"/>
        <v>#REF!</v>
      </c>
      <c r="AH9" s="24">
        <v>210</v>
      </c>
      <c r="AI9" s="23" t="e">
        <f>AH9+'09.04'!AI9</f>
        <v>#REF!</v>
      </c>
      <c r="AJ9" s="24">
        <v>440</v>
      </c>
      <c r="AK9" s="23" t="e">
        <f>AJ9+'09.04'!AK9</f>
        <v>#REF!</v>
      </c>
      <c r="AL9" s="22">
        <v>1400</v>
      </c>
      <c r="AM9" s="23" t="e">
        <f>AL9+'09.04'!AM9</f>
        <v>#REF!</v>
      </c>
      <c r="AN9" s="22">
        <v>6700</v>
      </c>
      <c r="AO9" s="23" t="e">
        <f>AN9+'09.04'!AO9</f>
        <v>#REF!</v>
      </c>
      <c r="AP9" s="28" t="s">
        <v>43</v>
      </c>
      <c r="AQ9" s="19">
        <f t="shared" ref="AQ9:AR22" si="2">AS9+AU9+AW9+AY9+BA9</f>
        <v>36</v>
      </c>
      <c r="AR9" s="20" t="e">
        <f t="shared" si="2"/>
        <v>#REF!</v>
      </c>
      <c r="AS9" s="34">
        <v>1</v>
      </c>
      <c r="AT9" s="23" t="e">
        <f>AS9+'09.04'!AT9</f>
        <v>#REF!</v>
      </c>
      <c r="AU9" s="34">
        <v>1</v>
      </c>
      <c r="AV9" s="23" t="e">
        <f>AU9+'09.04'!AV9</f>
        <v>#REF!</v>
      </c>
      <c r="AW9" s="34">
        <v>0</v>
      </c>
      <c r="AX9" s="23" t="e">
        <f>AW9+'09.04'!AX9</f>
        <v>#REF!</v>
      </c>
      <c r="AY9" s="34">
        <v>0</v>
      </c>
      <c r="AZ9" s="23" t="e">
        <f>AY9+'09.04'!AZ9</f>
        <v>#REF!</v>
      </c>
      <c r="BA9" s="34">
        <v>34</v>
      </c>
      <c r="BB9" s="23" t="e">
        <f>BA9+'09.04'!BB9</f>
        <v>#REF!</v>
      </c>
      <c r="BC9" s="19">
        <f t="shared" ref="BC9:BD22" si="3">BE9+BG9+BI9+BK9+BM9</f>
        <v>611</v>
      </c>
      <c r="BD9" s="20" t="e">
        <f t="shared" si="3"/>
        <v>#REF!</v>
      </c>
      <c r="BE9" s="22">
        <v>1</v>
      </c>
      <c r="BF9" s="23" t="e">
        <f>BE9+'09.04'!BF9</f>
        <v>#REF!</v>
      </c>
      <c r="BG9" s="34">
        <v>0</v>
      </c>
      <c r="BH9" s="23" t="e">
        <f>BG9+'09.04'!BH9</f>
        <v>#REF!</v>
      </c>
      <c r="BI9" s="22">
        <v>610</v>
      </c>
      <c r="BJ9" s="23" t="e">
        <f>BI9+'09.04'!BJ9</f>
        <v>#REF!</v>
      </c>
      <c r="BK9" s="22">
        <v>0</v>
      </c>
      <c r="BL9" s="23" t="e">
        <f>BK9+'09.04'!BL9</f>
        <v>#REF!</v>
      </c>
      <c r="BM9" s="22">
        <v>0</v>
      </c>
      <c r="BN9" s="23" t="e">
        <f>BM9+'09.04'!BN9</f>
        <v>#REF!</v>
      </c>
      <c r="BO9" s="36">
        <v>14</v>
      </c>
      <c r="BP9" s="37">
        <v>0</v>
      </c>
      <c r="BQ9" s="23" t="e">
        <f>BP9+'09.04'!BQ9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137</v>
      </c>
      <c r="D10" s="31" t="e">
        <f t="shared" si="0"/>
        <v>#REF!</v>
      </c>
      <c r="E10" s="32">
        <v>585</v>
      </c>
      <c r="F10" s="22">
        <v>18</v>
      </c>
      <c r="G10" s="23" t="e">
        <f>F10+'09.04'!G10</f>
        <v>#REF!</v>
      </c>
      <c r="H10" s="33">
        <v>93</v>
      </c>
      <c r="I10" s="34">
        <v>4</v>
      </c>
      <c r="J10" s="23" t="e">
        <f>I10+'09.04'!J10</f>
        <v>#REF!</v>
      </c>
      <c r="K10" s="33">
        <v>34</v>
      </c>
      <c r="L10" s="22">
        <v>2</v>
      </c>
      <c r="M10" s="23" t="e">
        <f>L10+'09.04'!M10</f>
        <v>#REF!</v>
      </c>
      <c r="N10" s="33">
        <v>352</v>
      </c>
      <c r="O10" s="22">
        <v>10</v>
      </c>
      <c r="P10" s="23" t="e">
        <f>O10+'09.04'!P10</f>
        <v>#REF!</v>
      </c>
      <c r="Q10" s="33">
        <v>549</v>
      </c>
      <c r="R10" s="22">
        <v>8</v>
      </c>
      <c r="S10" s="23" t="e">
        <f>R10+'09.04'!S10</f>
        <v>#REF!</v>
      </c>
      <c r="T10" s="33">
        <v>198</v>
      </c>
      <c r="U10" s="22">
        <v>4</v>
      </c>
      <c r="V10" s="23" t="e">
        <f>U10+'09.04'!V10</f>
        <v>#REF!</v>
      </c>
      <c r="W10" s="38">
        <v>55</v>
      </c>
      <c r="X10" s="22">
        <v>0</v>
      </c>
      <c r="Y10" s="23" t="e">
        <f>X10+'09.04'!Y10</f>
        <v>#REF!</v>
      </c>
      <c r="Z10" s="38">
        <v>71</v>
      </c>
      <c r="AA10" s="22">
        <v>1</v>
      </c>
      <c r="AB10" s="23" t="e">
        <f>AA10+'09.04'!AB10</f>
        <v>#REF!</v>
      </c>
      <c r="AC10" s="38">
        <v>1690</v>
      </c>
      <c r="AD10" s="22">
        <v>90</v>
      </c>
      <c r="AE10" s="23" t="e">
        <f>AD10+'09.04'!AE10</f>
        <v>#REF!</v>
      </c>
      <c r="AF10" s="19">
        <f t="shared" si="1"/>
        <v>127192</v>
      </c>
      <c r="AG10" s="20" t="e">
        <f t="shared" si="1"/>
        <v>#REF!</v>
      </c>
      <c r="AH10" s="24">
        <v>932</v>
      </c>
      <c r="AI10" s="23" t="e">
        <f>AH10+'09.04'!AI10</f>
        <v>#REF!</v>
      </c>
      <c r="AJ10" s="24">
        <v>6217</v>
      </c>
      <c r="AK10" s="23" t="e">
        <f>AJ10+'09.04'!AK10</f>
        <v>#REF!</v>
      </c>
      <c r="AL10" s="22">
        <v>23390</v>
      </c>
      <c r="AM10" s="23" t="e">
        <f>AL10+'09.04'!AM10</f>
        <v>#REF!</v>
      </c>
      <c r="AN10" s="22">
        <v>96653</v>
      </c>
      <c r="AO10" s="23" t="e">
        <f>AN10+'09.04'!AO10</f>
        <v>#REF!</v>
      </c>
      <c r="AP10" s="28" t="s">
        <v>44</v>
      </c>
      <c r="AQ10" s="19">
        <f t="shared" si="2"/>
        <v>7</v>
      </c>
      <c r="AR10" s="20" t="e">
        <f t="shared" si="2"/>
        <v>#REF!</v>
      </c>
      <c r="AS10" s="34">
        <v>0</v>
      </c>
      <c r="AT10" s="23" t="e">
        <f>AS10+'09.04'!AT10</f>
        <v>#REF!</v>
      </c>
      <c r="AU10" s="34">
        <v>0</v>
      </c>
      <c r="AV10" s="23" t="e">
        <f>AU10+'09.04'!AV10</f>
        <v>#REF!</v>
      </c>
      <c r="AW10" s="34">
        <v>0</v>
      </c>
      <c r="AX10" s="23" t="e">
        <f>AW10+'09.04'!AX10</f>
        <v>#REF!</v>
      </c>
      <c r="AY10" s="34">
        <v>0</v>
      </c>
      <c r="AZ10" s="23" t="e">
        <f>AY10+'09.04'!AZ10</f>
        <v>#REF!</v>
      </c>
      <c r="BA10" s="34">
        <v>7</v>
      </c>
      <c r="BB10" s="23" t="e">
        <f>BA10+'09.04'!BB10</f>
        <v>#REF!</v>
      </c>
      <c r="BC10" s="19">
        <f t="shared" si="3"/>
        <v>10696</v>
      </c>
      <c r="BD10" s="20" t="e">
        <f t="shared" si="3"/>
        <v>#REF!</v>
      </c>
      <c r="BE10" s="22">
        <v>613</v>
      </c>
      <c r="BF10" s="23" t="e">
        <f>BE10+'09.04'!BF10</f>
        <v>#REF!</v>
      </c>
      <c r="BG10" s="34">
        <v>0</v>
      </c>
      <c r="BH10" s="23" t="e">
        <f>BG10+'09.04'!BH10</f>
        <v>#REF!</v>
      </c>
      <c r="BI10" s="22">
        <v>4274</v>
      </c>
      <c r="BJ10" s="23" t="e">
        <f>BI10+'09.04'!BJ10</f>
        <v>#REF!</v>
      </c>
      <c r="BK10" s="22">
        <v>5809</v>
      </c>
      <c r="BL10" s="23" t="e">
        <f>BK10+'09.04'!BL10</f>
        <v>#REF!</v>
      </c>
      <c r="BM10" s="22">
        <v>0</v>
      </c>
      <c r="BN10" s="23" t="e">
        <f>BM10+'09.04'!BN10</f>
        <v>#REF!</v>
      </c>
      <c r="BO10" s="36">
        <v>32</v>
      </c>
      <c r="BP10" s="37">
        <v>0</v>
      </c>
      <c r="BQ10" s="23" t="e">
        <f>BP10+'09.04'!BQ10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110</v>
      </c>
      <c r="D11" s="31" t="e">
        <f t="shared" si="0"/>
        <v>#REF!</v>
      </c>
      <c r="E11" s="32">
        <v>883</v>
      </c>
      <c r="F11" s="22">
        <v>49</v>
      </c>
      <c r="G11" s="23" t="e">
        <f>F11+'09.04'!G11</f>
        <v>#REF!</v>
      </c>
      <c r="H11" s="33">
        <v>16</v>
      </c>
      <c r="I11" s="34">
        <v>0</v>
      </c>
      <c r="J11" s="23" t="e">
        <f>I11+'09.04'!J11</f>
        <v>#REF!</v>
      </c>
      <c r="K11" s="33">
        <v>3</v>
      </c>
      <c r="L11" s="22">
        <v>0</v>
      </c>
      <c r="M11" s="23" t="e">
        <f>L11+'09.04'!M11</f>
        <v>#REF!</v>
      </c>
      <c r="N11" s="33">
        <v>875</v>
      </c>
      <c r="O11" s="22">
        <v>0</v>
      </c>
      <c r="P11" s="23" t="e">
        <f>O11+'09.04'!P11</f>
        <v>#REF!</v>
      </c>
      <c r="Q11" s="33">
        <v>2424</v>
      </c>
      <c r="R11" s="22">
        <v>0</v>
      </c>
      <c r="S11" s="23" t="e">
        <f>R11+'09.04'!S11</f>
        <v>#REF!</v>
      </c>
      <c r="T11" s="33">
        <v>69</v>
      </c>
      <c r="U11" s="22">
        <v>0</v>
      </c>
      <c r="V11" s="23" t="e">
        <f>U11+'09.04'!V11</f>
        <v>#REF!</v>
      </c>
      <c r="W11" s="38">
        <v>133</v>
      </c>
      <c r="X11" s="22">
        <v>55</v>
      </c>
      <c r="Y11" s="23" t="e">
        <f>X11+'09.04'!Y11</f>
        <v>#REF!</v>
      </c>
      <c r="Z11" s="38">
        <v>1116</v>
      </c>
      <c r="AA11" s="22">
        <v>0</v>
      </c>
      <c r="AB11" s="23" t="e">
        <f>AA11+'09.04'!AB11</f>
        <v>#REF!</v>
      </c>
      <c r="AC11" s="38">
        <v>9862</v>
      </c>
      <c r="AD11" s="22">
        <v>6</v>
      </c>
      <c r="AE11" s="23" t="e">
        <f>AD11+'09.04'!AE11</f>
        <v>#REF!</v>
      </c>
      <c r="AF11" s="19">
        <f t="shared" si="1"/>
        <v>161400</v>
      </c>
      <c r="AG11" s="20" t="e">
        <f t="shared" si="1"/>
        <v>#REF!</v>
      </c>
      <c r="AH11" s="24">
        <v>5200</v>
      </c>
      <c r="AI11" s="23" t="e">
        <f>AH11+'09.04'!AI11</f>
        <v>#REF!</v>
      </c>
      <c r="AJ11" s="24">
        <v>9200</v>
      </c>
      <c r="AK11" s="23" t="e">
        <f>AJ11+'09.04'!AK11</f>
        <v>#REF!</v>
      </c>
      <c r="AL11" s="22">
        <v>45000</v>
      </c>
      <c r="AM11" s="23" t="e">
        <f>AL11+'09.04'!AM11</f>
        <v>#REF!</v>
      </c>
      <c r="AN11" s="22">
        <v>102000</v>
      </c>
      <c r="AO11" s="23" t="e">
        <f>AN11+'09.04'!AO11</f>
        <v>#REF!</v>
      </c>
      <c r="AP11" s="28" t="s">
        <v>45</v>
      </c>
      <c r="AQ11" s="19">
        <f t="shared" si="2"/>
        <v>10</v>
      </c>
      <c r="AR11" s="20" t="e">
        <f t="shared" si="2"/>
        <v>#REF!</v>
      </c>
      <c r="AS11" s="34">
        <v>0</v>
      </c>
      <c r="AT11" s="23" t="e">
        <f>AS11+'09.04'!AT11</f>
        <v>#REF!</v>
      </c>
      <c r="AU11" s="34">
        <v>0</v>
      </c>
      <c r="AV11" s="23" t="e">
        <f>AU11+'09.04'!AV11</f>
        <v>#REF!</v>
      </c>
      <c r="AW11" s="34">
        <v>0</v>
      </c>
      <c r="AX11" s="23" t="e">
        <f>AW11+'09.04'!AX11</f>
        <v>#REF!</v>
      </c>
      <c r="AY11" s="34">
        <v>0</v>
      </c>
      <c r="AZ11" s="23" t="e">
        <f>AY11+'09.04'!AZ11</f>
        <v>#REF!</v>
      </c>
      <c r="BA11" s="34">
        <v>10</v>
      </c>
      <c r="BB11" s="23" t="e">
        <f>BA11+'09.04'!BB11</f>
        <v>#REF!</v>
      </c>
      <c r="BC11" s="19">
        <f t="shared" si="3"/>
        <v>4936</v>
      </c>
      <c r="BD11" s="20" t="e">
        <f t="shared" si="3"/>
        <v>#REF!</v>
      </c>
      <c r="BE11" s="22">
        <v>9</v>
      </c>
      <c r="BF11" s="23" t="e">
        <f>BE11+'09.04'!BF11</f>
        <v>#REF!</v>
      </c>
      <c r="BG11" s="34">
        <v>0</v>
      </c>
      <c r="BH11" s="23" t="e">
        <f>BG11+'09.04'!BH11</f>
        <v>#REF!</v>
      </c>
      <c r="BI11" s="22">
        <v>4800</v>
      </c>
      <c r="BJ11" s="23" t="e">
        <f>BI11+'09.04'!BJ11</f>
        <v>#REF!</v>
      </c>
      <c r="BK11" s="22">
        <v>127</v>
      </c>
      <c r="BL11" s="23" t="e">
        <f>BK11+'09.04'!BL11</f>
        <v>#REF!</v>
      </c>
      <c r="BM11" s="22">
        <v>0</v>
      </c>
      <c r="BN11" s="23" t="e">
        <f>BM11+'09.04'!BN11</f>
        <v>#REF!</v>
      </c>
      <c r="BO11" s="36">
        <v>11506</v>
      </c>
      <c r="BP11" s="37">
        <v>6</v>
      </c>
      <c r="BQ11" s="23" t="e">
        <f>BP11+'09.04'!BQ11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309</v>
      </c>
      <c r="D12" s="31" t="e">
        <f t="shared" si="0"/>
        <v>#REF!</v>
      </c>
      <c r="E12" s="32">
        <v>909</v>
      </c>
      <c r="F12" s="22">
        <v>82</v>
      </c>
      <c r="G12" s="23" t="e">
        <f>F12+'09.04'!G12</f>
        <v>#REF!</v>
      </c>
      <c r="H12" s="33">
        <v>80</v>
      </c>
      <c r="I12" s="34">
        <v>6</v>
      </c>
      <c r="J12" s="23" t="e">
        <f>I12+'09.04'!J12</f>
        <v>#REF!</v>
      </c>
      <c r="K12" s="33">
        <v>5</v>
      </c>
      <c r="L12" s="22">
        <v>0</v>
      </c>
      <c r="M12" s="23" t="e">
        <f>L12+'09.04'!M12</f>
        <v>#REF!</v>
      </c>
      <c r="N12" s="33">
        <v>820</v>
      </c>
      <c r="O12" s="22">
        <v>0</v>
      </c>
      <c r="P12" s="23" t="e">
        <f>O12+'09.04'!P12</f>
        <v>#REF!</v>
      </c>
      <c r="Q12" s="33">
        <v>549</v>
      </c>
      <c r="R12" s="22">
        <v>31</v>
      </c>
      <c r="S12" s="23" t="e">
        <f>R12+'09.04'!S12</f>
        <v>#REF!</v>
      </c>
      <c r="T12" s="33">
        <v>992</v>
      </c>
      <c r="U12" s="22">
        <v>0</v>
      </c>
      <c r="V12" s="23" t="e">
        <f>U12+'09.04'!V12</f>
        <v>#REF!</v>
      </c>
      <c r="W12" s="33">
        <v>38</v>
      </c>
      <c r="X12" s="22">
        <v>95</v>
      </c>
      <c r="Y12" s="23" t="e">
        <f>X12+'09.04'!Y12</f>
        <v>#REF!</v>
      </c>
      <c r="Z12" s="33">
        <v>68</v>
      </c>
      <c r="AA12" s="22">
        <v>0</v>
      </c>
      <c r="AB12" s="23" t="e">
        <f>AA12+'09.04'!AB12</f>
        <v>#REF!</v>
      </c>
      <c r="AC12" s="33">
        <v>26703</v>
      </c>
      <c r="AD12" s="22">
        <v>95</v>
      </c>
      <c r="AE12" s="23" t="e">
        <f>AD12+'09.04'!AE12</f>
        <v>#REF!</v>
      </c>
      <c r="AF12" s="19">
        <f t="shared" si="1"/>
        <v>5103</v>
      </c>
      <c r="AG12" s="20" t="e">
        <f t="shared" si="1"/>
        <v>#REF!</v>
      </c>
      <c r="AH12" s="24">
        <v>957</v>
      </c>
      <c r="AI12" s="23" t="e">
        <f>AH12+'09.04'!AI12</f>
        <v>#REF!</v>
      </c>
      <c r="AJ12" s="24">
        <v>1046</v>
      </c>
      <c r="AK12" s="23" t="e">
        <f>AJ12+'09.04'!AK12</f>
        <v>#REF!</v>
      </c>
      <c r="AL12" s="22">
        <v>1550</v>
      </c>
      <c r="AM12" s="23" t="e">
        <f>AL12+'09.04'!AM12</f>
        <v>#REF!</v>
      </c>
      <c r="AN12" s="22">
        <v>1550</v>
      </c>
      <c r="AO12" s="23" t="e">
        <f>AN12+'09.04'!AO12</f>
        <v>#REF!</v>
      </c>
      <c r="AP12" s="28" t="s">
        <v>46</v>
      </c>
      <c r="AQ12" s="19">
        <f t="shared" si="2"/>
        <v>77</v>
      </c>
      <c r="AR12" s="20" t="e">
        <f t="shared" si="2"/>
        <v>#REF!</v>
      </c>
      <c r="AS12" s="34">
        <v>0</v>
      </c>
      <c r="AT12" s="23" t="e">
        <f>AS12+'09.04'!AT12</f>
        <v>#REF!</v>
      </c>
      <c r="AU12" s="34">
        <v>0</v>
      </c>
      <c r="AV12" s="23" t="e">
        <f>AU12+'09.04'!AV12</f>
        <v>#REF!</v>
      </c>
      <c r="AW12" s="34">
        <v>0</v>
      </c>
      <c r="AX12" s="23" t="e">
        <f>AW12+'09.04'!AX12</f>
        <v>#REF!</v>
      </c>
      <c r="AY12" s="34">
        <v>0</v>
      </c>
      <c r="AZ12" s="23" t="e">
        <f>AY12+'09.04'!AZ12</f>
        <v>#REF!</v>
      </c>
      <c r="BA12" s="34">
        <v>77</v>
      </c>
      <c r="BB12" s="23" t="e">
        <f>BA12+'09.04'!BB12</f>
        <v>#REF!</v>
      </c>
      <c r="BC12" s="19">
        <f t="shared" si="3"/>
        <v>2660</v>
      </c>
      <c r="BD12" s="20" t="e">
        <f t="shared" si="3"/>
        <v>#REF!</v>
      </c>
      <c r="BE12" s="22">
        <v>250</v>
      </c>
      <c r="BF12" s="23" t="e">
        <f>BE12+'09.04'!BF12</f>
        <v>#REF!</v>
      </c>
      <c r="BG12" s="34">
        <v>10</v>
      </c>
      <c r="BH12" s="23" t="e">
        <f>BG12+'09.04'!BH12</f>
        <v>#REF!</v>
      </c>
      <c r="BI12" s="22">
        <v>2200</v>
      </c>
      <c r="BJ12" s="23" t="e">
        <f>BI12+'09.04'!BJ12</f>
        <v>#REF!</v>
      </c>
      <c r="BK12" s="22">
        <v>200</v>
      </c>
      <c r="BL12" s="23" t="e">
        <f>BK12+'09.04'!BL12</f>
        <v>#REF!</v>
      </c>
      <c r="BM12" s="22">
        <v>0</v>
      </c>
      <c r="BN12" s="23" t="e">
        <f>BM12+'09.04'!BN12</f>
        <v>#REF!</v>
      </c>
      <c r="BO12" s="36"/>
      <c r="BP12" s="37">
        <v>0</v>
      </c>
      <c r="BQ12" s="23" t="e">
        <f>BP12+'09.04'!BQ12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109</v>
      </c>
      <c r="D13" s="31" t="e">
        <f t="shared" si="0"/>
        <v>#REF!</v>
      </c>
      <c r="E13" s="32">
        <v>516</v>
      </c>
      <c r="F13" s="22">
        <v>1</v>
      </c>
      <c r="G13" s="23" t="e">
        <f>F13+'09.04'!G13</f>
        <v>#REF!</v>
      </c>
      <c r="H13" s="33">
        <v>10</v>
      </c>
      <c r="I13" s="34">
        <v>0</v>
      </c>
      <c r="J13" s="23" t="e">
        <f>I13+'09.04'!J13</f>
        <v>#REF!</v>
      </c>
      <c r="K13" s="33">
        <v>38</v>
      </c>
      <c r="L13" s="22">
        <v>0</v>
      </c>
      <c r="M13" s="23" t="e">
        <f>L13+'09.04'!M13</f>
        <v>#REF!</v>
      </c>
      <c r="N13" s="33">
        <v>581</v>
      </c>
      <c r="O13" s="22">
        <v>1</v>
      </c>
      <c r="P13" s="23" t="e">
        <f>O13+'09.04'!P13</f>
        <v>#REF!</v>
      </c>
      <c r="Q13" s="33">
        <v>525</v>
      </c>
      <c r="R13" s="22">
        <v>0</v>
      </c>
      <c r="S13" s="23" t="e">
        <f>R13+'09.04'!S13</f>
        <v>#REF!</v>
      </c>
      <c r="T13" s="33">
        <v>263</v>
      </c>
      <c r="U13" s="22">
        <v>0</v>
      </c>
      <c r="V13" s="23" t="e">
        <f>U13+'09.04'!V13</f>
        <v>#REF!</v>
      </c>
      <c r="W13" s="33">
        <v>43</v>
      </c>
      <c r="X13" s="22">
        <v>1</v>
      </c>
      <c r="Y13" s="23" t="e">
        <f>X13+'09.04'!Y13</f>
        <v>#REF!</v>
      </c>
      <c r="Z13" s="33">
        <v>17</v>
      </c>
      <c r="AA13" s="22">
        <v>0</v>
      </c>
      <c r="AB13" s="23" t="e">
        <f>AA13+'09.04'!AB13</f>
        <v>#REF!</v>
      </c>
      <c r="AC13" s="33">
        <v>51</v>
      </c>
      <c r="AD13" s="22">
        <v>106</v>
      </c>
      <c r="AE13" s="23" t="e">
        <f>AD13+'09.04'!AE13</f>
        <v>#REF!</v>
      </c>
      <c r="AF13" s="19">
        <f t="shared" si="1"/>
        <v>352300</v>
      </c>
      <c r="AG13" s="20" t="e">
        <f t="shared" si="1"/>
        <v>#REF!</v>
      </c>
      <c r="AH13" s="24">
        <v>4000</v>
      </c>
      <c r="AI13" s="23" t="e">
        <f>AH13+'09.04'!AI13</f>
        <v>#REF!</v>
      </c>
      <c r="AJ13" s="24">
        <v>38300</v>
      </c>
      <c r="AK13" s="23" t="e">
        <f>AJ13+'09.04'!AK13</f>
        <v>#REF!</v>
      </c>
      <c r="AL13" s="22">
        <v>20000</v>
      </c>
      <c r="AM13" s="23" t="e">
        <f>AL13+'09.04'!AM13</f>
        <v>#REF!</v>
      </c>
      <c r="AN13" s="22">
        <v>290000</v>
      </c>
      <c r="AO13" s="23" t="e">
        <f>AN13+'09.04'!AO13</f>
        <v>#REF!</v>
      </c>
      <c r="AP13" s="28" t="s">
        <v>47</v>
      </c>
      <c r="AQ13" s="19">
        <f t="shared" si="2"/>
        <v>52</v>
      </c>
      <c r="AR13" s="20" t="e">
        <f t="shared" si="2"/>
        <v>#REF!</v>
      </c>
      <c r="AS13" s="34">
        <v>1</v>
      </c>
      <c r="AT13" s="23" t="e">
        <f>AS13+'09.04'!AT13</f>
        <v>#REF!</v>
      </c>
      <c r="AU13" s="34">
        <v>1</v>
      </c>
      <c r="AV13" s="23" t="e">
        <f>AU13+'09.04'!AV13</f>
        <v>#REF!</v>
      </c>
      <c r="AW13" s="34">
        <v>0</v>
      </c>
      <c r="AX13" s="23" t="e">
        <f>AW13+'09.04'!AX13</f>
        <v>#REF!</v>
      </c>
      <c r="AY13" s="34">
        <v>0</v>
      </c>
      <c r="AZ13" s="23" t="e">
        <f>AY13+'09.04'!AZ13</f>
        <v>#REF!</v>
      </c>
      <c r="BA13" s="34">
        <v>50</v>
      </c>
      <c r="BB13" s="23" t="e">
        <f>BA13+'09.04'!BB13</f>
        <v>#REF!</v>
      </c>
      <c r="BC13" s="19">
        <f t="shared" si="3"/>
        <v>25737</v>
      </c>
      <c r="BD13" s="20" t="e">
        <f t="shared" si="3"/>
        <v>#REF!</v>
      </c>
      <c r="BE13" s="22">
        <v>516</v>
      </c>
      <c r="BF13" s="23" t="e">
        <f>BE13+'09.04'!BF13</f>
        <v>#REF!</v>
      </c>
      <c r="BG13" s="34">
        <v>21</v>
      </c>
      <c r="BH13" s="23" t="e">
        <f>BG13+'09.04'!BH13</f>
        <v>#REF!</v>
      </c>
      <c r="BI13" s="22">
        <v>25000</v>
      </c>
      <c r="BJ13" s="23" t="e">
        <f>BI13+'09.04'!BJ13</f>
        <v>#REF!</v>
      </c>
      <c r="BK13" s="22">
        <v>200</v>
      </c>
      <c r="BL13" s="23" t="e">
        <f>BK13+'09.04'!BL13</f>
        <v>#REF!</v>
      </c>
      <c r="BM13" s="22">
        <v>0</v>
      </c>
      <c r="BN13" s="23" t="e">
        <f>BM13+'09.04'!BN13</f>
        <v>#REF!</v>
      </c>
      <c r="BO13" s="36"/>
      <c r="BP13" s="37">
        <v>0</v>
      </c>
      <c r="BQ13" s="23" t="e">
        <f>BP13+'09.04'!BQ13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167</v>
      </c>
      <c r="D14" s="42" t="e">
        <f t="shared" si="0"/>
        <v>#REF!</v>
      </c>
      <c r="E14" s="43">
        <v>304</v>
      </c>
      <c r="F14" s="22">
        <v>127</v>
      </c>
      <c r="G14" s="23" t="e">
        <f>F14+'09.04'!G14</f>
        <v>#REF!</v>
      </c>
      <c r="H14" s="44">
        <v>5</v>
      </c>
      <c r="I14" s="45">
        <v>0</v>
      </c>
      <c r="J14" s="23" t="e">
        <f>I14+'09.04'!J14</f>
        <v>#REF!</v>
      </c>
      <c r="K14" s="44">
        <v>34</v>
      </c>
      <c r="L14" s="22">
        <v>0</v>
      </c>
      <c r="M14" s="23" t="e">
        <f>L14+'09.04'!M14</f>
        <v>#REF!</v>
      </c>
      <c r="N14" s="44">
        <v>583</v>
      </c>
      <c r="O14" s="22">
        <v>0</v>
      </c>
      <c r="P14" s="23" t="e">
        <f>O14+'09.04'!P14</f>
        <v>#REF!</v>
      </c>
      <c r="Q14" s="44">
        <v>254</v>
      </c>
      <c r="R14" s="22">
        <v>0</v>
      </c>
      <c r="S14" s="23" t="e">
        <f>R14+'09.04'!S14</f>
        <v>#REF!</v>
      </c>
      <c r="T14" s="44">
        <v>196</v>
      </c>
      <c r="U14" s="22">
        <v>0</v>
      </c>
      <c r="V14" s="23" t="e">
        <f>U14+'09.04'!V14</f>
        <v>#REF!</v>
      </c>
      <c r="W14" s="44">
        <v>30</v>
      </c>
      <c r="X14" s="22">
        <v>30</v>
      </c>
      <c r="Y14" s="23" t="e">
        <f>X14+'09.04'!Y14</f>
        <v>#REF!</v>
      </c>
      <c r="Z14" s="44">
        <v>10</v>
      </c>
      <c r="AA14" s="22">
        <v>0</v>
      </c>
      <c r="AB14" s="23" t="e">
        <f>AA14+'09.04'!AB14</f>
        <v>#REF!</v>
      </c>
      <c r="AC14" s="44">
        <v>2500</v>
      </c>
      <c r="AD14" s="22">
        <v>10</v>
      </c>
      <c r="AE14" s="23" t="e">
        <f>AD14+'09.04'!AE14</f>
        <v>#REF!</v>
      </c>
      <c r="AF14" s="19">
        <f t="shared" si="1"/>
        <v>155500</v>
      </c>
      <c r="AG14" s="20" t="e">
        <f t="shared" si="1"/>
        <v>#REF!</v>
      </c>
      <c r="AH14" s="24">
        <v>4500</v>
      </c>
      <c r="AI14" s="23" t="e">
        <f>AH14+'09.04'!AI14</f>
        <v>#REF!</v>
      </c>
      <c r="AJ14" s="24">
        <v>6000</v>
      </c>
      <c r="AK14" s="23" t="e">
        <f>AJ14+'09.04'!AK14</f>
        <v>#REF!</v>
      </c>
      <c r="AL14" s="22">
        <v>20000</v>
      </c>
      <c r="AM14" s="23" t="e">
        <f>AL14+'09.04'!AM14</f>
        <v>#REF!</v>
      </c>
      <c r="AN14" s="22">
        <v>125000</v>
      </c>
      <c r="AO14" s="23" t="e">
        <f>AN14+'09.04'!AO14</f>
        <v>#REF!</v>
      </c>
      <c r="AP14" s="39" t="s">
        <v>48</v>
      </c>
      <c r="AQ14" s="19">
        <f t="shared" si="2"/>
        <v>12</v>
      </c>
      <c r="AR14" s="20" t="e">
        <f t="shared" si="2"/>
        <v>#REF!</v>
      </c>
      <c r="AS14" s="45">
        <v>0</v>
      </c>
      <c r="AT14" s="23" t="e">
        <f>AS14+'09.04'!AT14</f>
        <v>#REF!</v>
      </c>
      <c r="AU14" s="45">
        <v>0</v>
      </c>
      <c r="AV14" s="23" t="e">
        <f>AU14+'09.04'!AV14</f>
        <v>#REF!</v>
      </c>
      <c r="AW14" s="45">
        <v>0</v>
      </c>
      <c r="AX14" s="23" t="e">
        <f>AW14+'09.04'!AX14</f>
        <v>#REF!</v>
      </c>
      <c r="AY14" s="45">
        <v>0</v>
      </c>
      <c r="AZ14" s="23" t="e">
        <f>AY14+'09.04'!AZ14</f>
        <v>#REF!</v>
      </c>
      <c r="BA14" s="45">
        <v>12</v>
      </c>
      <c r="BB14" s="23" t="e">
        <f>BA14+'09.04'!BB14</f>
        <v>#REF!</v>
      </c>
      <c r="BC14" s="19">
        <f t="shared" si="3"/>
        <v>6519</v>
      </c>
      <c r="BD14" s="20" t="e">
        <f t="shared" si="3"/>
        <v>#REF!</v>
      </c>
      <c r="BE14" s="22">
        <v>5</v>
      </c>
      <c r="BF14" s="23" t="e">
        <f>BE14+'09.04'!BF14</f>
        <v>#REF!</v>
      </c>
      <c r="BG14" s="45">
        <v>4</v>
      </c>
      <c r="BH14" s="23" t="e">
        <f>BG14+'09.04'!BH14</f>
        <v>#REF!</v>
      </c>
      <c r="BI14" s="22">
        <v>6500</v>
      </c>
      <c r="BJ14" s="23" t="e">
        <f>BI14+'09.04'!BJ14</f>
        <v>#REF!</v>
      </c>
      <c r="BK14" s="22">
        <v>10</v>
      </c>
      <c r="BL14" s="23" t="e">
        <f>BK14+'09.04'!BL14</f>
        <v>#REF!</v>
      </c>
      <c r="BM14" s="22">
        <v>0</v>
      </c>
      <c r="BN14" s="23" t="e">
        <f>BM14+'09.04'!BN14</f>
        <v>#REF!</v>
      </c>
      <c r="BO14" s="48">
        <v>2</v>
      </c>
      <c r="BP14" s="49">
        <v>0</v>
      </c>
      <c r="BQ14" s="23" t="e">
        <f>BP14+'09.04'!BQ14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449</v>
      </c>
      <c r="D15" s="53" t="e">
        <f t="shared" si="0"/>
        <v>#REF!</v>
      </c>
      <c r="E15" s="54">
        <v>776</v>
      </c>
      <c r="F15" s="55">
        <v>315</v>
      </c>
      <c r="G15" s="23" t="e">
        <f>F15+'09.04'!G15</f>
        <v>#REF!</v>
      </c>
      <c r="H15" s="56">
        <v>9</v>
      </c>
      <c r="I15" s="57">
        <v>0</v>
      </c>
      <c r="J15" s="23" t="e">
        <f>I15+'09.04'!J15</f>
        <v>#REF!</v>
      </c>
      <c r="K15" s="56">
        <v>6</v>
      </c>
      <c r="L15" s="55">
        <v>0</v>
      </c>
      <c r="M15" s="23" t="e">
        <f>L15+'09.04'!M15</f>
        <v>#REF!</v>
      </c>
      <c r="N15" s="56">
        <v>1305</v>
      </c>
      <c r="O15" s="55">
        <v>0</v>
      </c>
      <c r="P15" s="23" t="e">
        <f>O15+'09.04'!P15</f>
        <v>#REF!</v>
      </c>
      <c r="Q15" s="56">
        <v>447</v>
      </c>
      <c r="R15" s="55">
        <v>0</v>
      </c>
      <c r="S15" s="23" t="e">
        <f>R15+'09.04'!S15</f>
        <v>#REF!</v>
      </c>
      <c r="T15" s="56">
        <v>337</v>
      </c>
      <c r="U15" s="55">
        <v>0</v>
      </c>
      <c r="V15" s="23" t="e">
        <f>U15+'09.04'!V15</f>
        <v>#REF!</v>
      </c>
      <c r="W15" s="56">
        <v>78</v>
      </c>
      <c r="X15" s="55">
        <v>14</v>
      </c>
      <c r="Y15" s="23" t="e">
        <f>X15+'09.04'!Y15</f>
        <v>#REF!</v>
      </c>
      <c r="Z15" s="56">
        <v>141</v>
      </c>
      <c r="AA15" s="55">
        <v>0</v>
      </c>
      <c r="AB15" s="23" t="e">
        <f>AA15+'09.04'!AB15</f>
        <v>#REF!</v>
      </c>
      <c r="AC15" s="56">
        <v>798</v>
      </c>
      <c r="AD15" s="55">
        <v>120</v>
      </c>
      <c r="AE15" s="23" t="e">
        <f>AD15+'09.04'!AE15</f>
        <v>#REF!</v>
      </c>
      <c r="AF15" s="58">
        <f t="shared" si="1"/>
        <v>1329067</v>
      </c>
      <c r="AG15" s="59" t="e">
        <f t="shared" si="1"/>
        <v>#REF!</v>
      </c>
      <c r="AH15" s="60">
        <v>1132</v>
      </c>
      <c r="AI15" s="23" t="e">
        <f>AH15+'09.04'!AI15</f>
        <v>#REF!</v>
      </c>
      <c r="AJ15" s="60">
        <v>3722</v>
      </c>
      <c r="AK15" s="23" t="e">
        <f>AJ15+'09.04'!AK15</f>
        <v>#REF!</v>
      </c>
      <c r="AL15" s="55">
        <v>324213</v>
      </c>
      <c r="AM15" s="23" t="e">
        <f>AL15+'09.04'!AM15</f>
        <v>#REF!</v>
      </c>
      <c r="AN15" s="55">
        <v>1000000</v>
      </c>
      <c r="AO15" s="23" t="e">
        <f>AN15+'09.04'!AO15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AS15+'09.04'!AT15</f>
        <v>#REF!</v>
      </c>
      <c r="AU15" s="57">
        <v>0</v>
      </c>
      <c r="AV15" s="23" t="e">
        <f>AU15+'09.04'!AV15</f>
        <v>#REF!</v>
      </c>
      <c r="AW15" s="57">
        <v>0</v>
      </c>
      <c r="AX15" s="23" t="e">
        <f>AW15+'09.04'!AX15</f>
        <v>#REF!</v>
      </c>
      <c r="AY15" s="57">
        <v>0</v>
      </c>
      <c r="AZ15" s="23" t="e">
        <f>AY15+'09.04'!AZ15</f>
        <v>#REF!</v>
      </c>
      <c r="BA15" s="57">
        <v>4</v>
      </c>
      <c r="BB15" s="23" t="e">
        <f>BA15+'09.04'!BB15</f>
        <v>#REF!</v>
      </c>
      <c r="BC15" s="58">
        <f t="shared" si="3"/>
        <v>2125</v>
      </c>
      <c r="BD15" s="59" t="e">
        <f t="shared" si="3"/>
        <v>#REF!</v>
      </c>
      <c r="BE15" s="55">
        <v>71</v>
      </c>
      <c r="BF15" s="23" t="e">
        <f>BE15+'09.04'!BF15</f>
        <v>#REF!</v>
      </c>
      <c r="BG15" s="57">
        <v>4</v>
      </c>
      <c r="BH15" s="23" t="e">
        <f>BG15+'09.04'!BH15</f>
        <v>#REF!</v>
      </c>
      <c r="BI15" s="55">
        <v>1100</v>
      </c>
      <c r="BJ15" s="23" t="e">
        <f>BI15+'09.04'!BJ15</f>
        <v>#REF!</v>
      </c>
      <c r="BK15" s="55">
        <v>950</v>
      </c>
      <c r="BL15" s="23" t="e">
        <f>BK15+'09.04'!BL15</f>
        <v>#REF!</v>
      </c>
      <c r="BM15" s="55">
        <v>0</v>
      </c>
      <c r="BN15" s="23" t="e">
        <f>BM15+'09.04'!BN15</f>
        <v>#REF!</v>
      </c>
      <c r="BO15" s="36">
        <v>6274</v>
      </c>
      <c r="BP15" s="37">
        <v>1</v>
      </c>
      <c r="BQ15" s="23" t="e">
        <f>BP15+'09.04'!BQ15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164</v>
      </c>
      <c r="D16" s="31" t="e">
        <f t="shared" si="0"/>
        <v>#REF!</v>
      </c>
      <c r="E16" s="32">
        <v>310</v>
      </c>
      <c r="F16" s="22">
        <v>72</v>
      </c>
      <c r="G16" s="23" t="e">
        <f>F16+'09.04'!G16</f>
        <v>#REF!</v>
      </c>
      <c r="H16" s="33">
        <v>5</v>
      </c>
      <c r="I16" s="34">
        <v>0</v>
      </c>
      <c r="J16" s="23" t="e">
        <f>I16+'09.04'!J16</f>
        <v>#REF!</v>
      </c>
      <c r="K16" s="33">
        <v>3</v>
      </c>
      <c r="L16" s="22">
        <v>0</v>
      </c>
      <c r="M16" s="23" t="e">
        <f>L16+'09.04'!M16</f>
        <v>#REF!</v>
      </c>
      <c r="N16" s="33">
        <v>384</v>
      </c>
      <c r="O16" s="22">
        <v>0</v>
      </c>
      <c r="P16" s="23" t="e">
        <f>O16+'09.04'!P16</f>
        <v>#REF!</v>
      </c>
      <c r="Q16" s="33">
        <v>245</v>
      </c>
      <c r="R16" s="22">
        <v>0</v>
      </c>
      <c r="S16" s="23" t="e">
        <f>R16+'09.04'!S16</f>
        <v>#REF!</v>
      </c>
      <c r="T16" s="33">
        <v>397</v>
      </c>
      <c r="U16" s="22">
        <v>0</v>
      </c>
      <c r="V16" s="23" t="e">
        <f>U16+'09.04'!V16</f>
        <v>#REF!</v>
      </c>
      <c r="W16" s="33">
        <v>24</v>
      </c>
      <c r="X16" s="22">
        <v>53</v>
      </c>
      <c r="Y16" s="23" t="e">
        <f>X16+'09.04'!Y16</f>
        <v>#REF!</v>
      </c>
      <c r="Z16" s="33">
        <v>18</v>
      </c>
      <c r="AA16" s="22">
        <v>0</v>
      </c>
      <c r="AB16" s="23" t="e">
        <f>AA16+'09.04'!AB16</f>
        <v>#REF!</v>
      </c>
      <c r="AC16" s="33">
        <v>18515</v>
      </c>
      <c r="AD16" s="22">
        <v>39</v>
      </c>
      <c r="AE16" s="23" t="e">
        <f>AD16+'09.04'!AE16</f>
        <v>#REF!</v>
      </c>
      <c r="AF16" s="19">
        <f t="shared" si="1"/>
        <v>89385</v>
      </c>
      <c r="AG16" s="20" t="e">
        <f t="shared" si="1"/>
        <v>#REF!</v>
      </c>
      <c r="AH16" s="24">
        <v>420</v>
      </c>
      <c r="AI16" s="23" t="e">
        <f>AH16+'09.04'!AI16</f>
        <v>#REF!</v>
      </c>
      <c r="AJ16" s="24">
        <v>1315</v>
      </c>
      <c r="AK16" s="23" t="e">
        <f>AJ16+'09.04'!AK16</f>
        <v>#REF!</v>
      </c>
      <c r="AL16" s="22">
        <v>3460</v>
      </c>
      <c r="AM16" s="23" t="e">
        <f>AL16+'09.04'!AM16</f>
        <v>#REF!</v>
      </c>
      <c r="AN16" s="22">
        <v>84190</v>
      </c>
      <c r="AO16" s="23" t="e">
        <f>AN16+'09.04'!AO16</f>
        <v>#REF!</v>
      </c>
      <c r="AP16" s="28" t="s">
        <v>51</v>
      </c>
      <c r="AQ16" s="19">
        <f t="shared" si="2"/>
        <v>66</v>
      </c>
      <c r="AR16" s="20" t="e">
        <f t="shared" si="2"/>
        <v>#REF!</v>
      </c>
      <c r="AS16" s="34">
        <v>1</v>
      </c>
      <c r="AT16" s="23" t="e">
        <f>AS16+'09.04'!AT16</f>
        <v>#REF!</v>
      </c>
      <c r="AU16" s="34">
        <v>1</v>
      </c>
      <c r="AV16" s="23" t="e">
        <f>AU16+'09.04'!AV16</f>
        <v>#REF!</v>
      </c>
      <c r="AW16" s="34">
        <v>0</v>
      </c>
      <c r="AX16" s="23" t="e">
        <f>AW16+'09.04'!AX16</f>
        <v>#REF!</v>
      </c>
      <c r="AY16" s="34">
        <v>0</v>
      </c>
      <c r="AZ16" s="23" t="e">
        <f>AY16+'09.04'!AZ16</f>
        <v>#REF!</v>
      </c>
      <c r="BA16" s="34">
        <v>64</v>
      </c>
      <c r="BB16" s="23" t="e">
        <f>BA16+'09.04'!BB16</f>
        <v>#REF!</v>
      </c>
      <c r="BC16" s="19">
        <f t="shared" si="3"/>
        <v>1434</v>
      </c>
      <c r="BD16" s="20" t="e">
        <f t="shared" si="3"/>
        <v>#REF!</v>
      </c>
      <c r="BE16" s="22">
        <v>160</v>
      </c>
      <c r="BF16" s="23" t="e">
        <f>BE16+'09.04'!BF16</f>
        <v>#REF!</v>
      </c>
      <c r="BG16" s="34">
        <v>4</v>
      </c>
      <c r="BH16" s="23" t="e">
        <f>BG16+'09.04'!BH16</f>
        <v>#REF!</v>
      </c>
      <c r="BI16" s="22">
        <v>1020</v>
      </c>
      <c r="BJ16" s="23" t="e">
        <f>BI16+'09.04'!BJ16</f>
        <v>#REF!</v>
      </c>
      <c r="BK16" s="22">
        <v>250</v>
      </c>
      <c r="BL16" s="23" t="e">
        <f>BK16+'09.04'!BL16</f>
        <v>#REF!</v>
      </c>
      <c r="BM16" s="22">
        <v>0</v>
      </c>
      <c r="BN16" s="23" t="e">
        <f>BM16+'09.04'!BN16</f>
        <v>#REF!</v>
      </c>
      <c r="BO16" s="36">
        <v>2546</v>
      </c>
      <c r="BP16" s="37">
        <v>0</v>
      </c>
      <c r="BQ16" s="23" t="e">
        <f>BP16+'09.04'!BQ16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246</v>
      </c>
      <c r="D17" s="31" t="e">
        <f t="shared" si="0"/>
        <v>#REF!</v>
      </c>
      <c r="E17" s="32">
        <v>754</v>
      </c>
      <c r="F17" s="22">
        <v>165</v>
      </c>
      <c r="G17" s="23" t="e">
        <f>F17+'09.04'!G17</f>
        <v>#REF!</v>
      </c>
      <c r="H17" s="33">
        <v>9</v>
      </c>
      <c r="I17" s="34">
        <v>0</v>
      </c>
      <c r="J17" s="23" t="e">
        <f>I17+'09.04'!J17</f>
        <v>#REF!</v>
      </c>
      <c r="K17" s="33">
        <v>5</v>
      </c>
      <c r="L17" s="22">
        <v>0</v>
      </c>
      <c r="M17" s="23" t="e">
        <f>L17+'09.04'!M17</f>
        <v>#REF!</v>
      </c>
      <c r="N17" s="33">
        <v>768</v>
      </c>
      <c r="O17" s="22">
        <v>0</v>
      </c>
      <c r="P17" s="23" t="e">
        <f>O17+'09.04'!P17</f>
        <v>#REF!</v>
      </c>
      <c r="Q17" s="33">
        <v>624</v>
      </c>
      <c r="R17" s="22">
        <v>0</v>
      </c>
      <c r="S17" s="23" t="e">
        <f>R17+'09.04'!S17</f>
        <v>#REF!</v>
      </c>
      <c r="T17" s="33">
        <v>742</v>
      </c>
      <c r="U17" s="22">
        <v>0</v>
      </c>
      <c r="V17" s="23" t="e">
        <f>U17+'09.04'!V17</f>
        <v>#REF!</v>
      </c>
      <c r="W17" s="33">
        <v>54</v>
      </c>
      <c r="X17" s="22">
        <v>56</v>
      </c>
      <c r="Y17" s="23" t="e">
        <f>X17+'09.04'!Y17</f>
        <v>#REF!</v>
      </c>
      <c r="Z17" s="33">
        <v>66</v>
      </c>
      <c r="AA17" s="22">
        <v>0</v>
      </c>
      <c r="AB17" s="23" t="e">
        <f>AA17+'09.04'!AB17</f>
        <v>#REF!</v>
      </c>
      <c r="AC17" s="33">
        <v>2580</v>
      </c>
      <c r="AD17" s="22">
        <v>25</v>
      </c>
      <c r="AE17" s="23" t="e">
        <f>AD17+'09.04'!AE17</f>
        <v>#REF!</v>
      </c>
      <c r="AF17" s="19">
        <f t="shared" si="1"/>
        <v>209700</v>
      </c>
      <c r="AG17" s="20" t="e">
        <f t="shared" si="1"/>
        <v>#REF!</v>
      </c>
      <c r="AH17" s="24">
        <v>10300</v>
      </c>
      <c r="AI17" s="23" t="e">
        <f>AH17+'09.04'!AI17</f>
        <v>#REF!</v>
      </c>
      <c r="AJ17" s="24">
        <v>12500</v>
      </c>
      <c r="AK17" s="23" t="e">
        <f>AJ17+'09.04'!AK17</f>
        <v>#REF!</v>
      </c>
      <c r="AL17" s="22">
        <v>76100</v>
      </c>
      <c r="AM17" s="23" t="e">
        <f>AL17+'09.04'!AM17</f>
        <v>#REF!</v>
      </c>
      <c r="AN17" s="22">
        <v>110800</v>
      </c>
      <c r="AO17" s="23" t="e">
        <f>AN17+'09.04'!AO17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AS17+'09.04'!AT17</f>
        <v>#REF!</v>
      </c>
      <c r="AU17" s="34">
        <v>1</v>
      </c>
      <c r="AV17" s="23" t="e">
        <f>AU17+'09.04'!AV17</f>
        <v>#REF!</v>
      </c>
      <c r="AW17" s="34">
        <v>0</v>
      </c>
      <c r="AX17" s="23" t="e">
        <f>AW17+'09.04'!AX17</f>
        <v>#REF!</v>
      </c>
      <c r="AY17" s="34">
        <v>0</v>
      </c>
      <c r="AZ17" s="23" t="e">
        <f>AY17+'09.04'!AZ17</f>
        <v>#REF!</v>
      </c>
      <c r="BA17" s="34">
        <v>14</v>
      </c>
      <c r="BB17" s="23" t="e">
        <f>BA17+'09.04'!BB17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BE17+'09.04'!BF17</f>
        <v>#REF!</v>
      </c>
      <c r="BG17" s="34">
        <v>4</v>
      </c>
      <c r="BH17" s="23" t="e">
        <f>BG17+'09.04'!BH17</f>
        <v>#REF!</v>
      </c>
      <c r="BI17" s="22">
        <v>1400</v>
      </c>
      <c r="BJ17" s="23" t="e">
        <f>BI17+'09.04'!BJ17</f>
        <v>#REF!</v>
      </c>
      <c r="BK17" s="22">
        <v>160</v>
      </c>
      <c r="BL17" s="23" t="e">
        <f>BK17+'09.04'!BL17</f>
        <v>#REF!</v>
      </c>
      <c r="BM17" s="22">
        <v>0</v>
      </c>
      <c r="BN17" s="23" t="e">
        <f>BM17+'09.04'!BN17</f>
        <v>#REF!</v>
      </c>
      <c r="BO17" s="36">
        <v>8022</v>
      </c>
      <c r="BP17" s="37">
        <v>10</v>
      </c>
      <c r="BQ17" s="23" t="e">
        <f>BP17+'09.04'!BQ17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556</v>
      </c>
      <c r="D18" s="20" t="e">
        <f t="shared" si="0"/>
        <v>#REF!</v>
      </c>
      <c r="E18" s="21">
        <v>1063</v>
      </c>
      <c r="F18" s="22">
        <v>342</v>
      </c>
      <c r="G18" s="23" t="e">
        <f>F18+'09.04'!G18</f>
        <v>#REF!</v>
      </c>
      <c r="H18" s="21">
        <v>19</v>
      </c>
      <c r="I18" s="22">
        <v>0</v>
      </c>
      <c r="J18" s="23" t="e">
        <f>I18+'09.04'!J18</f>
        <v>#REF!</v>
      </c>
      <c r="K18" s="21">
        <v>8</v>
      </c>
      <c r="L18" s="22">
        <v>0</v>
      </c>
      <c r="M18" s="23" t="e">
        <f>L18+'09.04'!M18</f>
        <v>#REF!</v>
      </c>
      <c r="N18" s="21">
        <v>1331</v>
      </c>
      <c r="O18" s="22">
        <v>0</v>
      </c>
      <c r="P18" s="23" t="e">
        <f>O18+'09.04'!P18</f>
        <v>#REF!</v>
      </c>
      <c r="Q18" s="21">
        <v>777</v>
      </c>
      <c r="R18" s="22">
        <v>0</v>
      </c>
      <c r="S18" s="23" t="e">
        <f>R18+'09.04'!S18</f>
        <v>#REF!</v>
      </c>
      <c r="T18" s="21">
        <v>318</v>
      </c>
      <c r="U18" s="22">
        <v>0</v>
      </c>
      <c r="V18" s="23" t="e">
        <f>U18+'09.04'!V18</f>
        <v>#REF!</v>
      </c>
      <c r="W18" s="21">
        <v>60</v>
      </c>
      <c r="X18" s="22">
        <v>214</v>
      </c>
      <c r="Y18" s="23" t="e">
        <f>X18+'09.04'!Y18</f>
        <v>#REF!</v>
      </c>
      <c r="Z18" s="21">
        <v>72</v>
      </c>
      <c r="AA18" s="22">
        <v>0</v>
      </c>
      <c r="AB18" s="23" t="e">
        <f>AA18+'09.04'!AB18</f>
        <v>#REF!</v>
      </c>
      <c r="AC18" s="21">
        <v>143</v>
      </c>
      <c r="AD18" s="22">
        <v>0</v>
      </c>
      <c r="AE18" s="23" t="e">
        <f>AD18+'09.04'!AE18</f>
        <v>#REF!</v>
      </c>
      <c r="AF18" s="19">
        <f t="shared" si="1"/>
        <v>317451</v>
      </c>
      <c r="AG18" s="20" t="e">
        <f t="shared" si="1"/>
        <v>#REF!</v>
      </c>
      <c r="AH18" s="24">
        <v>602</v>
      </c>
      <c r="AI18" s="23" t="e">
        <f>AH18+'09.04'!AI18</f>
        <v>#REF!</v>
      </c>
      <c r="AJ18" s="24">
        <v>4740</v>
      </c>
      <c r="AK18" s="23" t="e">
        <f>AJ18+'09.04'!AK18</f>
        <v>#REF!</v>
      </c>
      <c r="AL18" s="22">
        <v>5016</v>
      </c>
      <c r="AM18" s="23" t="e">
        <f>AL18+'09.04'!AM18</f>
        <v>#REF!</v>
      </c>
      <c r="AN18" s="22">
        <v>307093</v>
      </c>
      <c r="AO18" s="23" t="e">
        <f>AN18+'09.04'!AO18</f>
        <v>#REF!</v>
      </c>
      <c r="AP18" s="17" t="s">
        <v>53</v>
      </c>
      <c r="AQ18" s="19">
        <f>AS18+AU18+AW18+AY18+BA18</f>
        <v>6</v>
      </c>
      <c r="AR18" s="20" t="e">
        <f t="shared" si="2"/>
        <v>#REF!</v>
      </c>
      <c r="AS18" s="22">
        <v>0</v>
      </c>
      <c r="AT18" s="23" t="e">
        <f>AS18+'09.04'!AT18</f>
        <v>#REF!</v>
      </c>
      <c r="AU18" s="22">
        <v>0</v>
      </c>
      <c r="AV18" s="23" t="e">
        <f>AU18+'09.04'!AV18</f>
        <v>#REF!</v>
      </c>
      <c r="AW18" s="22">
        <v>0</v>
      </c>
      <c r="AX18" s="23" t="e">
        <f>AW18+'09.04'!AX18</f>
        <v>#REF!</v>
      </c>
      <c r="AY18" s="22">
        <v>0</v>
      </c>
      <c r="AZ18" s="23" t="e">
        <f>AY18+'09.04'!AZ18</f>
        <v>#REF!</v>
      </c>
      <c r="BA18" s="22">
        <v>6</v>
      </c>
      <c r="BB18" s="23" t="e">
        <f>BA18+'09.04'!BB18</f>
        <v>#REF!</v>
      </c>
      <c r="BC18" s="19">
        <f t="shared" si="3"/>
        <v>3526</v>
      </c>
      <c r="BD18" s="20" t="e">
        <f>BF18+BH18+BJ18+BL18+BN18</f>
        <v>#REF!</v>
      </c>
      <c r="BE18" s="22">
        <v>2</v>
      </c>
      <c r="BF18" s="23" t="e">
        <f>BE18+'09.04'!BF18</f>
        <v>#REF!</v>
      </c>
      <c r="BG18" s="22">
        <v>1</v>
      </c>
      <c r="BH18" s="23" t="e">
        <f>BG18+'09.04'!BH18</f>
        <v>#REF!</v>
      </c>
      <c r="BI18" s="22">
        <v>3309</v>
      </c>
      <c r="BJ18" s="23" t="e">
        <f>BI18+'09.04'!BJ18</f>
        <v>#REF!</v>
      </c>
      <c r="BK18" s="22">
        <v>214</v>
      </c>
      <c r="BL18" s="23" t="e">
        <f>BK18+'09.04'!BL18</f>
        <v>#REF!</v>
      </c>
      <c r="BM18" s="22">
        <v>0</v>
      </c>
      <c r="BN18" s="23" t="e">
        <f>BM18+'09.04'!BN18</f>
        <v>#REF!</v>
      </c>
      <c r="BO18" s="36">
        <v>442</v>
      </c>
      <c r="BP18" s="37">
        <v>0</v>
      </c>
      <c r="BQ18" s="23" t="e">
        <f>BP18+'09.04'!BQ18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49</v>
      </c>
      <c r="D19" s="31" t="e">
        <f t="shared" si="0"/>
        <v>#REF!</v>
      </c>
      <c r="E19" s="33">
        <v>221</v>
      </c>
      <c r="F19" s="22">
        <v>16</v>
      </c>
      <c r="G19" s="23" t="e">
        <f>F19+'09.04'!G19</f>
        <v>#REF!</v>
      </c>
      <c r="H19" s="33">
        <v>5</v>
      </c>
      <c r="I19" s="34">
        <v>0</v>
      </c>
      <c r="J19" s="23" t="e">
        <f>I19+'09.04'!J19</f>
        <v>#REF!</v>
      </c>
      <c r="K19" s="33">
        <v>4</v>
      </c>
      <c r="L19" s="22">
        <v>0</v>
      </c>
      <c r="M19" s="23" t="e">
        <f>L19+'09.04'!M19</f>
        <v>#REF!</v>
      </c>
      <c r="N19" s="33">
        <v>313</v>
      </c>
      <c r="O19" s="22">
        <v>0</v>
      </c>
      <c r="P19" s="23" t="e">
        <f>O19+'09.04'!P19</f>
        <v>#REF!</v>
      </c>
      <c r="Q19" s="33">
        <v>203</v>
      </c>
      <c r="R19" s="22">
        <v>0</v>
      </c>
      <c r="S19" s="23" t="e">
        <f>R19+'09.04'!S19</f>
        <v>#REF!</v>
      </c>
      <c r="T19" s="33">
        <v>241</v>
      </c>
      <c r="U19" s="22">
        <v>0</v>
      </c>
      <c r="V19" s="23" t="e">
        <f>U19+'09.04'!V19</f>
        <v>#REF!</v>
      </c>
      <c r="W19" s="33">
        <v>14</v>
      </c>
      <c r="X19" s="22">
        <v>17</v>
      </c>
      <c r="Y19" s="23" t="e">
        <f>X19+'09.04'!Y19</f>
        <v>#REF!</v>
      </c>
      <c r="Z19" s="33">
        <v>7</v>
      </c>
      <c r="AA19" s="22">
        <v>0</v>
      </c>
      <c r="AB19" s="23" t="e">
        <f>AA19+'09.04'!AB19</f>
        <v>#REF!</v>
      </c>
      <c r="AC19" s="33">
        <v>32</v>
      </c>
      <c r="AD19" s="22">
        <v>16</v>
      </c>
      <c r="AE19" s="23" t="e">
        <f>AD19+'09.04'!AE19</f>
        <v>#REF!</v>
      </c>
      <c r="AF19" s="19">
        <f t="shared" si="1"/>
        <v>3600</v>
      </c>
      <c r="AG19" s="20" t="e">
        <f t="shared" si="1"/>
        <v>#REF!</v>
      </c>
      <c r="AH19" s="24">
        <v>700</v>
      </c>
      <c r="AI19" s="23" t="e">
        <f>AH19+'09.04'!AI19</f>
        <v>#REF!</v>
      </c>
      <c r="AJ19" s="24">
        <v>700</v>
      </c>
      <c r="AK19" s="23" t="e">
        <f>AJ19+'09.04'!AK19</f>
        <v>#REF!</v>
      </c>
      <c r="AL19" s="22">
        <v>1100</v>
      </c>
      <c r="AM19" s="23" t="e">
        <f>AL19+'09.04'!AM19</f>
        <v>#REF!</v>
      </c>
      <c r="AN19" s="22">
        <v>1100</v>
      </c>
      <c r="AO19" s="23" t="e">
        <f>AN19+'09.04'!AO19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AS19+'09.04'!AT19</f>
        <v>#REF!</v>
      </c>
      <c r="AU19" s="34">
        <v>0</v>
      </c>
      <c r="AV19" s="23" t="e">
        <f>AU19+'09.04'!AV19</f>
        <v>#REF!</v>
      </c>
      <c r="AW19" s="34">
        <v>0</v>
      </c>
      <c r="AX19" s="23" t="e">
        <f>AW19+'09.04'!AX19</f>
        <v>#REF!</v>
      </c>
      <c r="AY19" s="34">
        <v>0</v>
      </c>
      <c r="AZ19" s="23" t="e">
        <f>AY19+'09.04'!AZ19</f>
        <v>#REF!</v>
      </c>
      <c r="BA19" s="34">
        <v>0</v>
      </c>
      <c r="BB19" s="23" t="e">
        <f>BA19+'09.04'!BB19</f>
        <v>#REF!</v>
      </c>
      <c r="BC19" s="19">
        <f t="shared" si="3"/>
        <v>1415</v>
      </c>
      <c r="BD19" s="20" t="e">
        <f t="shared" si="3"/>
        <v>#REF!</v>
      </c>
      <c r="BE19" s="22">
        <v>15</v>
      </c>
      <c r="BF19" s="23" t="e">
        <f>BE19+'09.04'!BF19</f>
        <v>#REF!</v>
      </c>
      <c r="BG19" s="34">
        <v>0</v>
      </c>
      <c r="BH19" s="23" t="e">
        <f>BG19+'09.04'!BH19</f>
        <v>#REF!</v>
      </c>
      <c r="BI19" s="22">
        <v>1200</v>
      </c>
      <c r="BJ19" s="23" t="e">
        <f>BI19+'09.04'!BJ19</f>
        <v>#REF!</v>
      </c>
      <c r="BK19" s="22">
        <v>200</v>
      </c>
      <c r="BL19" s="23" t="e">
        <f>BK19+'09.04'!BL19</f>
        <v>#REF!</v>
      </c>
      <c r="BM19" s="22">
        <v>0</v>
      </c>
      <c r="BN19" s="23" t="e">
        <f>BM19+'09.04'!BN19</f>
        <v>#REF!</v>
      </c>
      <c r="BO19" s="36">
        <v>2898</v>
      </c>
      <c r="BP19" s="37">
        <v>0</v>
      </c>
      <c r="BQ19" s="23" t="e">
        <f>BP19+'09.04'!BQ19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456</v>
      </c>
      <c r="D20" s="31" t="e">
        <f t="shared" si="0"/>
        <v>#REF!</v>
      </c>
      <c r="E20" s="32">
        <v>723</v>
      </c>
      <c r="F20" s="22">
        <v>285</v>
      </c>
      <c r="G20" s="23" t="e">
        <f>F20+'09.04'!G20</f>
        <v>#REF!</v>
      </c>
      <c r="H20" s="33">
        <v>5</v>
      </c>
      <c r="I20" s="34">
        <v>2</v>
      </c>
      <c r="J20" s="23" t="e">
        <f>I20+'09.04'!J20</f>
        <v>#REF!</v>
      </c>
      <c r="K20" s="33">
        <v>3</v>
      </c>
      <c r="L20" s="22">
        <v>0</v>
      </c>
      <c r="M20" s="23" t="e">
        <f>L20+'09.04'!M20</f>
        <v>#REF!</v>
      </c>
      <c r="N20" s="33">
        <v>975</v>
      </c>
      <c r="O20" s="22">
        <v>79</v>
      </c>
      <c r="P20" s="23" t="e">
        <f>O20+'09.04'!P20</f>
        <v>#REF!</v>
      </c>
      <c r="Q20" s="61">
        <v>1862</v>
      </c>
      <c r="R20" s="22">
        <v>1</v>
      </c>
      <c r="S20" s="23" t="e">
        <f>R20+'09.04'!S20</f>
        <v>#REF!</v>
      </c>
      <c r="T20" s="33">
        <v>35</v>
      </c>
      <c r="U20" s="22">
        <v>4</v>
      </c>
      <c r="V20" s="23" t="e">
        <f>U20+'09.04'!V20</f>
        <v>#REF!</v>
      </c>
      <c r="W20" s="33">
        <v>64</v>
      </c>
      <c r="X20" s="22">
        <v>4</v>
      </c>
      <c r="Y20" s="23" t="e">
        <f>X20+'09.04'!Y20</f>
        <v>#REF!</v>
      </c>
      <c r="Z20" s="33">
        <v>15</v>
      </c>
      <c r="AA20" s="22">
        <v>1</v>
      </c>
      <c r="AB20" s="23" t="e">
        <f>AA20+'09.04'!AB20</f>
        <v>#REF!</v>
      </c>
      <c r="AC20" s="33">
        <v>1546</v>
      </c>
      <c r="AD20" s="22">
        <v>80</v>
      </c>
      <c r="AE20" s="23" t="e">
        <f>AD20+'09.04'!AE20</f>
        <v>#REF!</v>
      </c>
      <c r="AF20" s="19">
        <f t="shared" si="1"/>
        <v>20330</v>
      </c>
      <c r="AG20" s="20" t="e">
        <f t="shared" si="1"/>
        <v>#REF!</v>
      </c>
      <c r="AH20" s="24">
        <v>9750</v>
      </c>
      <c r="AI20" s="23" t="e">
        <f>AH20+'09.04'!AI20</f>
        <v>#REF!</v>
      </c>
      <c r="AJ20" s="24">
        <v>10080</v>
      </c>
      <c r="AK20" s="23" t="e">
        <f>AJ20+'09.04'!AK20</f>
        <v>#REF!</v>
      </c>
      <c r="AL20" s="22">
        <v>350</v>
      </c>
      <c r="AM20" s="23" t="e">
        <f>AL20+'09.04'!AM20</f>
        <v>#REF!</v>
      </c>
      <c r="AN20" s="22">
        <v>150</v>
      </c>
      <c r="AO20" s="23" t="e">
        <f>AN20+'09.04'!AO20</f>
        <v>#REF!</v>
      </c>
      <c r="AP20" s="28" t="s">
        <v>55</v>
      </c>
      <c r="AQ20" s="19">
        <f t="shared" si="4"/>
        <v>230</v>
      </c>
      <c r="AR20" s="20" t="e">
        <f t="shared" si="2"/>
        <v>#REF!</v>
      </c>
      <c r="AS20" s="34">
        <v>1</v>
      </c>
      <c r="AT20" s="23" t="e">
        <f>AS20+'09.04'!AT20</f>
        <v>#REF!</v>
      </c>
      <c r="AU20" s="34">
        <v>0</v>
      </c>
      <c r="AV20" s="23" t="e">
        <f>AU20+'09.04'!AV20</f>
        <v>#REF!</v>
      </c>
      <c r="AW20" s="34">
        <v>0</v>
      </c>
      <c r="AX20" s="23" t="e">
        <f>AW20+'09.04'!AX20</f>
        <v>#REF!</v>
      </c>
      <c r="AY20" s="34">
        <v>0</v>
      </c>
      <c r="AZ20" s="23" t="e">
        <f>AY20+'09.04'!AZ20</f>
        <v>#REF!</v>
      </c>
      <c r="BA20" s="34">
        <v>229</v>
      </c>
      <c r="BB20" s="23" t="e">
        <f>BA20+'09.04'!BB20</f>
        <v>#REF!</v>
      </c>
      <c r="BC20" s="19">
        <f t="shared" si="3"/>
        <v>3339</v>
      </c>
      <c r="BD20" s="20" t="e">
        <f t="shared" si="3"/>
        <v>#REF!</v>
      </c>
      <c r="BE20" s="22">
        <v>2</v>
      </c>
      <c r="BF20" s="23" t="e">
        <f>BE20+'09.04'!BF20</f>
        <v>#REF!</v>
      </c>
      <c r="BG20" s="34">
        <v>0</v>
      </c>
      <c r="BH20" s="23" t="e">
        <f>BG20+'09.04'!BH20</f>
        <v>#REF!</v>
      </c>
      <c r="BI20" s="22">
        <v>1595</v>
      </c>
      <c r="BJ20" s="23" t="e">
        <f>BI20+'09.04'!BJ20</f>
        <v>#REF!</v>
      </c>
      <c r="BK20" s="22">
        <v>1742</v>
      </c>
      <c r="BL20" s="23" t="e">
        <f>BK20+'09.04'!BL20</f>
        <v>#REF!</v>
      </c>
      <c r="BM20" s="22">
        <v>0</v>
      </c>
      <c r="BN20" s="23" t="e">
        <f>BM20+'09.04'!BN20</f>
        <v>#REF!</v>
      </c>
      <c r="BO20" s="36">
        <v>5854</v>
      </c>
      <c r="BP20" s="37">
        <v>0</v>
      </c>
      <c r="BQ20" s="23" t="e">
        <f>BP20+'09.04'!BQ20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289</v>
      </c>
      <c r="D21" s="31" t="e">
        <f t="shared" si="0"/>
        <v>#REF!</v>
      </c>
      <c r="E21" s="32">
        <v>1017</v>
      </c>
      <c r="F21" s="22">
        <v>250</v>
      </c>
      <c r="G21" s="23" t="e">
        <f>F21+'09.04'!G21</f>
        <v>#REF!</v>
      </c>
      <c r="H21" s="33">
        <v>8</v>
      </c>
      <c r="I21" s="34">
        <v>3</v>
      </c>
      <c r="J21" s="23" t="e">
        <f>I21+'09.04'!J21</f>
        <v>#REF!</v>
      </c>
      <c r="K21" s="33">
        <v>4</v>
      </c>
      <c r="L21" s="22">
        <v>2</v>
      </c>
      <c r="M21" s="23" t="e">
        <f>L21+'09.04'!M21</f>
        <v>#REF!</v>
      </c>
      <c r="N21" s="33">
        <v>963</v>
      </c>
      <c r="O21" s="22">
        <v>0</v>
      </c>
      <c r="P21" s="23" t="e">
        <f>O21+'09.04'!P21</f>
        <v>#REF!</v>
      </c>
      <c r="Q21" s="33">
        <v>912</v>
      </c>
      <c r="R21" s="22">
        <v>0</v>
      </c>
      <c r="S21" s="23" t="e">
        <f>R21+'09.04'!S21</f>
        <v>#REF!</v>
      </c>
      <c r="T21" s="33">
        <v>199</v>
      </c>
      <c r="U21" s="22">
        <v>1</v>
      </c>
      <c r="V21" s="23" t="e">
        <f>U21+'09.04'!V21</f>
        <v>#REF!</v>
      </c>
      <c r="W21" s="33">
        <v>101</v>
      </c>
      <c r="X21" s="22">
        <v>20</v>
      </c>
      <c r="Y21" s="23" t="e">
        <f>X21+'09.04'!Y21</f>
        <v>#REF!</v>
      </c>
      <c r="Z21" s="33">
        <v>42</v>
      </c>
      <c r="AA21" s="22">
        <v>0</v>
      </c>
      <c r="AB21" s="23" t="e">
        <f>AA21+'09.04'!AB21</f>
        <v>#REF!</v>
      </c>
      <c r="AC21" s="33">
        <v>20</v>
      </c>
      <c r="AD21" s="22">
        <v>13</v>
      </c>
      <c r="AE21" s="23" t="e">
        <f>AD21+'09.04'!AE21</f>
        <v>#REF!</v>
      </c>
      <c r="AF21" s="19">
        <f t="shared" si="1"/>
        <v>5300000</v>
      </c>
      <c r="AG21" s="20" t="e">
        <f t="shared" si="1"/>
        <v>#REF!</v>
      </c>
      <c r="AH21" s="24">
        <v>10000</v>
      </c>
      <c r="AI21" s="23" t="e">
        <f>AH21+'09.04'!AI21</f>
        <v>#REF!</v>
      </c>
      <c r="AJ21" s="24">
        <v>290000</v>
      </c>
      <c r="AK21" s="23" t="e">
        <f>AJ21+'09.04'!AK21</f>
        <v>#REF!</v>
      </c>
      <c r="AL21" s="22">
        <v>500000</v>
      </c>
      <c r="AM21" s="23" t="e">
        <f>AL21+'09.04'!AM21</f>
        <v>#REF!</v>
      </c>
      <c r="AN21" s="22">
        <v>4500000</v>
      </c>
      <c r="AO21" s="23" t="e">
        <f>AN21+'09.04'!AO21</f>
        <v>#REF!</v>
      </c>
      <c r="AP21" s="28" t="s">
        <v>58</v>
      </c>
      <c r="AQ21" s="19">
        <f t="shared" si="4"/>
        <v>11</v>
      </c>
      <c r="AR21" s="20" t="e">
        <f t="shared" si="2"/>
        <v>#REF!</v>
      </c>
      <c r="AS21" s="34">
        <v>1</v>
      </c>
      <c r="AT21" s="23" t="e">
        <f>AS21+'09.04'!AT21</f>
        <v>#REF!</v>
      </c>
      <c r="AU21" s="34">
        <v>2</v>
      </c>
      <c r="AV21" s="23" t="e">
        <f>AU21+'09.04'!AV21</f>
        <v>#REF!</v>
      </c>
      <c r="AW21" s="34">
        <v>0</v>
      </c>
      <c r="AX21" s="23" t="e">
        <f>AW21+'09.04'!AX21</f>
        <v>#REF!</v>
      </c>
      <c r="AY21" s="34">
        <v>0</v>
      </c>
      <c r="AZ21" s="23" t="e">
        <f>AY21+'09.04'!AZ21</f>
        <v>#REF!</v>
      </c>
      <c r="BA21" s="34">
        <v>8</v>
      </c>
      <c r="BB21" s="23" t="e">
        <f>BA21+'09.04'!BB21</f>
        <v>#REF!</v>
      </c>
      <c r="BC21" s="19">
        <f t="shared" si="3"/>
        <v>5070</v>
      </c>
      <c r="BD21" s="20" t="e">
        <f t="shared" si="3"/>
        <v>#REF!</v>
      </c>
      <c r="BE21" s="22">
        <v>70</v>
      </c>
      <c r="BF21" s="23" t="e">
        <f>BE21+'09.04'!BF21</f>
        <v>#REF!</v>
      </c>
      <c r="BG21" s="34">
        <v>0</v>
      </c>
      <c r="BH21" s="23" t="e">
        <f>BG21+'09.04'!BH21</f>
        <v>#REF!</v>
      </c>
      <c r="BI21" s="22">
        <v>5000</v>
      </c>
      <c r="BJ21" s="23" t="e">
        <f>BI21+'09.04'!BJ21</f>
        <v>#REF!</v>
      </c>
      <c r="BK21" s="22">
        <v>0</v>
      </c>
      <c r="BL21" s="23" t="e">
        <f>BK21+'09.04'!BL21</f>
        <v>#REF!</v>
      </c>
      <c r="BM21" s="22">
        <v>0</v>
      </c>
      <c r="BN21" s="23" t="e">
        <f>BM21+'09.04'!BN21</f>
        <v>#REF!</v>
      </c>
      <c r="BO21" s="36">
        <v>68</v>
      </c>
      <c r="BP21" s="37">
        <v>1</v>
      </c>
      <c r="BQ21" s="23" t="e">
        <f>BP21+'09.04'!BQ21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665</v>
      </c>
      <c r="D22" s="31" t="e">
        <f t="shared" si="0"/>
        <v>#REF!</v>
      </c>
      <c r="E22" s="32">
        <v>509</v>
      </c>
      <c r="F22" s="22">
        <v>284</v>
      </c>
      <c r="G22" s="23" t="e">
        <f>F22+'09.04'!G22</f>
        <v>#REF!</v>
      </c>
      <c r="H22" s="33">
        <v>8</v>
      </c>
      <c r="I22" s="34">
        <v>0</v>
      </c>
      <c r="J22" s="23" t="e">
        <f>I22+'09.04'!J22</f>
        <v>#REF!</v>
      </c>
      <c r="K22" s="33">
        <v>21</v>
      </c>
      <c r="L22" s="22">
        <v>0</v>
      </c>
      <c r="M22" s="23" t="e">
        <f>L22+'09.04'!M22</f>
        <v>#REF!</v>
      </c>
      <c r="N22" s="33">
        <v>560</v>
      </c>
      <c r="O22" s="22">
        <v>60</v>
      </c>
      <c r="P22" s="23" t="e">
        <f>O22+'09.04'!P22</f>
        <v>#REF!</v>
      </c>
      <c r="Q22" s="33">
        <v>375</v>
      </c>
      <c r="R22" s="22">
        <v>0</v>
      </c>
      <c r="S22" s="23" t="e">
        <f>R22+'09.04'!S22</f>
        <v>#REF!</v>
      </c>
      <c r="T22" s="33">
        <v>165</v>
      </c>
      <c r="U22" s="22">
        <v>0</v>
      </c>
      <c r="V22" s="23" t="e">
        <f>U22+'09.04'!V22</f>
        <v>#REF!</v>
      </c>
      <c r="W22" s="33">
        <v>28</v>
      </c>
      <c r="X22" s="22">
        <v>35</v>
      </c>
      <c r="Y22" s="23" t="e">
        <f>X22+'09.04'!Y22</f>
        <v>#REF!</v>
      </c>
      <c r="Z22" s="33">
        <v>9</v>
      </c>
      <c r="AA22" s="22">
        <v>0</v>
      </c>
      <c r="AB22" s="23" t="e">
        <f>AA22+'09.04'!AB22</f>
        <v>#REF!</v>
      </c>
      <c r="AC22" s="33">
        <v>112</v>
      </c>
      <c r="AD22" s="22">
        <v>286</v>
      </c>
      <c r="AE22" s="23" t="e">
        <f>AD22+'09.04'!AE22</f>
        <v>#REF!</v>
      </c>
      <c r="AF22" s="19">
        <f t="shared" si="1"/>
        <v>855229</v>
      </c>
      <c r="AG22" s="20" t="e">
        <f t="shared" si="1"/>
        <v>#REF!</v>
      </c>
      <c r="AH22" s="24">
        <v>2154</v>
      </c>
      <c r="AI22" s="23" t="e">
        <f>AH22+'09.04'!AI22</f>
        <v>#REF!</v>
      </c>
      <c r="AJ22" s="24">
        <v>7921</v>
      </c>
      <c r="AK22" s="23" t="e">
        <f>AJ22+'09.04'!AK22</f>
        <v>#REF!</v>
      </c>
      <c r="AL22" s="22">
        <v>3451</v>
      </c>
      <c r="AM22" s="23" t="e">
        <f>AL22+'09.04'!AM22</f>
        <v>#REF!</v>
      </c>
      <c r="AN22" s="22">
        <v>841703</v>
      </c>
      <c r="AO22" s="23" t="e">
        <f>AN22+'09.04'!AO22</f>
        <v>#REF!</v>
      </c>
      <c r="AP22" s="28" t="s">
        <v>59</v>
      </c>
      <c r="AQ22" s="19">
        <f t="shared" si="4"/>
        <v>4</v>
      </c>
      <c r="AR22" s="20" t="e">
        <f t="shared" si="2"/>
        <v>#REF!</v>
      </c>
      <c r="AS22" s="34">
        <v>0</v>
      </c>
      <c r="AT22" s="23" t="e">
        <f>AS22+'09.04'!AT22</f>
        <v>#REF!</v>
      </c>
      <c r="AU22" s="34">
        <v>0</v>
      </c>
      <c r="AV22" s="23" t="e">
        <f>AU22+'09.04'!AV22</f>
        <v>#REF!</v>
      </c>
      <c r="AW22" s="34">
        <v>0</v>
      </c>
      <c r="AX22" s="23" t="e">
        <f>AW22+'09.04'!AX22</f>
        <v>#REF!</v>
      </c>
      <c r="AY22" s="34">
        <v>0</v>
      </c>
      <c r="AZ22" s="23" t="e">
        <f>AY22+'09.04'!AZ22</f>
        <v>#REF!</v>
      </c>
      <c r="BA22" s="34">
        <v>4</v>
      </c>
      <c r="BB22" s="23" t="e">
        <f>BA22+'09.04'!BB22</f>
        <v>#REF!</v>
      </c>
      <c r="BC22" s="19">
        <f t="shared" si="3"/>
        <v>6066</v>
      </c>
      <c r="BD22" s="20" t="e">
        <f t="shared" si="3"/>
        <v>#REF!</v>
      </c>
      <c r="BE22" s="22">
        <v>4</v>
      </c>
      <c r="BF22" s="23" t="e">
        <f>BE22+'09.04'!BF22</f>
        <v>#REF!</v>
      </c>
      <c r="BG22" s="34">
        <v>6054</v>
      </c>
      <c r="BH22" s="23" t="e">
        <f>BG22+'09.04'!BH22</f>
        <v>#REF!</v>
      </c>
      <c r="BI22" s="22">
        <v>8</v>
      </c>
      <c r="BJ22" s="23" t="e">
        <f>BI22+'09.04'!BJ22</f>
        <v>#REF!</v>
      </c>
      <c r="BK22" s="22">
        <v>0</v>
      </c>
      <c r="BL22" s="23" t="e">
        <f>BK22+'09.04'!BL22</f>
        <v>#REF!</v>
      </c>
      <c r="BM22" s="22">
        <v>0</v>
      </c>
      <c r="BN22" s="23" t="e">
        <f>BM22+'09.04'!BN22</f>
        <v>#REF!</v>
      </c>
      <c r="BO22" s="36">
        <v>26</v>
      </c>
      <c r="BP22" s="37">
        <v>4</v>
      </c>
      <c r="BQ22" s="23" t="e">
        <f>BP22+'09.04'!BQ22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3709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2007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16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4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150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40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9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594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887</v>
      </c>
      <c r="AE23" s="68" t="e">
        <f t="shared" si="5"/>
        <v>#REF!</v>
      </c>
      <c r="AF23" s="64">
        <f t="shared" si="5"/>
        <v>8935007</v>
      </c>
      <c r="AG23" s="64" t="e">
        <f t="shared" si="5"/>
        <v>#REF!</v>
      </c>
      <c r="AH23" s="67">
        <f t="shared" si="5"/>
        <v>50857</v>
      </c>
      <c r="AI23" s="68" t="e">
        <f t="shared" si="5"/>
        <v>#REF!</v>
      </c>
      <c r="AJ23" s="67">
        <f t="shared" si="5"/>
        <v>392181</v>
      </c>
      <c r="AK23" s="68" t="e">
        <f t="shared" si="5"/>
        <v>#REF!</v>
      </c>
      <c r="AL23" s="67">
        <f t="shared" si="5"/>
        <v>1025030</v>
      </c>
      <c r="AM23" s="68" t="e">
        <f t="shared" si="5"/>
        <v>#REF!</v>
      </c>
      <c r="AN23" s="67">
        <f t="shared" si="5"/>
        <v>7466939</v>
      </c>
      <c r="AO23" s="68" t="e">
        <f t="shared" si="5"/>
        <v>#REF!</v>
      </c>
      <c r="AP23" s="62" t="s">
        <v>12</v>
      </c>
      <c r="AQ23" s="64">
        <f t="shared" ref="AQ23:BP23" si="6">SUM(AQ8:AQ22)</f>
        <v>531</v>
      </c>
      <c r="AR23" s="64" t="e">
        <f t="shared" si="6"/>
        <v>#REF!</v>
      </c>
      <c r="AS23" s="67">
        <f t="shared" si="6"/>
        <v>6</v>
      </c>
      <c r="AT23" s="68" t="e">
        <f t="shared" si="6"/>
        <v>#REF!</v>
      </c>
      <c r="AU23" s="67">
        <f t="shared" si="6"/>
        <v>6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519</v>
      </c>
      <c r="BB23" s="68" t="e">
        <f t="shared" si="6"/>
        <v>#REF!</v>
      </c>
      <c r="BC23" s="64">
        <f t="shared" si="6"/>
        <v>75736</v>
      </c>
      <c r="BD23" s="64" t="e">
        <f t="shared" si="6"/>
        <v>#REF!</v>
      </c>
      <c r="BE23" s="67">
        <f t="shared" si="6"/>
        <v>1756</v>
      </c>
      <c r="BF23" s="68" t="e">
        <f t="shared" si="6"/>
        <v>#REF!</v>
      </c>
      <c r="BG23" s="67">
        <f t="shared" si="6"/>
        <v>6102</v>
      </c>
      <c r="BH23" s="68" t="e">
        <f t="shared" si="6"/>
        <v>#REF!</v>
      </c>
      <c r="BI23" s="67">
        <f t="shared" si="6"/>
        <v>58016</v>
      </c>
      <c r="BJ23" s="68" t="e">
        <f t="shared" si="6"/>
        <v>#REF!</v>
      </c>
      <c r="BK23" s="67">
        <f t="shared" si="6"/>
        <v>9862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22</v>
      </c>
      <c r="BQ23" s="23">
        <f>BP23+'09.04'!BP23</f>
        <v>46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BU23"/>
  <sheetViews>
    <sheetView zoomScale="115" zoomScaleNormal="115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6" width="6.28515625" customWidth="1"/>
    <col min="7" max="7" width="8.71093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F9+'10.04'!G9</f>
        <v>#REF!</v>
      </c>
      <c r="H9" s="33">
        <v>12</v>
      </c>
      <c r="I9" s="34">
        <v>1</v>
      </c>
      <c r="J9" s="23" t="e">
        <f>I9+'10.04'!J9</f>
        <v>#REF!</v>
      </c>
      <c r="K9" s="33">
        <v>2</v>
      </c>
      <c r="L9" s="22">
        <v>0</v>
      </c>
      <c r="M9" s="23" t="e">
        <f>L9+'10.04'!M9</f>
        <v>#REF!</v>
      </c>
      <c r="N9" s="33">
        <v>735</v>
      </c>
      <c r="O9" s="22">
        <v>0</v>
      </c>
      <c r="P9" s="23" t="e">
        <f>O9+'10.04'!P9</f>
        <v>#REF!</v>
      </c>
      <c r="Q9" s="33">
        <v>502</v>
      </c>
      <c r="R9" s="22">
        <v>0</v>
      </c>
      <c r="S9" s="23" t="e">
        <f>R9+'10.04'!S9</f>
        <v>#REF!</v>
      </c>
      <c r="T9" s="33">
        <v>197</v>
      </c>
      <c r="U9" s="22">
        <v>0</v>
      </c>
      <c r="V9" s="23" t="e">
        <f>U9+'10.04'!V9</f>
        <v>#REF!</v>
      </c>
      <c r="W9" s="33">
        <v>47</v>
      </c>
      <c r="X9" s="22">
        <v>0</v>
      </c>
      <c r="Y9" s="23" t="e">
        <f>X9+'10.04'!Y9</f>
        <v>#REF!</v>
      </c>
      <c r="Z9" s="33">
        <v>34</v>
      </c>
      <c r="AA9" s="22">
        <v>0</v>
      </c>
      <c r="AB9" s="23" t="e">
        <f>AA9+'10.04'!AB9</f>
        <v>#REF!</v>
      </c>
      <c r="AC9" s="33">
        <v>1860</v>
      </c>
      <c r="AD9" s="22">
        <v>0</v>
      </c>
      <c r="AE9" s="23" t="e">
        <f>AD9+'10.04'!AE9</f>
        <v>#REF!</v>
      </c>
      <c r="AF9" s="19">
        <f t="shared" ref="AF9:AG22" si="1">AH9+AJ9+AL9+AN9</f>
        <v>6860</v>
      </c>
      <c r="AG9" s="20" t="e">
        <f t="shared" si="1"/>
        <v>#REF!</v>
      </c>
      <c r="AH9" s="24">
        <v>180</v>
      </c>
      <c r="AI9" s="23" t="e">
        <f>AH9+'10.04'!AI9</f>
        <v>#REF!</v>
      </c>
      <c r="AJ9" s="24">
        <v>280</v>
      </c>
      <c r="AK9" s="23" t="e">
        <f>AJ9+'10.04'!AK9</f>
        <v>#REF!</v>
      </c>
      <c r="AL9" s="22">
        <v>2600</v>
      </c>
      <c r="AM9" s="23" t="e">
        <f>AL9+'10.04'!AM9</f>
        <v>#REF!</v>
      </c>
      <c r="AN9" s="22">
        <v>3800</v>
      </c>
      <c r="AO9" s="23" t="e">
        <f>AN9+'10.04'!AO9</f>
        <v>#REF!</v>
      </c>
      <c r="AP9" s="28" t="s">
        <v>43</v>
      </c>
      <c r="AQ9" s="19">
        <f t="shared" ref="AQ9:AR22" si="2">AS9+AU9+AW9+AY9+BA9</f>
        <v>36</v>
      </c>
      <c r="AR9" s="20" t="e">
        <f t="shared" si="2"/>
        <v>#REF!</v>
      </c>
      <c r="AS9" s="34">
        <v>1</v>
      </c>
      <c r="AT9" s="23" t="e">
        <f>AS9+'10.04'!AT9</f>
        <v>#REF!</v>
      </c>
      <c r="AU9" s="34">
        <v>1</v>
      </c>
      <c r="AV9" s="23" t="e">
        <f>AU9+'10.04'!AV9</f>
        <v>#REF!</v>
      </c>
      <c r="AW9" s="34">
        <v>0</v>
      </c>
      <c r="AX9" s="23" t="e">
        <f>AW9+'10.04'!AX9</f>
        <v>#REF!</v>
      </c>
      <c r="AY9" s="34">
        <v>0</v>
      </c>
      <c r="AZ9" s="23" t="e">
        <f>AY9+'10.04'!AZ9</f>
        <v>#REF!</v>
      </c>
      <c r="BA9" s="34">
        <v>34</v>
      </c>
      <c r="BB9" s="23" t="e">
        <f>BA9+'10.04'!BB9</f>
        <v>#REF!</v>
      </c>
      <c r="BC9" s="19">
        <f t="shared" ref="BC9:BD22" si="3">BE9+BG9+BI9+BK9+BM9</f>
        <v>421</v>
      </c>
      <c r="BD9" s="20" t="e">
        <f t="shared" si="3"/>
        <v>#REF!</v>
      </c>
      <c r="BE9" s="22">
        <v>1</v>
      </c>
      <c r="BF9" s="23" t="e">
        <f>BE9+'10.04'!BF9</f>
        <v>#REF!</v>
      </c>
      <c r="BG9" s="34">
        <v>0</v>
      </c>
      <c r="BH9" s="23" t="e">
        <f>BG9+'10.04'!BH9</f>
        <v>#REF!</v>
      </c>
      <c r="BI9" s="22">
        <v>420</v>
      </c>
      <c r="BJ9" s="23" t="e">
        <f>BI9+'10.04'!BJ9</f>
        <v>#REF!</v>
      </c>
      <c r="BK9" s="22">
        <v>0</v>
      </c>
      <c r="BL9" s="23" t="e">
        <f>BK9+'10.04'!BL9</f>
        <v>#REF!</v>
      </c>
      <c r="BM9" s="22">
        <v>0</v>
      </c>
      <c r="BN9" s="23" t="e">
        <f>BM9+'10.04'!BN9</f>
        <v>#REF!</v>
      </c>
      <c r="BO9" s="36">
        <v>14</v>
      </c>
      <c r="BP9" s="37">
        <v>0</v>
      </c>
      <c r="BQ9" s="23" t="e">
        <f>BP9+'10.04'!BQ9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184</v>
      </c>
      <c r="D10" s="31" t="e">
        <f t="shared" si="0"/>
        <v>#REF!</v>
      </c>
      <c r="E10" s="32">
        <v>585</v>
      </c>
      <c r="F10" s="22">
        <v>10</v>
      </c>
      <c r="G10" s="23" t="e">
        <f>F10+'10.04'!G10</f>
        <v>#REF!</v>
      </c>
      <c r="H10" s="33">
        <v>93</v>
      </c>
      <c r="I10" s="34">
        <v>2</v>
      </c>
      <c r="J10" s="23" t="e">
        <f>I10+'10.04'!J10</f>
        <v>#REF!</v>
      </c>
      <c r="K10" s="33">
        <v>34</v>
      </c>
      <c r="L10" s="22">
        <v>0</v>
      </c>
      <c r="M10" s="23" t="e">
        <f>L10+'10.04'!M10</f>
        <v>#REF!</v>
      </c>
      <c r="N10" s="33">
        <v>352</v>
      </c>
      <c r="O10" s="22">
        <v>4</v>
      </c>
      <c r="P10" s="23" t="e">
        <f>O10+'10.04'!P10</f>
        <v>#REF!</v>
      </c>
      <c r="Q10" s="33">
        <v>549</v>
      </c>
      <c r="R10" s="22">
        <v>0</v>
      </c>
      <c r="S10" s="23" t="e">
        <f>R10+'10.04'!S10</f>
        <v>#REF!</v>
      </c>
      <c r="T10" s="33">
        <v>198</v>
      </c>
      <c r="U10" s="22">
        <v>8</v>
      </c>
      <c r="V10" s="23" t="e">
        <f>U10+'10.04'!V10</f>
        <v>#REF!</v>
      </c>
      <c r="W10" s="38">
        <v>55</v>
      </c>
      <c r="X10" s="22">
        <v>5</v>
      </c>
      <c r="Y10" s="23" t="e">
        <f>X10+'10.04'!Y10</f>
        <v>#REF!</v>
      </c>
      <c r="Z10" s="38">
        <v>71</v>
      </c>
      <c r="AA10" s="22">
        <v>1</v>
      </c>
      <c r="AB10" s="23" t="e">
        <f>AA10+'10.04'!AB10</f>
        <v>#REF!</v>
      </c>
      <c r="AC10" s="38">
        <v>1690</v>
      </c>
      <c r="AD10" s="22">
        <v>154</v>
      </c>
      <c r="AE10" s="23" t="e">
        <f>AD10+'10.04'!AE10</f>
        <v>#REF!</v>
      </c>
      <c r="AF10" s="19">
        <f t="shared" si="1"/>
        <v>116437</v>
      </c>
      <c r="AG10" s="20" t="e">
        <f t="shared" si="1"/>
        <v>#REF!</v>
      </c>
      <c r="AH10" s="24">
        <v>986</v>
      </c>
      <c r="AI10" s="23" t="e">
        <f>AH10+'10.04'!AI10</f>
        <v>#REF!</v>
      </c>
      <c r="AJ10" s="24">
        <v>4689</v>
      </c>
      <c r="AK10" s="23" t="e">
        <f>AJ10+'10.04'!AK10</f>
        <v>#REF!</v>
      </c>
      <c r="AL10" s="22">
        <v>15621</v>
      </c>
      <c r="AM10" s="23" t="e">
        <f>AL10+'10.04'!AM10</f>
        <v>#REF!</v>
      </c>
      <c r="AN10" s="22">
        <v>95141</v>
      </c>
      <c r="AO10" s="23" t="e">
        <f>AN10+'10.04'!AO10</f>
        <v>#REF!</v>
      </c>
      <c r="AP10" s="28" t="s">
        <v>44</v>
      </c>
      <c r="AQ10" s="19">
        <f t="shared" si="2"/>
        <v>5</v>
      </c>
      <c r="AR10" s="20" t="e">
        <f t="shared" si="2"/>
        <v>#REF!</v>
      </c>
      <c r="AS10" s="34">
        <v>0</v>
      </c>
      <c r="AT10" s="23" t="e">
        <f>AS10+'10.04'!AT10</f>
        <v>#REF!</v>
      </c>
      <c r="AU10" s="34">
        <v>0</v>
      </c>
      <c r="AV10" s="23" t="e">
        <f>AU10+'10.04'!AV10</f>
        <v>#REF!</v>
      </c>
      <c r="AW10" s="34">
        <v>0</v>
      </c>
      <c r="AX10" s="23" t="e">
        <f>AW10+'10.04'!AX10</f>
        <v>#REF!</v>
      </c>
      <c r="AY10" s="34">
        <v>0</v>
      </c>
      <c r="AZ10" s="23" t="e">
        <f>AY10+'10.04'!AZ10</f>
        <v>#REF!</v>
      </c>
      <c r="BA10" s="34">
        <v>5</v>
      </c>
      <c r="BB10" s="23" t="e">
        <f>BA10+'10.04'!BB10</f>
        <v>#REF!</v>
      </c>
      <c r="BC10" s="19">
        <f t="shared" si="3"/>
        <v>4331</v>
      </c>
      <c r="BD10" s="20" t="e">
        <f t="shared" si="3"/>
        <v>#REF!</v>
      </c>
      <c r="BE10" s="22">
        <v>534</v>
      </c>
      <c r="BF10" s="23" t="e">
        <f>BE10+'10.04'!BF10</f>
        <v>#REF!</v>
      </c>
      <c r="BG10" s="34">
        <v>0</v>
      </c>
      <c r="BH10" s="23" t="e">
        <f>BG10+'10.04'!BH10</f>
        <v>#REF!</v>
      </c>
      <c r="BI10" s="22">
        <v>2370</v>
      </c>
      <c r="BJ10" s="23" t="e">
        <f>BI10+'10.04'!BJ10</f>
        <v>#REF!</v>
      </c>
      <c r="BK10" s="22">
        <v>1427</v>
      </c>
      <c r="BL10" s="23" t="e">
        <f>BK10+'10.04'!BL10</f>
        <v>#REF!</v>
      </c>
      <c r="BM10" s="22">
        <v>0</v>
      </c>
      <c r="BN10" s="23" t="e">
        <f>BM10+'10.04'!BN10</f>
        <v>#REF!</v>
      </c>
      <c r="BO10" s="36">
        <v>32</v>
      </c>
      <c r="BP10" s="37">
        <v>0</v>
      </c>
      <c r="BQ10" s="23" t="e">
        <f>BP10+'10.04'!BQ10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114</v>
      </c>
      <c r="D11" s="31" t="e">
        <f t="shared" si="0"/>
        <v>#REF!</v>
      </c>
      <c r="E11" s="32">
        <v>883</v>
      </c>
      <c r="F11" s="22">
        <v>54</v>
      </c>
      <c r="G11" s="23" t="e">
        <f>F11+'10.04'!G11</f>
        <v>#REF!</v>
      </c>
      <c r="H11" s="33">
        <v>16</v>
      </c>
      <c r="I11" s="34">
        <v>0</v>
      </c>
      <c r="J11" s="23" t="e">
        <f>I11+'10.04'!J11</f>
        <v>#REF!</v>
      </c>
      <c r="K11" s="33">
        <v>3</v>
      </c>
      <c r="L11" s="22">
        <v>0</v>
      </c>
      <c r="M11" s="23" t="e">
        <f>L11+'10.04'!M11</f>
        <v>#REF!</v>
      </c>
      <c r="N11" s="33">
        <v>875</v>
      </c>
      <c r="O11" s="22">
        <v>0</v>
      </c>
      <c r="P11" s="23" t="e">
        <f>O11+'10.04'!P11</f>
        <v>#REF!</v>
      </c>
      <c r="Q11" s="33">
        <v>2424</v>
      </c>
      <c r="R11" s="22">
        <v>0</v>
      </c>
      <c r="S11" s="23" t="e">
        <f>R11+'10.04'!S11</f>
        <v>#REF!</v>
      </c>
      <c r="T11" s="33">
        <v>69</v>
      </c>
      <c r="U11" s="22">
        <v>0</v>
      </c>
      <c r="V11" s="23" t="e">
        <f>U11+'10.04'!V11</f>
        <v>#REF!</v>
      </c>
      <c r="W11" s="38">
        <v>133</v>
      </c>
      <c r="X11" s="22">
        <v>53</v>
      </c>
      <c r="Y11" s="23" t="e">
        <f>X11+'10.04'!Y11</f>
        <v>#REF!</v>
      </c>
      <c r="Z11" s="38">
        <v>1116</v>
      </c>
      <c r="AA11" s="22">
        <v>0</v>
      </c>
      <c r="AB11" s="23" t="e">
        <f>AA11+'10.04'!AB11</f>
        <v>#REF!</v>
      </c>
      <c r="AC11" s="38">
        <v>9862</v>
      </c>
      <c r="AD11" s="22">
        <v>7</v>
      </c>
      <c r="AE11" s="23" t="e">
        <f>AD11+'10.04'!AE11</f>
        <v>#REF!</v>
      </c>
      <c r="AF11" s="19">
        <f t="shared" si="1"/>
        <v>159600</v>
      </c>
      <c r="AG11" s="20" t="e">
        <f t="shared" si="1"/>
        <v>#REF!</v>
      </c>
      <c r="AH11" s="24">
        <v>5500</v>
      </c>
      <c r="AI11" s="23" t="e">
        <f>AH11+'10.04'!AI11</f>
        <v>#REF!</v>
      </c>
      <c r="AJ11" s="24">
        <v>9100</v>
      </c>
      <c r="AK11" s="23" t="e">
        <f>AJ11+'10.04'!AK11</f>
        <v>#REF!</v>
      </c>
      <c r="AL11" s="22">
        <v>42000</v>
      </c>
      <c r="AM11" s="23" t="e">
        <f>AL11+'10.04'!AM11</f>
        <v>#REF!</v>
      </c>
      <c r="AN11" s="22">
        <v>103000</v>
      </c>
      <c r="AO11" s="23" t="e">
        <f>AN11+'10.04'!AO11</f>
        <v>#REF!</v>
      </c>
      <c r="AP11" s="28" t="s">
        <v>45</v>
      </c>
      <c r="AQ11" s="19">
        <f t="shared" si="2"/>
        <v>11</v>
      </c>
      <c r="AR11" s="20" t="e">
        <f t="shared" si="2"/>
        <v>#REF!</v>
      </c>
      <c r="AS11" s="34">
        <v>0</v>
      </c>
      <c r="AT11" s="23" t="e">
        <f>AS11+'10.04'!AT11</f>
        <v>#REF!</v>
      </c>
      <c r="AU11" s="34">
        <v>0</v>
      </c>
      <c r="AV11" s="23" t="e">
        <f>AU11+'10.04'!AV11</f>
        <v>#REF!</v>
      </c>
      <c r="AW11" s="34">
        <v>0</v>
      </c>
      <c r="AX11" s="23" t="e">
        <f>AW11+'10.04'!AX11</f>
        <v>#REF!</v>
      </c>
      <c r="AY11" s="34">
        <v>0</v>
      </c>
      <c r="AZ11" s="23" t="e">
        <f>AY11+'10.04'!AZ11</f>
        <v>#REF!</v>
      </c>
      <c r="BA11" s="34">
        <v>11</v>
      </c>
      <c r="BB11" s="23" t="e">
        <f>BA11+'10.04'!BB11</f>
        <v>#REF!</v>
      </c>
      <c r="BC11" s="19">
        <f t="shared" si="3"/>
        <v>4634</v>
      </c>
      <c r="BD11" s="20" t="e">
        <f t="shared" si="3"/>
        <v>#REF!</v>
      </c>
      <c r="BE11" s="22">
        <v>8</v>
      </c>
      <c r="BF11" s="23" t="e">
        <f>BE11+'10.04'!BF11</f>
        <v>#REF!</v>
      </c>
      <c r="BG11" s="34">
        <v>3</v>
      </c>
      <c r="BH11" s="23" t="e">
        <f>BG11+'10.04'!BH11</f>
        <v>#REF!</v>
      </c>
      <c r="BI11" s="22">
        <v>4500</v>
      </c>
      <c r="BJ11" s="23" t="e">
        <f>BI11+'10.04'!BJ11</f>
        <v>#REF!</v>
      </c>
      <c r="BK11" s="22">
        <v>123</v>
      </c>
      <c r="BL11" s="23" t="e">
        <f>BK11+'10.04'!BL11</f>
        <v>#REF!</v>
      </c>
      <c r="BM11" s="22">
        <v>0</v>
      </c>
      <c r="BN11" s="23" t="e">
        <f>BM11+'10.04'!BN11</f>
        <v>#REF!</v>
      </c>
      <c r="BO11" s="36">
        <v>11506</v>
      </c>
      <c r="BP11" s="37">
        <v>7</v>
      </c>
      <c r="BQ11" s="23" t="e">
        <f>BP11+'10.04'!BQ11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226</v>
      </c>
      <c r="D12" s="31" t="e">
        <f t="shared" si="0"/>
        <v>#REF!</v>
      </c>
      <c r="E12" s="32">
        <v>909</v>
      </c>
      <c r="F12" s="22">
        <v>55</v>
      </c>
      <c r="G12" s="23" t="e">
        <f>F12+'10.04'!G12</f>
        <v>#REF!</v>
      </c>
      <c r="H12" s="33">
        <v>80</v>
      </c>
      <c r="I12" s="34">
        <v>4</v>
      </c>
      <c r="J12" s="23" t="e">
        <f>I12+'10.04'!J12</f>
        <v>#REF!</v>
      </c>
      <c r="K12" s="33">
        <v>5</v>
      </c>
      <c r="L12" s="22">
        <v>0</v>
      </c>
      <c r="M12" s="23" t="e">
        <f>L12+'10.04'!M12</f>
        <v>#REF!</v>
      </c>
      <c r="N12" s="33">
        <v>820</v>
      </c>
      <c r="O12" s="22">
        <v>40</v>
      </c>
      <c r="P12" s="23" t="e">
        <f>O12+'10.04'!P12</f>
        <v>#REF!</v>
      </c>
      <c r="Q12" s="33">
        <v>549</v>
      </c>
      <c r="R12" s="22">
        <v>0</v>
      </c>
      <c r="S12" s="23" t="e">
        <f>R12+'10.04'!S12</f>
        <v>#REF!</v>
      </c>
      <c r="T12" s="33">
        <v>992</v>
      </c>
      <c r="U12" s="22">
        <v>0</v>
      </c>
      <c r="V12" s="23" t="e">
        <f>U12+'10.04'!V12</f>
        <v>#REF!</v>
      </c>
      <c r="W12" s="33">
        <v>38</v>
      </c>
      <c r="X12" s="22">
        <v>89</v>
      </c>
      <c r="Y12" s="23" t="e">
        <f>X12+'10.04'!Y12</f>
        <v>#REF!</v>
      </c>
      <c r="Z12" s="33">
        <v>68</v>
      </c>
      <c r="AA12" s="22">
        <v>0</v>
      </c>
      <c r="AB12" s="23" t="e">
        <f>AA12+'10.04'!AB12</f>
        <v>#REF!</v>
      </c>
      <c r="AC12" s="33">
        <v>26703</v>
      </c>
      <c r="AD12" s="22">
        <v>38</v>
      </c>
      <c r="AE12" s="23" t="e">
        <f>AD12+'10.04'!AE12</f>
        <v>#REF!</v>
      </c>
      <c r="AF12" s="19">
        <f t="shared" si="1"/>
        <v>4700</v>
      </c>
      <c r="AG12" s="20" t="e">
        <f t="shared" si="1"/>
        <v>#REF!</v>
      </c>
      <c r="AH12" s="24">
        <v>550</v>
      </c>
      <c r="AI12" s="23" t="e">
        <f>AH12+'10.04'!AI12</f>
        <v>#REF!</v>
      </c>
      <c r="AJ12" s="24">
        <v>900</v>
      </c>
      <c r="AK12" s="23" t="e">
        <f>AJ12+'10.04'!AK12</f>
        <v>#REF!</v>
      </c>
      <c r="AL12" s="22">
        <v>250</v>
      </c>
      <c r="AM12" s="23" t="e">
        <f>AL12+'10.04'!AM12</f>
        <v>#REF!</v>
      </c>
      <c r="AN12" s="22">
        <v>3000</v>
      </c>
      <c r="AO12" s="23" t="e">
        <f>AN12+'10.04'!AO12</f>
        <v>#REF!</v>
      </c>
      <c r="AP12" s="28" t="s">
        <v>46</v>
      </c>
      <c r="AQ12" s="19">
        <f t="shared" si="2"/>
        <v>81</v>
      </c>
      <c r="AR12" s="20" t="e">
        <f t="shared" si="2"/>
        <v>#REF!</v>
      </c>
      <c r="AS12" s="34">
        <v>0</v>
      </c>
      <c r="AT12" s="23" t="e">
        <f>AS12+'10.04'!AT12</f>
        <v>#REF!</v>
      </c>
      <c r="AU12" s="34">
        <v>0</v>
      </c>
      <c r="AV12" s="23" t="e">
        <f>AU12+'10.04'!AV12</f>
        <v>#REF!</v>
      </c>
      <c r="AW12" s="34">
        <v>0</v>
      </c>
      <c r="AX12" s="23" t="e">
        <f>AW12+'10.04'!AX12</f>
        <v>#REF!</v>
      </c>
      <c r="AY12" s="34">
        <v>0</v>
      </c>
      <c r="AZ12" s="23" t="e">
        <f>AY12+'10.04'!AZ12</f>
        <v>#REF!</v>
      </c>
      <c r="BA12" s="34">
        <v>81</v>
      </c>
      <c r="BB12" s="23" t="e">
        <f>BA12+'10.04'!BB12</f>
        <v>#REF!</v>
      </c>
      <c r="BC12" s="19">
        <f t="shared" si="3"/>
        <v>2526</v>
      </c>
      <c r="BD12" s="20" t="e">
        <f t="shared" si="3"/>
        <v>#REF!</v>
      </c>
      <c r="BE12" s="22">
        <v>65</v>
      </c>
      <c r="BF12" s="23" t="e">
        <f>BE12+'10.04'!BF12</f>
        <v>#REF!</v>
      </c>
      <c r="BG12" s="34">
        <v>11</v>
      </c>
      <c r="BH12" s="23" t="e">
        <f>BG12+'10.04'!BH12</f>
        <v>#REF!</v>
      </c>
      <c r="BI12" s="22">
        <v>2200</v>
      </c>
      <c r="BJ12" s="23" t="e">
        <f>BI12+'10.04'!BJ12</f>
        <v>#REF!</v>
      </c>
      <c r="BK12" s="22">
        <v>250</v>
      </c>
      <c r="BL12" s="23" t="e">
        <f>BK12+'10.04'!BL12</f>
        <v>#REF!</v>
      </c>
      <c r="BM12" s="22">
        <v>0</v>
      </c>
      <c r="BN12" s="23" t="e">
        <f>BM12+'10.04'!BN12</f>
        <v>#REF!</v>
      </c>
      <c r="BO12" s="36"/>
      <c r="BP12" s="37">
        <v>2</v>
      </c>
      <c r="BQ12" s="23" t="e">
        <f>BP12+'10.04'!BQ12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 t="e">
        <f t="shared" si="0"/>
        <v>#REF!</v>
      </c>
      <c r="E13" s="32">
        <v>516</v>
      </c>
      <c r="F13" s="22">
        <v>1</v>
      </c>
      <c r="G13" s="23" t="e">
        <f>F13+'10.04'!G13</f>
        <v>#REF!</v>
      </c>
      <c r="H13" s="33">
        <v>10</v>
      </c>
      <c r="I13" s="34">
        <v>0</v>
      </c>
      <c r="J13" s="23" t="e">
        <f>I13+'10.04'!J13</f>
        <v>#REF!</v>
      </c>
      <c r="K13" s="33">
        <v>38</v>
      </c>
      <c r="L13" s="22">
        <v>0</v>
      </c>
      <c r="M13" s="23" t="e">
        <f>L13+'10.04'!M13</f>
        <v>#REF!</v>
      </c>
      <c r="N13" s="33">
        <v>581</v>
      </c>
      <c r="O13" s="22">
        <v>0</v>
      </c>
      <c r="P13" s="23" t="e">
        <f>O13+'10.04'!P13</f>
        <v>#REF!</v>
      </c>
      <c r="Q13" s="33">
        <v>525</v>
      </c>
      <c r="R13" s="22">
        <v>1</v>
      </c>
      <c r="S13" s="23" t="e">
        <f>R13+'10.04'!S13</f>
        <v>#REF!</v>
      </c>
      <c r="T13" s="33">
        <v>263</v>
      </c>
      <c r="U13" s="22">
        <v>0</v>
      </c>
      <c r="V13" s="23" t="e">
        <f>U13+'10.04'!V13</f>
        <v>#REF!</v>
      </c>
      <c r="W13" s="33">
        <v>43</v>
      </c>
      <c r="X13" s="22">
        <v>0</v>
      </c>
      <c r="Y13" s="23" t="e">
        <f>X13+'10.04'!Y13</f>
        <v>#REF!</v>
      </c>
      <c r="Z13" s="33">
        <v>17</v>
      </c>
      <c r="AA13" s="22">
        <v>0</v>
      </c>
      <c r="AB13" s="23" t="e">
        <f>AA13+'10.04'!AB13</f>
        <v>#REF!</v>
      </c>
      <c r="AC13" s="33">
        <v>51</v>
      </c>
      <c r="AD13" s="22">
        <v>1</v>
      </c>
      <c r="AE13" s="23" t="e">
        <f>AD13+'10.04'!AE13</f>
        <v>#REF!</v>
      </c>
      <c r="AF13" s="19">
        <f t="shared" si="1"/>
        <v>277000</v>
      </c>
      <c r="AG13" s="20" t="e">
        <f t="shared" si="1"/>
        <v>#REF!</v>
      </c>
      <c r="AH13" s="24">
        <v>1000</v>
      </c>
      <c r="AI13" s="23" t="e">
        <f>AH13+'10.04'!AI13</f>
        <v>#REF!</v>
      </c>
      <c r="AJ13" s="24">
        <v>6000</v>
      </c>
      <c r="AK13" s="23" t="e">
        <f>AJ13+'10.04'!AK13</f>
        <v>#REF!</v>
      </c>
      <c r="AL13" s="22">
        <v>20000</v>
      </c>
      <c r="AM13" s="23" t="e">
        <f>AL13+'10.04'!AM13</f>
        <v>#REF!</v>
      </c>
      <c r="AN13" s="22">
        <v>250000</v>
      </c>
      <c r="AO13" s="23" t="e">
        <f>AN13+'10.04'!AO13</f>
        <v>#REF!</v>
      </c>
      <c r="AP13" s="28" t="s">
        <v>47</v>
      </c>
      <c r="AQ13" s="19">
        <f t="shared" si="2"/>
        <v>20</v>
      </c>
      <c r="AR13" s="20" t="e">
        <f t="shared" si="2"/>
        <v>#REF!</v>
      </c>
      <c r="AS13" s="34">
        <v>0</v>
      </c>
      <c r="AT13" s="23" t="e">
        <f>AS13+'10.04'!AT13</f>
        <v>#REF!</v>
      </c>
      <c r="AU13" s="34">
        <v>0</v>
      </c>
      <c r="AV13" s="23" t="e">
        <f>AU13+'10.04'!AV13</f>
        <v>#REF!</v>
      </c>
      <c r="AW13" s="34">
        <v>0</v>
      </c>
      <c r="AX13" s="23" t="e">
        <f>AW13+'10.04'!AX13</f>
        <v>#REF!</v>
      </c>
      <c r="AY13" s="34">
        <v>0</v>
      </c>
      <c r="AZ13" s="23" t="e">
        <f>AY13+'10.04'!AZ13</f>
        <v>#REF!</v>
      </c>
      <c r="BA13" s="34">
        <v>20</v>
      </c>
      <c r="BB13" s="23" t="e">
        <f>BA13+'10.04'!BB13</f>
        <v>#REF!</v>
      </c>
      <c r="BC13" s="19">
        <f t="shared" si="3"/>
        <v>4576</v>
      </c>
      <c r="BD13" s="20" t="e">
        <f t="shared" si="3"/>
        <v>#REF!</v>
      </c>
      <c r="BE13" s="22">
        <v>516</v>
      </c>
      <c r="BF13" s="23" t="e">
        <f>BE13+'10.04'!BF13</f>
        <v>#REF!</v>
      </c>
      <c r="BG13" s="34">
        <v>10</v>
      </c>
      <c r="BH13" s="23" t="e">
        <f>BG13+'10.04'!BH13</f>
        <v>#REF!</v>
      </c>
      <c r="BI13" s="22">
        <v>4000</v>
      </c>
      <c r="BJ13" s="23" t="e">
        <f>BI13+'10.04'!BJ13</f>
        <v>#REF!</v>
      </c>
      <c r="BK13" s="22">
        <v>50</v>
      </c>
      <c r="BL13" s="23" t="e">
        <f>BK13+'10.04'!BL13</f>
        <v>#REF!</v>
      </c>
      <c r="BM13" s="22">
        <v>0</v>
      </c>
      <c r="BN13" s="23" t="e">
        <f>BM13+'10.04'!BN13</f>
        <v>#REF!</v>
      </c>
      <c r="BO13" s="36"/>
      <c r="BP13" s="37">
        <v>1</v>
      </c>
      <c r="BQ13" s="23" t="e">
        <f>BP13+'10.04'!BQ13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134</v>
      </c>
      <c r="D14" s="42" t="e">
        <f t="shared" si="0"/>
        <v>#REF!</v>
      </c>
      <c r="E14" s="43">
        <v>304</v>
      </c>
      <c r="F14" s="22">
        <v>110</v>
      </c>
      <c r="G14" s="23" t="e">
        <f>F14+'10.04'!G14</f>
        <v>#REF!</v>
      </c>
      <c r="H14" s="44">
        <v>5</v>
      </c>
      <c r="I14" s="45">
        <v>0</v>
      </c>
      <c r="J14" s="23" t="e">
        <f>I14+'10.04'!J14</f>
        <v>#REF!</v>
      </c>
      <c r="K14" s="44">
        <v>34</v>
      </c>
      <c r="L14" s="22">
        <v>0</v>
      </c>
      <c r="M14" s="23" t="e">
        <f>L14+'10.04'!M14</f>
        <v>#REF!</v>
      </c>
      <c r="N14" s="44">
        <v>583</v>
      </c>
      <c r="O14" s="22">
        <v>0</v>
      </c>
      <c r="P14" s="23" t="e">
        <f>O14+'10.04'!P14</f>
        <v>#REF!</v>
      </c>
      <c r="Q14" s="44">
        <v>254</v>
      </c>
      <c r="R14" s="22">
        <v>0</v>
      </c>
      <c r="S14" s="23" t="e">
        <f>R14+'10.04'!S14</f>
        <v>#REF!</v>
      </c>
      <c r="T14" s="44">
        <v>196</v>
      </c>
      <c r="U14" s="22">
        <v>0</v>
      </c>
      <c r="V14" s="23" t="e">
        <f>U14+'10.04'!V14</f>
        <v>#REF!</v>
      </c>
      <c r="W14" s="44">
        <v>30</v>
      </c>
      <c r="X14" s="22">
        <v>20</v>
      </c>
      <c r="Y14" s="23" t="e">
        <f>X14+'10.04'!Y14</f>
        <v>#REF!</v>
      </c>
      <c r="Z14" s="44">
        <v>10</v>
      </c>
      <c r="AA14" s="22">
        <v>0</v>
      </c>
      <c r="AB14" s="23" t="e">
        <f>AA14+'10.04'!AB14</f>
        <v>#REF!</v>
      </c>
      <c r="AC14" s="44">
        <v>2500</v>
      </c>
      <c r="AD14" s="22">
        <v>4</v>
      </c>
      <c r="AE14" s="23" t="e">
        <f>AD14+'10.04'!AE14</f>
        <v>#REF!</v>
      </c>
      <c r="AF14" s="19">
        <f t="shared" si="1"/>
        <v>134400</v>
      </c>
      <c r="AG14" s="20" t="e">
        <f t="shared" si="1"/>
        <v>#REF!</v>
      </c>
      <c r="AH14" s="24">
        <v>3400</v>
      </c>
      <c r="AI14" s="23" t="e">
        <f>AH14+'10.04'!AI14</f>
        <v>#REF!</v>
      </c>
      <c r="AJ14" s="24">
        <v>6000</v>
      </c>
      <c r="AK14" s="23" t="e">
        <f>AJ14+'10.04'!AK14</f>
        <v>#REF!</v>
      </c>
      <c r="AL14" s="22">
        <v>15000</v>
      </c>
      <c r="AM14" s="23" t="e">
        <f>AL14+'10.04'!AM14</f>
        <v>#REF!</v>
      </c>
      <c r="AN14" s="22">
        <v>110000</v>
      </c>
      <c r="AO14" s="23" t="e">
        <f>AN14+'10.04'!AO14</f>
        <v>#REF!</v>
      </c>
      <c r="AP14" s="39" t="s">
        <v>48</v>
      </c>
      <c r="AQ14" s="19">
        <f t="shared" si="2"/>
        <v>7</v>
      </c>
      <c r="AR14" s="20" t="e">
        <f t="shared" si="2"/>
        <v>#REF!</v>
      </c>
      <c r="AS14" s="45">
        <v>0</v>
      </c>
      <c r="AT14" s="23" t="e">
        <f>AS14+'10.04'!AT14</f>
        <v>#REF!</v>
      </c>
      <c r="AU14" s="45">
        <v>0</v>
      </c>
      <c r="AV14" s="23" t="e">
        <f>AU14+'10.04'!AV14</f>
        <v>#REF!</v>
      </c>
      <c r="AW14" s="45">
        <v>0</v>
      </c>
      <c r="AX14" s="23" t="e">
        <f>AW14+'10.04'!AX14</f>
        <v>#REF!</v>
      </c>
      <c r="AY14" s="45">
        <v>0</v>
      </c>
      <c r="AZ14" s="23" t="e">
        <f>AY14+'10.04'!AZ14</f>
        <v>#REF!</v>
      </c>
      <c r="BA14" s="45">
        <v>7</v>
      </c>
      <c r="BB14" s="23" t="e">
        <f>BA14+'10.04'!BB14</f>
        <v>#REF!</v>
      </c>
      <c r="BC14" s="19">
        <f t="shared" si="3"/>
        <v>2512</v>
      </c>
      <c r="BD14" s="20" t="e">
        <f t="shared" si="3"/>
        <v>#REF!</v>
      </c>
      <c r="BE14" s="22">
        <v>4</v>
      </c>
      <c r="BF14" s="23" t="e">
        <f>BE14+'10.04'!BF14</f>
        <v>#REF!</v>
      </c>
      <c r="BG14" s="45">
        <v>3</v>
      </c>
      <c r="BH14" s="23" t="e">
        <f>BG14+'10.04'!BH14</f>
        <v>#REF!</v>
      </c>
      <c r="BI14" s="22">
        <v>2500</v>
      </c>
      <c r="BJ14" s="23" t="e">
        <f>BI14+'10.04'!BJ14</f>
        <v>#REF!</v>
      </c>
      <c r="BK14" s="22">
        <v>5</v>
      </c>
      <c r="BL14" s="23" t="e">
        <f>BK14+'10.04'!BL14</f>
        <v>#REF!</v>
      </c>
      <c r="BM14" s="22">
        <v>0</v>
      </c>
      <c r="BN14" s="23" t="e">
        <f>BM14+'10.04'!BN14</f>
        <v>#REF!</v>
      </c>
      <c r="BO14" s="48">
        <v>2</v>
      </c>
      <c r="BP14" s="49">
        <v>0</v>
      </c>
      <c r="BQ14" s="23" t="e">
        <f>BP14+'10.04'!BQ14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314</v>
      </c>
      <c r="D15" s="53" t="e">
        <f t="shared" si="0"/>
        <v>#REF!</v>
      </c>
      <c r="E15" s="54">
        <v>776</v>
      </c>
      <c r="F15" s="55">
        <v>214</v>
      </c>
      <c r="G15" s="23" t="e">
        <f>F15+'10.04'!G15</f>
        <v>#REF!</v>
      </c>
      <c r="H15" s="56">
        <v>9</v>
      </c>
      <c r="I15" s="57">
        <v>0</v>
      </c>
      <c r="J15" s="23" t="e">
        <f>I15+'10.04'!J15</f>
        <v>#REF!</v>
      </c>
      <c r="K15" s="56">
        <v>6</v>
      </c>
      <c r="L15" s="55">
        <v>0</v>
      </c>
      <c r="M15" s="23" t="e">
        <f>L15+'10.04'!M15</f>
        <v>#REF!</v>
      </c>
      <c r="N15" s="56">
        <v>1305</v>
      </c>
      <c r="O15" s="55">
        <v>0</v>
      </c>
      <c r="P15" s="23" t="e">
        <f>O15+'10.04'!P15</f>
        <v>#REF!</v>
      </c>
      <c r="Q15" s="56">
        <v>447</v>
      </c>
      <c r="R15" s="55">
        <v>0</v>
      </c>
      <c r="S15" s="23" t="e">
        <f>R15+'10.04'!S15</f>
        <v>#REF!</v>
      </c>
      <c r="T15" s="56">
        <v>337</v>
      </c>
      <c r="U15" s="55">
        <v>0</v>
      </c>
      <c r="V15" s="23" t="e">
        <f>U15+'10.04'!V15</f>
        <v>#REF!</v>
      </c>
      <c r="W15" s="56">
        <v>78</v>
      </c>
      <c r="X15" s="55">
        <v>89</v>
      </c>
      <c r="Y15" s="23" t="e">
        <f>X15+'10.04'!Y15</f>
        <v>#REF!</v>
      </c>
      <c r="Z15" s="56">
        <v>141</v>
      </c>
      <c r="AA15" s="55">
        <v>0</v>
      </c>
      <c r="AB15" s="23" t="e">
        <f>AA15+'10.04'!AB15</f>
        <v>#REF!</v>
      </c>
      <c r="AC15" s="56">
        <v>798</v>
      </c>
      <c r="AD15" s="55">
        <v>11</v>
      </c>
      <c r="AE15" s="23" t="e">
        <f>AD15+'10.04'!AE15</f>
        <v>#REF!</v>
      </c>
      <c r="AF15" s="58">
        <f t="shared" si="1"/>
        <v>1059440</v>
      </c>
      <c r="AG15" s="59" t="e">
        <f t="shared" si="1"/>
        <v>#REF!</v>
      </c>
      <c r="AH15" s="60">
        <v>946</v>
      </c>
      <c r="AI15" s="23" t="e">
        <f>AH15+'10.04'!AI15</f>
        <v>#REF!</v>
      </c>
      <c r="AJ15" s="60">
        <v>2278</v>
      </c>
      <c r="AK15" s="23" t="e">
        <f>AJ15+'10.04'!AK15</f>
        <v>#REF!</v>
      </c>
      <c r="AL15" s="55">
        <v>528108</v>
      </c>
      <c r="AM15" s="23" t="e">
        <f>AL15+'10.04'!AM15</f>
        <v>#REF!</v>
      </c>
      <c r="AN15" s="55">
        <v>528108</v>
      </c>
      <c r="AO15" s="23" t="e">
        <f>AN15+'10.04'!AO15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AS15+'10.04'!AT15</f>
        <v>#REF!</v>
      </c>
      <c r="AU15" s="57">
        <v>0</v>
      </c>
      <c r="AV15" s="23" t="e">
        <f>AU15+'10.04'!AV15</f>
        <v>#REF!</v>
      </c>
      <c r="AW15" s="57">
        <v>0</v>
      </c>
      <c r="AX15" s="23" t="e">
        <f>AW15+'10.04'!AX15</f>
        <v>#REF!</v>
      </c>
      <c r="AY15" s="57">
        <v>0</v>
      </c>
      <c r="AZ15" s="23" t="e">
        <f>AY15+'10.04'!AZ15</f>
        <v>#REF!</v>
      </c>
      <c r="BA15" s="57">
        <v>2</v>
      </c>
      <c r="BB15" s="23" t="e">
        <f>BA15+'10.04'!BB15</f>
        <v>#REF!</v>
      </c>
      <c r="BC15" s="58">
        <f t="shared" si="3"/>
        <v>1364</v>
      </c>
      <c r="BD15" s="59" t="e">
        <f t="shared" si="3"/>
        <v>#REF!</v>
      </c>
      <c r="BE15" s="55">
        <v>62</v>
      </c>
      <c r="BF15" s="23" t="e">
        <f>BE15+'10.04'!BF15</f>
        <v>#REF!</v>
      </c>
      <c r="BG15" s="57">
        <v>2</v>
      </c>
      <c r="BH15" s="23" t="e">
        <f>BG15+'10.04'!BH15</f>
        <v>#REF!</v>
      </c>
      <c r="BI15" s="55">
        <v>650</v>
      </c>
      <c r="BJ15" s="23" t="e">
        <f>BI15+'10.04'!BJ15</f>
        <v>#REF!</v>
      </c>
      <c r="BK15" s="55">
        <v>650</v>
      </c>
      <c r="BL15" s="23" t="e">
        <f>BK15+'10.04'!BL15</f>
        <v>#REF!</v>
      </c>
      <c r="BM15" s="55">
        <v>0</v>
      </c>
      <c r="BN15" s="23" t="e">
        <f>BM15+'10.04'!BN15</f>
        <v>#REF!</v>
      </c>
      <c r="BO15" s="36">
        <v>6274</v>
      </c>
      <c r="BP15" s="37">
        <v>2</v>
      </c>
      <c r="BQ15" s="23" t="e">
        <f>BP15+'10.04'!BQ15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168</v>
      </c>
      <c r="D16" s="31" t="e">
        <f t="shared" si="0"/>
        <v>#REF!</v>
      </c>
      <c r="E16" s="32">
        <v>310</v>
      </c>
      <c r="F16" s="22">
        <v>73</v>
      </c>
      <c r="G16" s="23" t="e">
        <f>F16+'10.04'!G16</f>
        <v>#REF!</v>
      </c>
      <c r="H16" s="33">
        <v>5</v>
      </c>
      <c r="I16" s="34">
        <v>0</v>
      </c>
      <c r="J16" s="23" t="e">
        <f>I16+'10.04'!J16</f>
        <v>#REF!</v>
      </c>
      <c r="K16" s="33">
        <v>3</v>
      </c>
      <c r="L16" s="22">
        <v>0</v>
      </c>
      <c r="M16" s="23" t="e">
        <f>L16+'10.04'!M16</f>
        <v>#REF!</v>
      </c>
      <c r="N16" s="33">
        <v>384</v>
      </c>
      <c r="O16" s="22">
        <v>0</v>
      </c>
      <c r="P16" s="23" t="e">
        <f>O16+'10.04'!P16</f>
        <v>#REF!</v>
      </c>
      <c r="Q16" s="33">
        <v>245</v>
      </c>
      <c r="R16" s="22">
        <v>0</v>
      </c>
      <c r="S16" s="23" t="e">
        <f>R16+'10.04'!S16</f>
        <v>#REF!</v>
      </c>
      <c r="T16" s="33">
        <v>397</v>
      </c>
      <c r="U16" s="22">
        <v>0</v>
      </c>
      <c r="V16" s="23" t="e">
        <f>U16+'10.04'!V16</f>
        <v>#REF!</v>
      </c>
      <c r="W16" s="33">
        <v>24</v>
      </c>
      <c r="X16" s="22">
        <v>54</v>
      </c>
      <c r="Y16" s="23" t="e">
        <f>X16+'10.04'!Y16</f>
        <v>#REF!</v>
      </c>
      <c r="Z16" s="33">
        <v>18</v>
      </c>
      <c r="AA16" s="22">
        <v>0</v>
      </c>
      <c r="AB16" s="23" t="e">
        <f>AA16+'10.04'!AB16</f>
        <v>#REF!</v>
      </c>
      <c r="AC16" s="33">
        <v>18515</v>
      </c>
      <c r="AD16" s="22">
        <v>41</v>
      </c>
      <c r="AE16" s="23" t="e">
        <f>AD16+'10.04'!AE16</f>
        <v>#REF!</v>
      </c>
      <c r="AF16" s="19">
        <f t="shared" si="1"/>
        <v>88185</v>
      </c>
      <c r="AG16" s="20" t="e">
        <f t="shared" si="1"/>
        <v>#REF!</v>
      </c>
      <c r="AH16" s="24">
        <v>320</v>
      </c>
      <c r="AI16" s="23" t="e">
        <f>AH16+'10.04'!AI16</f>
        <v>#REF!</v>
      </c>
      <c r="AJ16" s="24">
        <v>1215</v>
      </c>
      <c r="AK16" s="23" t="e">
        <f>AJ16+'10.04'!AK16</f>
        <v>#REF!</v>
      </c>
      <c r="AL16" s="22">
        <v>2460</v>
      </c>
      <c r="AM16" s="23" t="e">
        <f>AL16+'10.04'!AM16</f>
        <v>#REF!</v>
      </c>
      <c r="AN16" s="22">
        <v>84190</v>
      </c>
      <c r="AO16" s="23" t="e">
        <f>AN16+'10.04'!AO16</f>
        <v>#REF!</v>
      </c>
      <c r="AP16" s="28" t="s">
        <v>51</v>
      </c>
      <c r="AQ16" s="19">
        <f t="shared" si="2"/>
        <v>51</v>
      </c>
      <c r="AR16" s="20" t="e">
        <f t="shared" si="2"/>
        <v>#REF!</v>
      </c>
      <c r="AS16" s="34">
        <v>0</v>
      </c>
      <c r="AT16" s="23" t="e">
        <f>AS16+'10.04'!AT16</f>
        <v>#REF!</v>
      </c>
      <c r="AU16" s="34">
        <v>0</v>
      </c>
      <c r="AV16" s="23" t="e">
        <f>AU16+'10.04'!AV16</f>
        <v>#REF!</v>
      </c>
      <c r="AW16" s="34">
        <v>0</v>
      </c>
      <c r="AX16" s="23" t="e">
        <f>AW16+'10.04'!AX16</f>
        <v>#REF!</v>
      </c>
      <c r="AY16" s="34">
        <v>0</v>
      </c>
      <c r="AZ16" s="23" t="e">
        <f>AY16+'10.04'!AZ16</f>
        <v>#REF!</v>
      </c>
      <c r="BA16" s="34">
        <v>51</v>
      </c>
      <c r="BB16" s="23" t="e">
        <f>BA16+'10.04'!BB16</f>
        <v>#REF!</v>
      </c>
      <c r="BC16" s="19">
        <f t="shared" si="3"/>
        <v>1403</v>
      </c>
      <c r="BD16" s="20" t="e">
        <f t="shared" si="3"/>
        <v>#REF!</v>
      </c>
      <c r="BE16" s="22">
        <v>72</v>
      </c>
      <c r="BF16" s="23" t="e">
        <f>BE16+'10.04'!BF16</f>
        <v>#REF!</v>
      </c>
      <c r="BG16" s="34">
        <v>1</v>
      </c>
      <c r="BH16" s="23" t="e">
        <f>BG16+'10.04'!BH16</f>
        <v>#REF!</v>
      </c>
      <c r="BI16" s="22">
        <v>1130</v>
      </c>
      <c r="BJ16" s="23" t="e">
        <f>BI16+'10.04'!BJ16</f>
        <v>#REF!</v>
      </c>
      <c r="BK16" s="22">
        <v>200</v>
      </c>
      <c r="BL16" s="23" t="e">
        <f>BK16+'10.04'!BL16</f>
        <v>#REF!</v>
      </c>
      <c r="BM16" s="22">
        <v>0</v>
      </c>
      <c r="BN16" s="23" t="e">
        <f>BM16+'10.04'!BN16</f>
        <v>#REF!</v>
      </c>
      <c r="BO16" s="36">
        <v>2546</v>
      </c>
      <c r="BP16" s="37">
        <v>0</v>
      </c>
      <c r="BQ16" s="23" t="e">
        <f>BP16+'10.04'!BQ16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246</v>
      </c>
      <c r="D17" s="31" t="e">
        <f t="shared" si="0"/>
        <v>#REF!</v>
      </c>
      <c r="E17" s="32">
        <v>754</v>
      </c>
      <c r="F17" s="22">
        <v>165</v>
      </c>
      <c r="G17" s="23" t="e">
        <f>F17+'10.04'!G17</f>
        <v>#REF!</v>
      </c>
      <c r="H17" s="33">
        <v>9</v>
      </c>
      <c r="I17" s="34">
        <v>0</v>
      </c>
      <c r="J17" s="23" t="e">
        <f>I17+'10.04'!J17</f>
        <v>#REF!</v>
      </c>
      <c r="K17" s="33">
        <v>5</v>
      </c>
      <c r="L17" s="22">
        <v>0</v>
      </c>
      <c r="M17" s="23" t="e">
        <f>L17+'10.04'!M17</f>
        <v>#REF!</v>
      </c>
      <c r="N17" s="33">
        <v>768</v>
      </c>
      <c r="O17" s="22">
        <v>0</v>
      </c>
      <c r="P17" s="23" t="e">
        <f>O17+'10.04'!P17</f>
        <v>#REF!</v>
      </c>
      <c r="Q17" s="33">
        <v>624</v>
      </c>
      <c r="R17" s="22">
        <v>0</v>
      </c>
      <c r="S17" s="23" t="e">
        <f>R17+'10.04'!S17</f>
        <v>#REF!</v>
      </c>
      <c r="T17" s="33">
        <v>742</v>
      </c>
      <c r="U17" s="22">
        <v>0</v>
      </c>
      <c r="V17" s="23" t="e">
        <f>U17+'10.04'!V17</f>
        <v>#REF!</v>
      </c>
      <c r="W17" s="33">
        <v>54</v>
      </c>
      <c r="X17" s="22">
        <v>56</v>
      </c>
      <c r="Y17" s="23" t="e">
        <f>X17+'10.04'!Y17</f>
        <v>#REF!</v>
      </c>
      <c r="Z17" s="33">
        <v>66</v>
      </c>
      <c r="AA17" s="22">
        <v>0</v>
      </c>
      <c r="AB17" s="23" t="e">
        <f>AA17+'10.04'!AB17</f>
        <v>#REF!</v>
      </c>
      <c r="AC17" s="33">
        <v>2580</v>
      </c>
      <c r="AD17" s="22">
        <v>25</v>
      </c>
      <c r="AE17" s="23" t="e">
        <f>AD17+'10.04'!AE17</f>
        <v>#REF!</v>
      </c>
      <c r="AF17" s="19">
        <f t="shared" si="1"/>
        <v>209700</v>
      </c>
      <c r="AG17" s="20" t="e">
        <f t="shared" si="1"/>
        <v>#REF!</v>
      </c>
      <c r="AH17" s="24">
        <v>10300</v>
      </c>
      <c r="AI17" s="23" t="e">
        <f>AH17+'10.04'!AI17</f>
        <v>#REF!</v>
      </c>
      <c r="AJ17" s="24">
        <v>12500</v>
      </c>
      <c r="AK17" s="23" t="e">
        <f>AJ17+'10.04'!AK17</f>
        <v>#REF!</v>
      </c>
      <c r="AL17" s="22">
        <v>76100</v>
      </c>
      <c r="AM17" s="23" t="e">
        <f>AL17+'10.04'!AM17</f>
        <v>#REF!</v>
      </c>
      <c r="AN17" s="22">
        <v>110800</v>
      </c>
      <c r="AO17" s="23" t="e">
        <f>AN17+'10.04'!AO17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AS17+'10.04'!AT17</f>
        <v>#REF!</v>
      </c>
      <c r="AU17" s="34">
        <v>1</v>
      </c>
      <c r="AV17" s="23" t="e">
        <f>AU17+'10.04'!AV17</f>
        <v>#REF!</v>
      </c>
      <c r="AW17" s="34">
        <v>0</v>
      </c>
      <c r="AX17" s="23" t="e">
        <f>AW17+'10.04'!AX17</f>
        <v>#REF!</v>
      </c>
      <c r="AY17" s="34">
        <v>0</v>
      </c>
      <c r="AZ17" s="23" t="e">
        <f>AY17+'10.04'!AZ17</f>
        <v>#REF!</v>
      </c>
      <c r="BA17" s="34">
        <v>14</v>
      </c>
      <c r="BB17" s="23" t="e">
        <f>BA17+'10.04'!BB17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BE17+'10.04'!BF17</f>
        <v>#REF!</v>
      </c>
      <c r="BG17" s="34">
        <v>4</v>
      </c>
      <c r="BH17" s="23" t="e">
        <f>BG17+'10.04'!BH17</f>
        <v>#REF!</v>
      </c>
      <c r="BI17" s="22">
        <v>1400</v>
      </c>
      <c r="BJ17" s="23" t="e">
        <f>BI17+'10.04'!BJ17</f>
        <v>#REF!</v>
      </c>
      <c r="BK17" s="22">
        <v>160</v>
      </c>
      <c r="BL17" s="23" t="e">
        <f>BK17+'10.04'!BL17</f>
        <v>#REF!</v>
      </c>
      <c r="BM17" s="22">
        <v>0</v>
      </c>
      <c r="BN17" s="23" t="e">
        <f>BM17+'10.04'!BN17</f>
        <v>#REF!</v>
      </c>
      <c r="BO17" s="36">
        <v>8022</v>
      </c>
      <c r="BP17" s="37">
        <v>10</v>
      </c>
      <c r="BQ17" s="23" t="e">
        <f>BP17+'10.04'!BQ17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495</v>
      </c>
      <c r="D18" s="20" t="e">
        <f t="shared" si="0"/>
        <v>#REF!</v>
      </c>
      <c r="E18" s="21">
        <v>1063</v>
      </c>
      <c r="F18" s="22">
        <v>308</v>
      </c>
      <c r="G18" s="23" t="e">
        <f>F18+'10.04'!G18</f>
        <v>#REF!</v>
      </c>
      <c r="H18" s="21">
        <v>19</v>
      </c>
      <c r="I18" s="22">
        <v>0</v>
      </c>
      <c r="J18" s="23" t="e">
        <f>I18+'10.04'!J18</f>
        <v>#REF!</v>
      </c>
      <c r="K18" s="21">
        <v>8</v>
      </c>
      <c r="L18" s="22">
        <v>0</v>
      </c>
      <c r="M18" s="23" t="e">
        <f>L18+'10.04'!M18</f>
        <v>#REF!</v>
      </c>
      <c r="N18" s="21">
        <v>1331</v>
      </c>
      <c r="O18" s="22">
        <v>0</v>
      </c>
      <c r="P18" s="23" t="e">
        <f>O18+'10.04'!P18</f>
        <v>#REF!</v>
      </c>
      <c r="Q18" s="21">
        <v>777</v>
      </c>
      <c r="R18" s="22">
        <v>0</v>
      </c>
      <c r="S18" s="23" t="e">
        <f>R18+'10.04'!S18</f>
        <v>#REF!</v>
      </c>
      <c r="T18" s="21">
        <v>318</v>
      </c>
      <c r="U18" s="22">
        <v>0</v>
      </c>
      <c r="V18" s="23" t="e">
        <f>U18+'10.04'!V18</f>
        <v>#REF!</v>
      </c>
      <c r="W18" s="21">
        <v>60</v>
      </c>
      <c r="X18" s="22">
        <v>187</v>
      </c>
      <c r="Y18" s="23" t="e">
        <f>X18+'10.04'!Y18</f>
        <v>#REF!</v>
      </c>
      <c r="Z18" s="21">
        <v>72</v>
      </c>
      <c r="AA18" s="22">
        <v>0</v>
      </c>
      <c r="AB18" s="23" t="e">
        <f>AA18+'10.04'!AB18</f>
        <v>#REF!</v>
      </c>
      <c r="AC18" s="21">
        <v>143</v>
      </c>
      <c r="AD18" s="22">
        <v>0</v>
      </c>
      <c r="AE18" s="23" t="e">
        <f>AD18+'10.04'!AE18</f>
        <v>#REF!</v>
      </c>
      <c r="AF18" s="19">
        <f t="shared" si="1"/>
        <v>170298</v>
      </c>
      <c r="AG18" s="20" t="e">
        <f t="shared" si="1"/>
        <v>#REF!</v>
      </c>
      <c r="AH18" s="24">
        <v>575</v>
      </c>
      <c r="AI18" s="23" t="e">
        <f>AH18+'10.04'!AI18</f>
        <v>#REF!</v>
      </c>
      <c r="AJ18" s="24">
        <v>4539</v>
      </c>
      <c r="AK18" s="23" t="e">
        <f>AJ18+'10.04'!AK18</f>
        <v>#REF!</v>
      </c>
      <c r="AL18" s="22">
        <v>15092</v>
      </c>
      <c r="AM18" s="23" t="e">
        <f>AL18+'10.04'!AM18</f>
        <v>#REF!</v>
      </c>
      <c r="AN18" s="22">
        <v>150092</v>
      </c>
      <c r="AO18" s="23" t="e">
        <f>AN18+'10.04'!AO18</f>
        <v>#REF!</v>
      </c>
      <c r="AP18" s="17" t="s">
        <v>53</v>
      </c>
      <c r="AQ18" s="19">
        <f>AS18+AU18+AW18+AY18+BA18</f>
        <v>0</v>
      </c>
      <c r="AR18" s="20" t="e">
        <f t="shared" si="2"/>
        <v>#REF!</v>
      </c>
      <c r="AS18" s="22">
        <v>0</v>
      </c>
      <c r="AT18" s="23" t="e">
        <f>AS18+'10.04'!AT18</f>
        <v>#REF!</v>
      </c>
      <c r="AU18" s="22">
        <v>0</v>
      </c>
      <c r="AV18" s="23" t="e">
        <f>AU18+'10.04'!AV18</f>
        <v>#REF!</v>
      </c>
      <c r="AW18" s="22">
        <v>0</v>
      </c>
      <c r="AX18" s="23" t="e">
        <f>AW18+'10.04'!AX18</f>
        <v>#REF!</v>
      </c>
      <c r="AY18" s="22">
        <v>0</v>
      </c>
      <c r="AZ18" s="23" t="e">
        <f>AY18+'10.04'!AZ18</f>
        <v>#REF!</v>
      </c>
      <c r="BA18" s="22">
        <v>0</v>
      </c>
      <c r="BB18" s="23" t="e">
        <f>BA18+'10.04'!BB18</f>
        <v>#REF!</v>
      </c>
      <c r="BC18" s="19">
        <f t="shared" si="3"/>
        <v>3208</v>
      </c>
      <c r="BD18" s="20" t="e">
        <f>BF18+BH18+BJ18+BL18+BN18</f>
        <v>#REF!</v>
      </c>
      <c r="BE18" s="22">
        <v>1</v>
      </c>
      <c r="BF18" s="23" t="e">
        <f>BE18+'10.04'!BF18</f>
        <v>#REF!</v>
      </c>
      <c r="BG18" s="22">
        <v>1</v>
      </c>
      <c r="BH18" s="23" t="e">
        <f>BG18+'10.04'!BH18</f>
        <v>#REF!</v>
      </c>
      <c r="BI18" s="22">
        <v>3019</v>
      </c>
      <c r="BJ18" s="23" t="e">
        <f>BI18+'10.04'!BJ18</f>
        <v>#REF!</v>
      </c>
      <c r="BK18" s="22">
        <v>187</v>
      </c>
      <c r="BL18" s="23" t="e">
        <f>BK18+'10.04'!BL18</f>
        <v>#REF!</v>
      </c>
      <c r="BM18" s="22">
        <v>0</v>
      </c>
      <c r="BN18" s="23" t="e">
        <f>BM18+'10.04'!BN18</f>
        <v>#REF!</v>
      </c>
      <c r="BO18" s="36">
        <v>442</v>
      </c>
      <c r="BP18" s="37">
        <v>1</v>
      </c>
      <c r="BQ18" s="23" t="e">
        <f>BP18+'10.04'!BQ18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39</v>
      </c>
      <c r="D19" s="31" t="e">
        <f t="shared" si="0"/>
        <v>#REF!</v>
      </c>
      <c r="E19" s="33">
        <v>221</v>
      </c>
      <c r="F19" s="22">
        <v>11</v>
      </c>
      <c r="G19" s="23" t="e">
        <f>F19+'10.04'!G19</f>
        <v>#REF!</v>
      </c>
      <c r="H19" s="33">
        <v>5</v>
      </c>
      <c r="I19" s="34">
        <v>0</v>
      </c>
      <c r="J19" s="23" t="e">
        <f>I19+'10.04'!J19</f>
        <v>#REF!</v>
      </c>
      <c r="K19" s="33">
        <v>4</v>
      </c>
      <c r="L19" s="22">
        <v>0</v>
      </c>
      <c r="M19" s="23" t="e">
        <f>L19+'10.04'!M19</f>
        <v>#REF!</v>
      </c>
      <c r="N19" s="33">
        <v>313</v>
      </c>
      <c r="O19" s="22">
        <v>0</v>
      </c>
      <c r="P19" s="23" t="e">
        <f>O19+'10.04'!P19</f>
        <v>#REF!</v>
      </c>
      <c r="Q19" s="33">
        <v>203</v>
      </c>
      <c r="R19" s="22">
        <v>0</v>
      </c>
      <c r="S19" s="23" t="e">
        <f>R19+'10.04'!S19</f>
        <v>#REF!</v>
      </c>
      <c r="T19" s="33">
        <v>241</v>
      </c>
      <c r="U19" s="22">
        <v>0</v>
      </c>
      <c r="V19" s="23" t="e">
        <f>U19+'10.04'!V19</f>
        <v>#REF!</v>
      </c>
      <c r="W19" s="33">
        <v>14</v>
      </c>
      <c r="X19" s="22">
        <v>13</v>
      </c>
      <c r="Y19" s="23" t="e">
        <f>X19+'10.04'!Y19</f>
        <v>#REF!</v>
      </c>
      <c r="Z19" s="33">
        <v>7</v>
      </c>
      <c r="AA19" s="22">
        <v>0</v>
      </c>
      <c r="AB19" s="23" t="e">
        <f>AA19+'10.04'!AB19</f>
        <v>#REF!</v>
      </c>
      <c r="AC19" s="33">
        <v>32</v>
      </c>
      <c r="AD19" s="22">
        <v>15</v>
      </c>
      <c r="AE19" s="23" t="e">
        <f>AD19+'10.04'!AE19</f>
        <v>#REF!</v>
      </c>
      <c r="AF19" s="19">
        <f t="shared" si="1"/>
        <v>3200</v>
      </c>
      <c r="AG19" s="20" t="e">
        <f t="shared" si="1"/>
        <v>#REF!</v>
      </c>
      <c r="AH19" s="24">
        <v>50</v>
      </c>
      <c r="AI19" s="23" t="e">
        <f>AH19+'10.04'!AI19</f>
        <v>#REF!</v>
      </c>
      <c r="AJ19" s="24">
        <v>1000</v>
      </c>
      <c r="AK19" s="23" t="e">
        <f>AJ19+'10.04'!AK19</f>
        <v>#REF!</v>
      </c>
      <c r="AL19" s="22">
        <v>150</v>
      </c>
      <c r="AM19" s="23" t="e">
        <f>AL19+'10.04'!AM19</f>
        <v>#REF!</v>
      </c>
      <c r="AN19" s="22">
        <v>2000</v>
      </c>
      <c r="AO19" s="23" t="e">
        <f>AN19+'10.04'!AO19</f>
        <v>#REF!</v>
      </c>
      <c r="AP19" s="28" t="s">
        <v>54</v>
      </c>
      <c r="AQ19" s="19">
        <f t="shared" ref="AQ19:AQ22" si="4">AS19+AU19+AW19+AY19+BA19</f>
        <v>14</v>
      </c>
      <c r="AR19" s="20" t="e">
        <f t="shared" si="2"/>
        <v>#REF!</v>
      </c>
      <c r="AS19" s="34">
        <v>0</v>
      </c>
      <c r="AT19" s="23" t="e">
        <f>AS19+'10.04'!AT19</f>
        <v>#REF!</v>
      </c>
      <c r="AU19" s="34">
        <v>0</v>
      </c>
      <c r="AV19" s="23" t="e">
        <f>AU19+'10.04'!AV19</f>
        <v>#REF!</v>
      </c>
      <c r="AW19" s="34">
        <v>0</v>
      </c>
      <c r="AX19" s="23" t="e">
        <f>AW19+'10.04'!AX19</f>
        <v>#REF!</v>
      </c>
      <c r="AY19" s="34">
        <v>0</v>
      </c>
      <c r="AZ19" s="23" t="e">
        <f>AY19+'10.04'!AZ19</f>
        <v>#REF!</v>
      </c>
      <c r="BA19" s="34">
        <v>14</v>
      </c>
      <c r="BB19" s="23" t="e">
        <f>BA19+'10.04'!BB19</f>
        <v>#REF!</v>
      </c>
      <c r="BC19" s="19">
        <f t="shared" si="3"/>
        <v>1000</v>
      </c>
      <c r="BD19" s="20" t="e">
        <f t="shared" si="3"/>
        <v>#REF!</v>
      </c>
      <c r="BE19" s="22">
        <v>0</v>
      </c>
      <c r="BF19" s="23" t="e">
        <f>BE19+'10.04'!BF19</f>
        <v>#REF!</v>
      </c>
      <c r="BG19" s="34">
        <v>0</v>
      </c>
      <c r="BH19" s="23" t="e">
        <f>BG19+'10.04'!BH19</f>
        <v>#REF!</v>
      </c>
      <c r="BI19" s="22">
        <v>800</v>
      </c>
      <c r="BJ19" s="23" t="e">
        <f>BI19+'10.04'!BJ19</f>
        <v>#REF!</v>
      </c>
      <c r="BK19" s="22">
        <v>200</v>
      </c>
      <c r="BL19" s="23" t="e">
        <f>BK19+'10.04'!BL19</f>
        <v>#REF!</v>
      </c>
      <c r="BM19" s="22">
        <v>0</v>
      </c>
      <c r="BN19" s="23" t="e">
        <f>BM19+'10.04'!BN19</f>
        <v>#REF!</v>
      </c>
      <c r="BO19" s="36">
        <v>2898</v>
      </c>
      <c r="BP19" s="37">
        <v>0</v>
      </c>
      <c r="BQ19" s="23" t="e">
        <f>BP19+'10.04'!BQ19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438</v>
      </c>
      <c r="D20" s="31" t="e">
        <f t="shared" si="0"/>
        <v>#REF!</v>
      </c>
      <c r="E20" s="32">
        <v>723</v>
      </c>
      <c r="F20" s="22">
        <v>250</v>
      </c>
      <c r="G20" s="23" t="e">
        <f>F20+'10.04'!G20</f>
        <v>#REF!</v>
      </c>
      <c r="H20" s="33">
        <v>5</v>
      </c>
      <c r="I20" s="34">
        <v>2</v>
      </c>
      <c r="J20" s="23" t="e">
        <f>I20+'10.04'!J20</f>
        <v>#REF!</v>
      </c>
      <c r="K20" s="33">
        <v>3</v>
      </c>
      <c r="L20" s="22">
        <v>0</v>
      </c>
      <c r="M20" s="23" t="e">
        <f>L20+'10.04'!M20</f>
        <v>#REF!</v>
      </c>
      <c r="N20" s="33">
        <v>975</v>
      </c>
      <c r="O20" s="22">
        <v>90</v>
      </c>
      <c r="P20" s="23" t="e">
        <f>O20+'10.04'!P20</f>
        <v>#REF!</v>
      </c>
      <c r="Q20" s="61">
        <v>1862</v>
      </c>
      <c r="R20" s="22">
        <v>2</v>
      </c>
      <c r="S20" s="23" t="e">
        <f>R20+'10.04'!S20</f>
        <v>#REF!</v>
      </c>
      <c r="T20" s="33">
        <v>35</v>
      </c>
      <c r="U20" s="22">
        <v>4</v>
      </c>
      <c r="V20" s="23" t="e">
        <f>U20+'10.04'!V20</f>
        <v>#REF!</v>
      </c>
      <c r="W20" s="33">
        <v>64</v>
      </c>
      <c r="X20" s="22">
        <v>4</v>
      </c>
      <c r="Y20" s="23" t="e">
        <f>X20+'10.04'!Y20</f>
        <v>#REF!</v>
      </c>
      <c r="Z20" s="33">
        <v>15</v>
      </c>
      <c r="AA20" s="22">
        <v>3</v>
      </c>
      <c r="AB20" s="23" t="e">
        <f>AA20+'10.04'!AB20</f>
        <v>#REF!</v>
      </c>
      <c r="AC20" s="33">
        <v>1546</v>
      </c>
      <c r="AD20" s="22">
        <v>83</v>
      </c>
      <c r="AE20" s="23" t="e">
        <f>AD20+'10.04'!AE20</f>
        <v>#REF!</v>
      </c>
      <c r="AF20" s="19">
        <f t="shared" si="1"/>
        <v>21590</v>
      </c>
      <c r="AG20" s="20" t="e">
        <f t="shared" si="1"/>
        <v>#REF!</v>
      </c>
      <c r="AH20" s="24">
        <v>10510</v>
      </c>
      <c r="AI20" s="23" t="e">
        <f>AH20+'10.04'!AI20</f>
        <v>#REF!</v>
      </c>
      <c r="AJ20" s="24">
        <v>10380</v>
      </c>
      <c r="AK20" s="23" t="e">
        <f>AJ20+'10.04'!AK20</f>
        <v>#REF!</v>
      </c>
      <c r="AL20" s="22">
        <v>250</v>
      </c>
      <c r="AM20" s="23" t="e">
        <f>AL20+'10.04'!AM20</f>
        <v>#REF!</v>
      </c>
      <c r="AN20" s="22">
        <v>450</v>
      </c>
      <c r="AO20" s="23" t="e">
        <f>AN20+'10.04'!AO20</f>
        <v>#REF!</v>
      </c>
      <c r="AP20" s="28" t="s">
        <v>55</v>
      </c>
      <c r="AQ20" s="19">
        <f t="shared" si="4"/>
        <v>197</v>
      </c>
      <c r="AR20" s="20" t="e">
        <f t="shared" si="2"/>
        <v>#REF!</v>
      </c>
      <c r="AS20" s="34">
        <v>1</v>
      </c>
      <c r="AT20" s="23" t="e">
        <f>AS20+'10.04'!AT20</f>
        <v>#REF!</v>
      </c>
      <c r="AU20" s="34">
        <v>0</v>
      </c>
      <c r="AV20" s="23" t="e">
        <f>AU20+'10.04'!AV20</f>
        <v>#REF!</v>
      </c>
      <c r="AW20" s="34">
        <v>0</v>
      </c>
      <c r="AX20" s="23" t="e">
        <f>AW20+'10.04'!AX20</f>
        <v>#REF!</v>
      </c>
      <c r="AY20" s="34">
        <v>0</v>
      </c>
      <c r="AZ20" s="23" t="e">
        <f>AY20+'10.04'!AZ20</f>
        <v>#REF!</v>
      </c>
      <c r="BA20" s="34">
        <v>196</v>
      </c>
      <c r="BB20" s="23" t="e">
        <f>BA20+'10.04'!BB20</f>
        <v>#REF!</v>
      </c>
      <c r="BC20" s="19">
        <f t="shared" si="3"/>
        <v>3149</v>
      </c>
      <c r="BD20" s="20" t="e">
        <f t="shared" si="3"/>
        <v>#REF!</v>
      </c>
      <c r="BE20" s="22">
        <v>2</v>
      </c>
      <c r="BF20" s="23" t="e">
        <f>BE20+'10.04'!BF20</f>
        <v>#REF!</v>
      </c>
      <c r="BG20" s="34">
        <v>0</v>
      </c>
      <c r="BH20" s="23" t="e">
        <f>BG20+'10.04'!BH20</f>
        <v>#REF!</v>
      </c>
      <c r="BI20" s="22">
        <v>1475</v>
      </c>
      <c r="BJ20" s="23" t="e">
        <f>BI20+'10.04'!BJ20</f>
        <v>#REF!</v>
      </c>
      <c r="BK20" s="22">
        <v>1672</v>
      </c>
      <c r="BL20" s="23" t="e">
        <f>BK20+'10.04'!BL20</f>
        <v>#REF!</v>
      </c>
      <c r="BM20" s="22">
        <v>0</v>
      </c>
      <c r="BN20" s="23" t="e">
        <f>BM20+'10.04'!BN20</f>
        <v>#REF!</v>
      </c>
      <c r="BO20" s="36">
        <v>5854</v>
      </c>
      <c r="BP20" s="37">
        <v>0</v>
      </c>
      <c r="BQ20" s="23" t="e">
        <f>BP20+'10.04'!BQ20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269</v>
      </c>
      <c r="D21" s="31" t="e">
        <f t="shared" si="0"/>
        <v>#REF!</v>
      </c>
      <c r="E21" s="32">
        <v>1017</v>
      </c>
      <c r="F21" s="22">
        <v>200</v>
      </c>
      <c r="G21" s="23" t="e">
        <f>F21+'10.04'!G21</f>
        <v>#REF!</v>
      </c>
      <c r="H21" s="33">
        <v>8</v>
      </c>
      <c r="I21" s="34">
        <v>0</v>
      </c>
      <c r="J21" s="23" t="e">
        <f>I21+'10.04'!J21</f>
        <v>#REF!</v>
      </c>
      <c r="K21" s="33">
        <v>4</v>
      </c>
      <c r="L21" s="22">
        <v>0</v>
      </c>
      <c r="M21" s="23" t="e">
        <f>L21+'10.04'!M21</f>
        <v>#REF!</v>
      </c>
      <c r="N21" s="33">
        <v>963</v>
      </c>
      <c r="O21" s="22">
        <v>3</v>
      </c>
      <c r="P21" s="23" t="e">
        <f>O21+'10.04'!P21</f>
        <v>#REF!</v>
      </c>
      <c r="Q21" s="33">
        <v>912</v>
      </c>
      <c r="R21" s="22">
        <v>0</v>
      </c>
      <c r="S21" s="23" t="e">
        <f>R21+'10.04'!S21</f>
        <v>#REF!</v>
      </c>
      <c r="T21" s="33">
        <v>199</v>
      </c>
      <c r="U21" s="22">
        <v>0</v>
      </c>
      <c r="V21" s="23" t="e">
        <f>U21+'10.04'!V21</f>
        <v>#REF!</v>
      </c>
      <c r="W21" s="33">
        <v>101</v>
      </c>
      <c r="X21" s="22">
        <v>55</v>
      </c>
      <c r="Y21" s="23" t="e">
        <f>X21+'10.04'!Y21</f>
        <v>#REF!</v>
      </c>
      <c r="Z21" s="33">
        <v>42</v>
      </c>
      <c r="AA21" s="22">
        <v>0</v>
      </c>
      <c r="AB21" s="23" t="e">
        <f>AA21+'10.04'!AB21</f>
        <v>#REF!</v>
      </c>
      <c r="AC21" s="33">
        <v>20</v>
      </c>
      <c r="AD21" s="22">
        <v>11</v>
      </c>
      <c r="AE21" s="23" t="e">
        <f>AD21+'10.04'!AE21</f>
        <v>#REF!</v>
      </c>
      <c r="AF21" s="19">
        <f t="shared" si="1"/>
        <v>1080000</v>
      </c>
      <c r="AG21" s="20" t="e">
        <f t="shared" si="1"/>
        <v>#REF!</v>
      </c>
      <c r="AH21" s="24">
        <v>1000</v>
      </c>
      <c r="AI21" s="23" t="e">
        <f>AH21+'10.04'!AI21</f>
        <v>#REF!</v>
      </c>
      <c r="AJ21" s="24">
        <v>299000</v>
      </c>
      <c r="AK21" s="23" t="e">
        <f>AJ21+'10.04'!AK21</f>
        <v>#REF!</v>
      </c>
      <c r="AL21" s="22">
        <v>300000</v>
      </c>
      <c r="AM21" s="23" t="e">
        <f>AL21+'10.04'!AM21</f>
        <v>#REF!</v>
      </c>
      <c r="AN21" s="22">
        <v>480000</v>
      </c>
      <c r="AO21" s="23" t="e">
        <f>AN21+'10.04'!AO21</f>
        <v>#REF!</v>
      </c>
      <c r="AP21" s="28" t="s">
        <v>58</v>
      </c>
      <c r="AQ21" s="19">
        <f t="shared" si="4"/>
        <v>9</v>
      </c>
      <c r="AR21" s="20" t="e">
        <f t="shared" si="2"/>
        <v>#REF!</v>
      </c>
      <c r="AS21" s="34">
        <v>1</v>
      </c>
      <c r="AT21" s="23" t="e">
        <f>AS21+'10.04'!AT21</f>
        <v>#REF!</v>
      </c>
      <c r="AU21" s="34">
        <v>0</v>
      </c>
      <c r="AV21" s="23" t="e">
        <f>AU21+'10.04'!AV21</f>
        <v>#REF!</v>
      </c>
      <c r="AW21" s="34">
        <v>0</v>
      </c>
      <c r="AX21" s="23" t="e">
        <f>AW21+'10.04'!AX21</f>
        <v>#REF!</v>
      </c>
      <c r="AY21" s="34">
        <v>0</v>
      </c>
      <c r="AZ21" s="23" t="e">
        <f>AY21+'10.04'!AZ21</f>
        <v>#REF!</v>
      </c>
      <c r="BA21" s="34">
        <v>8</v>
      </c>
      <c r="BB21" s="23" t="e">
        <f>BA21+'10.04'!BB21</f>
        <v>#REF!</v>
      </c>
      <c r="BC21" s="19">
        <f t="shared" si="3"/>
        <v>5060</v>
      </c>
      <c r="BD21" s="20" t="e">
        <f t="shared" si="3"/>
        <v>#REF!</v>
      </c>
      <c r="BE21" s="22">
        <v>60</v>
      </c>
      <c r="BF21" s="23" t="e">
        <f>BE21+'10.04'!BF21</f>
        <v>#REF!</v>
      </c>
      <c r="BG21" s="34">
        <v>0</v>
      </c>
      <c r="BH21" s="23" t="e">
        <f>BG21+'10.04'!BH21</f>
        <v>#REF!</v>
      </c>
      <c r="BI21" s="22">
        <v>5000</v>
      </c>
      <c r="BJ21" s="23" t="e">
        <f>BI21+'10.04'!BJ21</f>
        <v>#REF!</v>
      </c>
      <c r="BK21" s="22">
        <v>0</v>
      </c>
      <c r="BL21" s="23" t="e">
        <f>BK21+'10.04'!BL21</f>
        <v>#REF!</v>
      </c>
      <c r="BM21" s="22">
        <v>0</v>
      </c>
      <c r="BN21" s="23" t="e">
        <f>BM21+'10.04'!BN21</f>
        <v>#REF!</v>
      </c>
      <c r="BO21" s="36">
        <v>68</v>
      </c>
      <c r="BP21" s="37">
        <v>0</v>
      </c>
      <c r="BQ21" s="23" t="e">
        <f>BP21+'10.04'!BQ21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0</v>
      </c>
      <c r="D22" s="31" t="e">
        <f t="shared" si="0"/>
        <v>#REF!</v>
      </c>
      <c r="E22" s="32">
        <v>509</v>
      </c>
      <c r="F22" s="22"/>
      <c r="G22" s="23" t="e">
        <f>F22+'10.04'!G22</f>
        <v>#REF!</v>
      </c>
      <c r="H22" s="33">
        <v>8</v>
      </c>
      <c r="I22" s="34"/>
      <c r="J22" s="23" t="e">
        <f>I22+'10.04'!J22</f>
        <v>#REF!</v>
      </c>
      <c r="K22" s="33">
        <v>21</v>
      </c>
      <c r="L22" s="22"/>
      <c r="M22" s="23" t="e">
        <f>L22+'10.04'!M22</f>
        <v>#REF!</v>
      </c>
      <c r="N22" s="33">
        <v>560</v>
      </c>
      <c r="O22" s="22"/>
      <c r="P22" s="23" t="e">
        <f>O22+'10.04'!P22</f>
        <v>#REF!</v>
      </c>
      <c r="Q22" s="33">
        <v>375</v>
      </c>
      <c r="R22" s="22"/>
      <c r="S22" s="23" t="e">
        <f>R22+'10.04'!S22</f>
        <v>#REF!</v>
      </c>
      <c r="T22" s="33">
        <v>165</v>
      </c>
      <c r="U22" s="22"/>
      <c r="V22" s="23" t="e">
        <f>U22+'10.04'!V22</f>
        <v>#REF!</v>
      </c>
      <c r="W22" s="33">
        <v>28</v>
      </c>
      <c r="X22" s="22"/>
      <c r="Y22" s="23" t="e">
        <f>X22+'10.04'!Y22</f>
        <v>#REF!</v>
      </c>
      <c r="Z22" s="33">
        <v>9</v>
      </c>
      <c r="AA22" s="22"/>
      <c r="AB22" s="23" t="e">
        <f>AA22+'10.04'!AB22</f>
        <v>#REF!</v>
      </c>
      <c r="AC22" s="33">
        <v>112</v>
      </c>
      <c r="AD22" s="22"/>
      <c r="AE22" s="23" t="e">
        <f>AD22+'10.04'!AE22</f>
        <v>#REF!</v>
      </c>
      <c r="AF22" s="19">
        <f t="shared" si="1"/>
        <v>0</v>
      </c>
      <c r="AG22" s="20" t="e">
        <f t="shared" si="1"/>
        <v>#REF!</v>
      </c>
      <c r="AH22" s="24"/>
      <c r="AI22" s="23" t="e">
        <f>AH22+'10.04'!AI22</f>
        <v>#REF!</v>
      </c>
      <c r="AJ22" s="24"/>
      <c r="AK22" s="23" t="e">
        <f>AJ22+'10.04'!AK22</f>
        <v>#REF!</v>
      </c>
      <c r="AL22" s="22"/>
      <c r="AM22" s="23" t="e">
        <f>AL22+'10.04'!AM22</f>
        <v>#REF!</v>
      </c>
      <c r="AN22" s="22"/>
      <c r="AO22" s="23" t="e">
        <f>AN22+'10.04'!AO22</f>
        <v>#REF!</v>
      </c>
      <c r="AP22" s="28" t="s">
        <v>59</v>
      </c>
      <c r="AQ22" s="19">
        <f t="shared" si="4"/>
        <v>0</v>
      </c>
      <c r="AR22" s="20" t="e">
        <f t="shared" si="2"/>
        <v>#REF!</v>
      </c>
      <c r="AS22" s="34"/>
      <c r="AT22" s="23" t="e">
        <f>AS22+'10.04'!AT22</f>
        <v>#REF!</v>
      </c>
      <c r="AU22" s="34"/>
      <c r="AV22" s="23" t="e">
        <f>AU22+'10.04'!AV22</f>
        <v>#REF!</v>
      </c>
      <c r="AW22" s="34"/>
      <c r="AX22" s="23" t="e">
        <f>AW22+'10.04'!AX22</f>
        <v>#REF!</v>
      </c>
      <c r="AY22" s="34"/>
      <c r="AZ22" s="23" t="e">
        <f>AY22+'10.04'!AZ22</f>
        <v>#REF!</v>
      </c>
      <c r="BA22" s="34"/>
      <c r="BB22" s="23" t="e">
        <f>BA22+'10.04'!BB22</f>
        <v>#REF!</v>
      </c>
      <c r="BC22" s="19">
        <f t="shared" si="3"/>
        <v>0</v>
      </c>
      <c r="BD22" s="20" t="e">
        <f t="shared" si="3"/>
        <v>#REF!</v>
      </c>
      <c r="BE22" s="22"/>
      <c r="BF22" s="23" t="e">
        <f>BE22+'10.04'!BF22</f>
        <v>#REF!</v>
      </c>
      <c r="BG22" s="34"/>
      <c r="BH22" s="23" t="e">
        <f>BG22+'10.04'!BH22</f>
        <v>#REF!</v>
      </c>
      <c r="BI22" s="22"/>
      <c r="BJ22" s="23" t="e">
        <f>BI22+'10.04'!BJ22</f>
        <v>#REF!</v>
      </c>
      <c r="BK22" s="22"/>
      <c r="BL22" s="23" t="e">
        <f>BK22+'10.04'!BL22</f>
        <v>#REF!</v>
      </c>
      <c r="BM22" s="22"/>
      <c r="BN22" s="23" t="e">
        <f>BM22+'10.04'!BN22</f>
        <v>#REF!</v>
      </c>
      <c r="BO22" s="36">
        <v>26</v>
      </c>
      <c r="BP22" s="37"/>
      <c r="BQ22" s="23" t="e">
        <f>BP22+'10.04'!BQ22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2632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1452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9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137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12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625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4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390</v>
      </c>
      <c r="AE23" s="68" t="e">
        <f t="shared" si="5"/>
        <v>#REF!</v>
      </c>
      <c r="AF23" s="64">
        <f t="shared" si="5"/>
        <v>3331410</v>
      </c>
      <c r="AG23" s="64" t="e">
        <f t="shared" si="5"/>
        <v>#REF!</v>
      </c>
      <c r="AH23" s="67">
        <f t="shared" si="5"/>
        <v>35317</v>
      </c>
      <c r="AI23" s="68" t="e">
        <f t="shared" si="5"/>
        <v>#REF!</v>
      </c>
      <c r="AJ23" s="67">
        <f t="shared" si="5"/>
        <v>357881</v>
      </c>
      <c r="AK23" s="68" t="e">
        <f t="shared" si="5"/>
        <v>#REF!</v>
      </c>
      <c r="AL23" s="67">
        <f t="shared" si="5"/>
        <v>1017631</v>
      </c>
      <c r="AM23" s="68" t="e">
        <f t="shared" si="5"/>
        <v>#REF!</v>
      </c>
      <c r="AN23" s="67">
        <f t="shared" si="5"/>
        <v>1920581</v>
      </c>
      <c r="AO23" s="68" t="e">
        <f t="shared" si="5"/>
        <v>#REF!</v>
      </c>
      <c r="AP23" s="62" t="s">
        <v>12</v>
      </c>
      <c r="AQ23" s="64">
        <f t="shared" ref="AQ23:BP23" si="6">SUM(AQ8:AQ22)</f>
        <v>449</v>
      </c>
      <c r="AR23" s="64" t="e">
        <f t="shared" si="6"/>
        <v>#REF!</v>
      </c>
      <c r="AS23" s="67">
        <f t="shared" si="6"/>
        <v>4</v>
      </c>
      <c r="AT23" s="68" t="e">
        <f t="shared" si="6"/>
        <v>#REF!</v>
      </c>
      <c r="AU23" s="67">
        <f t="shared" si="6"/>
        <v>2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443</v>
      </c>
      <c r="BB23" s="68" t="e">
        <f t="shared" si="6"/>
        <v>#REF!</v>
      </c>
      <c r="BC23" s="64">
        <f t="shared" si="6"/>
        <v>35786</v>
      </c>
      <c r="BD23" s="64" t="e">
        <f t="shared" si="6"/>
        <v>#REF!</v>
      </c>
      <c r="BE23" s="67">
        <f t="shared" si="6"/>
        <v>1363</v>
      </c>
      <c r="BF23" s="68" t="e">
        <f t="shared" si="6"/>
        <v>#REF!</v>
      </c>
      <c r="BG23" s="67">
        <f t="shared" si="6"/>
        <v>35</v>
      </c>
      <c r="BH23" s="68" t="e">
        <f t="shared" si="6"/>
        <v>#REF!</v>
      </c>
      <c r="BI23" s="67">
        <f t="shared" si="6"/>
        <v>29464</v>
      </c>
      <c r="BJ23" s="68" t="e">
        <f t="shared" si="6"/>
        <v>#REF!</v>
      </c>
      <c r="BK23" s="67">
        <f t="shared" si="6"/>
        <v>4924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23</v>
      </c>
      <c r="BQ23" s="23">
        <f>BP23+'10.04'!BP23</f>
        <v>45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BU23"/>
  <sheetViews>
    <sheetView zoomScale="130" zoomScaleNormal="130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6" width="6.28515625" customWidth="1"/>
    <col min="7" max="7" width="8.57031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3</v>
      </c>
      <c r="G9" s="23" t="e">
        <f>F9+'11.04'!G9</f>
        <v>#REF!</v>
      </c>
      <c r="H9" s="33">
        <v>12</v>
      </c>
      <c r="I9" s="34">
        <v>0</v>
      </c>
      <c r="J9" s="23" t="e">
        <f>I9+'11.04'!J9</f>
        <v>#REF!</v>
      </c>
      <c r="K9" s="33">
        <v>2</v>
      </c>
      <c r="L9" s="22">
        <v>0</v>
      </c>
      <c r="M9" s="23" t="e">
        <f>L9+'11.04'!M9</f>
        <v>#REF!</v>
      </c>
      <c r="N9" s="33">
        <v>735</v>
      </c>
      <c r="O9" s="22">
        <v>0</v>
      </c>
      <c r="P9" s="23" t="e">
        <f>O9+'11.04'!P9</f>
        <v>#REF!</v>
      </c>
      <c r="Q9" s="33">
        <v>502</v>
      </c>
      <c r="R9" s="22">
        <v>0</v>
      </c>
      <c r="S9" s="23" t="e">
        <f>R9+'11.04'!S9</f>
        <v>#REF!</v>
      </c>
      <c r="T9" s="33">
        <v>197</v>
      </c>
      <c r="U9" s="22">
        <v>0</v>
      </c>
      <c r="V9" s="23" t="e">
        <f>U9+'11.04'!V9</f>
        <v>#REF!</v>
      </c>
      <c r="W9" s="33">
        <v>47</v>
      </c>
      <c r="X9" s="22">
        <v>0</v>
      </c>
      <c r="Y9" s="23" t="e">
        <f>X9+'11.04'!Y9</f>
        <v>#REF!</v>
      </c>
      <c r="Z9" s="33">
        <v>34</v>
      </c>
      <c r="AA9" s="22">
        <v>0</v>
      </c>
      <c r="AB9" s="23" t="e">
        <f>AA9+'11.04'!AB9</f>
        <v>#REF!</v>
      </c>
      <c r="AC9" s="33">
        <v>1860</v>
      </c>
      <c r="AD9" s="22">
        <v>0</v>
      </c>
      <c r="AE9" s="23" t="e">
        <f>AD9+'11.04'!AE9</f>
        <v>#REF!</v>
      </c>
      <c r="AF9" s="19">
        <f t="shared" ref="AF9:AG22" si="1">AH9+AJ9+AL9+AN9</f>
        <v>7166</v>
      </c>
      <c r="AG9" s="20" t="e">
        <f t="shared" si="1"/>
        <v>#REF!</v>
      </c>
      <c r="AH9" s="24">
        <v>68</v>
      </c>
      <c r="AI9" s="23" t="e">
        <f>AH9+'11.04'!AI9</f>
        <v>#REF!</v>
      </c>
      <c r="AJ9" s="24">
        <v>298</v>
      </c>
      <c r="AK9" s="23" t="e">
        <f>AJ9+'11.04'!AK9</f>
        <v>#REF!</v>
      </c>
      <c r="AL9" s="22">
        <v>2550</v>
      </c>
      <c r="AM9" s="23" t="e">
        <f>AL9+'11.04'!AM9</f>
        <v>#REF!</v>
      </c>
      <c r="AN9" s="22">
        <v>4250</v>
      </c>
      <c r="AO9" s="23" t="e">
        <f>AN9+'11.04'!AO9</f>
        <v>#REF!</v>
      </c>
      <c r="AP9" s="28" t="s">
        <v>43</v>
      </c>
      <c r="AQ9" s="19">
        <f t="shared" ref="AQ9:AR22" si="2">AS9+AU9+AW9+AY9+BA9</f>
        <v>57</v>
      </c>
      <c r="AR9" s="20" t="e">
        <f t="shared" si="2"/>
        <v>#REF!</v>
      </c>
      <c r="AS9" s="34">
        <v>1</v>
      </c>
      <c r="AT9" s="23" t="e">
        <f>AS9+'11.04'!AT9</f>
        <v>#REF!</v>
      </c>
      <c r="AU9" s="34">
        <v>1</v>
      </c>
      <c r="AV9" s="23" t="e">
        <f>AU9+'11.04'!AV9</f>
        <v>#REF!</v>
      </c>
      <c r="AW9" s="34">
        <v>1</v>
      </c>
      <c r="AX9" s="23" t="e">
        <f>AW9+'11.04'!AX9</f>
        <v>#REF!</v>
      </c>
      <c r="AY9" s="34">
        <v>0</v>
      </c>
      <c r="AZ9" s="23" t="e">
        <f>AY9+'11.04'!AZ9</f>
        <v>#REF!</v>
      </c>
      <c r="BA9" s="34">
        <v>54</v>
      </c>
      <c r="BB9" s="23" t="e">
        <f>BA9+'11.04'!BB9</f>
        <v>#REF!</v>
      </c>
      <c r="BC9" s="19">
        <f t="shared" ref="BC9:BD22" si="3">BE9+BG9+BI9+BK9+BM9</f>
        <v>401</v>
      </c>
      <c r="BD9" s="20" t="e">
        <f t="shared" si="3"/>
        <v>#REF!</v>
      </c>
      <c r="BE9" s="22">
        <v>1</v>
      </c>
      <c r="BF9" s="23" t="e">
        <f>BE9+'11.04'!BF9</f>
        <v>#REF!</v>
      </c>
      <c r="BG9" s="34">
        <v>0</v>
      </c>
      <c r="BH9" s="23" t="e">
        <f>BG9+'11.04'!BH9</f>
        <v>#REF!</v>
      </c>
      <c r="BI9" s="22">
        <v>400</v>
      </c>
      <c r="BJ9" s="23" t="e">
        <f>BI9+'11.04'!BJ9</f>
        <v>#REF!</v>
      </c>
      <c r="BK9" s="22">
        <v>0</v>
      </c>
      <c r="BL9" s="23" t="e">
        <f>BK9+'11.04'!BL9</f>
        <v>#REF!</v>
      </c>
      <c r="BM9" s="22">
        <v>0</v>
      </c>
      <c r="BN9" s="23" t="e">
        <f>BM9+'11.04'!BN9</f>
        <v>#REF!</v>
      </c>
      <c r="BO9" s="36">
        <v>14</v>
      </c>
      <c r="BP9" s="37">
        <v>0</v>
      </c>
      <c r="BQ9" s="23" t="e">
        <f>BP9+'11.04'!BQ9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72</v>
      </c>
      <c r="D10" s="31" t="e">
        <f t="shared" si="0"/>
        <v>#REF!</v>
      </c>
      <c r="E10" s="32">
        <v>585</v>
      </c>
      <c r="F10" s="22">
        <v>2</v>
      </c>
      <c r="G10" s="23" t="e">
        <f>F10+'11.04'!G10</f>
        <v>#REF!</v>
      </c>
      <c r="H10" s="33">
        <v>93</v>
      </c>
      <c r="I10" s="34">
        <v>0</v>
      </c>
      <c r="J10" s="23" t="e">
        <f>I10+'11.04'!J10</f>
        <v>#REF!</v>
      </c>
      <c r="K10" s="33">
        <v>34</v>
      </c>
      <c r="L10" s="22">
        <v>0</v>
      </c>
      <c r="M10" s="23" t="e">
        <f>L10+'11.04'!M10</f>
        <v>#REF!</v>
      </c>
      <c r="N10" s="33">
        <v>352</v>
      </c>
      <c r="O10" s="22">
        <v>0</v>
      </c>
      <c r="P10" s="23" t="e">
        <f>O10+'11.04'!P10</f>
        <v>#REF!</v>
      </c>
      <c r="Q10" s="33">
        <v>549</v>
      </c>
      <c r="R10" s="22">
        <v>0</v>
      </c>
      <c r="S10" s="23" t="e">
        <f>R10+'11.04'!S10</f>
        <v>#REF!</v>
      </c>
      <c r="T10" s="33">
        <v>198</v>
      </c>
      <c r="U10" s="22">
        <v>0</v>
      </c>
      <c r="V10" s="23" t="e">
        <f>U10+'11.04'!V10</f>
        <v>#REF!</v>
      </c>
      <c r="W10" s="38">
        <v>55</v>
      </c>
      <c r="X10" s="22">
        <v>13</v>
      </c>
      <c r="Y10" s="23" t="e">
        <f>X10+'11.04'!Y10</f>
        <v>#REF!</v>
      </c>
      <c r="Z10" s="38">
        <v>71</v>
      </c>
      <c r="AA10" s="22">
        <v>1</v>
      </c>
      <c r="AB10" s="23" t="e">
        <f>AA10+'11.04'!AB10</f>
        <v>#REF!</v>
      </c>
      <c r="AC10" s="38">
        <v>1690</v>
      </c>
      <c r="AD10" s="22">
        <v>56</v>
      </c>
      <c r="AE10" s="23" t="e">
        <f>AD10+'11.04'!AE10</f>
        <v>#REF!</v>
      </c>
      <c r="AF10" s="19">
        <f t="shared" si="1"/>
        <v>87159</v>
      </c>
      <c r="AG10" s="20" t="e">
        <f t="shared" si="1"/>
        <v>#REF!</v>
      </c>
      <c r="AH10" s="24">
        <v>514</v>
      </c>
      <c r="AI10" s="23" t="e">
        <f>AH10+'11.04'!AI10</f>
        <v>#REF!</v>
      </c>
      <c r="AJ10" s="24">
        <v>4246</v>
      </c>
      <c r="AK10" s="23" t="e">
        <f>AJ10+'11.04'!AK10</f>
        <v>#REF!</v>
      </c>
      <c r="AL10" s="22">
        <v>9565</v>
      </c>
      <c r="AM10" s="23" t="e">
        <f>AL10+'11.04'!AM10</f>
        <v>#REF!</v>
      </c>
      <c r="AN10" s="22">
        <v>72834</v>
      </c>
      <c r="AO10" s="23" t="e">
        <f>AN10+'11.04'!AO10</f>
        <v>#REF!</v>
      </c>
      <c r="AP10" s="28" t="s">
        <v>44</v>
      </c>
      <c r="AQ10" s="19">
        <f t="shared" si="2"/>
        <v>1</v>
      </c>
      <c r="AR10" s="20" t="e">
        <f t="shared" si="2"/>
        <v>#REF!</v>
      </c>
      <c r="AS10" s="34">
        <v>1</v>
      </c>
      <c r="AT10" s="23" t="e">
        <f>AS10+'11.04'!AT10</f>
        <v>#REF!</v>
      </c>
      <c r="AU10" s="34">
        <v>0</v>
      </c>
      <c r="AV10" s="23" t="e">
        <f>AU10+'11.04'!AV10</f>
        <v>#REF!</v>
      </c>
      <c r="AW10" s="34">
        <v>0</v>
      </c>
      <c r="AX10" s="23" t="e">
        <f>AW10+'11.04'!AX10</f>
        <v>#REF!</v>
      </c>
      <c r="AY10" s="34">
        <v>0</v>
      </c>
      <c r="AZ10" s="23" t="e">
        <f>AY10+'11.04'!AZ10</f>
        <v>#REF!</v>
      </c>
      <c r="BA10" s="34">
        <v>0</v>
      </c>
      <c r="BB10" s="23" t="e">
        <f>BA10+'11.04'!BB10</f>
        <v>#REF!</v>
      </c>
      <c r="BC10" s="19">
        <f t="shared" si="3"/>
        <v>3399</v>
      </c>
      <c r="BD10" s="20" t="e">
        <f t="shared" si="3"/>
        <v>#REF!</v>
      </c>
      <c r="BE10" s="22">
        <v>498</v>
      </c>
      <c r="BF10" s="23" t="e">
        <f>BE10+'11.04'!BF10</f>
        <v>#REF!</v>
      </c>
      <c r="BG10" s="34">
        <v>0</v>
      </c>
      <c r="BH10" s="23" t="e">
        <f>BG10+'11.04'!BH10</f>
        <v>#REF!</v>
      </c>
      <c r="BI10" s="22">
        <v>1590</v>
      </c>
      <c r="BJ10" s="23" t="e">
        <f>BI10+'11.04'!BJ10</f>
        <v>#REF!</v>
      </c>
      <c r="BK10" s="22">
        <v>1311</v>
      </c>
      <c r="BL10" s="23" t="e">
        <f>BK10+'11.04'!BL10</f>
        <v>#REF!</v>
      </c>
      <c r="BM10" s="22">
        <v>0</v>
      </c>
      <c r="BN10" s="23" t="e">
        <f>BM10+'11.04'!BN10</f>
        <v>#REF!</v>
      </c>
      <c r="BO10" s="36">
        <v>32</v>
      </c>
      <c r="BP10" s="37">
        <v>0</v>
      </c>
      <c r="BQ10" s="23" t="e">
        <f>BP10+'11.04'!BQ10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115</v>
      </c>
      <c r="D11" s="31" t="e">
        <f t="shared" si="0"/>
        <v>#REF!</v>
      </c>
      <c r="E11" s="32">
        <v>883</v>
      </c>
      <c r="F11" s="22">
        <v>56</v>
      </c>
      <c r="G11" s="23" t="e">
        <f>F11+'11.04'!G11</f>
        <v>#REF!</v>
      </c>
      <c r="H11" s="33">
        <v>16</v>
      </c>
      <c r="I11" s="34">
        <v>0</v>
      </c>
      <c r="J11" s="23" t="e">
        <f>I11+'11.04'!J11</f>
        <v>#REF!</v>
      </c>
      <c r="K11" s="33">
        <v>3</v>
      </c>
      <c r="L11" s="22">
        <v>0</v>
      </c>
      <c r="M11" s="23" t="e">
        <f>L11+'11.04'!M11</f>
        <v>#REF!</v>
      </c>
      <c r="N11" s="33">
        <v>875</v>
      </c>
      <c r="O11" s="22">
        <v>0</v>
      </c>
      <c r="P11" s="23" t="e">
        <f>O11+'11.04'!P11</f>
        <v>#REF!</v>
      </c>
      <c r="Q11" s="33">
        <v>2424</v>
      </c>
      <c r="R11" s="22">
        <v>0</v>
      </c>
      <c r="S11" s="23" t="e">
        <f>R11+'11.04'!S11</f>
        <v>#REF!</v>
      </c>
      <c r="T11" s="33">
        <v>69</v>
      </c>
      <c r="U11" s="22">
        <v>0</v>
      </c>
      <c r="V11" s="23" t="e">
        <f>U11+'11.04'!V11</f>
        <v>#REF!</v>
      </c>
      <c r="W11" s="38">
        <v>133</v>
      </c>
      <c r="X11" s="22">
        <v>54</v>
      </c>
      <c r="Y11" s="23" t="e">
        <f>X11+'11.04'!Y11</f>
        <v>#REF!</v>
      </c>
      <c r="Z11" s="38">
        <v>1116</v>
      </c>
      <c r="AA11" s="22">
        <v>0</v>
      </c>
      <c r="AB11" s="23" t="e">
        <f>AA11+'11.04'!AB11</f>
        <v>#REF!</v>
      </c>
      <c r="AC11" s="38">
        <v>9862</v>
      </c>
      <c r="AD11" s="22">
        <v>5</v>
      </c>
      <c r="AE11" s="23" t="e">
        <f>AD11+'11.04'!AE11</f>
        <v>#REF!</v>
      </c>
      <c r="AF11" s="19">
        <f t="shared" si="1"/>
        <v>160300</v>
      </c>
      <c r="AG11" s="20" t="e">
        <f t="shared" si="1"/>
        <v>#REF!</v>
      </c>
      <c r="AH11" s="24">
        <v>5300</v>
      </c>
      <c r="AI11" s="23" t="e">
        <f>AH11+'11.04'!AI11</f>
        <v>#REF!</v>
      </c>
      <c r="AJ11" s="24">
        <v>9000</v>
      </c>
      <c r="AK11" s="23" t="e">
        <f>AJ11+'11.04'!AK11</f>
        <v>#REF!</v>
      </c>
      <c r="AL11" s="22">
        <v>43000</v>
      </c>
      <c r="AM11" s="23" t="e">
        <f>AL11+'11.04'!AM11</f>
        <v>#REF!</v>
      </c>
      <c r="AN11" s="22">
        <v>103000</v>
      </c>
      <c r="AO11" s="23" t="e">
        <f>AN11+'11.04'!AO11</f>
        <v>#REF!</v>
      </c>
      <c r="AP11" s="28" t="s">
        <v>45</v>
      </c>
      <c r="AQ11" s="19">
        <f t="shared" si="2"/>
        <v>13</v>
      </c>
      <c r="AR11" s="20" t="e">
        <f t="shared" si="2"/>
        <v>#REF!</v>
      </c>
      <c r="AS11" s="34">
        <v>0</v>
      </c>
      <c r="AT11" s="23" t="e">
        <f>AS11+'11.04'!AT11</f>
        <v>#REF!</v>
      </c>
      <c r="AU11" s="34">
        <v>0</v>
      </c>
      <c r="AV11" s="23" t="e">
        <f>AU11+'11.04'!AV11</f>
        <v>#REF!</v>
      </c>
      <c r="AW11" s="34">
        <v>0</v>
      </c>
      <c r="AX11" s="23" t="e">
        <f>AW11+'11.04'!AX11</f>
        <v>#REF!</v>
      </c>
      <c r="AY11" s="34">
        <v>0</v>
      </c>
      <c r="AZ11" s="23" t="e">
        <f>AY11+'11.04'!AZ11</f>
        <v>#REF!</v>
      </c>
      <c r="BA11" s="34">
        <v>13</v>
      </c>
      <c r="BB11" s="23" t="e">
        <f>BA11+'11.04'!BB11</f>
        <v>#REF!</v>
      </c>
      <c r="BC11" s="19">
        <f t="shared" si="3"/>
        <v>4636</v>
      </c>
      <c r="BD11" s="20" t="e">
        <f t="shared" si="3"/>
        <v>#REF!</v>
      </c>
      <c r="BE11" s="22">
        <v>9</v>
      </c>
      <c r="BF11" s="23" t="e">
        <f>BE11+'11.04'!BF11</f>
        <v>#REF!</v>
      </c>
      <c r="BG11" s="34">
        <v>4</v>
      </c>
      <c r="BH11" s="23" t="e">
        <f>BG11+'11.04'!BH11</f>
        <v>#REF!</v>
      </c>
      <c r="BI11" s="22">
        <v>4500</v>
      </c>
      <c r="BJ11" s="23" t="e">
        <f>BI11+'11.04'!BJ11</f>
        <v>#REF!</v>
      </c>
      <c r="BK11" s="22">
        <v>123</v>
      </c>
      <c r="BL11" s="23" t="e">
        <f>BK11+'11.04'!BL11</f>
        <v>#REF!</v>
      </c>
      <c r="BM11" s="22">
        <v>0</v>
      </c>
      <c r="BN11" s="23" t="e">
        <f>BM11+'11.04'!BN11</f>
        <v>#REF!</v>
      </c>
      <c r="BO11" s="36">
        <v>11506</v>
      </c>
      <c r="BP11" s="37">
        <v>6</v>
      </c>
      <c r="BQ11" s="23" t="e">
        <f>BP11+'11.04'!BQ11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218</v>
      </c>
      <c r="D12" s="31" t="e">
        <f t="shared" si="0"/>
        <v>#REF!</v>
      </c>
      <c r="E12" s="32">
        <v>909</v>
      </c>
      <c r="F12" s="22">
        <v>43</v>
      </c>
      <c r="G12" s="23" t="e">
        <f>F12+'11.04'!G12</f>
        <v>#REF!</v>
      </c>
      <c r="H12" s="33">
        <v>80</v>
      </c>
      <c r="I12" s="34">
        <v>5</v>
      </c>
      <c r="J12" s="23" t="e">
        <f>I12+'11.04'!J12</f>
        <v>#REF!</v>
      </c>
      <c r="K12" s="33">
        <v>5</v>
      </c>
      <c r="L12" s="22">
        <v>0</v>
      </c>
      <c r="M12" s="23" t="e">
        <f>L12+'11.04'!M12</f>
        <v>#REF!</v>
      </c>
      <c r="N12" s="33">
        <v>820</v>
      </c>
      <c r="O12" s="22">
        <v>35</v>
      </c>
      <c r="P12" s="23" t="e">
        <f>O12+'11.04'!P12</f>
        <v>#REF!</v>
      </c>
      <c r="Q12" s="33">
        <v>549</v>
      </c>
      <c r="R12" s="22">
        <v>0</v>
      </c>
      <c r="S12" s="23" t="e">
        <f>R12+'11.04'!S12</f>
        <v>#REF!</v>
      </c>
      <c r="T12" s="33">
        <v>992</v>
      </c>
      <c r="U12" s="22">
        <v>0</v>
      </c>
      <c r="V12" s="23" t="e">
        <f>U12+'11.04'!V12</f>
        <v>#REF!</v>
      </c>
      <c r="W12" s="33">
        <v>38</v>
      </c>
      <c r="X12" s="22">
        <v>111</v>
      </c>
      <c r="Y12" s="23" t="e">
        <f>X12+'11.04'!Y12</f>
        <v>#REF!</v>
      </c>
      <c r="Z12" s="33">
        <v>68</v>
      </c>
      <c r="AA12" s="22">
        <v>0</v>
      </c>
      <c r="AB12" s="23" t="e">
        <f>AA12+'11.04'!AB12</f>
        <v>#REF!</v>
      </c>
      <c r="AC12" s="33">
        <v>26703</v>
      </c>
      <c r="AD12" s="22">
        <v>24</v>
      </c>
      <c r="AE12" s="23" t="e">
        <f>AD12+'11.04'!AE12</f>
        <v>#REF!</v>
      </c>
      <c r="AF12" s="19">
        <f t="shared" si="1"/>
        <v>31710</v>
      </c>
      <c r="AG12" s="20" t="e">
        <f t="shared" si="1"/>
        <v>#REF!</v>
      </c>
      <c r="AH12" s="24">
        <v>5950</v>
      </c>
      <c r="AI12" s="23" t="e">
        <f>AH12+'11.04'!AI12</f>
        <v>#REF!</v>
      </c>
      <c r="AJ12" s="24">
        <v>10160</v>
      </c>
      <c r="AK12" s="23" t="e">
        <f>AJ12+'11.04'!AK12</f>
        <v>#REF!</v>
      </c>
      <c r="AL12" s="22">
        <v>7800</v>
      </c>
      <c r="AM12" s="23" t="e">
        <f>AL12+'11.04'!AM12</f>
        <v>#REF!</v>
      </c>
      <c r="AN12" s="22">
        <v>7800</v>
      </c>
      <c r="AO12" s="23" t="e">
        <f>AN12+'11.04'!AO12</f>
        <v>#REF!</v>
      </c>
      <c r="AP12" s="28" t="s">
        <v>46</v>
      </c>
      <c r="AQ12" s="19">
        <f t="shared" si="2"/>
        <v>71</v>
      </c>
      <c r="AR12" s="20" t="e">
        <f t="shared" si="2"/>
        <v>#REF!</v>
      </c>
      <c r="AS12" s="34">
        <v>0</v>
      </c>
      <c r="AT12" s="23" t="e">
        <f>AS12+'11.04'!AT12</f>
        <v>#REF!</v>
      </c>
      <c r="AU12" s="34">
        <v>0</v>
      </c>
      <c r="AV12" s="23" t="e">
        <f>AU12+'11.04'!AV12</f>
        <v>#REF!</v>
      </c>
      <c r="AW12" s="34">
        <v>0</v>
      </c>
      <c r="AX12" s="23" t="e">
        <f>AW12+'11.04'!AX12</f>
        <v>#REF!</v>
      </c>
      <c r="AY12" s="34">
        <v>0</v>
      </c>
      <c r="AZ12" s="23" t="e">
        <f>AY12+'11.04'!AZ12</f>
        <v>#REF!</v>
      </c>
      <c r="BA12" s="34">
        <v>71</v>
      </c>
      <c r="BB12" s="23" t="e">
        <f>BA12+'11.04'!BB12</f>
        <v>#REF!</v>
      </c>
      <c r="BC12" s="19">
        <f t="shared" si="3"/>
        <v>2475</v>
      </c>
      <c r="BD12" s="20" t="e">
        <f t="shared" si="3"/>
        <v>#REF!</v>
      </c>
      <c r="BE12" s="22">
        <v>265</v>
      </c>
      <c r="BF12" s="23" t="e">
        <f>BE12+'11.04'!BF12</f>
        <v>#REF!</v>
      </c>
      <c r="BG12" s="34">
        <v>10</v>
      </c>
      <c r="BH12" s="23" t="e">
        <f>BG12+'11.04'!BH12</f>
        <v>#REF!</v>
      </c>
      <c r="BI12" s="22">
        <v>2000</v>
      </c>
      <c r="BJ12" s="23" t="e">
        <f>BI12+'11.04'!BJ12</f>
        <v>#REF!</v>
      </c>
      <c r="BK12" s="22">
        <v>200</v>
      </c>
      <c r="BL12" s="23" t="e">
        <f>BK12+'11.04'!BL12</f>
        <v>#REF!</v>
      </c>
      <c r="BM12" s="22">
        <v>0</v>
      </c>
      <c r="BN12" s="23" t="e">
        <f>BM12+'11.04'!BN12</f>
        <v>#REF!</v>
      </c>
      <c r="BO12" s="36"/>
      <c r="BP12" s="37">
        <v>2</v>
      </c>
      <c r="BQ12" s="23" t="e">
        <f>BP12+'11.04'!BQ12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 t="e">
        <f t="shared" si="0"/>
        <v>#REF!</v>
      </c>
      <c r="E13" s="32">
        <v>516</v>
      </c>
      <c r="F13" s="22">
        <v>0</v>
      </c>
      <c r="G13" s="23" t="e">
        <f>F13+'11.04'!G13</f>
        <v>#REF!</v>
      </c>
      <c r="H13" s="33">
        <v>10</v>
      </c>
      <c r="I13" s="34">
        <v>0</v>
      </c>
      <c r="J13" s="23" t="e">
        <f>I13+'11.04'!J13</f>
        <v>#REF!</v>
      </c>
      <c r="K13" s="33">
        <v>38</v>
      </c>
      <c r="L13" s="22">
        <v>0</v>
      </c>
      <c r="M13" s="23" t="e">
        <f>L13+'11.04'!M13</f>
        <v>#REF!</v>
      </c>
      <c r="N13" s="33">
        <v>581</v>
      </c>
      <c r="O13" s="22">
        <v>0</v>
      </c>
      <c r="P13" s="23" t="e">
        <f>O13+'11.04'!P13</f>
        <v>#REF!</v>
      </c>
      <c r="Q13" s="33">
        <v>525</v>
      </c>
      <c r="R13" s="22">
        <v>0</v>
      </c>
      <c r="S13" s="23" t="e">
        <f>R13+'11.04'!S13</f>
        <v>#REF!</v>
      </c>
      <c r="T13" s="33">
        <v>263</v>
      </c>
      <c r="U13" s="22">
        <v>0</v>
      </c>
      <c r="V13" s="23" t="e">
        <f>U13+'11.04'!V13</f>
        <v>#REF!</v>
      </c>
      <c r="W13" s="33">
        <v>43</v>
      </c>
      <c r="X13" s="22">
        <v>0</v>
      </c>
      <c r="Y13" s="23" t="e">
        <f>X13+'11.04'!Y13</f>
        <v>#REF!</v>
      </c>
      <c r="Z13" s="33">
        <v>17</v>
      </c>
      <c r="AA13" s="22">
        <v>0</v>
      </c>
      <c r="AB13" s="23" t="e">
        <f>AA13+'11.04'!AB13</f>
        <v>#REF!</v>
      </c>
      <c r="AC13" s="33">
        <v>51</v>
      </c>
      <c r="AD13" s="22">
        <v>2</v>
      </c>
      <c r="AE13" s="23" t="e">
        <f>AD13+'11.04'!AE13</f>
        <v>#REF!</v>
      </c>
      <c r="AF13" s="19">
        <f t="shared" si="1"/>
        <v>290000</v>
      </c>
      <c r="AG13" s="20" t="e">
        <f t="shared" si="1"/>
        <v>#REF!</v>
      </c>
      <c r="AH13" s="24">
        <v>1000</v>
      </c>
      <c r="AI13" s="23" t="e">
        <f>AH13+'11.04'!AI13</f>
        <v>#REF!</v>
      </c>
      <c r="AJ13" s="24">
        <v>9000</v>
      </c>
      <c r="AK13" s="23" t="e">
        <f>AJ13+'11.04'!AK13</f>
        <v>#REF!</v>
      </c>
      <c r="AL13" s="22">
        <v>30000</v>
      </c>
      <c r="AM13" s="23" t="e">
        <f>AL13+'11.04'!AM13</f>
        <v>#REF!</v>
      </c>
      <c r="AN13" s="22">
        <v>250000</v>
      </c>
      <c r="AO13" s="23" t="e">
        <f>AN13+'11.04'!AO13</f>
        <v>#REF!</v>
      </c>
      <c r="AP13" s="28" t="s">
        <v>47</v>
      </c>
      <c r="AQ13" s="19">
        <f t="shared" si="2"/>
        <v>10</v>
      </c>
      <c r="AR13" s="20" t="e">
        <f t="shared" si="2"/>
        <v>#REF!</v>
      </c>
      <c r="AS13" s="34">
        <v>0</v>
      </c>
      <c r="AT13" s="23" t="e">
        <f>AS13+'11.04'!AT13</f>
        <v>#REF!</v>
      </c>
      <c r="AU13" s="34">
        <v>0</v>
      </c>
      <c r="AV13" s="23" t="e">
        <f>AU13+'11.04'!AV13</f>
        <v>#REF!</v>
      </c>
      <c r="AW13" s="34">
        <v>0</v>
      </c>
      <c r="AX13" s="23" t="e">
        <f>AW13+'11.04'!AX13</f>
        <v>#REF!</v>
      </c>
      <c r="AY13" s="34">
        <v>0</v>
      </c>
      <c r="AZ13" s="23" t="e">
        <f>AY13+'11.04'!AZ13</f>
        <v>#REF!</v>
      </c>
      <c r="BA13" s="34">
        <v>10</v>
      </c>
      <c r="BB13" s="23" t="e">
        <f>BA13+'11.04'!BB13</f>
        <v>#REF!</v>
      </c>
      <c r="BC13" s="19">
        <f t="shared" si="3"/>
        <v>6576</v>
      </c>
      <c r="BD13" s="20" t="e">
        <f t="shared" si="3"/>
        <v>#REF!</v>
      </c>
      <c r="BE13" s="22">
        <v>516</v>
      </c>
      <c r="BF13" s="23" t="e">
        <f>BE13+'11.04'!BF13</f>
        <v>#REF!</v>
      </c>
      <c r="BG13" s="34">
        <v>10</v>
      </c>
      <c r="BH13" s="23" t="e">
        <f>BG13+'11.04'!BH13</f>
        <v>#REF!</v>
      </c>
      <c r="BI13" s="22">
        <v>6000</v>
      </c>
      <c r="BJ13" s="23" t="e">
        <f>BI13+'11.04'!BJ13</f>
        <v>#REF!</v>
      </c>
      <c r="BK13" s="22">
        <v>50</v>
      </c>
      <c r="BL13" s="23" t="e">
        <f>BK13+'11.04'!BL13</f>
        <v>#REF!</v>
      </c>
      <c r="BM13" s="22">
        <v>0</v>
      </c>
      <c r="BN13" s="23" t="e">
        <f>BM13+'11.04'!BN13</f>
        <v>#REF!</v>
      </c>
      <c r="BO13" s="36"/>
      <c r="BP13" s="37">
        <v>0</v>
      </c>
      <c r="BQ13" s="23" t="e">
        <f>BP13+'11.04'!BQ13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F14+'11.04'!G14</f>
        <v>#REF!</v>
      </c>
      <c r="H14" s="44">
        <v>5</v>
      </c>
      <c r="I14" s="45"/>
      <c r="J14" s="23" t="e">
        <f>I14+'11.04'!J14</f>
        <v>#REF!</v>
      </c>
      <c r="K14" s="44">
        <v>34</v>
      </c>
      <c r="L14" s="22"/>
      <c r="M14" s="23" t="e">
        <f>L14+'11.04'!M14</f>
        <v>#REF!</v>
      </c>
      <c r="N14" s="44">
        <v>583</v>
      </c>
      <c r="O14" s="22"/>
      <c r="P14" s="23" t="e">
        <f>O14+'11.04'!P14</f>
        <v>#REF!</v>
      </c>
      <c r="Q14" s="44">
        <v>254</v>
      </c>
      <c r="R14" s="22"/>
      <c r="S14" s="23" t="e">
        <f>R14+'11.04'!S14</f>
        <v>#REF!</v>
      </c>
      <c r="T14" s="44">
        <v>196</v>
      </c>
      <c r="U14" s="22"/>
      <c r="V14" s="23" t="e">
        <f>U14+'11.04'!V14</f>
        <v>#REF!</v>
      </c>
      <c r="W14" s="44">
        <v>30</v>
      </c>
      <c r="X14" s="22"/>
      <c r="Y14" s="23" t="e">
        <f>X14+'11.04'!Y14</f>
        <v>#REF!</v>
      </c>
      <c r="Z14" s="44">
        <v>10</v>
      </c>
      <c r="AA14" s="22"/>
      <c r="AB14" s="23" t="e">
        <f>AA14+'11.04'!AB14</f>
        <v>#REF!</v>
      </c>
      <c r="AC14" s="44">
        <v>2500</v>
      </c>
      <c r="AD14" s="22"/>
      <c r="AE14" s="23" t="e">
        <f>AD14+'11.04'!AE14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AH14+'11.04'!AI14</f>
        <v>#REF!</v>
      </c>
      <c r="AJ14" s="24"/>
      <c r="AK14" s="23" t="e">
        <f>AJ14+'11.04'!AK14</f>
        <v>#REF!</v>
      </c>
      <c r="AL14" s="22"/>
      <c r="AM14" s="23" t="e">
        <f>AL14+'11.04'!AM14</f>
        <v>#REF!</v>
      </c>
      <c r="AN14" s="22"/>
      <c r="AO14" s="23" t="e">
        <f>AN14+'11.04'!AO14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AS14+'11.04'!AT14</f>
        <v>#REF!</v>
      </c>
      <c r="AU14" s="45"/>
      <c r="AV14" s="23" t="e">
        <f>AU14+'11.04'!AV14</f>
        <v>#REF!</v>
      </c>
      <c r="AW14" s="45"/>
      <c r="AX14" s="23" t="e">
        <f>AW14+'11.04'!AX14</f>
        <v>#REF!</v>
      </c>
      <c r="AY14" s="45"/>
      <c r="AZ14" s="23" t="e">
        <f>AY14+'11.04'!AZ14</f>
        <v>#REF!</v>
      </c>
      <c r="BA14" s="45"/>
      <c r="BB14" s="23" t="e">
        <f>BA14+'11.04'!BB14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BE14+'11.04'!BF14</f>
        <v>#REF!</v>
      </c>
      <c r="BG14" s="45"/>
      <c r="BH14" s="23" t="e">
        <f>BG14+'11.04'!BH14</f>
        <v>#REF!</v>
      </c>
      <c r="BI14" s="22"/>
      <c r="BJ14" s="23" t="e">
        <f>BI14+'11.04'!BJ14</f>
        <v>#REF!</v>
      </c>
      <c r="BK14" s="22"/>
      <c r="BL14" s="23" t="e">
        <f>BK14+'11.04'!BL14</f>
        <v>#REF!</v>
      </c>
      <c r="BM14" s="22"/>
      <c r="BN14" s="23" t="e">
        <f>BM14+'11.04'!BN14</f>
        <v>#REF!</v>
      </c>
      <c r="BO14" s="48">
        <v>2</v>
      </c>
      <c r="BP14" s="49"/>
      <c r="BQ14" s="23" t="e">
        <f>BP14+'11.04'!BQ14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339</v>
      </c>
      <c r="D15" s="53" t="e">
        <f t="shared" si="0"/>
        <v>#REF!</v>
      </c>
      <c r="E15" s="54">
        <v>776</v>
      </c>
      <c r="F15" s="55">
        <v>228</v>
      </c>
      <c r="G15" s="23" t="e">
        <f>F15+'11.04'!G15</f>
        <v>#REF!</v>
      </c>
      <c r="H15" s="56">
        <v>9</v>
      </c>
      <c r="I15" s="57">
        <v>0</v>
      </c>
      <c r="J15" s="23" t="e">
        <f>I15+'11.04'!J15</f>
        <v>#REF!</v>
      </c>
      <c r="K15" s="56">
        <v>6</v>
      </c>
      <c r="L15" s="55">
        <v>0</v>
      </c>
      <c r="M15" s="23" t="e">
        <f>L15+'11.04'!M15</f>
        <v>#REF!</v>
      </c>
      <c r="N15" s="56">
        <v>1305</v>
      </c>
      <c r="O15" s="55">
        <v>0</v>
      </c>
      <c r="P15" s="23" t="e">
        <f>O15+'11.04'!P15</f>
        <v>#REF!</v>
      </c>
      <c r="Q15" s="56">
        <v>447</v>
      </c>
      <c r="R15" s="55">
        <v>0</v>
      </c>
      <c r="S15" s="23" t="e">
        <f>R15+'11.04'!S15</f>
        <v>#REF!</v>
      </c>
      <c r="T15" s="56">
        <v>337</v>
      </c>
      <c r="U15" s="55">
        <v>0</v>
      </c>
      <c r="V15" s="23" t="e">
        <f>U15+'11.04'!V15</f>
        <v>#REF!</v>
      </c>
      <c r="W15" s="56">
        <v>78</v>
      </c>
      <c r="X15" s="55">
        <v>97</v>
      </c>
      <c r="Y15" s="23" t="e">
        <f>X15+'11.04'!Y15</f>
        <v>#REF!</v>
      </c>
      <c r="Z15" s="56">
        <v>141</v>
      </c>
      <c r="AA15" s="55">
        <v>0</v>
      </c>
      <c r="AB15" s="23" t="e">
        <f>AA15+'11.04'!AB15</f>
        <v>#REF!</v>
      </c>
      <c r="AC15" s="56">
        <v>798</v>
      </c>
      <c r="AD15" s="55">
        <v>14</v>
      </c>
      <c r="AE15" s="23" t="e">
        <f>AD15+'11.04'!AE15</f>
        <v>#REF!</v>
      </c>
      <c r="AF15" s="58">
        <f t="shared" si="1"/>
        <v>1117816</v>
      </c>
      <c r="AG15" s="59" t="e">
        <f t="shared" si="1"/>
        <v>#REF!</v>
      </c>
      <c r="AH15" s="60">
        <v>324</v>
      </c>
      <c r="AI15" s="23" t="e">
        <f>AH15+'11.04'!AI15</f>
        <v>#REF!</v>
      </c>
      <c r="AJ15" s="60">
        <v>3014</v>
      </c>
      <c r="AK15" s="23" t="e">
        <f>AJ15+'11.04'!AK15</f>
        <v>#REF!</v>
      </c>
      <c r="AL15" s="55">
        <v>557239</v>
      </c>
      <c r="AM15" s="23" t="e">
        <f>AL15+'11.04'!AM15</f>
        <v>#REF!</v>
      </c>
      <c r="AN15" s="55">
        <v>557239</v>
      </c>
      <c r="AO15" s="23" t="e">
        <f>AN15+'11.04'!AO15</f>
        <v>#REF!</v>
      </c>
      <c r="AP15" s="50" t="s">
        <v>49</v>
      </c>
      <c r="AQ15" s="58">
        <f t="shared" si="2"/>
        <v>3</v>
      </c>
      <c r="AR15" s="59" t="e">
        <f t="shared" si="2"/>
        <v>#REF!</v>
      </c>
      <c r="AS15" s="57">
        <v>0</v>
      </c>
      <c r="AT15" s="23" t="e">
        <f>AS15+'11.04'!AT15</f>
        <v>#REF!</v>
      </c>
      <c r="AU15" s="57">
        <v>0</v>
      </c>
      <c r="AV15" s="23" t="e">
        <f>AU15+'11.04'!AV15</f>
        <v>#REF!</v>
      </c>
      <c r="AW15" s="57">
        <v>0</v>
      </c>
      <c r="AX15" s="23" t="e">
        <f>AW15+'11.04'!AX15</f>
        <v>#REF!</v>
      </c>
      <c r="AY15" s="57">
        <v>0</v>
      </c>
      <c r="AZ15" s="23" t="e">
        <f>AY15+'11.04'!AZ15</f>
        <v>#REF!</v>
      </c>
      <c r="BA15" s="57">
        <v>3</v>
      </c>
      <c r="BB15" s="23" t="e">
        <f>BA15+'11.04'!BB15</f>
        <v>#REF!</v>
      </c>
      <c r="BC15" s="58">
        <f t="shared" si="3"/>
        <v>1472</v>
      </c>
      <c r="BD15" s="59" t="e">
        <f t="shared" si="3"/>
        <v>#REF!</v>
      </c>
      <c r="BE15" s="55">
        <v>70</v>
      </c>
      <c r="BF15" s="23" t="e">
        <f>BE15+'11.04'!BF15</f>
        <v>#REF!</v>
      </c>
      <c r="BG15" s="57">
        <v>2</v>
      </c>
      <c r="BH15" s="23" t="e">
        <f>BG15+'11.04'!BH15</f>
        <v>#REF!</v>
      </c>
      <c r="BI15" s="55">
        <v>700</v>
      </c>
      <c r="BJ15" s="23" t="e">
        <f>BI15+'11.04'!BJ15</f>
        <v>#REF!</v>
      </c>
      <c r="BK15" s="55">
        <v>700</v>
      </c>
      <c r="BL15" s="23" t="e">
        <f>BK15+'11.04'!BL15</f>
        <v>#REF!</v>
      </c>
      <c r="BM15" s="55">
        <v>0</v>
      </c>
      <c r="BN15" s="23" t="e">
        <f>BM15+'11.04'!BN15</f>
        <v>#REF!</v>
      </c>
      <c r="BO15" s="36">
        <v>6274</v>
      </c>
      <c r="BP15" s="37">
        <v>2</v>
      </c>
      <c r="BQ15" s="23" t="e">
        <f>BP15+'11.04'!BQ15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112</v>
      </c>
      <c r="D16" s="31" t="e">
        <f t="shared" si="0"/>
        <v>#REF!</v>
      </c>
      <c r="E16" s="32">
        <v>310</v>
      </c>
      <c r="F16" s="22">
        <v>32</v>
      </c>
      <c r="G16" s="23" t="e">
        <f>F16+'11.04'!G16</f>
        <v>#REF!</v>
      </c>
      <c r="H16" s="33">
        <v>5</v>
      </c>
      <c r="I16" s="34">
        <v>0</v>
      </c>
      <c r="J16" s="23" t="e">
        <f>I16+'11.04'!J16</f>
        <v>#REF!</v>
      </c>
      <c r="K16" s="33">
        <v>3</v>
      </c>
      <c r="L16" s="22">
        <v>0</v>
      </c>
      <c r="M16" s="23" t="e">
        <f>L16+'11.04'!M16</f>
        <v>#REF!</v>
      </c>
      <c r="N16" s="33">
        <v>384</v>
      </c>
      <c r="O16" s="22">
        <v>0</v>
      </c>
      <c r="P16" s="23" t="e">
        <f>O16+'11.04'!P16</f>
        <v>#REF!</v>
      </c>
      <c r="Q16" s="33">
        <v>245</v>
      </c>
      <c r="R16" s="22">
        <v>0</v>
      </c>
      <c r="S16" s="23" t="e">
        <f>R16+'11.04'!S16</f>
        <v>#REF!</v>
      </c>
      <c r="T16" s="33">
        <v>397</v>
      </c>
      <c r="U16" s="22">
        <v>0</v>
      </c>
      <c r="V16" s="23" t="e">
        <f>U16+'11.04'!V16</f>
        <v>#REF!</v>
      </c>
      <c r="W16" s="33">
        <v>24</v>
      </c>
      <c r="X16" s="22">
        <v>47</v>
      </c>
      <c r="Y16" s="23" t="e">
        <f>X16+'11.04'!Y16</f>
        <v>#REF!</v>
      </c>
      <c r="Z16" s="33">
        <v>18</v>
      </c>
      <c r="AA16" s="22">
        <v>0</v>
      </c>
      <c r="AB16" s="23" t="e">
        <f>AA16+'11.04'!AB16</f>
        <v>#REF!</v>
      </c>
      <c r="AC16" s="33">
        <v>18515</v>
      </c>
      <c r="AD16" s="22">
        <v>33</v>
      </c>
      <c r="AE16" s="23" t="e">
        <f>AD16+'11.04'!AE16</f>
        <v>#REF!</v>
      </c>
      <c r="AF16" s="19">
        <f t="shared" si="1"/>
        <v>76730</v>
      </c>
      <c r="AG16" s="20" t="e">
        <f t="shared" si="1"/>
        <v>#REF!</v>
      </c>
      <c r="AH16" s="24">
        <v>210</v>
      </c>
      <c r="AI16" s="23" t="e">
        <f>AH16+'11.04'!AI16</f>
        <v>#REF!</v>
      </c>
      <c r="AJ16" s="24">
        <v>1340</v>
      </c>
      <c r="AK16" s="23" t="e">
        <f>AJ16+'11.04'!AK16</f>
        <v>#REF!</v>
      </c>
      <c r="AL16" s="22">
        <v>1320</v>
      </c>
      <c r="AM16" s="23" t="e">
        <f>AL16+'11.04'!AM16</f>
        <v>#REF!</v>
      </c>
      <c r="AN16" s="22">
        <v>73860</v>
      </c>
      <c r="AO16" s="23" t="e">
        <f>AN16+'11.04'!AO16</f>
        <v>#REF!</v>
      </c>
      <c r="AP16" s="28" t="s">
        <v>51</v>
      </c>
      <c r="AQ16" s="19">
        <f t="shared" si="2"/>
        <v>48</v>
      </c>
      <c r="AR16" s="20" t="e">
        <f t="shared" si="2"/>
        <v>#REF!</v>
      </c>
      <c r="AS16" s="34">
        <v>0</v>
      </c>
      <c r="AT16" s="23" t="e">
        <f>AS16+'11.04'!AT16</f>
        <v>#REF!</v>
      </c>
      <c r="AU16" s="34">
        <v>0</v>
      </c>
      <c r="AV16" s="23" t="e">
        <f>AU16+'11.04'!AV16</f>
        <v>#REF!</v>
      </c>
      <c r="AW16" s="34">
        <v>0</v>
      </c>
      <c r="AX16" s="23" t="e">
        <f>AW16+'11.04'!AX16</f>
        <v>#REF!</v>
      </c>
      <c r="AY16" s="34">
        <v>0</v>
      </c>
      <c r="AZ16" s="23" t="e">
        <f>AY16+'11.04'!AZ16</f>
        <v>#REF!</v>
      </c>
      <c r="BA16" s="34">
        <v>48</v>
      </c>
      <c r="BB16" s="23" t="e">
        <f>BA16+'11.04'!BB16</f>
        <v>#REF!</v>
      </c>
      <c r="BC16" s="19">
        <f t="shared" si="3"/>
        <v>1591</v>
      </c>
      <c r="BD16" s="20" t="e">
        <f t="shared" si="3"/>
        <v>#REF!</v>
      </c>
      <c r="BE16" s="22">
        <v>41</v>
      </c>
      <c r="BF16" s="23" t="e">
        <f>BE16+'11.04'!BF16</f>
        <v>#REF!</v>
      </c>
      <c r="BG16" s="34">
        <v>0</v>
      </c>
      <c r="BH16" s="23" t="e">
        <f>BG16+'11.04'!BH16</f>
        <v>#REF!</v>
      </c>
      <c r="BI16" s="22">
        <v>1450</v>
      </c>
      <c r="BJ16" s="23" t="e">
        <f>BI16+'11.04'!BJ16</f>
        <v>#REF!</v>
      </c>
      <c r="BK16" s="22">
        <v>100</v>
      </c>
      <c r="BL16" s="23" t="e">
        <f>BK16+'11.04'!BL16</f>
        <v>#REF!</v>
      </c>
      <c r="BM16" s="22">
        <v>0</v>
      </c>
      <c r="BN16" s="23" t="e">
        <f>BM16+'11.04'!BN16</f>
        <v>#REF!</v>
      </c>
      <c r="BO16" s="36">
        <v>2546</v>
      </c>
      <c r="BP16" s="37">
        <v>0</v>
      </c>
      <c r="BQ16" s="23" t="e">
        <f>BP16+'11.04'!BQ16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0</v>
      </c>
      <c r="D17" s="31" t="e">
        <f t="shared" si="0"/>
        <v>#REF!</v>
      </c>
      <c r="E17" s="32">
        <v>754</v>
      </c>
      <c r="F17" s="22"/>
      <c r="G17" s="23" t="e">
        <f>F17+'11.04'!G17</f>
        <v>#REF!</v>
      </c>
      <c r="H17" s="33">
        <v>9</v>
      </c>
      <c r="I17" s="34"/>
      <c r="J17" s="23" t="e">
        <f>I17+'11.04'!J17</f>
        <v>#REF!</v>
      </c>
      <c r="K17" s="33">
        <v>5</v>
      </c>
      <c r="L17" s="22"/>
      <c r="M17" s="23" t="e">
        <f>L17+'11.04'!M17</f>
        <v>#REF!</v>
      </c>
      <c r="N17" s="33">
        <v>768</v>
      </c>
      <c r="O17" s="22"/>
      <c r="P17" s="23" t="e">
        <f>O17+'11.04'!P17</f>
        <v>#REF!</v>
      </c>
      <c r="Q17" s="33">
        <v>624</v>
      </c>
      <c r="R17" s="22"/>
      <c r="S17" s="23" t="e">
        <f>R17+'11.04'!S17</f>
        <v>#REF!</v>
      </c>
      <c r="T17" s="33">
        <v>742</v>
      </c>
      <c r="U17" s="22"/>
      <c r="V17" s="23" t="e">
        <f>U17+'11.04'!V17</f>
        <v>#REF!</v>
      </c>
      <c r="W17" s="33">
        <v>54</v>
      </c>
      <c r="X17" s="22"/>
      <c r="Y17" s="23" t="e">
        <f>X17+'11.04'!Y17</f>
        <v>#REF!</v>
      </c>
      <c r="Z17" s="33">
        <v>66</v>
      </c>
      <c r="AA17" s="22"/>
      <c r="AB17" s="23" t="e">
        <f>AA17+'11.04'!AB17</f>
        <v>#REF!</v>
      </c>
      <c r="AC17" s="33">
        <v>2580</v>
      </c>
      <c r="AD17" s="22"/>
      <c r="AE17" s="23" t="e">
        <f>AD17+'11.04'!AE17</f>
        <v>#REF!</v>
      </c>
      <c r="AF17" s="19">
        <f t="shared" si="1"/>
        <v>0</v>
      </c>
      <c r="AG17" s="20" t="e">
        <f t="shared" si="1"/>
        <v>#REF!</v>
      </c>
      <c r="AH17" s="24"/>
      <c r="AI17" s="23" t="e">
        <f>AH17+'11.04'!AI17</f>
        <v>#REF!</v>
      </c>
      <c r="AJ17" s="24"/>
      <c r="AK17" s="23" t="e">
        <f>AJ17+'11.04'!AK17</f>
        <v>#REF!</v>
      </c>
      <c r="AL17" s="22"/>
      <c r="AM17" s="23" t="e">
        <f>AL17+'11.04'!AM17</f>
        <v>#REF!</v>
      </c>
      <c r="AN17" s="22"/>
      <c r="AO17" s="23" t="e">
        <f>AN17+'11.04'!AO17</f>
        <v>#REF!</v>
      </c>
      <c r="AP17" s="28" t="s">
        <v>52</v>
      </c>
      <c r="AQ17" s="19">
        <f t="shared" si="2"/>
        <v>0</v>
      </c>
      <c r="AR17" s="20" t="e">
        <f t="shared" si="2"/>
        <v>#REF!</v>
      </c>
      <c r="AS17" s="34"/>
      <c r="AT17" s="23" t="e">
        <f>AS17+'11.04'!AT17</f>
        <v>#REF!</v>
      </c>
      <c r="AU17" s="34"/>
      <c r="AV17" s="23" t="e">
        <f>AU17+'11.04'!AV17</f>
        <v>#REF!</v>
      </c>
      <c r="AW17" s="34"/>
      <c r="AX17" s="23" t="e">
        <f>AW17+'11.04'!AX17</f>
        <v>#REF!</v>
      </c>
      <c r="AY17" s="34"/>
      <c r="AZ17" s="23" t="e">
        <f>AY17+'11.04'!AZ17</f>
        <v>#REF!</v>
      </c>
      <c r="BA17" s="34"/>
      <c r="BB17" s="23" t="e">
        <f>BA17+'11.04'!BB17</f>
        <v>#REF!</v>
      </c>
      <c r="BC17" s="19">
        <f t="shared" si="3"/>
        <v>0</v>
      </c>
      <c r="BD17" s="20" t="e">
        <f t="shared" si="3"/>
        <v>#REF!</v>
      </c>
      <c r="BE17" s="22"/>
      <c r="BF17" s="23" t="e">
        <f>BE17+'11.04'!BF17</f>
        <v>#REF!</v>
      </c>
      <c r="BG17" s="34"/>
      <c r="BH17" s="23" t="e">
        <f>BG17+'11.04'!BH17</f>
        <v>#REF!</v>
      </c>
      <c r="BI17" s="22"/>
      <c r="BJ17" s="23" t="e">
        <f>BI17+'11.04'!BJ17</f>
        <v>#REF!</v>
      </c>
      <c r="BK17" s="22"/>
      <c r="BL17" s="23" t="e">
        <f>BK17+'11.04'!BL17</f>
        <v>#REF!</v>
      </c>
      <c r="BM17" s="22"/>
      <c r="BN17" s="23" t="e">
        <f>BM17+'11.04'!BN17</f>
        <v>#REF!</v>
      </c>
      <c r="BO17" s="36">
        <v>8022</v>
      </c>
      <c r="BP17" s="37"/>
      <c r="BQ17" s="23" t="e">
        <f>BP17+'11.04'!BQ17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0</v>
      </c>
      <c r="D18" s="20" t="e">
        <f t="shared" si="0"/>
        <v>#REF!</v>
      </c>
      <c r="E18" s="21">
        <v>1063</v>
      </c>
      <c r="F18" s="22"/>
      <c r="G18" s="23" t="e">
        <f>F18+'11.04'!G18</f>
        <v>#REF!</v>
      </c>
      <c r="H18" s="21">
        <v>19</v>
      </c>
      <c r="I18" s="22"/>
      <c r="J18" s="23" t="e">
        <f>I18+'11.04'!J18</f>
        <v>#REF!</v>
      </c>
      <c r="K18" s="21">
        <v>8</v>
      </c>
      <c r="L18" s="22"/>
      <c r="M18" s="23" t="e">
        <f>L18+'11.04'!M18</f>
        <v>#REF!</v>
      </c>
      <c r="N18" s="21">
        <v>1331</v>
      </c>
      <c r="O18" s="22"/>
      <c r="P18" s="23" t="e">
        <f>O18+'11.04'!P18</f>
        <v>#REF!</v>
      </c>
      <c r="Q18" s="21">
        <v>777</v>
      </c>
      <c r="R18" s="22"/>
      <c r="S18" s="23" t="e">
        <f>R18+'11.04'!S18</f>
        <v>#REF!</v>
      </c>
      <c r="T18" s="21">
        <v>318</v>
      </c>
      <c r="U18" s="22"/>
      <c r="V18" s="23" t="e">
        <f>U18+'11.04'!V18</f>
        <v>#REF!</v>
      </c>
      <c r="W18" s="21">
        <v>60</v>
      </c>
      <c r="X18" s="22"/>
      <c r="Y18" s="23" t="e">
        <f>X18+'11.04'!Y18</f>
        <v>#REF!</v>
      </c>
      <c r="Z18" s="21">
        <v>72</v>
      </c>
      <c r="AA18" s="22"/>
      <c r="AB18" s="23" t="e">
        <f>AA18+'11.04'!AB18</f>
        <v>#REF!</v>
      </c>
      <c r="AC18" s="21">
        <v>143</v>
      </c>
      <c r="AD18" s="22"/>
      <c r="AE18" s="23" t="e">
        <f>AD18+'11.04'!AE18</f>
        <v>#REF!</v>
      </c>
      <c r="AF18" s="19">
        <f t="shared" si="1"/>
        <v>0</v>
      </c>
      <c r="AG18" s="20" t="e">
        <f t="shared" si="1"/>
        <v>#REF!</v>
      </c>
      <c r="AH18" s="24"/>
      <c r="AI18" s="23" t="e">
        <f>AH18+'11.04'!AI18</f>
        <v>#REF!</v>
      </c>
      <c r="AJ18" s="24"/>
      <c r="AK18" s="23" t="e">
        <f>AJ18+'11.04'!AK18</f>
        <v>#REF!</v>
      </c>
      <c r="AL18" s="22"/>
      <c r="AM18" s="23" t="e">
        <f>AL18+'11.04'!AM18</f>
        <v>#REF!</v>
      </c>
      <c r="AN18" s="22"/>
      <c r="AO18" s="23" t="e">
        <f>AN18+'11.04'!AO18</f>
        <v>#REF!</v>
      </c>
      <c r="AP18" s="17" t="s">
        <v>53</v>
      </c>
      <c r="AQ18" s="19">
        <f>AS18+AU18+AW18+AY18+BA18</f>
        <v>0</v>
      </c>
      <c r="AR18" s="20" t="e">
        <f t="shared" si="2"/>
        <v>#REF!</v>
      </c>
      <c r="AS18" s="22"/>
      <c r="AT18" s="23" t="e">
        <f>AS18+'11.04'!AT18</f>
        <v>#REF!</v>
      </c>
      <c r="AU18" s="22"/>
      <c r="AV18" s="23" t="e">
        <f>AU18+'11.04'!AV18</f>
        <v>#REF!</v>
      </c>
      <c r="AW18" s="22"/>
      <c r="AX18" s="23" t="e">
        <f>AW18+'11.04'!AX18</f>
        <v>#REF!</v>
      </c>
      <c r="AY18" s="22"/>
      <c r="AZ18" s="23" t="e">
        <f>AY18+'11.04'!AZ18</f>
        <v>#REF!</v>
      </c>
      <c r="BA18" s="22"/>
      <c r="BB18" s="23" t="e">
        <f>BA18+'11.04'!BB18</f>
        <v>#REF!</v>
      </c>
      <c r="BC18" s="19">
        <f t="shared" si="3"/>
        <v>0</v>
      </c>
      <c r="BD18" s="20" t="e">
        <f>BF18+BH18+BJ18+BL18+BN18</f>
        <v>#REF!</v>
      </c>
      <c r="BE18" s="22"/>
      <c r="BF18" s="23" t="e">
        <f>BE18+'11.04'!BF18</f>
        <v>#REF!</v>
      </c>
      <c r="BG18" s="22"/>
      <c r="BH18" s="23" t="e">
        <f>BG18+'11.04'!BH18</f>
        <v>#REF!</v>
      </c>
      <c r="BI18" s="22"/>
      <c r="BJ18" s="23" t="e">
        <f>BI18+'11.04'!BJ18</f>
        <v>#REF!</v>
      </c>
      <c r="BK18" s="22"/>
      <c r="BL18" s="23" t="e">
        <f>BK18+'11.04'!BL18</f>
        <v>#REF!</v>
      </c>
      <c r="BM18" s="22"/>
      <c r="BN18" s="23" t="e">
        <f>BM18+'11.04'!BN18</f>
        <v>#REF!</v>
      </c>
      <c r="BO18" s="36">
        <v>442</v>
      </c>
      <c r="BP18" s="37"/>
      <c r="BQ18" s="23" t="e">
        <f>BP18+'11.04'!BQ18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55</v>
      </c>
      <c r="D19" s="31" t="e">
        <f t="shared" si="0"/>
        <v>#REF!</v>
      </c>
      <c r="E19" s="33">
        <v>221</v>
      </c>
      <c r="F19" s="22">
        <v>17</v>
      </c>
      <c r="G19" s="23" t="e">
        <f>F19+'11.04'!G19</f>
        <v>#REF!</v>
      </c>
      <c r="H19" s="33">
        <v>5</v>
      </c>
      <c r="I19" s="34">
        <v>0</v>
      </c>
      <c r="J19" s="23" t="e">
        <f>I19+'11.04'!J19</f>
        <v>#REF!</v>
      </c>
      <c r="K19" s="33">
        <v>4</v>
      </c>
      <c r="L19" s="22">
        <v>0</v>
      </c>
      <c r="M19" s="23" t="e">
        <f>L19+'11.04'!M19</f>
        <v>#REF!</v>
      </c>
      <c r="N19" s="33">
        <v>313</v>
      </c>
      <c r="O19" s="22">
        <v>0</v>
      </c>
      <c r="P19" s="23" t="e">
        <f>O19+'11.04'!P19</f>
        <v>#REF!</v>
      </c>
      <c r="Q19" s="33">
        <v>203</v>
      </c>
      <c r="R19" s="22">
        <v>0</v>
      </c>
      <c r="S19" s="23" t="e">
        <f>R19+'11.04'!S19</f>
        <v>#REF!</v>
      </c>
      <c r="T19" s="33">
        <v>241</v>
      </c>
      <c r="U19" s="22">
        <v>0</v>
      </c>
      <c r="V19" s="23" t="e">
        <f>U19+'11.04'!V19</f>
        <v>#REF!</v>
      </c>
      <c r="W19" s="33">
        <v>14</v>
      </c>
      <c r="X19" s="22">
        <v>22</v>
      </c>
      <c r="Y19" s="23" t="e">
        <f>X19+'11.04'!Y19</f>
        <v>#REF!</v>
      </c>
      <c r="Z19" s="33">
        <v>7</v>
      </c>
      <c r="AA19" s="22">
        <v>0</v>
      </c>
      <c r="AB19" s="23" t="e">
        <f>AA19+'11.04'!AB19</f>
        <v>#REF!</v>
      </c>
      <c r="AC19" s="33">
        <v>32</v>
      </c>
      <c r="AD19" s="22">
        <v>16</v>
      </c>
      <c r="AE19" s="23" t="e">
        <f>AD19+'11.04'!AE19</f>
        <v>#REF!</v>
      </c>
      <c r="AF19" s="19">
        <f t="shared" si="1"/>
        <v>3800</v>
      </c>
      <c r="AG19" s="20" t="e">
        <f t="shared" si="1"/>
        <v>#REF!</v>
      </c>
      <c r="AH19" s="24">
        <v>400</v>
      </c>
      <c r="AI19" s="23" t="e">
        <f>AH19+'11.04'!AI19</f>
        <v>#REF!</v>
      </c>
      <c r="AJ19" s="24">
        <v>1000</v>
      </c>
      <c r="AK19" s="23" t="e">
        <f>AJ19+'11.04'!AK19</f>
        <v>#REF!</v>
      </c>
      <c r="AL19" s="22">
        <v>400</v>
      </c>
      <c r="AM19" s="23" t="e">
        <f>AL19+'11.04'!AM19</f>
        <v>#REF!</v>
      </c>
      <c r="AN19" s="22">
        <v>2000</v>
      </c>
      <c r="AO19" s="23" t="e">
        <f>AN19+'11.04'!AO19</f>
        <v>#REF!</v>
      </c>
      <c r="AP19" s="28" t="s">
        <v>54</v>
      </c>
      <c r="AQ19" s="19">
        <f t="shared" ref="AQ19:AQ22" si="4">AS19+AU19+AW19+AY19+BA19</f>
        <v>18</v>
      </c>
      <c r="AR19" s="20" t="e">
        <f t="shared" si="2"/>
        <v>#REF!</v>
      </c>
      <c r="AS19" s="34">
        <v>0</v>
      </c>
      <c r="AT19" s="23" t="e">
        <f>AS19+'11.04'!AT19</f>
        <v>#REF!</v>
      </c>
      <c r="AU19" s="34">
        <v>0</v>
      </c>
      <c r="AV19" s="23" t="e">
        <f>AU19+'11.04'!AV19</f>
        <v>#REF!</v>
      </c>
      <c r="AW19" s="34">
        <v>0</v>
      </c>
      <c r="AX19" s="23" t="e">
        <f>AW19+'11.04'!AX19</f>
        <v>#REF!</v>
      </c>
      <c r="AY19" s="34">
        <v>0</v>
      </c>
      <c r="AZ19" s="23" t="e">
        <f>AY19+'11.04'!AZ19</f>
        <v>#REF!</v>
      </c>
      <c r="BA19" s="34">
        <v>18</v>
      </c>
      <c r="BB19" s="23" t="e">
        <f>BA19+'11.04'!BB19</f>
        <v>#REF!</v>
      </c>
      <c r="BC19" s="19">
        <f t="shared" si="3"/>
        <v>1206</v>
      </c>
      <c r="BD19" s="20" t="e">
        <f t="shared" si="3"/>
        <v>#REF!</v>
      </c>
      <c r="BE19" s="22">
        <v>6</v>
      </c>
      <c r="BF19" s="23" t="e">
        <f>BE19+'11.04'!BF19</f>
        <v>#REF!</v>
      </c>
      <c r="BG19" s="34">
        <v>0</v>
      </c>
      <c r="BH19" s="23" t="e">
        <f>BG19+'11.04'!BH19</f>
        <v>#REF!</v>
      </c>
      <c r="BI19" s="22">
        <v>1000</v>
      </c>
      <c r="BJ19" s="23" t="e">
        <f>BI19+'11.04'!BJ19</f>
        <v>#REF!</v>
      </c>
      <c r="BK19" s="22">
        <v>200</v>
      </c>
      <c r="BL19" s="23" t="e">
        <f>BK19+'11.04'!BL19</f>
        <v>#REF!</v>
      </c>
      <c r="BM19" s="22">
        <v>0</v>
      </c>
      <c r="BN19" s="23" t="e">
        <f>BM19+'11.04'!BN19</f>
        <v>#REF!</v>
      </c>
      <c r="BO19" s="36">
        <v>2898</v>
      </c>
      <c r="BP19" s="37">
        <v>0</v>
      </c>
      <c r="BQ19" s="23" t="e">
        <f>BP19+'11.04'!BQ19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472</v>
      </c>
      <c r="D20" s="31" t="e">
        <f t="shared" si="0"/>
        <v>#REF!</v>
      </c>
      <c r="E20" s="32">
        <v>723</v>
      </c>
      <c r="F20" s="22">
        <v>277</v>
      </c>
      <c r="G20" s="23" t="e">
        <f>F20+'11.04'!G20</f>
        <v>#REF!</v>
      </c>
      <c r="H20" s="33">
        <v>5</v>
      </c>
      <c r="I20" s="34">
        <v>4</v>
      </c>
      <c r="J20" s="23" t="e">
        <f>I20+'11.04'!J20</f>
        <v>#REF!</v>
      </c>
      <c r="K20" s="33">
        <v>3</v>
      </c>
      <c r="L20" s="22">
        <v>0</v>
      </c>
      <c r="M20" s="23" t="e">
        <f>L20+'11.04'!M20</f>
        <v>#REF!</v>
      </c>
      <c r="N20" s="33">
        <v>975</v>
      </c>
      <c r="O20" s="22">
        <v>83</v>
      </c>
      <c r="P20" s="23" t="e">
        <f>O20+'11.04'!P20</f>
        <v>#REF!</v>
      </c>
      <c r="Q20" s="61">
        <v>1862</v>
      </c>
      <c r="R20" s="22">
        <v>3</v>
      </c>
      <c r="S20" s="23" t="e">
        <f>R20+'11.04'!S20</f>
        <v>#REF!</v>
      </c>
      <c r="T20" s="33">
        <v>35</v>
      </c>
      <c r="U20" s="22">
        <v>6</v>
      </c>
      <c r="V20" s="23" t="e">
        <f>U20+'11.04'!V20</f>
        <v>#REF!</v>
      </c>
      <c r="W20" s="33">
        <v>64</v>
      </c>
      <c r="X20" s="22">
        <v>5</v>
      </c>
      <c r="Y20" s="23" t="e">
        <f>X20+'11.04'!Y20</f>
        <v>#REF!</v>
      </c>
      <c r="Z20" s="33">
        <v>15</v>
      </c>
      <c r="AA20" s="22">
        <v>1</v>
      </c>
      <c r="AB20" s="23" t="e">
        <f>AA20+'11.04'!AB20</f>
        <v>#REF!</v>
      </c>
      <c r="AC20" s="33">
        <v>1546</v>
      </c>
      <c r="AD20" s="22">
        <v>93</v>
      </c>
      <c r="AE20" s="23" t="e">
        <f>AD20+'11.04'!AE20</f>
        <v>#REF!</v>
      </c>
      <c r="AF20" s="19">
        <f t="shared" si="1"/>
        <v>22460</v>
      </c>
      <c r="AG20" s="20" t="e">
        <f t="shared" si="1"/>
        <v>#REF!</v>
      </c>
      <c r="AH20" s="24">
        <v>11310</v>
      </c>
      <c r="AI20" s="23" t="e">
        <f>AH20+'11.04'!AI20</f>
        <v>#REF!</v>
      </c>
      <c r="AJ20" s="24">
        <v>10550</v>
      </c>
      <c r="AK20" s="23" t="e">
        <f>AJ20+'11.04'!AK20</f>
        <v>#REF!</v>
      </c>
      <c r="AL20" s="22">
        <v>350</v>
      </c>
      <c r="AM20" s="23" t="e">
        <f>AL20+'11.04'!AM20</f>
        <v>#REF!</v>
      </c>
      <c r="AN20" s="22">
        <v>250</v>
      </c>
      <c r="AO20" s="23" t="e">
        <f>AN20+'11.04'!AO20</f>
        <v>#REF!</v>
      </c>
      <c r="AP20" s="28" t="s">
        <v>55</v>
      </c>
      <c r="AQ20" s="19">
        <f t="shared" si="4"/>
        <v>212</v>
      </c>
      <c r="AR20" s="20" t="e">
        <f t="shared" si="2"/>
        <v>#REF!</v>
      </c>
      <c r="AS20" s="34">
        <v>1</v>
      </c>
      <c r="AT20" s="23" t="e">
        <f>AS20+'11.04'!AT20</f>
        <v>#REF!</v>
      </c>
      <c r="AU20" s="34">
        <v>0</v>
      </c>
      <c r="AV20" s="23" t="e">
        <f>AU20+'11.04'!AV20</f>
        <v>#REF!</v>
      </c>
      <c r="AW20" s="34">
        <v>0</v>
      </c>
      <c r="AX20" s="23" t="e">
        <f>AW20+'11.04'!AX20</f>
        <v>#REF!</v>
      </c>
      <c r="AY20" s="34">
        <v>0</v>
      </c>
      <c r="AZ20" s="23" t="e">
        <f>AY20+'11.04'!AZ20</f>
        <v>#REF!</v>
      </c>
      <c r="BA20" s="34">
        <v>211</v>
      </c>
      <c r="BB20" s="23" t="e">
        <f>BA20+'11.04'!BB20</f>
        <v>#REF!</v>
      </c>
      <c r="BC20" s="19">
        <f t="shared" si="3"/>
        <v>3754</v>
      </c>
      <c r="BD20" s="20" t="e">
        <f t="shared" si="3"/>
        <v>#REF!</v>
      </c>
      <c r="BE20" s="22">
        <v>2</v>
      </c>
      <c r="BF20" s="23" t="e">
        <f>BE20+'11.04'!BF20</f>
        <v>#REF!</v>
      </c>
      <c r="BG20" s="34">
        <v>0</v>
      </c>
      <c r="BH20" s="23" t="e">
        <f>BG20+'11.04'!BH20</f>
        <v>#REF!</v>
      </c>
      <c r="BI20" s="22">
        <v>1870</v>
      </c>
      <c r="BJ20" s="23" t="e">
        <f>BI20+'11.04'!BJ20</f>
        <v>#REF!</v>
      </c>
      <c r="BK20" s="22">
        <v>1882</v>
      </c>
      <c r="BL20" s="23" t="e">
        <f>BK20+'11.04'!BL20</f>
        <v>#REF!</v>
      </c>
      <c r="BM20" s="22">
        <v>0</v>
      </c>
      <c r="BN20" s="23" t="e">
        <f>BM20+'11.04'!BN20</f>
        <v>#REF!</v>
      </c>
      <c r="BO20" s="36">
        <v>5854</v>
      </c>
      <c r="BP20" s="37">
        <v>0</v>
      </c>
      <c r="BQ20" s="23" t="e">
        <f>BP20+'11.04'!BQ20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316</v>
      </c>
      <c r="D21" s="31" t="e">
        <f t="shared" si="0"/>
        <v>#REF!</v>
      </c>
      <c r="E21" s="32">
        <v>1017</v>
      </c>
      <c r="F21" s="22">
        <v>256</v>
      </c>
      <c r="G21" s="23" t="e">
        <f>F21+'11.04'!G21</f>
        <v>#REF!</v>
      </c>
      <c r="H21" s="33">
        <v>8</v>
      </c>
      <c r="I21" s="34">
        <v>0</v>
      </c>
      <c r="J21" s="23" t="e">
        <f>I21+'11.04'!J21</f>
        <v>#REF!</v>
      </c>
      <c r="K21" s="33">
        <v>4</v>
      </c>
      <c r="L21" s="22">
        <v>0</v>
      </c>
      <c r="M21" s="23" t="e">
        <f>L21+'11.04'!M21</f>
        <v>#REF!</v>
      </c>
      <c r="N21" s="33">
        <v>963</v>
      </c>
      <c r="O21" s="22">
        <v>0</v>
      </c>
      <c r="P21" s="23" t="e">
        <f>O21+'11.04'!P21</f>
        <v>#REF!</v>
      </c>
      <c r="Q21" s="33">
        <v>912</v>
      </c>
      <c r="R21" s="22">
        <v>0</v>
      </c>
      <c r="S21" s="23" t="e">
        <f>R21+'11.04'!S21</f>
        <v>#REF!</v>
      </c>
      <c r="T21" s="33">
        <v>199</v>
      </c>
      <c r="U21" s="22">
        <v>0</v>
      </c>
      <c r="V21" s="23" t="e">
        <f>U21+'11.04'!V21</f>
        <v>#REF!</v>
      </c>
      <c r="W21" s="33">
        <v>101</v>
      </c>
      <c r="X21" s="22">
        <v>55</v>
      </c>
      <c r="Y21" s="23" t="e">
        <f>X21+'11.04'!Y21</f>
        <v>#REF!</v>
      </c>
      <c r="Z21" s="33">
        <v>42</v>
      </c>
      <c r="AA21" s="22">
        <v>0</v>
      </c>
      <c r="AB21" s="23" t="e">
        <f>AA21+'11.04'!AB21</f>
        <v>#REF!</v>
      </c>
      <c r="AC21" s="33">
        <v>20</v>
      </c>
      <c r="AD21" s="22">
        <v>5</v>
      </c>
      <c r="AE21" s="23" t="e">
        <f>AD21+'11.04'!AE21</f>
        <v>#REF!</v>
      </c>
      <c r="AF21" s="19">
        <f t="shared" si="1"/>
        <v>950000</v>
      </c>
      <c r="AG21" s="20" t="e">
        <f t="shared" si="1"/>
        <v>#REF!</v>
      </c>
      <c r="AH21" s="24">
        <v>2000</v>
      </c>
      <c r="AI21" s="23" t="e">
        <f>AH21+'11.04'!AI21</f>
        <v>#REF!</v>
      </c>
      <c r="AJ21" s="24">
        <v>198000</v>
      </c>
      <c r="AK21" s="23" t="e">
        <f>AJ21+'11.04'!AK21</f>
        <v>#REF!</v>
      </c>
      <c r="AL21" s="22">
        <v>500000</v>
      </c>
      <c r="AM21" s="23" t="e">
        <f>AL21+'11.04'!AM21</f>
        <v>#REF!</v>
      </c>
      <c r="AN21" s="22">
        <v>250000</v>
      </c>
      <c r="AO21" s="23" t="e">
        <f>AN21+'11.04'!AO21</f>
        <v>#REF!</v>
      </c>
      <c r="AP21" s="28" t="s">
        <v>58</v>
      </c>
      <c r="AQ21" s="19">
        <f t="shared" si="4"/>
        <v>9</v>
      </c>
      <c r="AR21" s="20" t="e">
        <f t="shared" si="2"/>
        <v>#REF!</v>
      </c>
      <c r="AS21" s="34">
        <v>0</v>
      </c>
      <c r="AT21" s="23" t="e">
        <f>AS21+'11.04'!AT21</f>
        <v>#REF!</v>
      </c>
      <c r="AU21" s="34">
        <v>2</v>
      </c>
      <c r="AV21" s="23" t="e">
        <f>AU21+'11.04'!AV21</f>
        <v>#REF!</v>
      </c>
      <c r="AW21" s="34">
        <v>0</v>
      </c>
      <c r="AX21" s="23" t="e">
        <f>AW21+'11.04'!AX21</f>
        <v>#REF!</v>
      </c>
      <c r="AY21" s="34">
        <v>0</v>
      </c>
      <c r="AZ21" s="23" t="e">
        <f>AY21+'11.04'!AZ21</f>
        <v>#REF!</v>
      </c>
      <c r="BA21" s="34">
        <v>7</v>
      </c>
      <c r="BB21" s="23" t="e">
        <f>BA21+'11.04'!BB21</f>
        <v>#REF!</v>
      </c>
      <c r="BC21" s="19">
        <f t="shared" si="3"/>
        <v>10080</v>
      </c>
      <c r="BD21" s="20" t="e">
        <f t="shared" si="3"/>
        <v>#REF!</v>
      </c>
      <c r="BE21" s="22">
        <v>80</v>
      </c>
      <c r="BF21" s="23" t="e">
        <f>BE21+'11.04'!BF21</f>
        <v>#REF!</v>
      </c>
      <c r="BG21" s="34">
        <v>0</v>
      </c>
      <c r="BH21" s="23" t="e">
        <f>BG21+'11.04'!BH21</f>
        <v>#REF!</v>
      </c>
      <c r="BI21" s="22">
        <v>10000</v>
      </c>
      <c r="BJ21" s="23" t="e">
        <f>BI21+'11.04'!BJ21</f>
        <v>#REF!</v>
      </c>
      <c r="BK21" s="22">
        <v>0</v>
      </c>
      <c r="BL21" s="23" t="e">
        <f>BK21+'11.04'!BL21</f>
        <v>#REF!</v>
      </c>
      <c r="BM21" s="22">
        <v>0</v>
      </c>
      <c r="BN21" s="23" t="e">
        <f>BM21+'11.04'!BN21</f>
        <v>#REF!</v>
      </c>
      <c r="BO21" s="36">
        <v>68</v>
      </c>
      <c r="BP21" s="37">
        <v>0</v>
      </c>
      <c r="BQ21" s="23" t="e">
        <f>BP21+'11.04'!BQ21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1205</v>
      </c>
      <c r="D22" s="31" t="e">
        <f t="shared" si="0"/>
        <v>#REF!</v>
      </c>
      <c r="E22" s="32">
        <v>509</v>
      </c>
      <c r="F22" s="22">
        <v>180</v>
      </c>
      <c r="G22" s="23" t="e">
        <f>F22+'11.04'!G22</f>
        <v>#REF!</v>
      </c>
      <c r="H22" s="33">
        <v>8</v>
      </c>
      <c r="I22" s="34">
        <v>0</v>
      </c>
      <c r="J22" s="23" t="e">
        <f>I22+'11.04'!J22</f>
        <v>#REF!</v>
      </c>
      <c r="K22" s="33">
        <v>21</v>
      </c>
      <c r="L22" s="22">
        <v>0</v>
      </c>
      <c r="M22" s="23" t="e">
        <f>L22+'11.04'!M22</f>
        <v>#REF!</v>
      </c>
      <c r="N22" s="33">
        <v>560</v>
      </c>
      <c r="O22" s="22">
        <v>0</v>
      </c>
      <c r="P22" s="23" t="e">
        <f>O22+'11.04'!P22</f>
        <v>#REF!</v>
      </c>
      <c r="Q22" s="33">
        <v>375</v>
      </c>
      <c r="R22" s="22">
        <v>0</v>
      </c>
      <c r="S22" s="23" t="e">
        <f>R22+'11.04'!S22</f>
        <v>#REF!</v>
      </c>
      <c r="T22" s="33">
        <v>165</v>
      </c>
      <c r="U22" s="22">
        <v>0</v>
      </c>
      <c r="V22" s="23" t="e">
        <f>U22+'11.04'!V22</f>
        <v>#REF!</v>
      </c>
      <c r="W22" s="33">
        <v>28</v>
      </c>
      <c r="X22" s="22">
        <v>155</v>
      </c>
      <c r="Y22" s="23" t="e">
        <f>X22+'11.04'!Y22</f>
        <v>#REF!</v>
      </c>
      <c r="Z22" s="33">
        <v>9</v>
      </c>
      <c r="AA22" s="22">
        <v>0</v>
      </c>
      <c r="AB22" s="23" t="e">
        <f>AA22+'11.04'!AB22</f>
        <v>#REF!</v>
      </c>
      <c r="AC22" s="33">
        <v>112</v>
      </c>
      <c r="AD22" s="22">
        <v>870</v>
      </c>
      <c r="AE22" s="23" t="e">
        <f>AD22+'11.04'!AE22</f>
        <v>#REF!</v>
      </c>
      <c r="AF22" s="19">
        <f t="shared" si="1"/>
        <v>762628</v>
      </c>
      <c r="AG22" s="20" t="e">
        <f t="shared" si="1"/>
        <v>#REF!</v>
      </c>
      <c r="AH22" s="24">
        <v>406</v>
      </c>
      <c r="AI22" s="23" t="e">
        <f>AH22+'11.04'!AI22</f>
        <v>#REF!</v>
      </c>
      <c r="AJ22" s="24">
        <v>8000</v>
      </c>
      <c r="AK22" s="23" t="e">
        <f>AJ22+'11.04'!AK22</f>
        <v>#REF!</v>
      </c>
      <c r="AL22" s="22">
        <v>222</v>
      </c>
      <c r="AM22" s="23" t="e">
        <f>AL22+'11.04'!AM22</f>
        <v>#REF!</v>
      </c>
      <c r="AN22" s="22">
        <v>754000</v>
      </c>
      <c r="AO22" s="23" t="e">
        <f>AN22+'11.04'!AO22</f>
        <v>#REF!</v>
      </c>
      <c r="AP22" s="28" t="s">
        <v>59</v>
      </c>
      <c r="AQ22" s="19">
        <f t="shared" si="4"/>
        <v>1129</v>
      </c>
      <c r="AR22" s="20" t="e">
        <f t="shared" si="2"/>
        <v>#REF!</v>
      </c>
      <c r="AS22" s="34">
        <v>0</v>
      </c>
      <c r="AT22" s="23" t="e">
        <f>AS22+'11.04'!AT22</f>
        <v>#REF!</v>
      </c>
      <c r="AU22" s="34">
        <v>0</v>
      </c>
      <c r="AV22" s="23" t="e">
        <f>AU22+'11.04'!AV22</f>
        <v>#REF!</v>
      </c>
      <c r="AW22" s="34">
        <v>0</v>
      </c>
      <c r="AX22" s="23" t="e">
        <f>AW22+'11.04'!AX22</f>
        <v>#REF!</v>
      </c>
      <c r="AY22" s="34">
        <v>0</v>
      </c>
      <c r="AZ22" s="23" t="e">
        <f>AY22+'11.04'!AZ22</f>
        <v>#REF!</v>
      </c>
      <c r="BA22" s="34">
        <v>1129</v>
      </c>
      <c r="BB22" s="23" t="e">
        <f>BA22+'11.04'!BB22</f>
        <v>#REF!</v>
      </c>
      <c r="BC22" s="19">
        <f t="shared" si="3"/>
        <v>5520</v>
      </c>
      <c r="BD22" s="20" t="e">
        <f t="shared" si="3"/>
        <v>#REF!</v>
      </c>
      <c r="BE22" s="22">
        <v>1</v>
      </c>
      <c r="BF22" s="23" t="e">
        <f>BE22+'11.04'!BF22</f>
        <v>#REF!</v>
      </c>
      <c r="BG22" s="34">
        <v>1</v>
      </c>
      <c r="BH22" s="23" t="e">
        <f>BG22+'11.04'!BH22</f>
        <v>#REF!</v>
      </c>
      <c r="BI22" s="22">
        <v>5506</v>
      </c>
      <c r="BJ22" s="23" t="e">
        <f>BI22+'11.04'!BJ22</f>
        <v>#REF!</v>
      </c>
      <c r="BK22" s="22">
        <v>12</v>
      </c>
      <c r="BL22" s="23" t="e">
        <f>BK22+'11.04'!BL22</f>
        <v>#REF!</v>
      </c>
      <c r="BM22" s="22">
        <v>0</v>
      </c>
      <c r="BN22" s="23" t="e">
        <f>BM22+'11.04'!BN22</f>
        <v>#REF!</v>
      </c>
      <c r="BO22" s="36">
        <v>26</v>
      </c>
      <c r="BP22" s="37">
        <v>2</v>
      </c>
      <c r="BQ22" s="23" t="e">
        <f>BP22+'11.04'!BQ22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2909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1094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9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118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6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559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1118</v>
      </c>
      <c r="AE23" s="68" t="e">
        <f t="shared" si="5"/>
        <v>#REF!</v>
      </c>
      <c r="AF23" s="64">
        <f t="shared" si="5"/>
        <v>3509769</v>
      </c>
      <c r="AG23" s="64" t="e">
        <f t="shared" si="5"/>
        <v>#REF!</v>
      </c>
      <c r="AH23" s="67">
        <f t="shared" si="5"/>
        <v>27482</v>
      </c>
      <c r="AI23" s="68" t="e">
        <f t="shared" si="5"/>
        <v>#REF!</v>
      </c>
      <c r="AJ23" s="67">
        <f t="shared" si="5"/>
        <v>254608</v>
      </c>
      <c r="AK23" s="68" t="e">
        <f t="shared" si="5"/>
        <v>#REF!</v>
      </c>
      <c r="AL23" s="67">
        <f t="shared" si="5"/>
        <v>1152446</v>
      </c>
      <c r="AM23" s="68" t="e">
        <f t="shared" si="5"/>
        <v>#REF!</v>
      </c>
      <c r="AN23" s="67">
        <f t="shared" si="5"/>
        <v>2075233</v>
      </c>
      <c r="AO23" s="68" t="e">
        <f t="shared" si="5"/>
        <v>#REF!</v>
      </c>
      <c r="AP23" s="62" t="s">
        <v>12</v>
      </c>
      <c r="AQ23" s="64">
        <f t="shared" ref="AQ23:BP23" si="6">SUM(AQ8:AQ22)</f>
        <v>1571</v>
      </c>
      <c r="AR23" s="64" t="e">
        <f t="shared" si="6"/>
        <v>#REF!</v>
      </c>
      <c r="AS23" s="67">
        <f t="shared" si="6"/>
        <v>3</v>
      </c>
      <c r="AT23" s="68" t="e">
        <f t="shared" si="6"/>
        <v>#REF!</v>
      </c>
      <c r="AU23" s="67">
        <f t="shared" si="6"/>
        <v>3</v>
      </c>
      <c r="AV23" s="68" t="e">
        <f t="shared" si="6"/>
        <v>#REF!</v>
      </c>
      <c r="AW23" s="67">
        <f t="shared" si="6"/>
        <v>1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1564</v>
      </c>
      <c r="BB23" s="68" t="e">
        <f t="shared" si="6"/>
        <v>#REF!</v>
      </c>
      <c r="BC23" s="64">
        <f t="shared" si="6"/>
        <v>41110</v>
      </c>
      <c r="BD23" s="64" t="e">
        <f t="shared" si="6"/>
        <v>#REF!</v>
      </c>
      <c r="BE23" s="67">
        <f t="shared" si="6"/>
        <v>1489</v>
      </c>
      <c r="BF23" s="68" t="e">
        <f t="shared" si="6"/>
        <v>#REF!</v>
      </c>
      <c r="BG23" s="67">
        <f t="shared" si="6"/>
        <v>27</v>
      </c>
      <c r="BH23" s="68" t="e">
        <f t="shared" si="6"/>
        <v>#REF!</v>
      </c>
      <c r="BI23" s="67">
        <f t="shared" si="6"/>
        <v>35016</v>
      </c>
      <c r="BJ23" s="68" t="e">
        <f t="shared" si="6"/>
        <v>#REF!</v>
      </c>
      <c r="BK23" s="67">
        <f t="shared" si="6"/>
        <v>4578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12</v>
      </c>
      <c r="BQ23" s="23">
        <f>BP23+'11.04'!BP23</f>
        <v>35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BU23"/>
  <sheetViews>
    <sheetView zoomScale="130" zoomScaleNormal="130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 t="e">
        <f t="shared" si="0"/>
        <v>#REF!</v>
      </c>
      <c r="E9" s="32">
        <v>452</v>
      </c>
      <c r="F9" s="22">
        <v>1</v>
      </c>
      <c r="G9" s="23" t="e">
        <f>F9+'12.04'!G9</f>
        <v>#REF!</v>
      </c>
      <c r="H9" s="33">
        <v>12</v>
      </c>
      <c r="I9" s="34">
        <v>1</v>
      </c>
      <c r="J9" s="23" t="e">
        <f>I9+'12.04'!J9</f>
        <v>#REF!</v>
      </c>
      <c r="K9" s="33">
        <v>2</v>
      </c>
      <c r="L9" s="22">
        <v>0</v>
      </c>
      <c r="M9" s="23" t="e">
        <f>L9+'12.04'!M9</f>
        <v>#REF!</v>
      </c>
      <c r="N9" s="33">
        <v>735</v>
      </c>
      <c r="O9" s="22">
        <v>0</v>
      </c>
      <c r="P9" s="23" t="e">
        <f>O9+'12.04'!P9</f>
        <v>#REF!</v>
      </c>
      <c r="Q9" s="33">
        <v>502</v>
      </c>
      <c r="R9" s="22">
        <v>0</v>
      </c>
      <c r="S9" s="23" t="e">
        <f>R9+'12.04'!S9</f>
        <v>#REF!</v>
      </c>
      <c r="T9" s="33">
        <v>197</v>
      </c>
      <c r="U9" s="22">
        <v>0</v>
      </c>
      <c r="V9" s="23" t="e">
        <f>U9+'12.04'!V9</f>
        <v>#REF!</v>
      </c>
      <c r="W9" s="33">
        <v>47</v>
      </c>
      <c r="X9" s="22">
        <v>1</v>
      </c>
      <c r="Y9" s="23" t="e">
        <f>X9+'12.04'!Y9</f>
        <v>#REF!</v>
      </c>
      <c r="Z9" s="33">
        <v>34</v>
      </c>
      <c r="AA9" s="22">
        <v>0</v>
      </c>
      <c r="AB9" s="23" t="e">
        <f>AA9+'12.04'!AB9</f>
        <v>#REF!</v>
      </c>
      <c r="AC9" s="33">
        <v>1860</v>
      </c>
      <c r="AD9" s="22">
        <v>0</v>
      </c>
      <c r="AE9" s="23" t="e">
        <f>AD9+'12.04'!AE9</f>
        <v>#REF!</v>
      </c>
      <c r="AF9" s="19">
        <f t="shared" ref="AF9:AG22" si="1">AH9+AJ9+AL9+AN9</f>
        <v>8110</v>
      </c>
      <c r="AG9" s="20" t="e">
        <f t="shared" si="1"/>
        <v>#REF!</v>
      </c>
      <c r="AH9" s="24">
        <v>97</v>
      </c>
      <c r="AI9" s="23" t="e">
        <f>AH9+'12.04'!AI9</f>
        <v>#REF!</v>
      </c>
      <c r="AJ9" s="24">
        <v>413</v>
      </c>
      <c r="AK9" s="23" t="e">
        <f>AJ9+'12.04'!AK9</f>
        <v>#REF!</v>
      </c>
      <c r="AL9" s="22">
        <v>2200</v>
      </c>
      <c r="AM9" s="23" t="e">
        <f>AL9+'12.04'!AM9</f>
        <v>#REF!</v>
      </c>
      <c r="AN9" s="22">
        <v>5400</v>
      </c>
      <c r="AO9" s="23" t="e">
        <f>AN9+'12.04'!AO9</f>
        <v>#REF!</v>
      </c>
      <c r="AP9" s="28" t="s">
        <v>43</v>
      </c>
      <c r="AQ9" s="19">
        <f t="shared" ref="AQ9:AR22" si="2">AS9+AU9+AW9+AY9+BA9</f>
        <v>60</v>
      </c>
      <c r="AR9" s="20" t="e">
        <f t="shared" si="2"/>
        <v>#REF!</v>
      </c>
      <c r="AS9" s="34">
        <v>1</v>
      </c>
      <c r="AT9" s="23" t="e">
        <f>AS9+'12.04'!AT9</f>
        <v>#REF!</v>
      </c>
      <c r="AU9" s="34">
        <v>1</v>
      </c>
      <c r="AV9" s="23" t="e">
        <f>AU9+'12.04'!AV9</f>
        <v>#REF!</v>
      </c>
      <c r="AW9" s="34">
        <v>0</v>
      </c>
      <c r="AX9" s="23" t="e">
        <f>AW9+'12.04'!AX9</f>
        <v>#REF!</v>
      </c>
      <c r="AY9" s="34">
        <v>0</v>
      </c>
      <c r="AZ9" s="23" t="e">
        <f>AY9+'12.04'!AZ9</f>
        <v>#REF!</v>
      </c>
      <c r="BA9" s="34">
        <v>58</v>
      </c>
      <c r="BB9" s="23" t="e">
        <f>BA9+'12.04'!BB9</f>
        <v>#REF!</v>
      </c>
      <c r="BC9" s="19">
        <f t="shared" ref="BC9:BD22" si="3">BE9+BG9+BI9+BK9+BM9</f>
        <v>511</v>
      </c>
      <c r="BD9" s="20" t="e">
        <f t="shared" si="3"/>
        <v>#REF!</v>
      </c>
      <c r="BE9" s="22">
        <v>1</v>
      </c>
      <c r="BF9" s="23" t="e">
        <f>BE9+'12.04'!BF9</f>
        <v>#REF!</v>
      </c>
      <c r="BG9" s="34">
        <v>0</v>
      </c>
      <c r="BH9" s="23" t="e">
        <f>BG9+'12.04'!BH9</f>
        <v>#REF!</v>
      </c>
      <c r="BI9" s="22">
        <v>510</v>
      </c>
      <c r="BJ9" s="23" t="e">
        <f>BI9+'12.04'!BJ9</f>
        <v>#REF!</v>
      </c>
      <c r="BK9" s="22">
        <v>0</v>
      </c>
      <c r="BL9" s="23" t="e">
        <f>BK9+'12.04'!BL9</f>
        <v>#REF!</v>
      </c>
      <c r="BM9" s="22">
        <v>0</v>
      </c>
      <c r="BN9" s="23" t="e">
        <f>BM9+'12.04'!BN9</f>
        <v>#REF!</v>
      </c>
      <c r="BO9" s="36">
        <v>14</v>
      </c>
      <c r="BP9" s="37">
        <v>0</v>
      </c>
      <c r="BQ9" s="23" t="e">
        <f>BP9+'12.04'!BQ9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211</v>
      </c>
      <c r="D10" s="31" t="e">
        <f t="shared" si="0"/>
        <v>#REF!</v>
      </c>
      <c r="E10" s="32">
        <v>585</v>
      </c>
      <c r="F10" s="22">
        <v>11</v>
      </c>
      <c r="G10" s="23" t="e">
        <f>F10+'12.04'!G10</f>
        <v>#REF!</v>
      </c>
      <c r="H10" s="33">
        <v>93</v>
      </c>
      <c r="I10" s="34">
        <v>5</v>
      </c>
      <c r="J10" s="23" t="e">
        <f>I10+'12.04'!J10</f>
        <v>#REF!</v>
      </c>
      <c r="K10" s="33">
        <v>34</v>
      </c>
      <c r="L10" s="22">
        <v>0</v>
      </c>
      <c r="M10" s="23" t="e">
        <f>L10+'12.04'!M10</f>
        <v>#REF!</v>
      </c>
      <c r="N10" s="33">
        <v>352</v>
      </c>
      <c r="O10" s="22">
        <v>11</v>
      </c>
      <c r="P10" s="23" t="e">
        <f>O10+'12.04'!P10</f>
        <v>#REF!</v>
      </c>
      <c r="Q10" s="33">
        <v>549</v>
      </c>
      <c r="R10" s="22">
        <v>11</v>
      </c>
      <c r="S10" s="23" t="e">
        <f>R10+'12.04'!S10</f>
        <v>#REF!</v>
      </c>
      <c r="T10" s="33">
        <v>198</v>
      </c>
      <c r="U10" s="22">
        <v>6</v>
      </c>
      <c r="V10" s="23" t="e">
        <f>U10+'12.04'!V10</f>
        <v>#REF!</v>
      </c>
      <c r="W10" s="38">
        <v>55</v>
      </c>
      <c r="X10" s="22">
        <v>0</v>
      </c>
      <c r="Y10" s="23" t="e">
        <f>X10+'12.04'!Y10</f>
        <v>#REF!</v>
      </c>
      <c r="Z10" s="38">
        <v>71</v>
      </c>
      <c r="AA10" s="22">
        <v>3</v>
      </c>
      <c r="AB10" s="23" t="e">
        <f>AA10+'12.04'!AB10</f>
        <v>#REF!</v>
      </c>
      <c r="AC10" s="38">
        <v>1690</v>
      </c>
      <c r="AD10" s="22">
        <v>164</v>
      </c>
      <c r="AE10" s="23" t="e">
        <f>AD10+'12.04'!AE10</f>
        <v>#REF!</v>
      </c>
      <c r="AF10" s="19">
        <f t="shared" si="1"/>
        <v>113573</v>
      </c>
      <c r="AG10" s="20" t="e">
        <f t="shared" si="1"/>
        <v>#REF!</v>
      </c>
      <c r="AH10" s="24">
        <v>931</v>
      </c>
      <c r="AI10" s="23" t="e">
        <f>AH10+'12.04'!AI10</f>
        <v>#REF!</v>
      </c>
      <c r="AJ10" s="24">
        <v>4602</v>
      </c>
      <c r="AK10" s="23" t="e">
        <f>AJ10+'12.04'!AK10</f>
        <v>#REF!</v>
      </c>
      <c r="AL10" s="22">
        <v>16173</v>
      </c>
      <c r="AM10" s="23" t="e">
        <f>AL10+'12.04'!AM10</f>
        <v>#REF!</v>
      </c>
      <c r="AN10" s="22">
        <v>91867</v>
      </c>
      <c r="AO10" s="23" t="e">
        <f>AN10+'12.04'!AO10</f>
        <v>#REF!</v>
      </c>
      <c r="AP10" s="28" t="s">
        <v>44</v>
      </c>
      <c r="AQ10" s="19">
        <f t="shared" si="2"/>
        <v>2</v>
      </c>
      <c r="AR10" s="20" t="e">
        <f t="shared" si="2"/>
        <v>#REF!</v>
      </c>
      <c r="AS10" s="34">
        <v>0</v>
      </c>
      <c r="AT10" s="23" t="e">
        <f>AS10+'12.04'!AT10</f>
        <v>#REF!</v>
      </c>
      <c r="AU10" s="34">
        <v>0</v>
      </c>
      <c r="AV10" s="23" t="e">
        <f>AU10+'12.04'!AV10</f>
        <v>#REF!</v>
      </c>
      <c r="AW10" s="34">
        <v>0</v>
      </c>
      <c r="AX10" s="23" t="e">
        <f>AW10+'12.04'!AX10</f>
        <v>#REF!</v>
      </c>
      <c r="AY10" s="34">
        <v>0</v>
      </c>
      <c r="AZ10" s="23" t="e">
        <f>AY10+'12.04'!AZ10</f>
        <v>#REF!</v>
      </c>
      <c r="BA10" s="34">
        <v>2</v>
      </c>
      <c r="BB10" s="23" t="e">
        <f>BA10+'12.04'!BB10</f>
        <v>#REF!</v>
      </c>
      <c r="BC10" s="19">
        <f t="shared" si="3"/>
        <v>9542</v>
      </c>
      <c r="BD10" s="20" t="e">
        <f t="shared" si="3"/>
        <v>#REF!</v>
      </c>
      <c r="BE10" s="22">
        <v>543</v>
      </c>
      <c r="BF10" s="23" t="e">
        <f>BE10+'12.04'!BF10</f>
        <v>#REF!</v>
      </c>
      <c r="BG10" s="34">
        <v>0</v>
      </c>
      <c r="BH10" s="23" t="e">
        <f>BG10+'12.04'!BH10</f>
        <v>#REF!</v>
      </c>
      <c r="BI10" s="22">
        <v>3417</v>
      </c>
      <c r="BJ10" s="23" t="e">
        <f>BI10+'12.04'!BJ10</f>
        <v>#REF!</v>
      </c>
      <c r="BK10" s="22">
        <v>5582</v>
      </c>
      <c r="BL10" s="23" t="e">
        <f>BK10+'12.04'!BL10</f>
        <v>#REF!</v>
      </c>
      <c r="BM10" s="22">
        <v>0</v>
      </c>
      <c r="BN10" s="23" t="e">
        <f>BM10+'12.04'!BN10</f>
        <v>#REF!</v>
      </c>
      <c r="BO10" s="36">
        <v>32</v>
      </c>
      <c r="BP10" s="37">
        <v>0</v>
      </c>
      <c r="BQ10" s="23" t="e">
        <f>BP10+'12.04'!BQ10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102</v>
      </c>
      <c r="D11" s="31" t="e">
        <f t="shared" si="0"/>
        <v>#REF!</v>
      </c>
      <c r="E11" s="32">
        <v>883</v>
      </c>
      <c r="F11" s="22">
        <v>49</v>
      </c>
      <c r="G11" s="23" t="e">
        <f>F11+'12.04'!G11</f>
        <v>#REF!</v>
      </c>
      <c r="H11" s="33">
        <v>16</v>
      </c>
      <c r="I11" s="34">
        <v>0</v>
      </c>
      <c r="J11" s="23" t="e">
        <f>I11+'12.04'!J11</f>
        <v>#REF!</v>
      </c>
      <c r="K11" s="33">
        <v>3</v>
      </c>
      <c r="L11" s="22">
        <v>0</v>
      </c>
      <c r="M11" s="23" t="e">
        <f>L11+'12.04'!M11</f>
        <v>#REF!</v>
      </c>
      <c r="N11" s="33">
        <v>875</v>
      </c>
      <c r="O11" s="22">
        <v>0</v>
      </c>
      <c r="P11" s="23" t="e">
        <f>O11+'12.04'!P11</f>
        <v>#REF!</v>
      </c>
      <c r="Q11" s="33">
        <v>2424</v>
      </c>
      <c r="R11" s="22">
        <v>0</v>
      </c>
      <c r="S11" s="23" t="e">
        <f>R11+'12.04'!S11</f>
        <v>#REF!</v>
      </c>
      <c r="T11" s="33">
        <v>69</v>
      </c>
      <c r="U11" s="22">
        <v>0</v>
      </c>
      <c r="V11" s="23" t="e">
        <f>U11+'12.04'!V11</f>
        <v>#REF!</v>
      </c>
      <c r="W11" s="38">
        <v>133</v>
      </c>
      <c r="X11" s="22">
        <v>50</v>
      </c>
      <c r="Y11" s="23" t="e">
        <f>X11+'12.04'!Y11</f>
        <v>#REF!</v>
      </c>
      <c r="Z11" s="38">
        <v>1116</v>
      </c>
      <c r="AA11" s="22">
        <v>0</v>
      </c>
      <c r="AB11" s="23" t="e">
        <f>AA11+'12.04'!AB11</f>
        <v>#REF!</v>
      </c>
      <c r="AC11" s="38">
        <v>9862</v>
      </c>
      <c r="AD11" s="22">
        <v>3</v>
      </c>
      <c r="AE11" s="23" t="e">
        <f>AD11+'12.04'!AE11</f>
        <v>#REF!</v>
      </c>
      <c r="AF11" s="19">
        <f t="shared" si="1"/>
        <v>156300</v>
      </c>
      <c r="AG11" s="20" t="e">
        <f t="shared" si="1"/>
        <v>#REF!</v>
      </c>
      <c r="AH11" s="24">
        <v>5400</v>
      </c>
      <c r="AI11" s="23" t="e">
        <f>AH11+'12.04'!AI11</f>
        <v>#REF!</v>
      </c>
      <c r="AJ11" s="24">
        <v>8900</v>
      </c>
      <c r="AK11" s="23" t="e">
        <f>AJ11+'12.04'!AK11</f>
        <v>#REF!</v>
      </c>
      <c r="AL11" s="22">
        <v>41000</v>
      </c>
      <c r="AM11" s="23" t="e">
        <f>AL11+'12.04'!AM11</f>
        <v>#REF!</v>
      </c>
      <c r="AN11" s="22">
        <v>101000</v>
      </c>
      <c r="AO11" s="23" t="e">
        <f>AN11+'12.04'!AO11</f>
        <v>#REF!</v>
      </c>
      <c r="AP11" s="28" t="s">
        <v>45</v>
      </c>
      <c r="AQ11" s="19">
        <f t="shared" si="2"/>
        <v>14</v>
      </c>
      <c r="AR11" s="20" t="e">
        <f t="shared" si="2"/>
        <v>#REF!</v>
      </c>
      <c r="AS11" s="34">
        <v>0</v>
      </c>
      <c r="AT11" s="23" t="e">
        <f>AS11+'12.04'!AT11</f>
        <v>#REF!</v>
      </c>
      <c r="AU11" s="34">
        <v>0</v>
      </c>
      <c r="AV11" s="23" t="e">
        <f>AU11+'12.04'!AV11</f>
        <v>#REF!</v>
      </c>
      <c r="AW11" s="34">
        <v>0</v>
      </c>
      <c r="AX11" s="23" t="e">
        <f>AW11+'12.04'!AX11</f>
        <v>#REF!</v>
      </c>
      <c r="AY11" s="34">
        <v>0</v>
      </c>
      <c r="AZ11" s="23" t="e">
        <f>AY11+'12.04'!AZ11</f>
        <v>#REF!</v>
      </c>
      <c r="BA11" s="34">
        <v>14</v>
      </c>
      <c r="BB11" s="23" t="e">
        <f>BA11+'12.04'!BB11</f>
        <v>#REF!</v>
      </c>
      <c r="BC11" s="19">
        <f t="shared" si="3"/>
        <v>4526</v>
      </c>
      <c r="BD11" s="20" t="e">
        <f t="shared" si="3"/>
        <v>#REF!</v>
      </c>
      <c r="BE11" s="22">
        <v>8</v>
      </c>
      <c r="BF11" s="23" t="e">
        <f>BE11+'12.04'!BF11</f>
        <v>#REF!</v>
      </c>
      <c r="BG11" s="34">
        <v>0</v>
      </c>
      <c r="BH11" s="23" t="e">
        <f>BG11+'12.04'!BH11</f>
        <v>#REF!</v>
      </c>
      <c r="BI11" s="22">
        <v>4400</v>
      </c>
      <c r="BJ11" s="23" t="e">
        <f>BI11+'12.04'!BJ11</f>
        <v>#REF!</v>
      </c>
      <c r="BK11" s="22">
        <v>118</v>
      </c>
      <c r="BL11" s="23" t="e">
        <f>BK11+'12.04'!BL11</f>
        <v>#REF!</v>
      </c>
      <c r="BM11" s="22">
        <v>0</v>
      </c>
      <c r="BN11" s="23" t="e">
        <f>BM11+'12.04'!BN11</f>
        <v>#REF!</v>
      </c>
      <c r="BO11" s="36">
        <v>11506</v>
      </c>
      <c r="BP11" s="37">
        <v>5</v>
      </c>
      <c r="BQ11" s="23" t="e">
        <f>BP11+'12.04'!BQ11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191</v>
      </c>
      <c r="D12" s="31" t="e">
        <f t="shared" si="0"/>
        <v>#REF!</v>
      </c>
      <c r="E12" s="32">
        <v>909</v>
      </c>
      <c r="F12" s="22">
        <v>51</v>
      </c>
      <c r="G12" s="23" t="e">
        <f>F12+'12.04'!G12</f>
        <v>#REF!</v>
      </c>
      <c r="H12" s="33">
        <v>80</v>
      </c>
      <c r="I12" s="34">
        <v>4</v>
      </c>
      <c r="J12" s="23" t="e">
        <f>I12+'12.04'!J12</f>
        <v>#REF!</v>
      </c>
      <c r="K12" s="33">
        <v>5</v>
      </c>
      <c r="L12" s="22">
        <v>0</v>
      </c>
      <c r="M12" s="23" t="e">
        <f>L12+'12.04'!M12</f>
        <v>#REF!</v>
      </c>
      <c r="N12" s="33">
        <v>820</v>
      </c>
      <c r="O12" s="22">
        <v>0</v>
      </c>
      <c r="P12" s="23" t="e">
        <f>O12+'12.04'!P12</f>
        <v>#REF!</v>
      </c>
      <c r="Q12" s="33">
        <v>549</v>
      </c>
      <c r="R12" s="22">
        <v>39</v>
      </c>
      <c r="S12" s="23" t="e">
        <f>R12+'12.04'!S12</f>
        <v>#REF!</v>
      </c>
      <c r="T12" s="33">
        <v>992</v>
      </c>
      <c r="U12" s="22">
        <v>0</v>
      </c>
      <c r="V12" s="23" t="e">
        <f>U12+'12.04'!V12</f>
        <v>#REF!</v>
      </c>
      <c r="W12" s="33">
        <v>38</v>
      </c>
      <c r="X12" s="22">
        <v>97</v>
      </c>
      <c r="Y12" s="23" t="e">
        <f>X12+'12.04'!Y12</f>
        <v>#REF!</v>
      </c>
      <c r="Z12" s="33">
        <v>68</v>
      </c>
      <c r="AA12" s="22">
        <v>0</v>
      </c>
      <c r="AB12" s="23" t="e">
        <f>AA12+'12.04'!AB12</f>
        <v>#REF!</v>
      </c>
      <c r="AC12" s="33">
        <v>26703</v>
      </c>
      <c r="AD12" s="22">
        <v>0</v>
      </c>
      <c r="AE12" s="23" t="e">
        <f>AD12+'12.04'!AE12</f>
        <v>#REF!</v>
      </c>
      <c r="AF12" s="19">
        <f t="shared" si="1"/>
        <v>30800</v>
      </c>
      <c r="AG12" s="20" t="e">
        <f t="shared" si="1"/>
        <v>#REF!</v>
      </c>
      <c r="AH12" s="24">
        <v>5100</v>
      </c>
      <c r="AI12" s="23" t="e">
        <f>AH12+'12.04'!AI12</f>
        <v>#REF!</v>
      </c>
      <c r="AJ12" s="24">
        <v>8900</v>
      </c>
      <c r="AK12" s="23" t="e">
        <f>AJ12+'12.04'!AK12</f>
        <v>#REF!</v>
      </c>
      <c r="AL12" s="22">
        <v>8400</v>
      </c>
      <c r="AM12" s="23" t="e">
        <f>AL12+'12.04'!AM12</f>
        <v>#REF!</v>
      </c>
      <c r="AN12" s="22">
        <v>8400</v>
      </c>
      <c r="AO12" s="23" t="e">
        <f>AN12+'12.04'!AO12</f>
        <v>#REF!</v>
      </c>
      <c r="AP12" s="28" t="s">
        <v>46</v>
      </c>
      <c r="AQ12" s="19">
        <f t="shared" si="2"/>
        <v>85</v>
      </c>
      <c r="AR12" s="20" t="e">
        <f t="shared" si="2"/>
        <v>#REF!</v>
      </c>
      <c r="AS12" s="34">
        <v>0</v>
      </c>
      <c r="AT12" s="23" t="e">
        <f>AS12+'12.04'!AT12</f>
        <v>#REF!</v>
      </c>
      <c r="AU12" s="34">
        <v>0</v>
      </c>
      <c r="AV12" s="23" t="e">
        <f>AU12+'12.04'!AV12</f>
        <v>#REF!</v>
      </c>
      <c r="AW12" s="34">
        <v>0</v>
      </c>
      <c r="AX12" s="23" t="e">
        <f>AW12+'12.04'!AX12</f>
        <v>#REF!</v>
      </c>
      <c r="AY12" s="34">
        <v>0</v>
      </c>
      <c r="AZ12" s="23" t="e">
        <f>AY12+'12.04'!AZ12</f>
        <v>#REF!</v>
      </c>
      <c r="BA12" s="34">
        <v>85</v>
      </c>
      <c r="BB12" s="23" t="e">
        <f>BA12+'12.04'!BB12</f>
        <v>#REF!</v>
      </c>
      <c r="BC12" s="19">
        <f t="shared" si="3"/>
        <v>2511</v>
      </c>
      <c r="BD12" s="20" t="e">
        <f t="shared" si="3"/>
        <v>#REF!</v>
      </c>
      <c r="BE12" s="22">
        <v>301</v>
      </c>
      <c r="BF12" s="23" t="e">
        <f>BE12+'12.04'!BF12</f>
        <v>#REF!</v>
      </c>
      <c r="BG12" s="34">
        <v>10</v>
      </c>
      <c r="BH12" s="23" t="e">
        <f>BG12+'12.04'!BH12</f>
        <v>#REF!</v>
      </c>
      <c r="BI12" s="22">
        <v>2000</v>
      </c>
      <c r="BJ12" s="23" t="e">
        <f>BI12+'12.04'!BJ12</f>
        <v>#REF!</v>
      </c>
      <c r="BK12" s="22">
        <v>200</v>
      </c>
      <c r="BL12" s="23" t="e">
        <f>BK12+'12.04'!BL12</f>
        <v>#REF!</v>
      </c>
      <c r="BM12" s="22">
        <v>0</v>
      </c>
      <c r="BN12" s="23" t="e">
        <f>BM12+'12.04'!BN12</f>
        <v>#REF!</v>
      </c>
      <c r="BO12" s="36"/>
      <c r="BP12" s="37">
        <v>2</v>
      </c>
      <c r="BQ12" s="23" t="e">
        <f>BP12+'12.04'!BQ12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7</v>
      </c>
      <c r="D13" s="31" t="e">
        <f t="shared" si="0"/>
        <v>#REF!</v>
      </c>
      <c r="E13" s="32">
        <v>516</v>
      </c>
      <c r="F13" s="22">
        <v>3</v>
      </c>
      <c r="G13" s="23" t="e">
        <f>F13+'12.04'!G13</f>
        <v>#REF!</v>
      </c>
      <c r="H13" s="33">
        <v>10</v>
      </c>
      <c r="I13" s="34">
        <v>2</v>
      </c>
      <c r="J13" s="23" t="e">
        <f>I13+'12.04'!J13</f>
        <v>#REF!</v>
      </c>
      <c r="K13" s="33">
        <v>38</v>
      </c>
      <c r="L13" s="22">
        <v>0</v>
      </c>
      <c r="M13" s="23" t="e">
        <f>L13+'12.04'!M13</f>
        <v>#REF!</v>
      </c>
      <c r="N13" s="33">
        <v>581</v>
      </c>
      <c r="O13" s="22">
        <v>0</v>
      </c>
      <c r="P13" s="23" t="e">
        <f>O13+'12.04'!P13</f>
        <v>#REF!</v>
      </c>
      <c r="Q13" s="33">
        <v>525</v>
      </c>
      <c r="R13" s="22">
        <v>0</v>
      </c>
      <c r="S13" s="23" t="e">
        <f>R13+'12.04'!S13</f>
        <v>#REF!</v>
      </c>
      <c r="T13" s="33">
        <v>263</v>
      </c>
      <c r="U13" s="22">
        <v>0</v>
      </c>
      <c r="V13" s="23" t="e">
        <f>U13+'12.04'!V13</f>
        <v>#REF!</v>
      </c>
      <c r="W13" s="33">
        <v>43</v>
      </c>
      <c r="X13" s="22">
        <v>0</v>
      </c>
      <c r="Y13" s="23" t="e">
        <f>X13+'12.04'!Y13</f>
        <v>#REF!</v>
      </c>
      <c r="Z13" s="33">
        <v>17</v>
      </c>
      <c r="AA13" s="22">
        <v>0</v>
      </c>
      <c r="AB13" s="23" t="e">
        <f>AA13+'12.04'!AB13</f>
        <v>#REF!</v>
      </c>
      <c r="AC13" s="33">
        <v>51</v>
      </c>
      <c r="AD13" s="22">
        <v>2</v>
      </c>
      <c r="AE13" s="23" t="e">
        <f>AD13+'12.04'!AE13</f>
        <v>#REF!</v>
      </c>
      <c r="AF13" s="19">
        <f t="shared" si="1"/>
        <v>335000</v>
      </c>
      <c r="AG13" s="20" t="e">
        <f t="shared" si="1"/>
        <v>#REF!</v>
      </c>
      <c r="AH13" s="24">
        <v>2000</v>
      </c>
      <c r="AI13" s="23" t="e">
        <f>AH13+'12.04'!AI13</f>
        <v>#REF!</v>
      </c>
      <c r="AJ13" s="24">
        <v>13000</v>
      </c>
      <c r="AK13" s="23" t="e">
        <f>AJ13+'12.04'!AK13</f>
        <v>#REF!</v>
      </c>
      <c r="AL13" s="22">
        <v>30000</v>
      </c>
      <c r="AM13" s="23" t="e">
        <f>AL13+'12.04'!AM13</f>
        <v>#REF!</v>
      </c>
      <c r="AN13" s="22">
        <v>290000</v>
      </c>
      <c r="AO13" s="23" t="e">
        <f>AN13+'12.04'!AO13</f>
        <v>#REF!</v>
      </c>
      <c r="AP13" s="28" t="s">
        <v>47</v>
      </c>
      <c r="AQ13" s="19">
        <f t="shared" si="2"/>
        <v>69</v>
      </c>
      <c r="AR13" s="20" t="e">
        <f t="shared" si="2"/>
        <v>#REF!</v>
      </c>
      <c r="AS13" s="34">
        <v>1</v>
      </c>
      <c r="AT13" s="23" t="e">
        <f>AS13+'12.04'!AT13</f>
        <v>#REF!</v>
      </c>
      <c r="AU13" s="34">
        <v>1</v>
      </c>
      <c r="AV13" s="23" t="e">
        <f>AU13+'12.04'!AV13</f>
        <v>#REF!</v>
      </c>
      <c r="AW13" s="34">
        <v>0</v>
      </c>
      <c r="AX13" s="23" t="e">
        <f>AW13+'12.04'!AX13</f>
        <v>#REF!</v>
      </c>
      <c r="AY13" s="34">
        <v>0</v>
      </c>
      <c r="AZ13" s="23" t="e">
        <f>AY13+'12.04'!AZ13</f>
        <v>#REF!</v>
      </c>
      <c r="BA13" s="34">
        <v>67</v>
      </c>
      <c r="BB13" s="23" t="e">
        <f>BA13+'12.04'!BB13</f>
        <v>#REF!</v>
      </c>
      <c r="BC13" s="19">
        <f t="shared" si="3"/>
        <v>7628</v>
      </c>
      <c r="BD13" s="20" t="e">
        <f t="shared" si="3"/>
        <v>#REF!</v>
      </c>
      <c r="BE13" s="22">
        <v>516</v>
      </c>
      <c r="BF13" s="23" t="e">
        <f>BE13+'12.04'!BF13</f>
        <v>#REF!</v>
      </c>
      <c r="BG13" s="34">
        <v>12</v>
      </c>
      <c r="BH13" s="23" t="e">
        <f>BG13+'12.04'!BH13</f>
        <v>#REF!</v>
      </c>
      <c r="BI13" s="22">
        <v>7000</v>
      </c>
      <c r="BJ13" s="23" t="e">
        <f>BI13+'12.04'!BJ13</f>
        <v>#REF!</v>
      </c>
      <c r="BK13" s="22">
        <v>100</v>
      </c>
      <c r="BL13" s="23" t="e">
        <f>BK13+'12.04'!BL13</f>
        <v>#REF!</v>
      </c>
      <c r="BM13" s="22">
        <v>0</v>
      </c>
      <c r="BN13" s="23" t="e">
        <f>BM13+'12.04'!BN13</f>
        <v>#REF!</v>
      </c>
      <c r="BO13" s="36"/>
      <c r="BP13" s="37">
        <v>0</v>
      </c>
      <c r="BQ13" s="23" t="e">
        <f>BP13+'12.04'!BQ13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F14+'12.04'!G14</f>
        <v>#REF!</v>
      </c>
      <c r="H14" s="44">
        <v>5</v>
      </c>
      <c r="I14" s="45"/>
      <c r="J14" s="23" t="e">
        <f>I14+'12.04'!J14</f>
        <v>#REF!</v>
      </c>
      <c r="K14" s="44">
        <v>34</v>
      </c>
      <c r="L14" s="22"/>
      <c r="M14" s="23" t="e">
        <f>L14+'12.04'!M14</f>
        <v>#REF!</v>
      </c>
      <c r="N14" s="44">
        <v>583</v>
      </c>
      <c r="O14" s="22"/>
      <c r="P14" s="23" t="e">
        <f>O14+'12.04'!P14</f>
        <v>#REF!</v>
      </c>
      <c r="Q14" s="44">
        <v>254</v>
      </c>
      <c r="R14" s="22"/>
      <c r="S14" s="23" t="e">
        <f>R14+'12.04'!S14</f>
        <v>#REF!</v>
      </c>
      <c r="T14" s="44">
        <v>196</v>
      </c>
      <c r="U14" s="22"/>
      <c r="V14" s="23" t="e">
        <f>U14+'12.04'!V14</f>
        <v>#REF!</v>
      </c>
      <c r="W14" s="44">
        <v>30</v>
      </c>
      <c r="X14" s="22"/>
      <c r="Y14" s="23" t="e">
        <f>X14+'12.04'!Y14</f>
        <v>#REF!</v>
      </c>
      <c r="Z14" s="44">
        <v>10</v>
      </c>
      <c r="AA14" s="22"/>
      <c r="AB14" s="23" t="e">
        <f>AA14+'12.04'!AB14</f>
        <v>#REF!</v>
      </c>
      <c r="AC14" s="44">
        <v>2500</v>
      </c>
      <c r="AD14" s="22"/>
      <c r="AE14" s="23" t="e">
        <f>AD14+'12.04'!AE14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AH14+'12.04'!AI14</f>
        <v>#REF!</v>
      </c>
      <c r="AJ14" s="24"/>
      <c r="AK14" s="23" t="e">
        <f>AJ14+'12.04'!AK14</f>
        <v>#REF!</v>
      </c>
      <c r="AL14" s="22"/>
      <c r="AM14" s="23" t="e">
        <f>AL14+'12.04'!AM14</f>
        <v>#REF!</v>
      </c>
      <c r="AN14" s="22"/>
      <c r="AO14" s="23" t="e">
        <f>AN14+'12.04'!AO14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AS14+'12.04'!AT14</f>
        <v>#REF!</v>
      </c>
      <c r="AU14" s="45"/>
      <c r="AV14" s="23" t="e">
        <f>AU14+'12.04'!AV14</f>
        <v>#REF!</v>
      </c>
      <c r="AW14" s="45"/>
      <c r="AX14" s="23" t="e">
        <f>AW14+'12.04'!AX14</f>
        <v>#REF!</v>
      </c>
      <c r="AY14" s="45"/>
      <c r="AZ14" s="23" t="e">
        <f>AY14+'12.04'!AZ14</f>
        <v>#REF!</v>
      </c>
      <c r="BA14" s="45"/>
      <c r="BB14" s="23" t="e">
        <f>BA14+'12.04'!BB14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BE14+'12.04'!BF14</f>
        <v>#REF!</v>
      </c>
      <c r="BG14" s="45"/>
      <c r="BH14" s="23" t="e">
        <f>BG14+'12.04'!BH14</f>
        <v>#REF!</v>
      </c>
      <c r="BI14" s="22"/>
      <c r="BJ14" s="23" t="e">
        <f>BI14+'12.04'!BJ14</f>
        <v>#REF!</v>
      </c>
      <c r="BK14" s="22"/>
      <c r="BL14" s="23" t="e">
        <f>BK14+'12.04'!BL14</f>
        <v>#REF!</v>
      </c>
      <c r="BM14" s="22"/>
      <c r="BN14" s="23" t="e">
        <f>BM14+'12.04'!BN14</f>
        <v>#REF!</v>
      </c>
      <c r="BO14" s="48">
        <v>2</v>
      </c>
      <c r="BP14" s="49"/>
      <c r="BQ14" s="23" t="e">
        <f>BP14+'12.04'!BQ14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470</v>
      </c>
      <c r="D15" s="53" t="e">
        <f t="shared" si="0"/>
        <v>#REF!</v>
      </c>
      <c r="E15" s="54">
        <v>776</v>
      </c>
      <c r="F15" s="55">
        <v>344</v>
      </c>
      <c r="G15" s="23" t="e">
        <f>F15+'12.04'!G15</f>
        <v>#REF!</v>
      </c>
      <c r="H15" s="56">
        <v>9</v>
      </c>
      <c r="I15" s="57">
        <v>0</v>
      </c>
      <c r="J15" s="23" t="e">
        <f>I15+'12.04'!J15</f>
        <v>#REF!</v>
      </c>
      <c r="K15" s="56">
        <v>6</v>
      </c>
      <c r="L15" s="55">
        <v>0</v>
      </c>
      <c r="M15" s="23" t="e">
        <f>L15+'12.04'!M15</f>
        <v>#REF!</v>
      </c>
      <c r="N15" s="56">
        <v>1305</v>
      </c>
      <c r="O15" s="55">
        <v>0</v>
      </c>
      <c r="P15" s="23" t="e">
        <f>O15+'12.04'!P15</f>
        <v>#REF!</v>
      </c>
      <c r="Q15" s="56">
        <v>447</v>
      </c>
      <c r="R15" s="55">
        <v>0</v>
      </c>
      <c r="S15" s="23" t="e">
        <f>R15+'12.04'!S15</f>
        <v>#REF!</v>
      </c>
      <c r="T15" s="56">
        <v>337</v>
      </c>
      <c r="U15" s="55">
        <v>0</v>
      </c>
      <c r="V15" s="23" t="e">
        <f>U15+'12.04'!V15</f>
        <v>#REF!</v>
      </c>
      <c r="W15" s="56">
        <v>78</v>
      </c>
      <c r="X15" s="55">
        <v>110</v>
      </c>
      <c r="Y15" s="23" t="e">
        <f>X15+'12.04'!Y15</f>
        <v>#REF!</v>
      </c>
      <c r="Z15" s="56">
        <v>141</v>
      </c>
      <c r="AA15" s="55">
        <v>0</v>
      </c>
      <c r="AB15" s="23" t="e">
        <f>AA15+'12.04'!AB15</f>
        <v>#REF!</v>
      </c>
      <c r="AC15" s="56">
        <v>798</v>
      </c>
      <c r="AD15" s="55">
        <v>16</v>
      </c>
      <c r="AE15" s="23" t="e">
        <f>AD15+'12.04'!AE15</f>
        <v>#REF!</v>
      </c>
      <c r="AF15" s="58">
        <f t="shared" si="1"/>
        <v>6848043</v>
      </c>
      <c r="AG15" s="59" t="e">
        <f t="shared" si="1"/>
        <v>#REF!</v>
      </c>
      <c r="AH15" s="60">
        <v>745</v>
      </c>
      <c r="AI15" s="23" t="e">
        <f>AH15+'12.04'!AI15</f>
        <v>#REF!</v>
      </c>
      <c r="AJ15" s="60">
        <v>3676</v>
      </c>
      <c r="AK15" s="23" t="e">
        <f>AJ15+'12.04'!AK15</f>
        <v>#REF!</v>
      </c>
      <c r="AL15" s="55">
        <v>6220810</v>
      </c>
      <c r="AM15" s="23" t="e">
        <f>AL15+'12.04'!AM15</f>
        <v>#REF!</v>
      </c>
      <c r="AN15" s="55">
        <v>622812</v>
      </c>
      <c r="AO15" s="23" t="e">
        <f>AN15+'12.04'!AO15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AS15+'12.04'!AT15</f>
        <v>#REF!</v>
      </c>
      <c r="AU15" s="57">
        <v>0</v>
      </c>
      <c r="AV15" s="23" t="e">
        <f>AU15+'12.04'!AV15</f>
        <v>#REF!</v>
      </c>
      <c r="AW15" s="57">
        <v>0</v>
      </c>
      <c r="AX15" s="23" t="e">
        <f>AW15+'12.04'!AX15</f>
        <v>#REF!</v>
      </c>
      <c r="AY15" s="57">
        <v>0</v>
      </c>
      <c r="AZ15" s="23" t="e">
        <f>AY15+'12.04'!AZ15</f>
        <v>#REF!</v>
      </c>
      <c r="BA15" s="57">
        <v>2</v>
      </c>
      <c r="BB15" s="23" t="e">
        <f>BA15+'12.04'!BB15</f>
        <v>#REF!</v>
      </c>
      <c r="BC15" s="58">
        <f t="shared" si="3"/>
        <v>1588</v>
      </c>
      <c r="BD15" s="59" t="e">
        <f t="shared" si="3"/>
        <v>#REF!</v>
      </c>
      <c r="BE15" s="55">
        <v>85</v>
      </c>
      <c r="BF15" s="23" t="e">
        <f>BE15+'12.04'!BF15</f>
        <v>#REF!</v>
      </c>
      <c r="BG15" s="57">
        <v>3</v>
      </c>
      <c r="BH15" s="23" t="e">
        <f>BG15+'12.04'!BH15</f>
        <v>#REF!</v>
      </c>
      <c r="BI15" s="55">
        <v>750</v>
      </c>
      <c r="BJ15" s="23" t="e">
        <f>BI15+'12.04'!BJ15</f>
        <v>#REF!</v>
      </c>
      <c r="BK15" s="55">
        <v>750</v>
      </c>
      <c r="BL15" s="23" t="e">
        <f>BK15+'12.04'!BL15</f>
        <v>#REF!</v>
      </c>
      <c r="BM15" s="55">
        <v>0</v>
      </c>
      <c r="BN15" s="23" t="e">
        <f>BM15+'12.04'!BN15</f>
        <v>#REF!</v>
      </c>
      <c r="BO15" s="36">
        <v>6274</v>
      </c>
      <c r="BP15" s="37">
        <v>2</v>
      </c>
      <c r="BQ15" s="23" t="e">
        <f>BP15+'12.04'!BQ15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F16+'12.04'!G16</f>
        <v>#REF!</v>
      </c>
      <c r="H16" s="33">
        <v>5</v>
      </c>
      <c r="I16" s="34"/>
      <c r="J16" s="23" t="e">
        <f>I16+'12.04'!J16</f>
        <v>#REF!</v>
      </c>
      <c r="K16" s="33">
        <v>3</v>
      </c>
      <c r="L16" s="22"/>
      <c r="M16" s="23" t="e">
        <f>L16+'12.04'!M16</f>
        <v>#REF!</v>
      </c>
      <c r="N16" s="33">
        <v>384</v>
      </c>
      <c r="O16" s="22"/>
      <c r="P16" s="23" t="e">
        <f>O16+'12.04'!P16</f>
        <v>#REF!</v>
      </c>
      <c r="Q16" s="33">
        <v>245</v>
      </c>
      <c r="R16" s="22"/>
      <c r="S16" s="23" t="e">
        <f>R16+'12.04'!S16</f>
        <v>#REF!</v>
      </c>
      <c r="T16" s="33">
        <v>397</v>
      </c>
      <c r="U16" s="22"/>
      <c r="V16" s="23" t="e">
        <f>U16+'12.04'!V16</f>
        <v>#REF!</v>
      </c>
      <c r="W16" s="33">
        <v>24</v>
      </c>
      <c r="X16" s="22"/>
      <c r="Y16" s="23" t="e">
        <f>X16+'12.04'!Y16</f>
        <v>#REF!</v>
      </c>
      <c r="Z16" s="33">
        <v>18</v>
      </c>
      <c r="AA16" s="22"/>
      <c r="AB16" s="23" t="e">
        <f>AA16+'12.04'!AB16</f>
        <v>#REF!</v>
      </c>
      <c r="AC16" s="33">
        <v>18515</v>
      </c>
      <c r="AD16" s="22"/>
      <c r="AE16" s="23" t="e">
        <f>AD16+'12.04'!AE16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AH16+'12.04'!AI16</f>
        <v>#REF!</v>
      </c>
      <c r="AJ16" s="24"/>
      <c r="AK16" s="23" t="e">
        <f>AJ16+'12.04'!AK16</f>
        <v>#REF!</v>
      </c>
      <c r="AL16" s="22"/>
      <c r="AM16" s="23" t="e">
        <f>AL16+'12.04'!AM16</f>
        <v>#REF!</v>
      </c>
      <c r="AN16" s="22"/>
      <c r="AO16" s="23" t="e">
        <f>AN16+'12.04'!AO16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AS16+'12.04'!AT16</f>
        <v>#REF!</v>
      </c>
      <c r="AU16" s="34"/>
      <c r="AV16" s="23" t="e">
        <f>AU16+'12.04'!AV16</f>
        <v>#REF!</v>
      </c>
      <c r="AW16" s="34"/>
      <c r="AX16" s="23" t="e">
        <f>AW16+'12.04'!AX16</f>
        <v>#REF!</v>
      </c>
      <c r="AY16" s="34"/>
      <c r="AZ16" s="23" t="e">
        <f>AY16+'12.04'!AZ16</f>
        <v>#REF!</v>
      </c>
      <c r="BA16" s="34"/>
      <c r="BB16" s="23" t="e">
        <f>BA16+'12.04'!BB16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BE16+'12.04'!BF16</f>
        <v>#REF!</v>
      </c>
      <c r="BG16" s="34"/>
      <c r="BH16" s="23" t="e">
        <f>BG16+'12.04'!BH16</f>
        <v>#REF!</v>
      </c>
      <c r="BI16" s="22"/>
      <c r="BJ16" s="23" t="e">
        <f>BI16+'12.04'!BJ16</f>
        <v>#REF!</v>
      </c>
      <c r="BK16" s="22"/>
      <c r="BL16" s="23" t="e">
        <f>BK16+'12.04'!BL16</f>
        <v>#REF!</v>
      </c>
      <c r="BM16" s="22"/>
      <c r="BN16" s="23" t="e">
        <f>BM16+'12.04'!BN16</f>
        <v>#REF!</v>
      </c>
      <c r="BO16" s="36">
        <v>2546</v>
      </c>
      <c r="BP16" s="37"/>
      <c r="BQ16" s="23" t="e">
        <f>BP16+'12.04'!BQ16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0</v>
      </c>
      <c r="D17" s="31" t="e">
        <f t="shared" si="0"/>
        <v>#REF!</v>
      </c>
      <c r="E17" s="32">
        <v>754</v>
      </c>
      <c r="F17" s="22"/>
      <c r="G17" s="23" t="e">
        <f>F17+'12.04'!G17</f>
        <v>#REF!</v>
      </c>
      <c r="H17" s="33">
        <v>9</v>
      </c>
      <c r="I17" s="34"/>
      <c r="J17" s="23" t="e">
        <f>I17+'12.04'!J17</f>
        <v>#REF!</v>
      </c>
      <c r="K17" s="33">
        <v>5</v>
      </c>
      <c r="L17" s="22"/>
      <c r="M17" s="23" t="e">
        <f>L17+'12.04'!M17</f>
        <v>#REF!</v>
      </c>
      <c r="N17" s="33">
        <v>768</v>
      </c>
      <c r="O17" s="22"/>
      <c r="P17" s="23" t="e">
        <f>O17+'12.04'!P17</f>
        <v>#REF!</v>
      </c>
      <c r="Q17" s="33">
        <v>624</v>
      </c>
      <c r="R17" s="22"/>
      <c r="S17" s="23" t="e">
        <f>R17+'12.04'!S17</f>
        <v>#REF!</v>
      </c>
      <c r="T17" s="33">
        <v>742</v>
      </c>
      <c r="U17" s="22"/>
      <c r="V17" s="23" t="e">
        <f>U17+'12.04'!V17</f>
        <v>#REF!</v>
      </c>
      <c r="W17" s="33">
        <v>54</v>
      </c>
      <c r="X17" s="22"/>
      <c r="Y17" s="23" t="e">
        <f>X17+'12.04'!Y17</f>
        <v>#REF!</v>
      </c>
      <c r="Z17" s="33">
        <v>66</v>
      </c>
      <c r="AA17" s="22"/>
      <c r="AB17" s="23" t="e">
        <f>AA17+'12.04'!AB17</f>
        <v>#REF!</v>
      </c>
      <c r="AC17" s="33">
        <v>2580</v>
      </c>
      <c r="AD17" s="22"/>
      <c r="AE17" s="23" t="e">
        <f>AD17+'12.04'!AE17</f>
        <v>#REF!</v>
      </c>
      <c r="AF17" s="19">
        <f t="shared" si="1"/>
        <v>0</v>
      </c>
      <c r="AG17" s="20" t="e">
        <f t="shared" si="1"/>
        <v>#REF!</v>
      </c>
      <c r="AH17" s="24"/>
      <c r="AI17" s="23" t="e">
        <f>AH17+'12.04'!AI17</f>
        <v>#REF!</v>
      </c>
      <c r="AJ17" s="24"/>
      <c r="AK17" s="23" t="e">
        <f>AJ17+'12.04'!AK17</f>
        <v>#REF!</v>
      </c>
      <c r="AL17" s="22"/>
      <c r="AM17" s="23" t="e">
        <f>AL17+'12.04'!AM17</f>
        <v>#REF!</v>
      </c>
      <c r="AN17" s="22"/>
      <c r="AO17" s="23" t="e">
        <f>AN17+'12.04'!AO17</f>
        <v>#REF!</v>
      </c>
      <c r="AP17" s="28" t="s">
        <v>52</v>
      </c>
      <c r="AQ17" s="19">
        <f t="shared" si="2"/>
        <v>0</v>
      </c>
      <c r="AR17" s="20" t="e">
        <f t="shared" si="2"/>
        <v>#REF!</v>
      </c>
      <c r="AS17" s="34"/>
      <c r="AT17" s="23" t="e">
        <f>AS17+'12.04'!AT17</f>
        <v>#REF!</v>
      </c>
      <c r="AU17" s="34"/>
      <c r="AV17" s="23" t="e">
        <f>AU17+'12.04'!AV17</f>
        <v>#REF!</v>
      </c>
      <c r="AW17" s="34"/>
      <c r="AX17" s="23" t="e">
        <f>AW17+'12.04'!AX17</f>
        <v>#REF!</v>
      </c>
      <c r="AY17" s="34"/>
      <c r="AZ17" s="23" t="e">
        <f>AY17+'12.04'!AZ17</f>
        <v>#REF!</v>
      </c>
      <c r="BA17" s="34"/>
      <c r="BB17" s="23" t="e">
        <f>BA17+'12.04'!BB17</f>
        <v>#REF!</v>
      </c>
      <c r="BC17" s="19">
        <f t="shared" si="3"/>
        <v>0</v>
      </c>
      <c r="BD17" s="20" t="e">
        <f t="shared" si="3"/>
        <v>#REF!</v>
      </c>
      <c r="BE17" s="22"/>
      <c r="BF17" s="23" t="e">
        <f>BE17+'12.04'!BF17</f>
        <v>#REF!</v>
      </c>
      <c r="BG17" s="34"/>
      <c r="BH17" s="23" t="e">
        <f>BG17+'12.04'!BH17</f>
        <v>#REF!</v>
      </c>
      <c r="BI17" s="22"/>
      <c r="BJ17" s="23" t="e">
        <f>BI17+'12.04'!BJ17</f>
        <v>#REF!</v>
      </c>
      <c r="BK17" s="22"/>
      <c r="BL17" s="23" t="e">
        <f>BK17+'12.04'!BL17</f>
        <v>#REF!</v>
      </c>
      <c r="BM17" s="22"/>
      <c r="BN17" s="23" t="e">
        <f>BM17+'12.04'!BN17</f>
        <v>#REF!</v>
      </c>
      <c r="BO17" s="36">
        <v>8022</v>
      </c>
      <c r="BP17" s="37"/>
      <c r="BQ17" s="23" t="e">
        <f>BP17+'12.04'!BQ17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589</v>
      </c>
      <c r="D18" s="20" t="e">
        <f t="shared" si="0"/>
        <v>#REF!</v>
      </c>
      <c r="E18" s="21">
        <v>1063</v>
      </c>
      <c r="F18" s="22">
        <v>351</v>
      </c>
      <c r="G18" s="23" t="e">
        <f>F18+'12.04'!G18</f>
        <v>#REF!</v>
      </c>
      <c r="H18" s="21">
        <v>19</v>
      </c>
      <c r="I18" s="22">
        <v>0</v>
      </c>
      <c r="J18" s="23" t="e">
        <f>I18+'12.04'!J18</f>
        <v>#REF!</v>
      </c>
      <c r="K18" s="21">
        <v>8</v>
      </c>
      <c r="L18" s="22">
        <v>0</v>
      </c>
      <c r="M18" s="23" t="e">
        <f>L18+'12.04'!M18</f>
        <v>#REF!</v>
      </c>
      <c r="N18" s="21">
        <v>1331</v>
      </c>
      <c r="O18" s="22">
        <v>0</v>
      </c>
      <c r="P18" s="23" t="e">
        <f>O18+'12.04'!P18</f>
        <v>#REF!</v>
      </c>
      <c r="Q18" s="21">
        <v>777</v>
      </c>
      <c r="R18" s="22">
        <v>0</v>
      </c>
      <c r="S18" s="23" t="e">
        <f>R18+'12.04'!S18</f>
        <v>#REF!</v>
      </c>
      <c r="T18" s="21">
        <v>318</v>
      </c>
      <c r="U18" s="22">
        <v>0</v>
      </c>
      <c r="V18" s="23" t="e">
        <f>U18+'12.04'!V18</f>
        <v>#REF!</v>
      </c>
      <c r="W18" s="21">
        <v>60</v>
      </c>
      <c r="X18" s="22">
        <v>238</v>
      </c>
      <c r="Y18" s="23" t="e">
        <f>X18+'12.04'!Y18</f>
        <v>#REF!</v>
      </c>
      <c r="Z18" s="21">
        <v>72</v>
      </c>
      <c r="AA18" s="22">
        <v>0</v>
      </c>
      <c r="AB18" s="23" t="e">
        <f>AA18+'12.04'!AB18</f>
        <v>#REF!</v>
      </c>
      <c r="AC18" s="21">
        <v>143</v>
      </c>
      <c r="AD18" s="22">
        <v>0</v>
      </c>
      <c r="AE18" s="23" t="e">
        <f>AD18+'12.04'!AE18</f>
        <v>#REF!</v>
      </c>
      <c r="AF18" s="19">
        <f t="shared" si="1"/>
        <v>373165</v>
      </c>
      <c r="AG18" s="20" t="e">
        <f t="shared" si="1"/>
        <v>#REF!</v>
      </c>
      <c r="AH18" s="24">
        <v>715</v>
      </c>
      <c r="AI18" s="23" t="e">
        <f>AH18+'12.04'!AI18</f>
        <v>#REF!</v>
      </c>
      <c r="AJ18" s="24">
        <v>5104</v>
      </c>
      <c r="AK18" s="23" t="e">
        <f>AJ18+'12.04'!AK18</f>
        <v>#REF!</v>
      </c>
      <c r="AL18" s="22">
        <v>183673</v>
      </c>
      <c r="AM18" s="23" t="e">
        <f>AL18+'12.04'!AM18</f>
        <v>#REF!</v>
      </c>
      <c r="AN18" s="22">
        <v>183673</v>
      </c>
      <c r="AO18" s="23" t="e">
        <f>AN18+'12.04'!AO18</f>
        <v>#REF!</v>
      </c>
      <c r="AP18" s="17" t="s">
        <v>53</v>
      </c>
      <c r="AQ18" s="19">
        <f>AS18+AU18+AW18+AY18+BA18</f>
        <v>10</v>
      </c>
      <c r="AR18" s="20" t="e">
        <f t="shared" si="2"/>
        <v>#REF!</v>
      </c>
      <c r="AS18" s="22">
        <v>1</v>
      </c>
      <c r="AT18" s="23" t="e">
        <f>AS18+'12.04'!AT18</f>
        <v>#REF!</v>
      </c>
      <c r="AU18" s="22">
        <v>0</v>
      </c>
      <c r="AV18" s="23" t="e">
        <f>AU18+'12.04'!AV18</f>
        <v>#REF!</v>
      </c>
      <c r="AW18" s="22">
        <v>0</v>
      </c>
      <c r="AX18" s="23" t="e">
        <f>AW18+'12.04'!AX18</f>
        <v>#REF!</v>
      </c>
      <c r="AY18" s="22">
        <v>0</v>
      </c>
      <c r="AZ18" s="23" t="e">
        <f>AY18+'12.04'!AZ18</f>
        <v>#REF!</v>
      </c>
      <c r="BA18" s="22">
        <v>9</v>
      </c>
      <c r="BB18" s="23" t="e">
        <f>BA18+'12.04'!BB18</f>
        <v>#REF!</v>
      </c>
      <c r="BC18" s="19">
        <f t="shared" si="3"/>
        <v>4270</v>
      </c>
      <c r="BD18" s="20" t="e">
        <f>BF18+BH18+BJ18+BL18+BN18</f>
        <v>#REF!</v>
      </c>
      <c r="BE18" s="22">
        <v>3</v>
      </c>
      <c r="BF18" s="23" t="e">
        <f>BE18+'12.04'!BF18</f>
        <v>#REF!</v>
      </c>
      <c r="BG18" s="22">
        <v>0</v>
      </c>
      <c r="BH18" s="23" t="e">
        <f>BG18+'12.04'!BH18</f>
        <v>#REF!</v>
      </c>
      <c r="BI18" s="22">
        <v>3972</v>
      </c>
      <c r="BJ18" s="23" t="e">
        <f>BI18+'12.04'!BJ18</f>
        <v>#REF!</v>
      </c>
      <c r="BK18" s="22">
        <v>295</v>
      </c>
      <c r="BL18" s="23" t="e">
        <f>BK18+'12.04'!BL18</f>
        <v>#REF!</v>
      </c>
      <c r="BM18" s="22">
        <v>0</v>
      </c>
      <c r="BN18" s="23" t="e">
        <f>BM18+'12.04'!BN18</f>
        <v>#REF!</v>
      </c>
      <c r="BO18" s="36">
        <v>442</v>
      </c>
      <c r="BP18" s="37">
        <v>0</v>
      </c>
      <c r="BQ18" s="23" t="e">
        <f>BP18+'12.04'!BQ18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54</v>
      </c>
      <c r="D19" s="31" t="e">
        <f t="shared" si="0"/>
        <v>#REF!</v>
      </c>
      <c r="E19" s="33">
        <v>221</v>
      </c>
      <c r="F19" s="22">
        <v>18</v>
      </c>
      <c r="G19" s="23" t="e">
        <f>F19+'12.04'!G19</f>
        <v>#REF!</v>
      </c>
      <c r="H19" s="33">
        <v>5</v>
      </c>
      <c r="I19" s="34">
        <v>0</v>
      </c>
      <c r="J19" s="23" t="e">
        <f>I19+'12.04'!J19</f>
        <v>#REF!</v>
      </c>
      <c r="K19" s="33">
        <v>4</v>
      </c>
      <c r="L19" s="22">
        <v>0</v>
      </c>
      <c r="M19" s="23" t="e">
        <f>L19+'12.04'!M19</f>
        <v>#REF!</v>
      </c>
      <c r="N19" s="33">
        <v>313</v>
      </c>
      <c r="O19" s="22">
        <v>0</v>
      </c>
      <c r="P19" s="23" t="e">
        <f>O19+'12.04'!P19</f>
        <v>#REF!</v>
      </c>
      <c r="Q19" s="33">
        <v>203</v>
      </c>
      <c r="R19" s="22">
        <v>0</v>
      </c>
      <c r="S19" s="23" t="e">
        <f>R19+'12.04'!S19</f>
        <v>#REF!</v>
      </c>
      <c r="T19" s="33">
        <v>241</v>
      </c>
      <c r="U19" s="22">
        <v>0</v>
      </c>
      <c r="V19" s="23" t="e">
        <f>U19+'12.04'!V19</f>
        <v>#REF!</v>
      </c>
      <c r="W19" s="33">
        <v>14</v>
      </c>
      <c r="X19" s="22">
        <v>21</v>
      </c>
      <c r="Y19" s="23" t="e">
        <f>X19+'12.04'!Y19</f>
        <v>#REF!</v>
      </c>
      <c r="Z19" s="33">
        <v>7</v>
      </c>
      <c r="AA19" s="22">
        <v>0</v>
      </c>
      <c r="AB19" s="23" t="e">
        <f>AA19+'12.04'!AB19</f>
        <v>#REF!</v>
      </c>
      <c r="AC19" s="33">
        <v>32</v>
      </c>
      <c r="AD19" s="22">
        <v>15</v>
      </c>
      <c r="AE19" s="23" t="e">
        <f>AD19+'12.04'!AE19</f>
        <v>#REF!</v>
      </c>
      <c r="AF19" s="19">
        <f t="shared" si="1"/>
        <v>3950</v>
      </c>
      <c r="AG19" s="20" t="e">
        <f t="shared" si="1"/>
        <v>#REF!</v>
      </c>
      <c r="AH19" s="24">
        <v>750</v>
      </c>
      <c r="AI19" s="23" t="e">
        <f>AH19+'12.04'!AI19</f>
        <v>#REF!</v>
      </c>
      <c r="AJ19" s="24">
        <v>1000</v>
      </c>
      <c r="AK19" s="23" t="e">
        <f>AJ19+'12.04'!AK19</f>
        <v>#REF!</v>
      </c>
      <c r="AL19" s="22">
        <v>200</v>
      </c>
      <c r="AM19" s="23" t="e">
        <f>AL19+'12.04'!AM19</f>
        <v>#REF!</v>
      </c>
      <c r="AN19" s="22">
        <v>2000</v>
      </c>
      <c r="AO19" s="23" t="e">
        <f>AN19+'12.04'!AO19</f>
        <v>#REF!</v>
      </c>
      <c r="AP19" s="28" t="s">
        <v>54</v>
      </c>
      <c r="AQ19" s="19">
        <f t="shared" ref="AQ19:AQ22" si="4">AS19+AU19+AW19+AY19+BA19</f>
        <v>6</v>
      </c>
      <c r="AR19" s="20" t="e">
        <f t="shared" si="2"/>
        <v>#REF!</v>
      </c>
      <c r="AS19" s="34">
        <v>0</v>
      </c>
      <c r="AT19" s="23" t="e">
        <f>AS19+'12.04'!AT19</f>
        <v>#REF!</v>
      </c>
      <c r="AU19" s="34">
        <v>0</v>
      </c>
      <c r="AV19" s="23" t="e">
        <f>AU19+'12.04'!AV19</f>
        <v>#REF!</v>
      </c>
      <c r="AW19" s="34">
        <v>0</v>
      </c>
      <c r="AX19" s="23" t="e">
        <f>AW19+'12.04'!AX19</f>
        <v>#REF!</v>
      </c>
      <c r="AY19" s="34">
        <v>0</v>
      </c>
      <c r="AZ19" s="23" t="e">
        <f>AY19+'12.04'!AZ19</f>
        <v>#REF!</v>
      </c>
      <c r="BA19" s="34">
        <v>6</v>
      </c>
      <c r="BB19" s="23" t="e">
        <f>BA19+'12.04'!BB19</f>
        <v>#REF!</v>
      </c>
      <c r="BC19" s="19">
        <f t="shared" si="3"/>
        <v>1614</v>
      </c>
      <c r="BD19" s="20" t="e">
        <f t="shared" si="3"/>
        <v>#REF!</v>
      </c>
      <c r="BE19" s="22">
        <v>14</v>
      </c>
      <c r="BF19" s="23" t="e">
        <f>BE19+'12.04'!BF19</f>
        <v>#REF!</v>
      </c>
      <c r="BG19" s="34">
        <v>0</v>
      </c>
      <c r="BH19" s="23" t="e">
        <f>BG19+'12.04'!BH19</f>
        <v>#REF!</v>
      </c>
      <c r="BI19" s="22">
        <v>1300</v>
      </c>
      <c r="BJ19" s="23" t="e">
        <f>BI19+'12.04'!BJ19</f>
        <v>#REF!</v>
      </c>
      <c r="BK19" s="22">
        <v>300</v>
      </c>
      <c r="BL19" s="23" t="e">
        <f>BK19+'12.04'!BL19</f>
        <v>#REF!</v>
      </c>
      <c r="BM19" s="22">
        <v>0</v>
      </c>
      <c r="BN19" s="23" t="e">
        <f>BM19+'12.04'!BN19</f>
        <v>#REF!</v>
      </c>
      <c r="BO19" s="36">
        <v>2898</v>
      </c>
      <c r="BP19" s="37">
        <v>0</v>
      </c>
      <c r="BQ19" s="23" t="e">
        <f>BP19+'12.04'!BQ19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425</v>
      </c>
      <c r="D20" s="31" t="e">
        <f t="shared" si="0"/>
        <v>#REF!</v>
      </c>
      <c r="E20" s="32">
        <v>723</v>
      </c>
      <c r="F20" s="22">
        <v>264</v>
      </c>
      <c r="G20" s="23" t="e">
        <f>F20+'12.04'!G20</f>
        <v>#REF!</v>
      </c>
      <c r="H20" s="33">
        <v>5</v>
      </c>
      <c r="I20" s="34">
        <v>1</v>
      </c>
      <c r="J20" s="23" t="e">
        <f>I20+'12.04'!J20</f>
        <v>#REF!</v>
      </c>
      <c r="K20" s="33">
        <v>3</v>
      </c>
      <c r="L20" s="22">
        <v>0</v>
      </c>
      <c r="M20" s="23" t="e">
        <f>L20+'12.04'!M20</f>
        <v>#REF!</v>
      </c>
      <c r="N20" s="33">
        <v>975</v>
      </c>
      <c r="O20" s="22">
        <v>75</v>
      </c>
      <c r="P20" s="23" t="e">
        <f>O20+'12.04'!P20</f>
        <v>#REF!</v>
      </c>
      <c r="Q20" s="61">
        <v>1862</v>
      </c>
      <c r="R20" s="22">
        <v>1</v>
      </c>
      <c r="S20" s="23" t="e">
        <f>R20+'12.04'!S20</f>
        <v>#REF!</v>
      </c>
      <c r="T20" s="33">
        <v>35</v>
      </c>
      <c r="U20" s="22">
        <v>2</v>
      </c>
      <c r="V20" s="23" t="e">
        <f>U20+'12.04'!V20</f>
        <v>#REF!</v>
      </c>
      <c r="W20" s="33">
        <v>64</v>
      </c>
      <c r="X20" s="22">
        <v>1</v>
      </c>
      <c r="Y20" s="23" t="e">
        <f>X20+'12.04'!Y20</f>
        <v>#REF!</v>
      </c>
      <c r="Z20" s="33">
        <v>15</v>
      </c>
      <c r="AA20" s="22">
        <v>1</v>
      </c>
      <c r="AB20" s="23" t="e">
        <f>AA20+'12.04'!AB20</f>
        <v>#REF!</v>
      </c>
      <c r="AC20" s="33">
        <v>1546</v>
      </c>
      <c r="AD20" s="22">
        <v>80</v>
      </c>
      <c r="AE20" s="23" t="e">
        <f>AD20+'12.04'!AE20</f>
        <v>#REF!</v>
      </c>
      <c r="AF20" s="19">
        <f t="shared" si="1"/>
        <v>22930</v>
      </c>
      <c r="AG20" s="20" t="e">
        <f t="shared" si="1"/>
        <v>#REF!</v>
      </c>
      <c r="AH20" s="24">
        <v>11220</v>
      </c>
      <c r="AI20" s="23" t="e">
        <f>AH20+'12.04'!AI20</f>
        <v>#REF!</v>
      </c>
      <c r="AJ20" s="24">
        <v>11110</v>
      </c>
      <c r="AK20" s="23" t="e">
        <f>AJ20+'12.04'!AK20</f>
        <v>#REF!</v>
      </c>
      <c r="AL20" s="22">
        <v>450</v>
      </c>
      <c r="AM20" s="23" t="e">
        <f>AL20+'12.04'!AM20</f>
        <v>#REF!</v>
      </c>
      <c r="AN20" s="22">
        <v>150</v>
      </c>
      <c r="AO20" s="23" t="e">
        <f>AN20+'12.04'!AO20</f>
        <v>#REF!</v>
      </c>
      <c r="AP20" s="28" t="s">
        <v>55</v>
      </c>
      <c r="AQ20" s="19">
        <f t="shared" si="4"/>
        <v>215</v>
      </c>
      <c r="AR20" s="20" t="e">
        <f t="shared" si="2"/>
        <v>#REF!</v>
      </c>
      <c r="AS20" s="34">
        <v>1</v>
      </c>
      <c r="AT20" s="23" t="e">
        <f>AS20+'12.04'!AT20</f>
        <v>#REF!</v>
      </c>
      <c r="AU20" s="34">
        <v>0</v>
      </c>
      <c r="AV20" s="23" t="e">
        <f>AU20+'12.04'!AV20</f>
        <v>#REF!</v>
      </c>
      <c r="AW20" s="34">
        <v>0</v>
      </c>
      <c r="AX20" s="23" t="e">
        <f>AW20+'12.04'!AX20</f>
        <v>#REF!</v>
      </c>
      <c r="AY20" s="34">
        <v>0</v>
      </c>
      <c r="AZ20" s="23" t="e">
        <f>AY20+'12.04'!AZ20</f>
        <v>#REF!</v>
      </c>
      <c r="BA20" s="34">
        <v>214</v>
      </c>
      <c r="BB20" s="23" t="e">
        <f>BA20+'12.04'!BB20</f>
        <v>#REF!</v>
      </c>
      <c r="BC20" s="19">
        <f t="shared" si="3"/>
        <v>4692</v>
      </c>
      <c r="BD20" s="20" t="e">
        <f t="shared" si="3"/>
        <v>#REF!</v>
      </c>
      <c r="BE20" s="22">
        <v>602</v>
      </c>
      <c r="BF20" s="23" t="e">
        <f>BE20+'12.04'!BF20</f>
        <v>#REF!</v>
      </c>
      <c r="BG20" s="34">
        <v>0</v>
      </c>
      <c r="BH20" s="23" t="e">
        <f>BG20+'12.04'!BH20</f>
        <v>#REF!</v>
      </c>
      <c r="BI20" s="22">
        <v>2135</v>
      </c>
      <c r="BJ20" s="23" t="e">
        <f>BI20+'12.04'!BJ20</f>
        <v>#REF!</v>
      </c>
      <c r="BK20" s="22">
        <v>1955</v>
      </c>
      <c r="BL20" s="23" t="e">
        <f>BK20+'12.04'!BL20</f>
        <v>#REF!</v>
      </c>
      <c r="BM20" s="22">
        <v>0</v>
      </c>
      <c r="BN20" s="23" t="e">
        <f>BM20+'12.04'!BN20</f>
        <v>#REF!</v>
      </c>
      <c r="BO20" s="36">
        <v>5854</v>
      </c>
      <c r="BP20" s="37">
        <v>0</v>
      </c>
      <c r="BQ20" s="23" t="e">
        <f>BP20+'12.04'!BQ20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240</v>
      </c>
      <c r="D21" s="31" t="e">
        <f t="shared" si="0"/>
        <v>#REF!</v>
      </c>
      <c r="E21" s="32">
        <v>1017</v>
      </c>
      <c r="F21" s="22">
        <v>180</v>
      </c>
      <c r="G21" s="23" t="e">
        <f>F21+'12.04'!G21</f>
        <v>#REF!</v>
      </c>
      <c r="H21" s="33">
        <v>8</v>
      </c>
      <c r="I21" s="34">
        <v>0</v>
      </c>
      <c r="J21" s="23" t="e">
        <f>I21+'12.04'!J21</f>
        <v>#REF!</v>
      </c>
      <c r="K21" s="33">
        <v>4</v>
      </c>
      <c r="L21" s="22">
        <v>0</v>
      </c>
      <c r="M21" s="23" t="e">
        <f>L21+'12.04'!M21</f>
        <v>#REF!</v>
      </c>
      <c r="N21" s="33">
        <v>963</v>
      </c>
      <c r="O21" s="22">
        <v>1</v>
      </c>
      <c r="P21" s="23" t="e">
        <f>O21+'12.04'!P21</f>
        <v>#REF!</v>
      </c>
      <c r="Q21" s="33">
        <v>912</v>
      </c>
      <c r="R21" s="22">
        <v>0</v>
      </c>
      <c r="S21" s="23" t="e">
        <f>R21+'12.04'!S21</f>
        <v>#REF!</v>
      </c>
      <c r="T21" s="33">
        <v>199</v>
      </c>
      <c r="U21" s="22">
        <v>2</v>
      </c>
      <c r="V21" s="23" t="e">
        <f>U21+'12.04'!V21</f>
        <v>#REF!</v>
      </c>
      <c r="W21" s="33">
        <v>101</v>
      </c>
      <c r="X21" s="22">
        <v>55</v>
      </c>
      <c r="Y21" s="23" t="e">
        <f>X21+'12.04'!Y21</f>
        <v>#REF!</v>
      </c>
      <c r="Z21" s="33">
        <v>42</v>
      </c>
      <c r="AA21" s="22">
        <v>1</v>
      </c>
      <c r="AB21" s="23" t="e">
        <f>AA21+'12.04'!AB21</f>
        <v>#REF!</v>
      </c>
      <c r="AC21" s="33">
        <v>20</v>
      </c>
      <c r="AD21" s="22">
        <v>1</v>
      </c>
      <c r="AE21" s="23" t="e">
        <f>AD21+'12.04'!AE21</f>
        <v>#REF!</v>
      </c>
      <c r="AF21" s="19">
        <f t="shared" si="1"/>
        <v>1040000</v>
      </c>
      <c r="AG21" s="20" t="e">
        <f t="shared" si="1"/>
        <v>#REF!</v>
      </c>
      <c r="AH21" s="24">
        <v>4000</v>
      </c>
      <c r="AI21" s="23" t="e">
        <f>AH21+'12.04'!AI21</f>
        <v>#REF!</v>
      </c>
      <c r="AJ21" s="24">
        <v>196000</v>
      </c>
      <c r="AK21" s="23" t="e">
        <f>AJ21+'12.04'!AK21</f>
        <v>#REF!</v>
      </c>
      <c r="AL21" s="22">
        <v>600000</v>
      </c>
      <c r="AM21" s="23" t="e">
        <f>AL21+'12.04'!AM21</f>
        <v>#REF!</v>
      </c>
      <c r="AN21" s="22">
        <v>240000</v>
      </c>
      <c r="AO21" s="23" t="e">
        <f>AN21+'12.04'!AO21</f>
        <v>#REF!</v>
      </c>
      <c r="AP21" s="28" t="s">
        <v>58</v>
      </c>
      <c r="AQ21" s="19">
        <f t="shared" si="4"/>
        <v>12</v>
      </c>
      <c r="AR21" s="20" t="e">
        <f t="shared" si="2"/>
        <v>#REF!</v>
      </c>
      <c r="AS21" s="34">
        <v>0</v>
      </c>
      <c r="AT21" s="23" t="e">
        <f>AS21+'12.04'!AT21</f>
        <v>#REF!</v>
      </c>
      <c r="AU21" s="34">
        <v>2</v>
      </c>
      <c r="AV21" s="23" t="e">
        <f>AU21+'12.04'!AV21</f>
        <v>#REF!</v>
      </c>
      <c r="AW21" s="34">
        <v>0</v>
      </c>
      <c r="AX21" s="23" t="e">
        <f>AW21+'12.04'!AX21</f>
        <v>#REF!</v>
      </c>
      <c r="AY21" s="34">
        <v>0</v>
      </c>
      <c r="AZ21" s="23" t="e">
        <f>AY21+'12.04'!AZ21</f>
        <v>#REF!</v>
      </c>
      <c r="BA21" s="34">
        <v>10</v>
      </c>
      <c r="BB21" s="23" t="e">
        <f>BA21+'12.04'!BB21</f>
        <v>#REF!</v>
      </c>
      <c r="BC21" s="19">
        <f t="shared" si="3"/>
        <v>10080</v>
      </c>
      <c r="BD21" s="20" t="e">
        <f t="shared" si="3"/>
        <v>#REF!</v>
      </c>
      <c r="BE21" s="22">
        <v>80</v>
      </c>
      <c r="BF21" s="23" t="e">
        <f>BE21+'12.04'!BF21</f>
        <v>#REF!</v>
      </c>
      <c r="BG21" s="34">
        <v>0</v>
      </c>
      <c r="BH21" s="23" t="e">
        <f>BG21+'12.04'!BH21</f>
        <v>#REF!</v>
      </c>
      <c r="BI21" s="22">
        <v>10000</v>
      </c>
      <c r="BJ21" s="23" t="e">
        <f>BI21+'12.04'!BJ21</f>
        <v>#REF!</v>
      </c>
      <c r="BK21" s="22">
        <v>0</v>
      </c>
      <c r="BL21" s="23" t="e">
        <f>BK21+'12.04'!BL21</f>
        <v>#REF!</v>
      </c>
      <c r="BM21" s="22">
        <v>0</v>
      </c>
      <c r="BN21" s="23" t="e">
        <f>BM21+'12.04'!BN21</f>
        <v>#REF!</v>
      </c>
      <c r="BO21" s="36">
        <v>68</v>
      </c>
      <c r="BP21" s="37">
        <v>0</v>
      </c>
      <c r="BQ21" s="23" t="e">
        <f>BP21+'12.04'!BQ21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635</v>
      </c>
      <c r="D22" s="31" t="e">
        <f t="shared" si="0"/>
        <v>#REF!</v>
      </c>
      <c r="E22" s="32">
        <v>509</v>
      </c>
      <c r="F22" s="22">
        <v>354</v>
      </c>
      <c r="G22" s="23" t="e">
        <f>F22+'12.04'!G22</f>
        <v>#REF!</v>
      </c>
      <c r="H22" s="33">
        <v>8</v>
      </c>
      <c r="I22" s="34">
        <v>0</v>
      </c>
      <c r="J22" s="23" t="e">
        <f>I22+'12.04'!J22</f>
        <v>#REF!</v>
      </c>
      <c r="K22" s="33">
        <v>21</v>
      </c>
      <c r="L22" s="22">
        <v>0</v>
      </c>
      <c r="M22" s="23" t="e">
        <f>L22+'12.04'!M22</f>
        <v>#REF!</v>
      </c>
      <c r="N22" s="33">
        <v>560</v>
      </c>
      <c r="O22" s="22">
        <v>42</v>
      </c>
      <c r="P22" s="23" t="e">
        <f>O22+'12.04'!P22</f>
        <v>#REF!</v>
      </c>
      <c r="Q22" s="33">
        <v>375</v>
      </c>
      <c r="R22" s="22">
        <v>0</v>
      </c>
      <c r="S22" s="23" t="e">
        <f>R22+'12.04'!S22</f>
        <v>#REF!</v>
      </c>
      <c r="T22" s="33">
        <v>165</v>
      </c>
      <c r="U22" s="22">
        <v>22</v>
      </c>
      <c r="V22" s="23" t="e">
        <f>U22+'12.04'!V22</f>
        <v>#REF!</v>
      </c>
      <c r="W22" s="33">
        <v>28</v>
      </c>
      <c r="X22" s="22">
        <v>29</v>
      </c>
      <c r="Y22" s="23" t="e">
        <f>X22+'12.04'!Y22</f>
        <v>#REF!</v>
      </c>
      <c r="Z22" s="33">
        <v>9</v>
      </c>
      <c r="AA22" s="22">
        <v>0</v>
      </c>
      <c r="AB22" s="23" t="e">
        <f>AA22+'12.04'!AB22</f>
        <v>#REF!</v>
      </c>
      <c r="AC22" s="33">
        <v>112</v>
      </c>
      <c r="AD22" s="22">
        <v>188</v>
      </c>
      <c r="AE22" s="23" t="e">
        <f>AD22+'12.04'!AE22</f>
        <v>#REF!</v>
      </c>
      <c r="AF22" s="19">
        <f t="shared" si="1"/>
        <v>460703</v>
      </c>
      <c r="AG22" s="20" t="e">
        <f t="shared" si="1"/>
        <v>#REF!</v>
      </c>
      <c r="AH22" s="24">
        <v>1312</v>
      </c>
      <c r="AI22" s="23" t="e">
        <f>AH22+'12.04'!AI22</f>
        <v>#REF!</v>
      </c>
      <c r="AJ22" s="24">
        <v>8177</v>
      </c>
      <c r="AK22" s="23" t="e">
        <f>AJ22+'12.04'!AK22</f>
        <v>#REF!</v>
      </c>
      <c r="AL22" s="22">
        <v>1241</v>
      </c>
      <c r="AM22" s="23" t="e">
        <f>AL22+'12.04'!AM22</f>
        <v>#REF!</v>
      </c>
      <c r="AN22" s="22">
        <v>449973</v>
      </c>
      <c r="AO22" s="23" t="e">
        <f>AN22+'12.04'!AO22</f>
        <v>#REF!</v>
      </c>
      <c r="AP22" s="28" t="s">
        <v>59</v>
      </c>
      <c r="AQ22" s="19">
        <f t="shared" si="4"/>
        <v>884</v>
      </c>
      <c r="AR22" s="20" t="e">
        <f t="shared" si="2"/>
        <v>#REF!</v>
      </c>
      <c r="AS22" s="34">
        <v>1</v>
      </c>
      <c r="AT22" s="23" t="e">
        <f>AS22+'12.04'!AT22</f>
        <v>#REF!</v>
      </c>
      <c r="AU22" s="34">
        <v>0</v>
      </c>
      <c r="AV22" s="23" t="e">
        <f>AU22+'12.04'!AV22</f>
        <v>#REF!</v>
      </c>
      <c r="AW22" s="34">
        <v>0</v>
      </c>
      <c r="AX22" s="23" t="e">
        <f>AW22+'12.04'!AX22</f>
        <v>#REF!</v>
      </c>
      <c r="AY22" s="34">
        <v>0</v>
      </c>
      <c r="AZ22" s="23" t="e">
        <f>AY22+'12.04'!AZ22</f>
        <v>#REF!</v>
      </c>
      <c r="BA22" s="34">
        <v>883</v>
      </c>
      <c r="BB22" s="23" t="e">
        <f>BA22+'12.04'!BB22</f>
        <v>#REF!</v>
      </c>
      <c r="BC22" s="19">
        <f t="shared" si="3"/>
        <v>8090</v>
      </c>
      <c r="BD22" s="20" t="e">
        <f t="shared" si="3"/>
        <v>#REF!</v>
      </c>
      <c r="BE22" s="22">
        <v>2</v>
      </c>
      <c r="BF22" s="23" t="e">
        <f>BE22+'12.04'!BF22</f>
        <v>#REF!</v>
      </c>
      <c r="BG22" s="34">
        <v>3</v>
      </c>
      <c r="BH22" s="23" t="e">
        <f>BG22+'12.04'!BH22</f>
        <v>#REF!</v>
      </c>
      <c r="BI22" s="22">
        <v>8063</v>
      </c>
      <c r="BJ22" s="23" t="e">
        <f>BI22+'12.04'!BJ22</f>
        <v>#REF!</v>
      </c>
      <c r="BK22" s="22">
        <v>22</v>
      </c>
      <c r="BL22" s="23" t="e">
        <f>BK22+'12.04'!BL22</f>
        <v>#REF!</v>
      </c>
      <c r="BM22" s="22">
        <v>0</v>
      </c>
      <c r="BN22" s="23" t="e">
        <f>BM22+'12.04'!BN22</f>
        <v>#REF!</v>
      </c>
      <c r="BO22" s="36">
        <v>26</v>
      </c>
      <c r="BP22" s="37">
        <v>5</v>
      </c>
      <c r="BQ22" s="23" t="e">
        <f>BP22+'12.04'!BQ22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2927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1626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13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129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51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602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5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469</v>
      </c>
      <c r="AE23" s="68" t="e">
        <f t="shared" si="5"/>
        <v>#REF!</v>
      </c>
      <c r="AF23" s="64">
        <f t="shared" si="5"/>
        <v>9392574</v>
      </c>
      <c r="AG23" s="64" t="e">
        <f t="shared" si="5"/>
        <v>#REF!</v>
      </c>
      <c r="AH23" s="67">
        <f t="shared" si="5"/>
        <v>32270</v>
      </c>
      <c r="AI23" s="68" t="e">
        <f t="shared" si="5"/>
        <v>#REF!</v>
      </c>
      <c r="AJ23" s="67">
        <f t="shared" si="5"/>
        <v>260882</v>
      </c>
      <c r="AK23" s="68" t="e">
        <f t="shared" si="5"/>
        <v>#REF!</v>
      </c>
      <c r="AL23" s="67">
        <f t="shared" si="5"/>
        <v>7104147</v>
      </c>
      <c r="AM23" s="68" t="e">
        <f t="shared" si="5"/>
        <v>#REF!</v>
      </c>
      <c r="AN23" s="67">
        <f t="shared" si="5"/>
        <v>1995275</v>
      </c>
      <c r="AO23" s="68" t="e">
        <f t="shared" si="5"/>
        <v>#REF!</v>
      </c>
      <c r="AP23" s="62" t="s">
        <v>12</v>
      </c>
      <c r="AQ23" s="64">
        <f t="shared" ref="AQ23:BP23" si="6">SUM(AQ8:AQ22)</f>
        <v>1359</v>
      </c>
      <c r="AR23" s="64" t="e">
        <f t="shared" si="6"/>
        <v>#REF!</v>
      </c>
      <c r="AS23" s="67">
        <f t="shared" si="6"/>
        <v>5</v>
      </c>
      <c r="AT23" s="68" t="e">
        <f t="shared" si="6"/>
        <v>#REF!</v>
      </c>
      <c r="AU23" s="67">
        <f t="shared" si="6"/>
        <v>4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1350</v>
      </c>
      <c r="BB23" s="68" t="e">
        <f t="shared" si="6"/>
        <v>#REF!</v>
      </c>
      <c r="BC23" s="64">
        <f t="shared" si="6"/>
        <v>55052</v>
      </c>
      <c r="BD23" s="64" t="e">
        <f t="shared" si="6"/>
        <v>#REF!</v>
      </c>
      <c r="BE23" s="67">
        <f t="shared" si="6"/>
        <v>2155</v>
      </c>
      <c r="BF23" s="68" t="e">
        <f t="shared" si="6"/>
        <v>#REF!</v>
      </c>
      <c r="BG23" s="67">
        <f t="shared" si="6"/>
        <v>28</v>
      </c>
      <c r="BH23" s="68" t="e">
        <f t="shared" si="6"/>
        <v>#REF!</v>
      </c>
      <c r="BI23" s="67">
        <f t="shared" si="6"/>
        <v>43547</v>
      </c>
      <c r="BJ23" s="68" t="e">
        <f t="shared" si="6"/>
        <v>#REF!</v>
      </c>
      <c r="BK23" s="67">
        <f t="shared" si="6"/>
        <v>9322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14</v>
      </c>
      <c r="BQ23" s="23">
        <f>BP23+'12.04'!BP23</f>
        <v>26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BU23"/>
  <sheetViews>
    <sheetView zoomScale="115" zoomScaleNormal="115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8" customWidth="1"/>
    <col min="5" max="6" width="6.28515625" customWidth="1"/>
    <col min="7" max="7" width="8.57031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1</v>
      </c>
      <c r="D9" s="31" t="e">
        <f t="shared" si="0"/>
        <v>#REF!</v>
      </c>
      <c r="E9" s="32">
        <v>452</v>
      </c>
      <c r="F9" s="22">
        <v>1</v>
      </c>
      <c r="G9" s="23" t="e">
        <f>F9+'13.04'!G9</f>
        <v>#REF!</v>
      </c>
      <c r="H9" s="33">
        <v>12</v>
      </c>
      <c r="I9" s="34">
        <v>0</v>
      </c>
      <c r="J9" s="23" t="e">
        <f>I9+'13.04'!J9</f>
        <v>#REF!</v>
      </c>
      <c r="K9" s="33">
        <v>2</v>
      </c>
      <c r="L9" s="22">
        <v>0</v>
      </c>
      <c r="M9" s="23" t="e">
        <f>L9+'13.04'!M9</f>
        <v>#REF!</v>
      </c>
      <c r="N9" s="33">
        <v>735</v>
      </c>
      <c r="O9" s="22">
        <v>0</v>
      </c>
      <c r="P9" s="23" t="e">
        <f>O9+'13.04'!P9</f>
        <v>#REF!</v>
      </c>
      <c r="Q9" s="33">
        <v>502</v>
      </c>
      <c r="R9" s="22">
        <v>0</v>
      </c>
      <c r="S9" s="23" t="e">
        <f>R9+'13.04'!S9</f>
        <v>#REF!</v>
      </c>
      <c r="T9" s="33">
        <v>197</v>
      </c>
      <c r="U9" s="22">
        <v>0</v>
      </c>
      <c r="V9" s="23" t="e">
        <f>U9+'13.04'!V9</f>
        <v>#REF!</v>
      </c>
      <c r="W9" s="33">
        <v>47</v>
      </c>
      <c r="X9" s="22">
        <v>0</v>
      </c>
      <c r="Y9" s="23" t="e">
        <f>X9+'13.04'!Y9</f>
        <v>#REF!</v>
      </c>
      <c r="Z9" s="33">
        <v>34</v>
      </c>
      <c r="AA9" s="22">
        <v>0</v>
      </c>
      <c r="AB9" s="23" t="e">
        <f>AA9+'13.04'!AB9</f>
        <v>#REF!</v>
      </c>
      <c r="AC9" s="33">
        <v>1860</v>
      </c>
      <c r="AD9" s="22">
        <v>0</v>
      </c>
      <c r="AE9" s="23" t="e">
        <f>AD9+'13.04'!AE9</f>
        <v>#REF!</v>
      </c>
      <c r="AF9" s="19">
        <f t="shared" ref="AF9:AG22" si="1">AH9+AJ9+AL9+AN9</f>
        <v>7166</v>
      </c>
      <c r="AG9" s="20" t="e">
        <f t="shared" si="1"/>
        <v>#REF!</v>
      </c>
      <c r="AH9" s="24">
        <v>68</v>
      </c>
      <c r="AI9" s="23" t="e">
        <f>AH9+'13.04'!AI9</f>
        <v>#REF!</v>
      </c>
      <c r="AJ9" s="24">
        <v>298</v>
      </c>
      <c r="AK9" s="23" t="e">
        <f>AJ9+'13.04'!AK9</f>
        <v>#REF!</v>
      </c>
      <c r="AL9" s="22">
        <v>2550</v>
      </c>
      <c r="AM9" s="23" t="e">
        <f>AL9+'13.04'!AM9</f>
        <v>#REF!</v>
      </c>
      <c r="AN9" s="22">
        <v>4250</v>
      </c>
      <c r="AO9" s="23" t="e">
        <f>AN9+'13.04'!AO9</f>
        <v>#REF!</v>
      </c>
      <c r="AP9" s="28" t="s">
        <v>43</v>
      </c>
      <c r="AQ9" s="19">
        <f t="shared" ref="AQ9:AR22" si="2">AS9+AU9+AW9+AY9+BA9</f>
        <v>57</v>
      </c>
      <c r="AR9" s="20" t="e">
        <f t="shared" si="2"/>
        <v>#REF!</v>
      </c>
      <c r="AS9" s="34">
        <v>1</v>
      </c>
      <c r="AT9" s="23" t="e">
        <f>AS9+'13.04'!AT9</f>
        <v>#REF!</v>
      </c>
      <c r="AU9" s="34">
        <v>1</v>
      </c>
      <c r="AV9" s="23" t="e">
        <f>AU9+'13.04'!AV9</f>
        <v>#REF!</v>
      </c>
      <c r="AW9" s="34">
        <v>1</v>
      </c>
      <c r="AX9" s="23" t="e">
        <f>AW9+'13.04'!AX9</f>
        <v>#REF!</v>
      </c>
      <c r="AY9" s="34">
        <v>0</v>
      </c>
      <c r="AZ9" s="23" t="e">
        <f>AY9+'13.04'!AZ9</f>
        <v>#REF!</v>
      </c>
      <c r="BA9" s="34">
        <v>54</v>
      </c>
      <c r="BB9" s="23" t="e">
        <f>BA9+'13.04'!BB9</f>
        <v>#REF!</v>
      </c>
      <c r="BC9" s="19">
        <f t="shared" ref="BC9:BD22" si="3">BE9+BG9+BI9+BK9+BM9</f>
        <v>401</v>
      </c>
      <c r="BD9" s="20" t="e">
        <f t="shared" si="3"/>
        <v>#REF!</v>
      </c>
      <c r="BE9" s="22">
        <v>1</v>
      </c>
      <c r="BF9" s="23" t="e">
        <f>BE9+'13.04'!BF9</f>
        <v>#REF!</v>
      </c>
      <c r="BG9" s="34">
        <v>0</v>
      </c>
      <c r="BH9" s="23" t="e">
        <f>BG9+'13.04'!BH9</f>
        <v>#REF!</v>
      </c>
      <c r="BI9" s="22">
        <v>400</v>
      </c>
      <c r="BJ9" s="23" t="e">
        <f>BI9+'13.04'!BJ9</f>
        <v>#REF!</v>
      </c>
      <c r="BK9" s="22">
        <v>0</v>
      </c>
      <c r="BL9" s="23" t="e">
        <f>BK9+'13.04'!BL9</f>
        <v>#REF!</v>
      </c>
      <c r="BM9" s="22">
        <v>0</v>
      </c>
      <c r="BN9" s="23" t="e">
        <f>BM9+'13.04'!BN9</f>
        <v>#REF!</v>
      </c>
      <c r="BO9" s="36">
        <v>14</v>
      </c>
      <c r="BP9" s="37">
        <v>0</v>
      </c>
      <c r="BQ9" s="23" t="e">
        <f>BP9+'13.04'!BQ9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179</v>
      </c>
      <c r="D10" s="31" t="e">
        <f t="shared" si="0"/>
        <v>#REF!</v>
      </c>
      <c r="E10" s="32">
        <v>585</v>
      </c>
      <c r="F10" s="22">
        <v>17</v>
      </c>
      <c r="G10" s="23" t="e">
        <f>F10+'13.04'!G10</f>
        <v>#REF!</v>
      </c>
      <c r="H10" s="33">
        <v>93</v>
      </c>
      <c r="I10" s="34">
        <v>7</v>
      </c>
      <c r="J10" s="23" t="e">
        <f>I10+'13.04'!J10</f>
        <v>#REF!</v>
      </c>
      <c r="K10" s="33">
        <v>34</v>
      </c>
      <c r="L10" s="22">
        <v>0</v>
      </c>
      <c r="M10" s="23" t="e">
        <f>L10+'13.04'!M10</f>
        <v>#REF!</v>
      </c>
      <c r="N10" s="33">
        <v>352</v>
      </c>
      <c r="O10" s="22">
        <v>9</v>
      </c>
      <c r="P10" s="23" t="e">
        <f>O10+'13.04'!P10</f>
        <v>#REF!</v>
      </c>
      <c r="Q10" s="33">
        <v>549</v>
      </c>
      <c r="R10" s="22">
        <v>9</v>
      </c>
      <c r="S10" s="23" t="e">
        <f>R10+'13.04'!S10</f>
        <v>#REF!</v>
      </c>
      <c r="T10" s="33">
        <v>198</v>
      </c>
      <c r="U10" s="22">
        <v>5</v>
      </c>
      <c r="V10" s="23" t="e">
        <f>U10+'13.04'!V10</f>
        <v>#REF!</v>
      </c>
      <c r="W10" s="38">
        <v>55</v>
      </c>
      <c r="X10" s="22">
        <v>0</v>
      </c>
      <c r="Y10" s="23" t="e">
        <f>X10+'13.04'!Y10</f>
        <v>#REF!</v>
      </c>
      <c r="Z10" s="38">
        <v>71</v>
      </c>
      <c r="AA10" s="22">
        <v>2</v>
      </c>
      <c r="AB10" s="23" t="e">
        <f>AA10+'13.04'!AB10</f>
        <v>#REF!</v>
      </c>
      <c r="AC10" s="38">
        <v>1690</v>
      </c>
      <c r="AD10" s="22">
        <v>130</v>
      </c>
      <c r="AE10" s="23" t="e">
        <f>AD10+'13.04'!AE10</f>
        <v>#REF!</v>
      </c>
      <c r="AF10" s="19">
        <f t="shared" si="1"/>
        <v>91592</v>
      </c>
      <c r="AG10" s="20" t="e">
        <f t="shared" si="1"/>
        <v>#REF!</v>
      </c>
      <c r="AH10" s="24">
        <v>806</v>
      </c>
      <c r="AI10" s="23" t="e">
        <f>AH10+'13.04'!AI10</f>
        <v>#REF!</v>
      </c>
      <c r="AJ10" s="24">
        <v>3632</v>
      </c>
      <c r="AK10" s="23" t="e">
        <f>AJ10+'13.04'!AK10</f>
        <v>#REF!</v>
      </c>
      <c r="AL10" s="22">
        <v>10668</v>
      </c>
      <c r="AM10" s="23" t="e">
        <f>AL10+'13.04'!AM10</f>
        <v>#REF!</v>
      </c>
      <c r="AN10" s="22">
        <v>76486</v>
      </c>
      <c r="AO10" s="23" t="e">
        <f>AN10+'13.04'!AO10</f>
        <v>#REF!</v>
      </c>
      <c r="AP10" s="28" t="s">
        <v>44</v>
      </c>
      <c r="AQ10" s="19">
        <f t="shared" si="2"/>
        <v>7</v>
      </c>
      <c r="AR10" s="20" t="e">
        <f t="shared" si="2"/>
        <v>#REF!</v>
      </c>
      <c r="AS10" s="34">
        <v>0</v>
      </c>
      <c r="AT10" s="23" t="e">
        <f>AS10+'13.04'!AT10</f>
        <v>#REF!</v>
      </c>
      <c r="AU10" s="34">
        <v>0</v>
      </c>
      <c r="AV10" s="23" t="e">
        <f>AU10+'13.04'!AV10</f>
        <v>#REF!</v>
      </c>
      <c r="AW10" s="34">
        <v>0</v>
      </c>
      <c r="AX10" s="23" t="e">
        <f>AW10+'13.04'!AX10</f>
        <v>#REF!</v>
      </c>
      <c r="AY10" s="34">
        <v>0</v>
      </c>
      <c r="AZ10" s="23" t="e">
        <f>AY10+'13.04'!AZ10</f>
        <v>#REF!</v>
      </c>
      <c r="BA10" s="34">
        <v>7</v>
      </c>
      <c r="BB10" s="23" t="e">
        <f>BA10+'13.04'!BB10</f>
        <v>#REF!</v>
      </c>
      <c r="BC10" s="19">
        <f t="shared" si="3"/>
        <v>9218</v>
      </c>
      <c r="BD10" s="20" t="e">
        <f t="shared" si="3"/>
        <v>#REF!</v>
      </c>
      <c r="BE10" s="22">
        <v>507</v>
      </c>
      <c r="BF10" s="23" t="e">
        <f>BE10+'13.04'!BF10</f>
        <v>#REF!</v>
      </c>
      <c r="BG10" s="34">
        <v>1</v>
      </c>
      <c r="BH10" s="23" t="e">
        <f>BG10+'13.04'!BH10</f>
        <v>#REF!</v>
      </c>
      <c r="BI10" s="22">
        <v>3126</v>
      </c>
      <c r="BJ10" s="23" t="e">
        <f>BI10+'13.04'!BJ10</f>
        <v>#REF!</v>
      </c>
      <c r="BK10" s="22">
        <v>5584</v>
      </c>
      <c r="BL10" s="23" t="e">
        <f>BK10+'13.04'!BL10</f>
        <v>#REF!</v>
      </c>
      <c r="BM10" s="22">
        <v>0</v>
      </c>
      <c r="BN10" s="23" t="e">
        <f>BM10+'13.04'!BN10</f>
        <v>#REF!</v>
      </c>
      <c r="BO10" s="36">
        <v>32</v>
      </c>
      <c r="BP10" s="37">
        <v>0</v>
      </c>
      <c r="BQ10" s="23" t="e">
        <f>BP10+'13.04'!BQ10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179</v>
      </c>
      <c r="D11" s="31" t="e">
        <f t="shared" si="0"/>
        <v>#REF!</v>
      </c>
      <c r="E11" s="32">
        <v>883</v>
      </c>
      <c r="F11" s="22">
        <v>17</v>
      </c>
      <c r="G11" s="23" t="e">
        <f>F11+'13.04'!G11</f>
        <v>#REF!</v>
      </c>
      <c r="H11" s="33">
        <v>16</v>
      </c>
      <c r="I11" s="34">
        <v>7</v>
      </c>
      <c r="J11" s="23" t="e">
        <f>I11+'13.04'!J11</f>
        <v>#REF!</v>
      </c>
      <c r="K11" s="33">
        <v>3</v>
      </c>
      <c r="L11" s="22">
        <v>0</v>
      </c>
      <c r="M11" s="23" t="e">
        <f>L11+'13.04'!M11</f>
        <v>#REF!</v>
      </c>
      <c r="N11" s="33">
        <v>875</v>
      </c>
      <c r="O11" s="22">
        <v>9</v>
      </c>
      <c r="P11" s="23" t="e">
        <f>O11+'13.04'!P11</f>
        <v>#REF!</v>
      </c>
      <c r="Q11" s="33">
        <v>2424</v>
      </c>
      <c r="R11" s="22">
        <v>9</v>
      </c>
      <c r="S11" s="23" t="e">
        <f>R11+'13.04'!S11</f>
        <v>#REF!</v>
      </c>
      <c r="T11" s="33">
        <v>69</v>
      </c>
      <c r="U11" s="22">
        <v>5</v>
      </c>
      <c r="V11" s="23" t="e">
        <f>U11+'13.04'!V11</f>
        <v>#REF!</v>
      </c>
      <c r="W11" s="38">
        <v>133</v>
      </c>
      <c r="X11" s="22">
        <v>0</v>
      </c>
      <c r="Y11" s="23" t="e">
        <f>X11+'13.04'!Y11</f>
        <v>#REF!</v>
      </c>
      <c r="Z11" s="38">
        <v>1116</v>
      </c>
      <c r="AA11" s="22">
        <v>2</v>
      </c>
      <c r="AB11" s="23" t="e">
        <f>AA11+'13.04'!AB11</f>
        <v>#REF!</v>
      </c>
      <c r="AC11" s="38">
        <v>9862</v>
      </c>
      <c r="AD11" s="22">
        <v>130</v>
      </c>
      <c r="AE11" s="23" t="e">
        <f>AD11+'13.04'!AE11</f>
        <v>#REF!</v>
      </c>
      <c r="AF11" s="19">
        <f t="shared" si="1"/>
        <v>91592</v>
      </c>
      <c r="AG11" s="20" t="e">
        <f t="shared" si="1"/>
        <v>#REF!</v>
      </c>
      <c r="AH11" s="24">
        <v>806</v>
      </c>
      <c r="AI11" s="23" t="e">
        <f>AH11+'13.04'!AI11</f>
        <v>#REF!</v>
      </c>
      <c r="AJ11" s="24">
        <v>3632</v>
      </c>
      <c r="AK11" s="23" t="e">
        <f>AJ11+'13.04'!AK11</f>
        <v>#REF!</v>
      </c>
      <c r="AL11" s="22">
        <v>10668</v>
      </c>
      <c r="AM11" s="23" t="e">
        <f>AL11+'13.04'!AM11</f>
        <v>#REF!</v>
      </c>
      <c r="AN11" s="22">
        <v>76486</v>
      </c>
      <c r="AO11" s="23" t="e">
        <f>AN11+'13.04'!AO11</f>
        <v>#REF!</v>
      </c>
      <c r="AP11" s="28" t="s">
        <v>45</v>
      </c>
      <c r="AQ11" s="19">
        <f t="shared" si="2"/>
        <v>7</v>
      </c>
      <c r="AR11" s="20" t="e">
        <f t="shared" si="2"/>
        <v>#REF!</v>
      </c>
      <c r="AS11" s="34">
        <v>0</v>
      </c>
      <c r="AT11" s="23" t="e">
        <f>AS11+'13.04'!AT11</f>
        <v>#REF!</v>
      </c>
      <c r="AU11" s="34">
        <v>0</v>
      </c>
      <c r="AV11" s="23" t="e">
        <f>AU11+'13.04'!AV11</f>
        <v>#REF!</v>
      </c>
      <c r="AW11" s="34">
        <v>0</v>
      </c>
      <c r="AX11" s="23" t="e">
        <f>AW11+'13.04'!AX11</f>
        <v>#REF!</v>
      </c>
      <c r="AY11" s="34">
        <v>0</v>
      </c>
      <c r="AZ11" s="23" t="e">
        <f>AY11+'13.04'!AZ11</f>
        <v>#REF!</v>
      </c>
      <c r="BA11" s="34">
        <v>7</v>
      </c>
      <c r="BB11" s="23" t="e">
        <f>BA11+'13.04'!BB11</f>
        <v>#REF!</v>
      </c>
      <c r="BC11" s="19">
        <f t="shared" si="3"/>
        <v>9218</v>
      </c>
      <c r="BD11" s="20" t="e">
        <f t="shared" si="3"/>
        <v>#REF!</v>
      </c>
      <c r="BE11" s="22">
        <v>507</v>
      </c>
      <c r="BF11" s="23" t="e">
        <f>BE11+'13.04'!BF11</f>
        <v>#REF!</v>
      </c>
      <c r="BG11" s="34">
        <v>1</v>
      </c>
      <c r="BH11" s="23" t="e">
        <f>BG11+'13.04'!BH11</f>
        <v>#REF!</v>
      </c>
      <c r="BI11" s="22">
        <v>3126</v>
      </c>
      <c r="BJ11" s="23" t="e">
        <f>BI11+'13.04'!BJ11</f>
        <v>#REF!</v>
      </c>
      <c r="BK11" s="22">
        <v>5584</v>
      </c>
      <c r="BL11" s="23" t="e">
        <f>BK11+'13.04'!BL11</f>
        <v>#REF!</v>
      </c>
      <c r="BM11" s="22">
        <v>0</v>
      </c>
      <c r="BN11" s="23" t="e">
        <f>BM11+'13.04'!BN11</f>
        <v>#REF!</v>
      </c>
      <c r="BO11" s="36">
        <v>11506</v>
      </c>
      <c r="BP11" s="37">
        <v>0</v>
      </c>
      <c r="BQ11" s="23" t="e">
        <f>BP11+'13.04'!BQ11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207</v>
      </c>
      <c r="D12" s="31" t="e">
        <f t="shared" si="0"/>
        <v>#REF!</v>
      </c>
      <c r="E12" s="32">
        <v>909</v>
      </c>
      <c r="F12" s="22">
        <v>56</v>
      </c>
      <c r="G12" s="23" t="e">
        <f>F12+'13.04'!G12</f>
        <v>#REF!</v>
      </c>
      <c r="H12" s="33">
        <v>80</v>
      </c>
      <c r="I12" s="34">
        <v>5</v>
      </c>
      <c r="J12" s="23" t="e">
        <f>I12+'13.04'!J12</f>
        <v>#REF!</v>
      </c>
      <c r="K12" s="33">
        <v>5</v>
      </c>
      <c r="L12" s="22">
        <v>0</v>
      </c>
      <c r="M12" s="23" t="e">
        <f>L12+'13.04'!M12</f>
        <v>#REF!</v>
      </c>
      <c r="N12" s="33">
        <v>820</v>
      </c>
      <c r="O12" s="22">
        <v>42</v>
      </c>
      <c r="P12" s="23" t="e">
        <f>O12+'13.04'!P12</f>
        <v>#REF!</v>
      </c>
      <c r="Q12" s="33">
        <v>549</v>
      </c>
      <c r="R12" s="22">
        <v>0</v>
      </c>
      <c r="S12" s="23" t="e">
        <f>R12+'13.04'!S12</f>
        <v>#REF!</v>
      </c>
      <c r="T12" s="33">
        <v>992</v>
      </c>
      <c r="U12" s="22">
        <v>0</v>
      </c>
      <c r="V12" s="23" t="e">
        <f>U12+'13.04'!V12</f>
        <v>#REF!</v>
      </c>
      <c r="W12" s="33">
        <v>38</v>
      </c>
      <c r="X12" s="22">
        <v>95</v>
      </c>
      <c r="Y12" s="23" t="e">
        <f>X12+'13.04'!Y12</f>
        <v>#REF!</v>
      </c>
      <c r="Z12" s="33">
        <v>68</v>
      </c>
      <c r="AA12" s="22">
        <v>0</v>
      </c>
      <c r="AB12" s="23" t="e">
        <f>AA12+'13.04'!AB12</f>
        <v>#REF!</v>
      </c>
      <c r="AC12" s="33">
        <v>26703</v>
      </c>
      <c r="AD12" s="22">
        <v>9</v>
      </c>
      <c r="AE12" s="23" t="e">
        <f>AD12+'13.04'!AE12</f>
        <v>#REF!</v>
      </c>
      <c r="AF12" s="19">
        <f t="shared" si="1"/>
        <v>32700</v>
      </c>
      <c r="AG12" s="20" t="e">
        <f t="shared" si="1"/>
        <v>#REF!</v>
      </c>
      <c r="AH12" s="24">
        <v>5300</v>
      </c>
      <c r="AI12" s="23" t="e">
        <f>AH12+'13.04'!AI12</f>
        <v>#REF!</v>
      </c>
      <c r="AJ12" s="24">
        <v>9900</v>
      </c>
      <c r="AK12" s="23" t="e">
        <f>AJ12+'13.04'!AK12</f>
        <v>#REF!</v>
      </c>
      <c r="AL12" s="22">
        <v>8750</v>
      </c>
      <c r="AM12" s="23" t="e">
        <f>AL12+'13.04'!AM12</f>
        <v>#REF!</v>
      </c>
      <c r="AN12" s="22">
        <v>8750</v>
      </c>
      <c r="AO12" s="23" t="e">
        <f>AN12+'13.04'!AO12</f>
        <v>#REF!</v>
      </c>
      <c r="AP12" s="28" t="s">
        <v>46</v>
      </c>
      <c r="AQ12" s="19">
        <f t="shared" si="2"/>
        <v>68</v>
      </c>
      <c r="AR12" s="20" t="e">
        <f t="shared" si="2"/>
        <v>#REF!</v>
      </c>
      <c r="AS12" s="34">
        <v>0</v>
      </c>
      <c r="AT12" s="23" t="e">
        <f>AS12+'13.04'!AT12</f>
        <v>#REF!</v>
      </c>
      <c r="AU12" s="34">
        <v>0</v>
      </c>
      <c r="AV12" s="23" t="e">
        <f>AU12+'13.04'!AV12</f>
        <v>#REF!</v>
      </c>
      <c r="AW12" s="34">
        <v>0</v>
      </c>
      <c r="AX12" s="23" t="e">
        <f>AW12+'13.04'!AX12</f>
        <v>#REF!</v>
      </c>
      <c r="AY12" s="34">
        <v>0</v>
      </c>
      <c r="AZ12" s="23" t="e">
        <f>AY12+'13.04'!AZ12</f>
        <v>#REF!</v>
      </c>
      <c r="BA12" s="34">
        <v>68</v>
      </c>
      <c r="BB12" s="23" t="e">
        <f>BA12+'13.04'!BB12</f>
        <v>#REF!</v>
      </c>
      <c r="BC12" s="19">
        <f t="shared" si="3"/>
        <v>3521</v>
      </c>
      <c r="BD12" s="20" t="e">
        <f t="shared" si="3"/>
        <v>#REF!</v>
      </c>
      <c r="BE12" s="22">
        <v>260</v>
      </c>
      <c r="BF12" s="23" t="e">
        <f>BE12+'13.04'!BF12</f>
        <v>#REF!</v>
      </c>
      <c r="BG12" s="34">
        <v>11</v>
      </c>
      <c r="BH12" s="23" t="e">
        <f>BG12+'13.04'!BH12</f>
        <v>#REF!</v>
      </c>
      <c r="BI12" s="22">
        <v>3000</v>
      </c>
      <c r="BJ12" s="23" t="e">
        <f>BI12+'13.04'!BJ12</f>
        <v>#REF!</v>
      </c>
      <c r="BK12" s="22">
        <v>250</v>
      </c>
      <c r="BL12" s="23" t="e">
        <f>BK12+'13.04'!BL12</f>
        <v>#REF!</v>
      </c>
      <c r="BM12" s="22">
        <v>0</v>
      </c>
      <c r="BN12" s="23" t="e">
        <f>BM12+'13.04'!BN12</f>
        <v>#REF!</v>
      </c>
      <c r="BO12" s="36"/>
      <c r="BP12" s="37">
        <v>1</v>
      </c>
      <c r="BQ12" s="23" t="e">
        <f>BP12+'13.04'!BQ12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5</v>
      </c>
      <c r="D13" s="31" t="e">
        <f t="shared" si="0"/>
        <v>#REF!</v>
      </c>
      <c r="E13" s="32">
        <v>516</v>
      </c>
      <c r="F13" s="22">
        <v>2</v>
      </c>
      <c r="G13" s="23" t="e">
        <f>F13+'13.04'!G13</f>
        <v>#REF!</v>
      </c>
      <c r="H13" s="33">
        <v>10</v>
      </c>
      <c r="I13" s="34">
        <v>0</v>
      </c>
      <c r="J13" s="23" t="e">
        <f>I13+'13.04'!J13</f>
        <v>#REF!</v>
      </c>
      <c r="K13" s="33">
        <v>38</v>
      </c>
      <c r="L13" s="22">
        <v>0</v>
      </c>
      <c r="M13" s="23" t="e">
        <f>L13+'13.04'!M13</f>
        <v>#REF!</v>
      </c>
      <c r="N13" s="33">
        <v>581</v>
      </c>
      <c r="O13" s="22">
        <v>0</v>
      </c>
      <c r="P13" s="23" t="e">
        <f>O13+'13.04'!P13</f>
        <v>#REF!</v>
      </c>
      <c r="Q13" s="33">
        <v>525</v>
      </c>
      <c r="R13" s="22">
        <v>0</v>
      </c>
      <c r="S13" s="23" t="e">
        <f>R13+'13.04'!S13</f>
        <v>#REF!</v>
      </c>
      <c r="T13" s="33">
        <v>263</v>
      </c>
      <c r="U13" s="22">
        <v>0</v>
      </c>
      <c r="V13" s="23" t="e">
        <f>U13+'13.04'!V13</f>
        <v>#REF!</v>
      </c>
      <c r="W13" s="33">
        <v>43</v>
      </c>
      <c r="X13" s="22">
        <v>0</v>
      </c>
      <c r="Y13" s="23" t="e">
        <f>X13+'13.04'!Y13</f>
        <v>#REF!</v>
      </c>
      <c r="Z13" s="33">
        <v>17</v>
      </c>
      <c r="AA13" s="22">
        <v>0</v>
      </c>
      <c r="AB13" s="23" t="e">
        <f>AA13+'13.04'!AB13</f>
        <v>#REF!</v>
      </c>
      <c r="AC13" s="33">
        <v>51</v>
      </c>
      <c r="AD13" s="22">
        <v>3</v>
      </c>
      <c r="AE13" s="23" t="e">
        <f>AD13+'13.04'!AE13</f>
        <v>#REF!</v>
      </c>
      <c r="AF13" s="19">
        <f t="shared" si="1"/>
        <v>295000</v>
      </c>
      <c r="AG13" s="20" t="e">
        <f t="shared" si="1"/>
        <v>#REF!</v>
      </c>
      <c r="AH13" s="24">
        <v>2000</v>
      </c>
      <c r="AI13" s="23" t="e">
        <f>AH13+'13.04'!AI13</f>
        <v>#REF!</v>
      </c>
      <c r="AJ13" s="24">
        <v>23000</v>
      </c>
      <c r="AK13" s="23" t="e">
        <f>AJ13+'13.04'!AK13</f>
        <v>#REF!</v>
      </c>
      <c r="AL13" s="22">
        <v>20000</v>
      </c>
      <c r="AM13" s="23" t="e">
        <f>AL13+'13.04'!AM13</f>
        <v>#REF!</v>
      </c>
      <c r="AN13" s="22">
        <v>250000</v>
      </c>
      <c r="AO13" s="23" t="e">
        <f>AN13+'13.04'!AO13</f>
        <v>#REF!</v>
      </c>
      <c r="AP13" s="28" t="s">
        <v>47</v>
      </c>
      <c r="AQ13" s="19">
        <f t="shared" si="2"/>
        <v>14</v>
      </c>
      <c r="AR13" s="20" t="e">
        <f t="shared" si="2"/>
        <v>#REF!</v>
      </c>
      <c r="AS13" s="34">
        <v>2</v>
      </c>
      <c r="AT13" s="23" t="e">
        <f>AS13+'13.04'!AT13</f>
        <v>#REF!</v>
      </c>
      <c r="AU13" s="34">
        <v>2</v>
      </c>
      <c r="AV13" s="23" t="e">
        <f>AU13+'13.04'!AV13</f>
        <v>#REF!</v>
      </c>
      <c r="AW13" s="34">
        <v>0</v>
      </c>
      <c r="AX13" s="23" t="e">
        <f>AW13+'13.04'!AX13</f>
        <v>#REF!</v>
      </c>
      <c r="AY13" s="34">
        <v>0</v>
      </c>
      <c r="AZ13" s="23" t="e">
        <f>AY13+'13.04'!AZ13</f>
        <v>#REF!</v>
      </c>
      <c r="BA13" s="34">
        <v>10</v>
      </c>
      <c r="BB13" s="23" t="e">
        <f>BA13+'13.04'!BB13</f>
        <v>#REF!</v>
      </c>
      <c r="BC13" s="19">
        <f t="shared" si="3"/>
        <v>5578</v>
      </c>
      <c r="BD13" s="20" t="e">
        <f t="shared" si="3"/>
        <v>#REF!</v>
      </c>
      <c r="BE13" s="22">
        <v>516</v>
      </c>
      <c r="BF13" s="23" t="e">
        <f>BE13+'13.04'!BF13</f>
        <v>#REF!</v>
      </c>
      <c r="BG13" s="34">
        <v>12</v>
      </c>
      <c r="BH13" s="23" t="e">
        <f>BG13+'13.04'!BH13</f>
        <v>#REF!</v>
      </c>
      <c r="BI13" s="22">
        <v>5000</v>
      </c>
      <c r="BJ13" s="23" t="e">
        <f>BI13+'13.04'!BJ13</f>
        <v>#REF!</v>
      </c>
      <c r="BK13" s="22">
        <v>50</v>
      </c>
      <c r="BL13" s="23" t="e">
        <f>BK13+'13.04'!BL13</f>
        <v>#REF!</v>
      </c>
      <c r="BM13" s="22">
        <v>0</v>
      </c>
      <c r="BN13" s="23" t="e">
        <f>BM13+'13.04'!BN13</f>
        <v>#REF!</v>
      </c>
      <c r="BO13" s="36"/>
      <c r="BP13" s="37">
        <v>0</v>
      </c>
      <c r="BQ13" s="23" t="e">
        <f>BP13+'13.04'!BQ13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F14+'13.04'!G14</f>
        <v>#REF!</v>
      </c>
      <c r="H14" s="44">
        <v>5</v>
      </c>
      <c r="I14" s="45"/>
      <c r="J14" s="23" t="e">
        <f>I14+'13.04'!J14</f>
        <v>#REF!</v>
      </c>
      <c r="K14" s="44">
        <v>34</v>
      </c>
      <c r="L14" s="22"/>
      <c r="M14" s="23" t="e">
        <f>L14+'13.04'!M14</f>
        <v>#REF!</v>
      </c>
      <c r="N14" s="44">
        <v>583</v>
      </c>
      <c r="O14" s="22"/>
      <c r="P14" s="23" t="e">
        <f>O14+'13.04'!P14</f>
        <v>#REF!</v>
      </c>
      <c r="Q14" s="44">
        <v>254</v>
      </c>
      <c r="R14" s="22"/>
      <c r="S14" s="23" t="e">
        <f>R14+'13.04'!S14</f>
        <v>#REF!</v>
      </c>
      <c r="T14" s="44">
        <v>196</v>
      </c>
      <c r="U14" s="22"/>
      <c r="V14" s="23" t="e">
        <f>U14+'13.04'!V14</f>
        <v>#REF!</v>
      </c>
      <c r="W14" s="44">
        <v>30</v>
      </c>
      <c r="X14" s="22"/>
      <c r="Y14" s="23" t="e">
        <f>X14+'13.04'!Y14</f>
        <v>#REF!</v>
      </c>
      <c r="Z14" s="44">
        <v>10</v>
      </c>
      <c r="AA14" s="22"/>
      <c r="AB14" s="23" t="e">
        <f>AA14+'13.04'!AB14</f>
        <v>#REF!</v>
      </c>
      <c r="AC14" s="44">
        <v>2500</v>
      </c>
      <c r="AD14" s="22"/>
      <c r="AE14" s="23" t="e">
        <f>AD14+'13.04'!AE14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AH14+'13.04'!AI14</f>
        <v>#REF!</v>
      </c>
      <c r="AJ14" s="24"/>
      <c r="AK14" s="23" t="e">
        <f>AJ14+'13.04'!AK14</f>
        <v>#REF!</v>
      </c>
      <c r="AL14" s="22"/>
      <c r="AM14" s="23" t="e">
        <f>AL14+'13.04'!AM14</f>
        <v>#REF!</v>
      </c>
      <c r="AN14" s="22"/>
      <c r="AO14" s="23" t="e">
        <f>AN14+'13.04'!AO14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AS14+'13.04'!AT14</f>
        <v>#REF!</v>
      </c>
      <c r="AU14" s="45"/>
      <c r="AV14" s="23" t="e">
        <f>AU14+'13.04'!AV14</f>
        <v>#REF!</v>
      </c>
      <c r="AW14" s="45"/>
      <c r="AX14" s="23" t="e">
        <f>AW14+'13.04'!AX14</f>
        <v>#REF!</v>
      </c>
      <c r="AY14" s="45"/>
      <c r="AZ14" s="23" t="e">
        <f>AY14+'13.04'!AZ14</f>
        <v>#REF!</v>
      </c>
      <c r="BA14" s="45"/>
      <c r="BB14" s="23" t="e">
        <f>BA14+'13.04'!BB14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BE14+'13.04'!BF14</f>
        <v>#REF!</v>
      </c>
      <c r="BG14" s="45"/>
      <c r="BH14" s="23" t="e">
        <f>BG14+'13.04'!BH14</f>
        <v>#REF!</v>
      </c>
      <c r="BI14" s="22"/>
      <c r="BJ14" s="23" t="e">
        <f>BI14+'13.04'!BJ14</f>
        <v>#REF!</v>
      </c>
      <c r="BK14" s="22"/>
      <c r="BL14" s="23" t="e">
        <f>BK14+'13.04'!BL14</f>
        <v>#REF!</v>
      </c>
      <c r="BM14" s="22"/>
      <c r="BN14" s="23" t="e">
        <f>BM14+'13.04'!BN14</f>
        <v>#REF!</v>
      </c>
      <c r="BO14" s="48">
        <v>2</v>
      </c>
      <c r="BP14" s="49"/>
      <c r="BQ14" s="23" t="e">
        <f>BP14+'13.04'!BQ14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529</v>
      </c>
      <c r="D15" s="53" t="e">
        <f t="shared" si="0"/>
        <v>#REF!</v>
      </c>
      <c r="E15" s="54">
        <v>776</v>
      </c>
      <c r="F15" s="55">
        <v>387</v>
      </c>
      <c r="G15" s="23" t="e">
        <f>F15+'13.04'!G15</f>
        <v>#REF!</v>
      </c>
      <c r="H15" s="56">
        <v>9</v>
      </c>
      <c r="I15" s="57">
        <v>0</v>
      </c>
      <c r="J15" s="23" t="e">
        <f>I15+'13.04'!J15</f>
        <v>#REF!</v>
      </c>
      <c r="K15" s="56">
        <v>6</v>
      </c>
      <c r="L15" s="55">
        <v>0</v>
      </c>
      <c r="M15" s="23" t="e">
        <f>L15+'13.04'!M15</f>
        <v>#REF!</v>
      </c>
      <c r="N15" s="56">
        <v>1305</v>
      </c>
      <c r="O15" s="55">
        <v>0</v>
      </c>
      <c r="P15" s="23" t="e">
        <f>O15+'13.04'!P15</f>
        <v>#REF!</v>
      </c>
      <c r="Q15" s="56">
        <v>447</v>
      </c>
      <c r="R15" s="55">
        <v>0</v>
      </c>
      <c r="S15" s="23" t="e">
        <f>R15+'13.04'!S15</f>
        <v>#REF!</v>
      </c>
      <c r="T15" s="56">
        <v>337</v>
      </c>
      <c r="U15" s="55">
        <v>0</v>
      </c>
      <c r="V15" s="23" t="e">
        <f>U15+'13.04'!V15</f>
        <v>#REF!</v>
      </c>
      <c r="W15" s="56">
        <v>78</v>
      </c>
      <c r="X15" s="55">
        <v>124</v>
      </c>
      <c r="Y15" s="23" t="e">
        <f>X15+'13.04'!Y15</f>
        <v>#REF!</v>
      </c>
      <c r="Z15" s="56">
        <v>141</v>
      </c>
      <c r="AA15" s="55">
        <v>0</v>
      </c>
      <c r="AB15" s="23" t="e">
        <f>AA15+'13.04'!AB15</f>
        <v>#REF!</v>
      </c>
      <c r="AC15" s="56">
        <v>798</v>
      </c>
      <c r="AD15" s="55">
        <v>18</v>
      </c>
      <c r="AE15" s="23" t="e">
        <f>AD15+'13.04'!AE15</f>
        <v>#REF!</v>
      </c>
      <c r="AF15" s="58">
        <f t="shared" si="1"/>
        <v>1291656</v>
      </c>
      <c r="AG15" s="59" t="e">
        <f t="shared" si="1"/>
        <v>#REF!</v>
      </c>
      <c r="AH15" s="60">
        <v>879</v>
      </c>
      <c r="AI15" s="23" t="e">
        <f>AH15+'13.04'!AI15</f>
        <v>#REF!</v>
      </c>
      <c r="AJ15" s="60">
        <v>3663</v>
      </c>
      <c r="AK15" s="23" t="e">
        <f>AJ15+'13.04'!AK15</f>
        <v>#REF!</v>
      </c>
      <c r="AL15" s="55">
        <v>643557</v>
      </c>
      <c r="AM15" s="23" t="e">
        <f>AL15+'13.04'!AM15</f>
        <v>#REF!</v>
      </c>
      <c r="AN15" s="55">
        <v>643557</v>
      </c>
      <c r="AO15" s="23" t="e">
        <f>AN15+'13.04'!AO15</f>
        <v>#REF!</v>
      </c>
      <c r="AP15" s="50" t="s">
        <v>49</v>
      </c>
      <c r="AQ15" s="58">
        <f t="shared" si="2"/>
        <v>3</v>
      </c>
      <c r="AR15" s="59" t="e">
        <f t="shared" si="2"/>
        <v>#REF!</v>
      </c>
      <c r="AS15" s="57">
        <v>0</v>
      </c>
      <c r="AT15" s="23" t="e">
        <f>AS15+'13.04'!AT15</f>
        <v>#REF!</v>
      </c>
      <c r="AU15" s="57">
        <v>0</v>
      </c>
      <c r="AV15" s="23" t="e">
        <f>AU15+'13.04'!AV15</f>
        <v>#REF!</v>
      </c>
      <c r="AW15" s="57">
        <v>0</v>
      </c>
      <c r="AX15" s="23" t="e">
        <f>AW15+'13.04'!AX15</f>
        <v>#REF!</v>
      </c>
      <c r="AY15" s="57">
        <v>0</v>
      </c>
      <c r="AZ15" s="23" t="e">
        <f>AY15+'13.04'!AZ15</f>
        <v>#REF!</v>
      </c>
      <c r="BA15" s="57">
        <v>3</v>
      </c>
      <c r="BB15" s="23" t="e">
        <f>BA15+'13.04'!BB15</f>
        <v>#REF!</v>
      </c>
      <c r="BC15" s="58">
        <f t="shared" si="3"/>
        <v>1381</v>
      </c>
      <c r="BD15" s="59" t="e">
        <f t="shared" si="3"/>
        <v>#REF!</v>
      </c>
      <c r="BE15" s="55">
        <v>79</v>
      </c>
      <c r="BF15" s="23" t="e">
        <f>BE15+'13.04'!BF15</f>
        <v>#REF!</v>
      </c>
      <c r="BG15" s="57">
        <v>2</v>
      </c>
      <c r="BH15" s="23" t="e">
        <f>BG15+'13.04'!BH15</f>
        <v>#REF!</v>
      </c>
      <c r="BI15" s="55">
        <v>650</v>
      </c>
      <c r="BJ15" s="23" t="e">
        <f>BI15+'13.04'!BJ15</f>
        <v>#REF!</v>
      </c>
      <c r="BK15" s="55">
        <v>650</v>
      </c>
      <c r="BL15" s="23" t="e">
        <f>BK15+'13.04'!BL15</f>
        <v>#REF!</v>
      </c>
      <c r="BM15" s="55">
        <v>0</v>
      </c>
      <c r="BN15" s="23" t="e">
        <f>BM15+'13.04'!BN15</f>
        <v>#REF!</v>
      </c>
      <c r="BO15" s="36">
        <v>6274</v>
      </c>
      <c r="BP15" s="37">
        <v>2</v>
      </c>
      <c r="BQ15" s="23" t="e">
        <f>BP15+'13.04'!BQ15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F16+'13.04'!G16</f>
        <v>#REF!</v>
      </c>
      <c r="H16" s="33">
        <v>5</v>
      </c>
      <c r="I16" s="34"/>
      <c r="J16" s="23" t="e">
        <f>I16+'13.04'!J16</f>
        <v>#REF!</v>
      </c>
      <c r="K16" s="33">
        <v>3</v>
      </c>
      <c r="L16" s="22"/>
      <c r="M16" s="23" t="e">
        <f>L16+'13.04'!M16</f>
        <v>#REF!</v>
      </c>
      <c r="N16" s="33">
        <v>384</v>
      </c>
      <c r="O16" s="22"/>
      <c r="P16" s="23" t="e">
        <f>O16+'13.04'!P16</f>
        <v>#REF!</v>
      </c>
      <c r="Q16" s="33">
        <v>245</v>
      </c>
      <c r="R16" s="22"/>
      <c r="S16" s="23" t="e">
        <f>R16+'13.04'!S16</f>
        <v>#REF!</v>
      </c>
      <c r="T16" s="33">
        <v>397</v>
      </c>
      <c r="U16" s="22"/>
      <c r="V16" s="23" t="e">
        <f>U16+'13.04'!V16</f>
        <v>#REF!</v>
      </c>
      <c r="W16" s="33">
        <v>24</v>
      </c>
      <c r="X16" s="22"/>
      <c r="Y16" s="23" t="e">
        <f>X16+'13.04'!Y16</f>
        <v>#REF!</v>
      </c>
      <c r="Z16" s="33">
        <v>18</v>
      </c>
      <c r="AA16" s="22"/>
      <c r="AB16" s="23" t="e">
        <f>AA16+'13.04'!AB16</f>
        <v>#REF!</v>
      </c>
      <c r="AC16" s="33">
        <v>18515</v>
      </c>
      <c r="AD16" s="22"/>
      <c r="AE16" s="23" t="e">
        <f>AD16+'13.04'!AE16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AH16+'13.04'!AI16</f>
        <v>#REF!</v>
      </c>
      <c r="AJ16" s="24"/>
      <c r="AK16" s="23" t="e">
        <f>AJ16+'13.04'!AK16</f>
        <v>#REF!</v>
      </c>
      <c r="AL16" s="22"/>
      <c r="AM16" s="23" t="e">
        <f>AL16+'13.04'!AM16</f>
        <v>#REF!</v>
      </c>
      <c r="AN16" s="22"/>
      <c r="AO16" s="23" t="e">
        <f>AN16+'13.04'!AO16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AS16+'13.04'!AT16</f>
        <v>#REF!</v>
      </c>
      <c r="AU16" s="34"/>
      <c r="AV16" s="23" t="e">
        <f>AU16+'13.04'!AV16</f>
        <v>#REF!</v>
      </c>
      <c r="AW16" s="34"/>
      <c r="AX16" s="23" t="e">
        <f>AW16+'13.04'!AX16</f>
        <v>#REF!</v>
      </c>
      <c r="AY16" s="34"/>
      <c r="AZ16" s="23" t="e">
        <f>AY16+'13.04'!AZ16</f>
        <v>#REF!</v>
      </c>
      <c r="BA16" s="34"/>
      <c r="BB16" s="23" t="e">
        <f>BA16+'13.04'!BB16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BE16+'13.04'!BF16</f>
        <v>#REF!</v>
      </c>
      <c r="BG16" s="34"/>
      <c r="BH16" s="23" t="e">
        <f>BG16+'13.04'!BH16</f>
        <v>#REF!</v>
      </c>
      <c r="BI16" s="22"/>
      <c r="BJ16" s="23" t="e">
        <f>BI16+'13.04'!BJ16</f>
        <v>#REF!</v>
      </c>
      <c r="BK16" s="22"/>
      <c r="BL16" s="23" t="e">
        <f>BK16+'13.04'!BL16</f>
        <v>#REF!</v>
      </c>
      <c r="BM16" s="22"/>
      <c r="BN16" s="23" t="e">
        <f>BM16+'13.04'!BN16</f>
        <v>#REF!</v>
      </c>
      <c r="BO16" s="36">
        <v>2546</v>
      </c>
      <c r="BP16" s="37"/>
      <c r="BQ16" s="23" t="e">
        <f>BP16+'13.04'!BQ16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280</v>
      </c>
      <c r="D17" s="31" t="e">
        <f t="shared" si="0"/>
        <v>#REF!</v>
      </c>
      <c r="E17" s="32">
        <v>754</v>
      </c>
      <c r="F17" s="22">
        <v>185</v>
      </c>
      <c r="G17" s="23" t="e">
        <f>F17+'13.04'!G17</f>
        <v>#REF!</v>
      </c>
      <c r="H17" s="33">
        <v>9</v>
      </c>
      <c r="I17" s="34">
        <v>0</v>
      </c>
      <c r="J17" s="23" t="e">
        <f>I17+'13.04'!J17</f>
        <v>#REF!</v>
      </c>
      <c r="K17" s="33">
        <v>5</v>
      </c>
      <c r="L17" s="22">
        <v>0</v>
      </c>
      <c r="M17" s="23" t="e">
        <f>L17+'13.04'!M17</f>
        <v>#REF!</v>
      </c>
      <c r="N17" s="33">
        <v>768</v>
      </c>
      <c r="O17" s="22">
        <v>0</v>
      </c>
      <c r="P17" s="23" t="e">
        <f>O17+'13.04'!P17</f>
        <v>#REF!</v>
      </c>
      <c r="Q17" s="33">
        <v>624</v>
      </c>
      <c r="R17" s="22">
        <v>0</v>
      </c>
      <c r="S17" s="23" t="e">
        <f>R17+'13.04'!S17</f>
        <v>#REF!</v>
      </c>
      <c r="T17" s="33">
        <v>742</v>
      </c>
      <c r="U17" s="22">
        <v>0</v>
      </c>
      <c r="V17" s="23" t="e">
        <f>U17+'13.04'!V17</f>
        <v>#REF!</v>
      </c>
      <c r="W17" s="33">
        <v>54</v>
      </c>
      <c r="X17" s="22">
        <v>56</v>
      </c>
      <c r="Y17" s="23" t="e">
        <f>X17+'13.04'!Y17</f>
        <v>#REF!</v>
      </c>
      <c r="Z17" s="33">
        <v>66</v>
      </c>
      <c r="AA17" s="22">
        <v>0</v>
      </c>
      <c r="AB17" s="23" t="e">
        <f>AA17+'13.04'!AB17</f>
        <v>#REF!</v>
      </c>
      <c r="AC17" s="33">
        <v>2580</v>
      </c>
      <c r="AD17" s="22">
        <v>39</v>
      </c>
      <c r="AE17" s="23" t="e">
        <f>AD17+'13.04'!AE17</f>
        <v>#REF!</v>
      </c>
      <c r="AF17" s="19">
        <f t="shared" si="1"/>
        <v>210000</v>
      </c>
      <c r="AG17" s="20" t="e">
        <f t="shared" si="1"/>
        <v>#REF!</v>
      </c>
      <c r="AH17" s="24">
        <v>10500</v>
      </c>
      <c r="AI17" s="23" t="e">
        <f>AH17+'13.04'!AI17</f>
        <v>#REF!</v>
      </c>
      <c r="AJ17" s="24">
        <v>12500</v>
      </c>
      <c r="AK17" s="23" t="e">
        <f>AJ17+'13.04'!AK17</f>
        <v>#REF!</v>
      </c>
      <c r="AL17" s="22">
        <v>76200</v>
      </c>
      <c r="AM17" s="23" t="e">
        <f>AL17+'13.04'!AM17</f>
        <v>#REF!</v>
      </c>
      <c r="AN17" s="22">
        <v>110800</v>
      </c>
      <c r="AO17" s="23" t="e">
        <f>AN17+'13.04'!AO17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AS17+'13.04'!AT17</f>
        <v>#REF!</v>
      </c>
      <c r="AU17" s="34">
        <v>1</v>
      </c>
      <c r="AV17" s="23" t="e">
        <f>AU17+'13.04'!AV17</f>
        <v>#REF!</v>
      </c>
      <c r="AW17" s="34">
        <v>0</v>
      </c>
      <c r="AX17" s="23" t="e">
        <f>AW17+'13.04'!AX17</f>
        <v>#REF!</v>
      </c>
      <c r="AY17" s="34">
        <v>0</v>
      </c>
      <c r="AZ17" s="23" t="e">
        <f>AY17+'13.04'!AZ17</f>
        <v>#REF!</v>
      </c>
      <c r="BA17" s="34">
        <v>14</v>
      </c>
      <c r="BB17" s="23" t="e">
        <f>BA17+'13.04'!BB17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BE17+'13.04'!BF17</f>
        <v>#REF!</v>
      </c>
      <c r="BG17" s="34">
        <v>4</v>
      </c>
      <c r="BH17" s="23" t="e">
        <f>BG17+'13.04'!BH17</f>
        <v>#REF!</v>
      </c>
      <c r="BI17" s="22">
        <v>1400</v>
      </c>
      <c r="BJ17" s="23" t="e">
        <f>BI17+'13.04'!BJ17</f>
        <v>#REF!</v>
      </c>
      <c r="BK17" s="22">
        <v>160</v>
      </c>
      <c r="BL17" s="23" t="e">
        <f>BK17+'13.04'!BL17</f>
        <v>#REF!</v>
      </c>
      <c r="BM17" s="22">
        <v>0</v>
      </c>
      <c r="BN17" s="23" t="e">
        <f>BM17+'13.04'!BN17</f>
        <v>#REF!</v>
      </c>
      <c r="BO17" s="36">
        <v>8022</v>
      </c>
      <c r="BP17" s="37">
        <v>10</v>
      </c>
      <c r="BQ17" s="23" t="e">
        <f>BP17+'13.04'!BQ17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556</v>
      </c>
      <c r="D18" s="20" t="e">
        <f t="shared" si="0"/>
        <v>#REF!</v>
      </c>
      <c r="E18" s="21">
        <v>1063</v>
      </c>
      <c r="F18" s="22">
        <v>342</v>
      </c>
      <c r="G18" s="23" t="e">
        <f>F18+'13.04'!G18</f>
        <v>#REF!</v>
      </c>
      <c r="H18" s="21">
        <v>19</v>
      </c>
      <c r="I18" s="22">
        <v>0</v>
      </c>
      <c r="J18" s="23" t="e">
        <f>I18+'13.04'!J18</f>
        <v>#REF!</v>
      </c>
      <c r="K18" s="21">
        <v>8</v>
      </c>
      <c r="L18" s="22">
        <v>0</v>
      </c>
      <c r="M18" s="23" t="e">
        <f>L18+'13.04'!M18</f>
        <v>#REF!</v>
      </c>
      <c r="N18" s="21">
        <v>1331</v>
      </c>
      <c r="O18" s="22">
        <v>0</v>
      </c>
      <c r="P18" s="23" t="e">
        <f>O18+'13.04'!P18</f>
        <v>#REF!</v>
      </c>
      <c r="Q18" s="21">
        <v>777</v>
      </c>
      <c r="R18" s="22">
        <v>0</v>
      </c>
      <c r="S18" s="23" t="e">
        <f>R18+'13.04'!S18</f>
        <v>#REF!</v>
      </c>
      <c r="T18" s="21">
        <v>318</v>
      </c>
      <c r="U18" s="22">
        <v>0</v>
      </c>
      <c r="V18" s="23" t="e">
        <f>U18+'13.04'!V18</f>
        <v>#REF!</v>
      </c>
      <c r="W18" s="21">
        <v>60</v>
      </c>
      <c r="X18" s="22">
        <v>214</v>
      </c>
      <c r="Y18" s="23" t="e">
        <f>X18+'13.04'!Y18</f>
        <v>#REF!</v>
      </c>
      <c r="Z18" s="21">
        <v>72</v>
      </c>
      <c r="AA18" s="22">
        <v>0</v>
      </c>
      <c r="AB18" s="23" t="e">
        <f>AA18+'13.04'!AB18</f>
        <v>#REF!</v>
      </c>
      <c r="AC18" s="21">
        <v>143</v>
      </c>
      <c r="AD18" s="22">
        <v>0</v>
      </c>
      <c r="AE18" s="23" t="e">
        <f>AD18+'13.04'!AE18</f>
        <v>#REF!</v>
      </c>
      <c r="AF18" s="19">
        <f t="shared" si="1"/>
        <v>317450</v>
      </c>
      <c r="AG18" s="20" t="e">
        <f t="shared" si="1"/>
        <v>#REF!</v>
      </c>
      <c r="AH18" s="24">
        <v>602</v>
      </c>
      <c r="AI18" s="23" t="e">
        <f>AH18+'13.04'!AI18</f>
        <v>#REF!</v>
      </c>
      <c r="AJ18" s="24">
        <v>4740</v>
      </c>
      <c r="AK18" s="23" t="e">
        <f>AJ18+'13.04'!AK18</f>
        <v>#REF!</v>
      </c>
      <c r="AL18" s="22">
        <v>156054</v>
      </c>
      <c r="AM18" s="23" t="e">
        <f>AL18+'13.04'!AM18</f>
        <v>#REF!</v>
      </c>
      <c r="AN18" s="22">
        <v>156054</v>
      </c>
      <c r="AO18" s="23" t="e">
        <f>AN18+'13.04'!AO18</f>
        <v>#REF!</v>
      </c>
      <c r="AP18" s="17" t="s">
        <v>53</v>
      </c>
      <c r="AQ18" s="19">
        <f>AS18+AU18+AW18+AY18+BA18</f>
        <v>6</v>
      </c>
      <c r="AR18" s="20" t="e">
        <f t="shared" si="2"/>
        <v>#REF!</v>
      </c>
      <c r="AS18" s="22">
        <v>0</v>
      </c>
      <c r="AT18" s="23" t="e">
        <f>AS18+'13.04'!AT18</f>
        <v>#REF!</v>
      </c>
      <c r="AU18" s="22">
        <v>0</v>
      </c>
      <c r="AV18" s="23" t="e">
        <f>AU18+'13.04'!AV18</f>
        <v>#REF!</v>
      </c>
      <c r="AW18" s="22">
        <v>0</v>
      </c>
      <c r="AX18" s="23" t="e">
        <f>AW18+'13.04'!AX18</f>
        <v>#REF!</v>
      </c>
      <c r="AY18" s="22">
        <v>6</v>
      </c>
      <c r="AZ18" s="23" t="e">
        <f>AY18+'13.04'!AZ18</f>
        <v>#REF!</v>
      </c>
      <c r="BA18" s="22">
        <v>0</v>
      </c>
      <c r="BB18" s="23" t="e">
        <f>BA18+'13.04'!BB18</f>
        <v>#REF!</v>
      </c>
      <c r="BC18" s="19">
        <f t="shared" si="3"/>
        <v>3526</v>
      </c>
      <c r="BD18" s="20" t="e">
        <f>BF18+BH18+BJ18+BL18+BN18</f>
        <v>#REF!</v>
      </c>
      <c r="BE18" s="22">
        <v>2</v>
      </c>
      <c r="BF18" s="23" t="e">
        <f>BE18+'13.04'!BF18</f>
        <v>#REF!</v>
      </c>
      <c r="BG18" s="22">
        <v>1</v>
      </c>
      <c r="BH18" s="23" t="e">
        <f>BG18+'13.04'!BH18</f>
        <v>#REF!</v>
      </c>
      <c r="BI18" s="22">
        <v>3309</v>
      </c>
      <c r="BJ18" s="23" t="e">
        <f>BI18+'13.04'!BJ18</f>
        <v>#REF!</v>
      </c>
      <c r="BK18" s="22">
        <v>214</v>
      </c>
      <c r="BL18" s="23" t="e">
        <f>BK18+'13.04'!BL18</f>
        <v>#REF!</v>
      </c>
      <c r="BM18" s="22">
        <v>0</v>
      </c>
      <c r="BN18" s="23" t="e">
        <f>BM18+'13.04'!BN18</f>
        <v>#REF!</v>
      </c>
      <c r="BO18" s="36">
        <v>442</v>
      </c>
      <c r="BP18" s="37">
        <v>0</v>
      </c>
      <c r="BQ18" s="23" t="e">
        <f>BP18+'13.04'!BQ18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44</v>
      </c>
      <c r="D19" s="31" t="e">
        <f t="shared" si="0"/>
        <v>#REF!</v>
      </c>
      <c r="E19" s="33">
        <v>221</v>
      </c>
      <c r="F19" s="22">
        <v>14</v>
      </c>
      <c r="G19" s="23" t="e">
        <f>F19+'13.04'!G19</f>
        <v>#REF!</v>
      </c>
      <c r="H19" s="33">
        <v>5</v>
      </c>
      <c r="I19" s="34">
        <v>0</v>
      </c>
      <c r="J19" s="23" t="e">
        <f>I19+'13.04'!J19</f>
        <v>#REF!</v>
      </c>
      <c r="K19" s="33">
        <v>4</v>
      </c>
      <c r="L19" s="22">
        <v>0</v>
      </c>
      <c r="M19" s="23" t="e">
        <f>L19+'13.04'!M19</f>
        <v>#REF!</v>
      </c>
      <c r="N19" s="33">
        <v>313</v>
      </c>
      <c r="O19" s="22">
        <v>0</v>
      </c>
      <c r="P19" s="23" t="e">
        <f>O19+'13.04'!P19</f>
        <v>#REF!</v>
      </c>
      <c r="Q19" s="33">
        <v>203</v>
      </c>
      <c r="R19" s="22">
        <v>0</v>
      </c>
      <c r="S19" s="23" t="e">
        <f>R19+'13.04'!S19</f>
        <v>#REF!</v>
      </c>
      <c r="T19" s="33">
        <v>241</v>
      </c>
      <c r="U19" s="22">
        <v>0</v>
      </c>
      <c r="V19" s="23" t="e">
        <f>U19+'13.04'!V19</f>
        <v>#REF!</v>
      </c>
      <c r="W19" s="33">
        <v>14</v>
      </c>
      <c r="X19" s="22">
        <v>18</v>
      </c>
      <c r="Y19" s="23" t="e">
        <f>X19+'13.04'!Y19</f>
        <v>#REF!</v>
      </c>
      <c r="Z19" s="33">
        <v>7</v>
      </c>
      <c r="AA19" s="22">
        <v>0</v>
      </c>
      <c r="AB19" s="23" t="e">
        <f>AA19+'13.04'!AB19</f>
        <v>#REF!</v>
      </c>
      <c r="AC19" s="33">
        <v>32</v>
      </c>
      <c r="AD19" s="22">
        <v>12</v>
      </c>
      <c r="AE19" s="23" t="e">
        <f>AD19+'13.04'!AE19</f>
        <v>#REF!</v>
      </c>
      <c r="AF19" s="19">
        <f t="shared" si="1"/>
        <v>3200</v>
      </c>
      <c r="AG19" s="20" t="e">
        <f t="shared" si="1"/>
        <v>#REF!</v>
      </c>
      <c r="AH19" s="24">
        <v>550</v>
      </c>
      <c r="AI19" s="23" t="e">
        <f>AH19+'13.04'!AI19</f>
        <v>#REF!</v>
      </c>
      <c r="AJ19" s="24">
        <v>550</v>
      </c>
      <c r="AK19" s="23" t="e">
        <f>AJ19+'13.04'!AK19</f>
        <v>#REF!</v>
      </c>
      <c r="AL19" s="22">
        <v>1050</v>
      </c>
      <c r="AM19" s="23" t="e">
        <f>AL19+'13.04'!AM19</f>
        <v>#REF!</v>
      </c>
      <c r="AN19" s="22">
        <v>1050</v>
      </c>
      <c r="AO19" s="23" t="e">
        <f>AN19+'13.04'!AO19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AS19+'13.04'!AT19</f>
        <v>#REF!</v>
      </c>
      <c r="AU19" s="34">
        <v>0</v>
      </c>
      <c r="AV19" s="23" t="e">
        <f>AU19+'13.04'!AV19</f>
        <v>#REF!</v>
      </c>
      <c r="AW19" s="34">
        <v>0</v>
      </c>
      <c r="AX19" s="23" t="e">
        <f>AW19+'13.04'!AX19</f>
        <v>#REF!</v>
      </c>
      <c r="AY19" s="34">
        <v>0</v>
      </c>
      <c r="AZ19" s="23" t="e">
        <f>AY19+'13.04'!AZ19</f>
        <v>#REF!</v>
      </c>
      <c r="BA19" s="34">
        <v>0</v>
      </c>
      <c r="BB19" s="23" t="e">
        <f>BA19+'13.04'!BB19</f>
        <v>#REF!</v>
      </c>
      <c r="BC19" s="19">
        <f t="shared" si="3"/>
        <v>1023</v>
      </c>
      <c r="BD19" s="20" t="e">
        <f t="shared" si="3"/>
        <v>#REF!</v>
      </c>
      <c r="BE19" s="22">
        <v>17</v>
      </c>
      <c r="BF19" s="23" t="e">
        <f>BE19+'13.04'!BF19</f>
        <v>#REF!</v>
      </c>
      <c r="BG19" s="34">
        <v>0</v>
      </c>
      <c r="BH19" s="23" t="e">
        <f>BG19+'13.04'!BH19</f>
        <v>#REF!</v>
      </c>
      <c r="BI19" s="22">
        <v>800</v>
      </c>
      <c r="BJ19" s="23" t="e">
        <f>BI19+'13.04'!BJ19</f>
        <v>#REF!</v>
      </c>
      <c r="BK19" s="22">
        <v>200</v>
      </c>
      <c r="BL19" s="23" t="e">
        <f>BK19+'13.04'!BL19</f>
        <v>#REF!</v>
      </c>
      <c r="BM19" s="22">
        <v>6</v>
      </c>
      <c r="BN19" s="23" t="e">
        <f>BM19+'13.04'!BN19</f>
        <v>#REF!</v>
      </c>
      <c r="BO19" s="36">
        <v>2898</v>
      </c>
      <c r="BP19" s="37">
        <v>0</v>
      </c>
      <c r="BQ19" s="23" t="e">
        <f>BP19+'13.04'!BQ19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452</v>
      </c>
      <c r="D20" s="31" t="e">
        <f t="shared" si="0"/>
        <v>#REF!</v>
      </c>
      <c r="E20" s="32">
        <v>723</v>
      </c>
      <c r="F20" s="22">
        <v>278</v>
      </c>
      <c r="G20" s="23" t="e">
        <f>F20+'13.04'!G20</f>
        <v>#REF!</v>
      </c>
      <c r="H20" s="33">
        <v>5</v>
      </c>
      <c r="I20" s="34">
        <v>1</v>
      </c>
      <c r="J20" s="23" t="e">
        <f>I20+'13.04'!J20</f>
        <v>#REF!</v>
      </c>
      <c r="K20" s="33">
        <v>3</v>
      </c>
      <c r="L20" s="22">
        <v>0</v>
      </c>
      <c r="M20" s="23" t="e">
        <f>L20+'13.04'!M20</f>
        <v>#REF!</v>
      </c>
      <c r="N20" s="33">
        <v>975</v>
      </c>
      <c r="O20" s="22">
        <v>80</v>
      </c>
      <c r="P20" s="23" t="e">
        <f>O20+'13.04'!P20</f>
        <v>#REF!</v>
      </c>
      <c r="Q20" s="61">
        <v>1862</v>
      </c>
      <c r="R20" s="22">
        <v>1</v>
      </c>
      <c r="S20" s="23" t="e">
        <f>R20+'13.04'!S20</f>
        <v>#REF!</v>
      </c>
      <c r="T20" s="33">
        <v>35</v>
      </c>
      <c r="U20" s="22">
        <v>4</v>
      </c>
      <c r="V20" s="23" t="e">
        <f>U20+'13.04'!V20</f>
        <v>#REF!</v>
      </c>
      <c r="W20" s="33">
        <v>64</v>
      </c>
      <c r="X20" s="22">
        <v>3</v>
      </c>
      <c r="Y20" s="23" t="e">
        <f>X20+'13.04'!Y20</f>
        <v>#REF!</v>
      </c>
      <c r="Z20" s="33">
        <v>15</v>
      </c>
      <c r="AA20" s="22">
        <v>1</v>
      </c>
      <c r="AB20" s="23" t="e">
        <f>AA20+'13.04'!AB20</f>
        <v>#REF!</v>
      </c>
      <c r="AC20" s="33">
        <v>1546</v>
      </c>
      <c r="AD20" s="22">
        <v>84</v>
      </c>
      <c r="AE20" s="23" t="e">
        <f>AD20+'13.04'!AE20</f>
        <v>#REF!</v>
      </c>
      <c r="AF20" s="19">
        <f t="shared" si="1"/>
        <v>24410</v>
      </c>
      <c r="AG20" s="20" t="e">
        <f t="shared" si="1"/>
        <v>#REF!</v>
      </c>
      <c r="AH20" s="24">
        <v>12120</v>
      </c>
      <c r="AI20" s="23" t="e">
        <f>AH20+'13.04'!AI20</f>
        <v>#REF!</v>
      </c>
      <c r="AJ20" s="24">
        <v>11590</v>
      </c>
      <c r="AK20" s="23" t="e">
        <f>AJ20+'13.04'!AK20</f>
        <v>#REF!</v>
      </c>
      <c r="AL20" s="22">
        <v>550</v>
      </c>
      <c r="AM20" s="23" t="e">
        <f>AL20+'13.04'!AM20</f>
        <v>#REF!</v>
      </c>
      <c r="AN20" s="22">
        <v>150</v>
      </c>
      <c r="AO20" s="23" t="e">
        <f>AN20+'13.04'!AO20</f>
        <v>#REF!</v>
      </c>
      <c r="AP20" s="28" t="s">
        <v>55</v>
      </c>
      <c r="AQ20" s="19">
        <f t="shared" si="4"/>
        <v>234</v>
      </c>
      <c r="AR20" s="20" t="e">
        <f t="shared" si="2"/>
        <v>#REF!</v>
      </c>
      <c r="AS20" s="34">
        <v>1</v>
      </c>
      <c r="AT20" s="23" t="e">
        <f>AS20+'13.04'!AT20</f>
        <v>#REF!</v>
      </c>
      <c r="AU20" s="34">
        <v>0</v>
      </c>
      <c r="AV20" s="23" t="e">
        <f>AU20+'13.04'!AV20</f>
        <v>#REF!</v>
      </c>
      <c r="AW20" s="34">
        <v>0</v>
      </c>
      <c r="AX20" s="23" t="e">
        <f>AW20+'13.04'!AX20</f>
        <v>#REF!</v>
      </c>
      <c r="AY20" s="34">
        <v>0</v>
      </c>
      <c r="AZ20" s="23" t="e">
        <f>AY20+'13.04'!AZ20</f>
        <v>#REF!</v>
      </c>
      <c r="BA20" s="34">
        <v>233</v>
      </c>
      <c r="BB20" s="23" t="e">
        <f>BA20+'13.04'!BB20</f>
        <v>#REF!</v>
      </c>
      <c r="BC20" s="19">
        <f t="shared" si="3"/>
        <v>4830</v>
      </c>
      <c r="BD20" s="20" t="e">
        <f t="shared" si="3"/>
        <v>#REF!</v>
      </c>
      <c r="BE20" s="22">
        <v>650</v>
      </c>
      <c r="BF20" s="23" t="e">
        <f>BE20+'13.04'!BF20</f>
        <v>#REF!</v>
      </c>
      <c r="BG20" s="34">
        <v>0</v>
      </c>
      <c r="BH20" s="23" t="e">
        <f>BG20+'13.04'!BH20</f>
        <v>#REF!</v>
      </c>
      <c r="BI20" s="22">
        <v>2075</v>
      </c>
      <c r="BJ20" s="23" t="e">
        <f>BI20+'13.04'!BJ20</f>
        <v>#REF!</v>
      </c>
      <c r="BK20" s="22">
        <v>2105</v>
      </c>
      <c r="BL20" s="23" t="e">
        <f>BK20+'13.04'!BL20</f>
        <v>#REF!</v>
      </c>
      <c r="BM20" s="22">
        <v>0</v>
      </c>
      <c r="BN20" s="23" t="e">
        <f>BM20+'13.04'!BN20</f>
        <v>#REF!</v>
      </c>
      <c r="BO20" s="36">
        <v>5854</v>
      </c>
      <c r="BP20" s="37">
        <v>0</v>
      </c>
      <c r="BQ20" s="23" t="e">
        <f>BP20+'13.04'!BQ20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220</v>
      </c>
      <c r="D21" s="31" t="e">
        <f t="shared" si="0"/>
        <v>#REF!</v>
      </c>
      <c r="E21" s="32">
        <v>1017</v>
      </c>
      <c r="F21" s="22">
        <v>200</v>
      </c>
      <c r="G21" s="23" t="e">
        <f>F21+'13.04'!G21</f>
        <v>#REF!</v>
      </c>
      <c r="H21" s="33">
        <v>8</v>
      </c>
      <c r="I21" s="34">
        <v>2</v>
      </c>
      <c r="J21" s="23" t="e">
        <f>I21+'13.04'!J21</f>
        <v>#REF!</v>
      </c>
      <c r="K21" s="33">
        <v>4</v>
      </c>
      <c r="L21" s="22">
        <v>0</v>
      </c>
      <c r="M21" s="23" t="e">
        <f>L21+'13.04'!M21</f>
        <v>#REF!</v>
      </c>
      <c r="N21" s="33">
        <v>963</v>
      </c>
      <c r="O21" s="22">
        <v>0</v>
      </c>
      <c r="P21" s="23" t="e">
        <f>O21+'13.04'!P21</f>
        <v>#REF!</v>
      </c>
      <c r="Q21" s="33">
        <v>912</v>
      </c>
      <c r="R21" s="22">
        <v>0</v>
      </c>
      <c r="S21" s="23" t="e">
        <f>R21+'13.04'!S21</f>
        <v>#REF!</v>
      </c>
      <c r="T21" s="33">
        <v>199</v>
      </c>
      <c r="U21" s="22">
        <v>3</v>
      </c>
      <c r="V21" s="23" t="e">
        <f>U21+'13.04'!V21</f>
        <v>#REF!</v>
      </c>
      <c r="W21" s="33">
        <v>101</v>
      </c>
      <c r="X21" s="22">
        <v>10</v>
      </c>
      <c r="Y21" s="23" t="e">
        <f>X21+'13.04'!Y21</f>
        <v>#REF!</v>
      </c>
      <c r="Z21" s="33">
        <v>42</v>
      </c>
      <c r="AA21" s="22">
        <v>0</v>
      </c>
      <c r="AB21" s="23" t="e">
        <f>AA21+'13.04'!AB21</f>
        <v>#REF!</v>
      </c>
      <c r="AC21" s="33">
        <v>20</v>
      </c>
      <c r="AD21" s="22">
        <v>5</v>
      </c>
      <c r="AE21" s="23" t="e">
        <f>AD21+'13.04'!AE21</f>
        <v>#REF!</v>
      </c>
      <c r="AF21" s="19">
        <f t="shared" si="1"/>
        <v>1697000</v>
      </c>
      <c r="AG21" s="20" t="e">
        <f t="shared" si="1"/>
        <v>#REF!</v>
      </c>
      <c r="AH21" s="24">
        <v>1000</v>
      </c>
      <c r="AI21" s="23" t="e">
        <f>AH21+'13.04'!AI21</f>
        <v>#REF!</v>
      </c>
      <c r="AJ21" s="24">
        <v>196000</v>
      </c>
      <c r="AK21" s="23" t="e">
        <f>AJ21+'13.04'!AK21</f>
        <v>#REF!</v>
      </c>
      <c r="AL21" s="22">
        <v>10000</v>
      </c>
      <c r="AM21" s="23" t="e">
        <f>AL21+'13.04'!AM21</f>
        <v>#REF!</v>
      </c>
      <c r="AN21" s="22">
        <v>1490000</v>
      </c>
      <c r="AO21" s="23" t="e">
        <f>AN21+'13.04'!AO21</f>
        <v>#REF!</v>
      </c>
      <c r="AP21" s="28" t="s">
        <v>58</v>
      </c>
      <c r="AQ21" s="19">
        <f t="shared" si="4"/>
        <v>12</v>
      </c>
      <c r="AR21" s="20" t="e">
        <f t="shared" si="2"/>
        <v>#REF!</v>
      </c>
      <c r="AS21" s="34">
        <v>0</v>
      </c>
      <c r="AT21" s="23" t="e">
        <f>AS21+'13.04'!AT21</f>
        <v>#REF!</v>
      </c>
      <c r="AU21" s="34">
        <v>4</v>
      </c>
      <c r="AV21" s="23" t="e">
        <f>AU21+'13.04'!AV21</f>
        <v>#REF!</v>
      </c>
      <c r="AW21" s="34">
        <v>1</v>
      </c>
      <c r="AX21" s="23" t="e">
        <f>AW21+'13.04'!AX21</f>
        <v>#REF!</v>
      </c>
      <c r="AY21" s="34">
        <v>0</v>
      </c>
      <c r="AZ21" s="23" t="e">
        <f>AY21+'13.04'!AZ21</f>
        <v>#REF!</v>
      </c>
      <c r="BA21" s="34">
        <v>7</v>
      </c>
      <c r="BB21" s="23" t="e">
        <f>BA21+'13.04'!BB21</f>
        <v>#REF!</v>
      </c>
      <c r="BC21" s="19">
        <f t="shared" si="3"/>
        <v>10180</v>
      </c>
      <c r="BD21" s="20" t="e">
        <f t="shared" si="3"/>
        <v>#REF!</v>
      </c>
      <c r="BE21" s="22">
        <v>180</v>
      </c>
      <c r="BF21" s="23" t="e">
        <f>BE21+'13.04'!BF21</f>
        <v>#REF!</v>
      </c>
      <c r="BG21" s="34">
        <v>0</v>
      </c>
      <c r="BH21" s="23" t="e">
        <f>BG21+'13.04'!BH21</f>
        <v>#REF!</v>
      </c>
      <c r="BI21" s="22">
        <v>10000</v>
      </c>
      <c r="BJ21" s="23" t="e">
        <f>BI21+'13.04'!BJ21</f>
        <v>#REF!</v>
      </c>
      <c r="BK21" s="22">
        <v>0</v>
      </c>
      <c r="BL21" s="23" t="e">
        <f>BK21+'13.04'!BL21</f>
        <v>#REF!</v>
      </c>
      <c r="BM21" s="22">
        <v>0</v>
      </c>
      <c r="BN21" s="23" t="e">
        <f>BM21+'13.04'!BN21</f>
        <v>#REF!</v>
      </c>
      <c r="BO21" s="36">
        <v>68</v>
      </c>
      <c r="BP21" s="37">
        <v>0</v>
      </c>
      <c r="BQ21" s="23" t="e">
        <f>BP21+'13.04'!BQ21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1296</v>
      </c>
      <c r="D22" s="31" t="e">
        <f t="shared" si="0"/>
        <v>#REF!</v>
      </c>
      <c r="E22" s="32">
        <v>509</v>
      </c>
      <c r="F22" s="22">
        <v>302</v>
      </c>
      <c r="G22" s="23" t="e">
        <f>F22+'13.04'!G22</f>
        <v>#REF!</v>
      </c>
      <c r="H22" s="33">
        <v>8</v>
      </c>
      <c r="I22" s="34">
        <v>6</v>
      </c>
      <c r="J22" s="23" t="e">
        <f>I22+'13.04'!J22</f>
        <v>#REF!</v>
      </c>
      <c r="K22" s="33">
        <v>21</v>
      </c>
      <c r="L22" s="22">
        <v>0</v>
      </c>
      <c r="M22" s="23" t="e">
        <f>L22+'13.04'!M22</f>
        <v>#REF!</v>
      </c>
      <c r="N22" s="33">
        <v>560</v>
      </c>
      <c r="O22" s="22">
        <v>25</v>
      </c>
      <c r="P22" s="23" t="e">
        <f>O22+'13.04'!P22</f>
        <v>#REF!</v>
      </c>
      <c r="Q22" s="33">
        <v>375</v>
      </c>
      <c r="R22" s="22">
        <v>25</v>
      </c>
      <c r="S22" s="23" t="e">
        <f>R22+'13.04'!S22</f>
        <v>#REF!</v>
      </c>
      <c r="T22" s="33">
        <v>165</v>
      </c>
      <c r="U22" s="22">
        <v>25</v>
      </c>
      <c r="V22" s="23" t="e">
        <f>U22+'13.04'!V22</f>
        <v>#REF!</v>
      </c>
      <c r="W22" s="33">
        <v>28</v>
      </c>
      <c r="X22" s="22">
        <v>64</v>
      </c>
      <c r="Y22" s="23" t="e">
        <f>X22+'13.04'!Y22</f>
        <v>#REF!</v>
      </c>
      <c r="Z22" s="33">
        <v>9</v>
      </c>
      <c r="AA22" s="22">
        <v>0</v>
      </c>
      <c r="AB22" s="23" t="e">
        <f>AA22+'13.04'!AB22</f>
        <v>#REF!</v>
      </c>
      <c r="AC22" s="33">
        <v>112</v>
      </c>
      <c r="AD22" s="22">
        <v>849</v>
      </c>
      <c r="AE22" s="23" t="e">
        <f>AD22+'13.04'!AE22</f>
        <v>#REF!</v>
      </c>
      <c r="AF22" s="19">
        <f t="shared" si="1"/>
        <v>137615</v>
      </c>
      <c r="AG22" s="20" t="e">
        <f t="shared" si="1"/>
        <v>#REF!</v>
      </c>
      <c r="AH22" s="24">
        <v>2541</v>
      </c>
      <c r="AI22" s="23" t="e">
        <f>AH22+'13.04'!AI22</f>
        <v>#REF!</v>
      </c>
      <c r="AJ22" s="24">
        <v>9742</v>
      </c>
      <c r="AK22" s="23" t="e">
        <f>AJ22+'13.04'!AK22</f>
        <v>#REF!</v>
      </c>
      <c r="AL22" s="22">
        <v>2412</v>
      </c>
      <c r="AM22" s="23" t="e">
        <f>AL22+'13.04'!AM22</f>
        <v>#REF!</v>
      </c>
      <c r="AN22" s="22">
        <v>122920</v>
      </c>
      <c r="AO22" s="23" t="e">
        <f>AN22+'13.04'!AO22</f>
        <v>#REF!</v>
      </c>
      <c r="AP22" s="28" t="s">
        <v>59</v>
      </c>
      <c r="AQ22" s="19">
        <f t="shared" si="4"/>
        <v>1856</v>
      </c>
      <c r="AR22" s="20" t="e">
        <f t="shared" si="2"/>
        <v>#REF!</v>
      </c>
      <c r="AS22" s="34">
        <v>2</v>
      </c>
      <c r="AT22" s="23" t="e">
        <f>AS22+'13.04'!AT22</f>
        <v>#REF!</v>
      </c>
      <c r="AU22" s="34">
        <v>0</v>
      </c>
      <c r="AV22" s="23" t="e">
        <f>AU22+'13.04'!AV22</f>
        <v>#REF!</v>
      </c>
      <c r="AW22" s="34">
        <v>0</v>
      </c>
      <c r="AX22" s="23" t="e">
        <f>AW22+'13.04'!AX22</f>
        <v>#REF!</v>
      </c>
      <c r="AY22" s="34"/>
      <c r="AZ22" s="23" t="e">
        <f>AY22+'13.04'!AZ22</f>
        <v>#REF!</v>
      </c>
      <c r="BA22" s="34">
        <v>1854</v>
      </c>
      <c r="BB22" s="23" t="e">
        <f>BA22+'13.04'!BB22</f>
        <v>#REF!</v>
      </c>
      <c r="BC22" s="19">
        <f t="shared" si="3"/>
        <v>7039</v>
      </c>
      <c r="BD22" s="20" t="e">
        <f t="shared" si="3"/>
        <v>#REF!</v>
      </c>
      <c r="BE22" s="22">
        <v>6</v>
      </c>
      <c r="BF22" s="23" t="e">
        <f>BE22+'13.04'!BF22</f>
        <v>#REF!</v>
      </c>
      <c r="BG22" s="34">
        <v>4</v>
      </c>
      <c r="BH22" s="23" t="e">
        <f>BG22+'13.04'!BH22</f>
        <v>#REF!</v>
      </c>
      <c r="BI22" s="22">
        <v>7021</v>
      </c>
      <c r="BJ22" s="23" t="e">
        <f>BI22+'13.04'!BJ22</f>
        <v>#REF!</v>
      </c>
      <c r="BK22" s="22">
        <v>8</v>
      </c>
      <c r="BL22" s="23" t="e">
        <f>BK22+'13.04'!BL22</f>
        <v>#REF!</v>
      </c>
      <c r="BM22" s="22">
        <v>0</v>
      </c>
      <c r="BN22" s="23" t="e">
        <f>BM22+'13.04'!BN22</f>
        <v>#REF!</v>
      </c>
      <c r="BO22" s="36">
        <v>26</v>
      </c>
      <c r="BP22" s="37">
        <v>3</v>
      </c>
      <c r="BQ22" s="23" t="e">
        <f>BP22+'13.04'!BQ22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3948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1801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28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165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44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584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5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1279</v>
      </c>
      <c r="AE23" s="68" t="e">
        <f t="shared" si="5"/>
        <v>#REF!</v>
      </c>
      <c r="AF23" s="64">
        <f t="shared" si="5"/>
        <v>4199381</v>
      </c>
      <c r="AG23" s="64" t="e">
        <f t="shared" si="5"/>
        <v>#REF!</v>
      </c>
      <c r="AH23" s="67">
        <f t="shared" si="5"/>
        <v>37172</v>
      </c>
      <c r="AI23" s="68" t="e">
        <f t="shared" si="5"/>
        <v>#REF!</v>
      </c>
      <c r="AJ23" s="67">
        <f t="shared" si="5"/>
        <v>279247</v>
      </c>
      <c r="AK23" s="68" t="e">
        <f t="shared" si="5"/>
        <v>#REF!</v>
      </c>
      <c r="AL23" s="67">
        <f t="shared" si="5"/>
        <v>942459</v>
      </c>
      <c r="AM23" s="68" t="e">
        <f t="shared" si="5"/>
        <v>#REF!</v>
      </c>
      <c r="AN23" s="67">
        <f t="shared" si="5"/>
        <v>2940503</v>
      </c>
      <c r="AO23" s="68" t="e">
        <f t="shared" si="5"/>
        <v>#REF!</v>
      </c>
      <c r="AP23" s="62" t="s">
        <v>12</v>
      </c>
      <c r="AQ23" s="64">
        <f t="shared" ref="AQ23:BP23" si="6">SUM(AQ8:AQ22)</f>
        <v>2280</v>
      </c>
      <c r="AR23" s="64" t="e">
        <f t="shared" si="6"/>
        <v>#REF!</v>
      </c>
      <c r="AS23" s="67">
        <f t="shared" si="6"/>
        <v>7</v>
      </c>
      <c r="AT23" s="68" t="e">
        <f t="shared" si="6"/>
        <v>#REF!</v>
      </c>
      <c r="AU23" s="67">
        <f t="shared" si="6"/>
        <v>8</v>
      </c>
      <c r="AV23" s="68" t="e">
        <f t="shared" si="6"/>
        <v>#REF!</v>
      </c>
      <c r="AW23" s="67">
        <f t="shared" si="6"/>
        <v>2</v>
      </c>
      <c r="AX23" s="68" t="e">
        <f t="shared" si="6"/>
        <v>#REF!</v>
      </c>
      <c r="AY23" s="67">
        <f t="shared" si="6"/>
        <v>6</v>
      </c>
      <c r="AZ23" s="68" t="e">
        <f t="shared" si="6"/>
        <v>#REF!</v>
      </c>
      <c r="BA23" s="67">
        <f t="shared" si="6"/>
        <v>2257</v>
      </c>
      <c r="BB23" s="68" t="e">
        <f t="shared" si="6"/>
        <v>#REF!</v>
      </c>
      <c r="BC23" s="64">
        <f t="shared" si="6"/>
        <v>57517</v>
      </c>
      <c r="BD23" s="64" t="e">
        <f t="shared" si="6"/>
        <v>#REF!</v>
      </c>
      <c r="BE23" s="67">
        <f t="shared" si="6"/>
        <v>2763</v>
      </c>
      <c r="BF23" s="68" t="e">
        <f t="shared" si="6"/>
        <v>#REF!</v>
      </c>
      <c r="BG23" s="67">
        <f t="shared" si="6"/>
        <v>36</v>
      </c>
      <c r="BH23" s="68" t="e">
        <f t="shared" si="6"/>
        <v>#REF!</v>
      </c>
      <c r="BI23" s="67">
        <f t="shared" si="6"/>
        <v>39907</v>
      </c>
      <c r="BJ23" s="68" t="e">
        <f t="shared" si="6"/>
        <v>#REF!</v>
      </c>
      <c r="BK23" s="67">
        <f t="shared" si="6"/>
        <v>14805</v>
      </c>
      <c r="BL23" s="68" t="e">
        <f t="shared" si="6"/>
        <v>#REF!</v>
      </c>
      <c r="BM23" s="67">
        <f t="shared" si="6"/>
        <v>6</v>
      </c>
      <c r="BN23" s="68" t="e">
        <f t="shared" si="6"/>
        <v>#REF!</v>
      </c>
      <c r="BO23" s="69">
        <f t="shared" si="6"/>
        <v>37684</v>
      </c>
      <c r="BP23" s="70">
        <f t="shared" si="6"/>
        <v>16</v>
      </c>
      <c r="BQ23" s="23">
        <f>BP23+'13.04'!BP23</f>
        <v>30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BU23"/>
  <sheetViews>
    <sheetView zoomScale="145" zoomScaleNormal="145" workbookViewId="0">
      <pane xSplit="4" ySplit="8" topLeftCell="E21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8.42578125" customWidth="1"/>
    <col min="5" max="6" width="6.28515625" customWidth="1"/>
    <col min="7" max="7" width="7.57031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F9+'14.04'!G9</f>
        <v>#REF!</v>
      </c>
      <c r="H9" s="33">
        <v>12</v>
      </c>
      <c r="I9" s="34">
        <v>1</v>
      </c>
      <c r="J9" s="23" t="e">
        <f>I9+'14.04'!J9</f>
        <v>#REF!</v>
      </c>
      <c r="K9" s="33">
        <v>2</v>
      </c>
      <c r="L9" s="22">
        <v>0</v>
      </c>
      <c r="M9" s="23" t="e">
        <f>L9+'14.04'!M9</f>
        <v>#REF!</v>
      </c>
      <c r="N9" s="33">
        <v>735</v>
      </c>
      <c r="O9" s="22">
        <v>0</v>
      </c>
      <c r="P9" s="23" t="e">
        <f>O9+'14.04'!P9</f>
        <v>#REF!</v>
      </c>
      <c r="Q9" s="33">
        <v>502</v>
      </c>
      <c r="R9" s="22">
        <v>0</v>
      </c>
      <c r="S9" s="23" t="e">
        <f>R9+'14.04'!S9</f>
        <v>#REF!</v>
      </c>
      <c r="T9" s="33">
        <v>197</v>
      </c>
      <c r="U9" s="22">
        <v>0</v>
      </c>
      <c r="V9" s="23" t="e">
        <f>U9+'14.04'!V9</f>
        <v>#REF!</v>
      </c>
      <c r="W9" s="33">
        <v>47</v>
      </c>
      <c r="X9" s="22">
        <v>0</v>
      </c>
      <c r="Y9" s="23" t="e">
        <f>X9+'14.04'!Y9</f>
        <v>#REF!</v>
      </c>
      <c r="Z9" s="33">
        <v>34</v>
      </c>
      <c r="AA9" s="22">
        <v>0</v>
      </c>
      <c r="AB9" s="23" t="e">
        <f>AA9+'14.04'!AB9</f>
        <v>#REF!</v>
      </c>
      <c r="AC9" s="33">
        <v>1860</v>
      </c>
      <c r="AD9" s="22">
        <v>0</v>
      </c>
      <c r="AE9" s="23" t="e">
        <f>AD9+'14.04'!AE9</f>
        <v>#REF!</v>
      </c>
      <c r="AF9" s="19">
        <f t="shared" ref="AF9:AG22" si="1">AH9+AJ9+AL9+AN9</f>
        <v>7856</v>
      </c>
      <c r="AG9" s="20" t="e">
        <f t="shared" si="1"/>
        <v>#REF!</v>
      </c>
      <c r="AH9" s="24">
        <v>58</v>
      </c>
      <c r="AI9" s="23" t="e">
        <f>AH9+'14.04'!AI9</f>
        <v>#REF!</v>
      </c>
      <c r="AJ9" s="24">
        <v>198</v>
      </c>
      <c r="AK9" s="23" t="e">
        <f>AJ9+'14.04'!AK9</f>
        <v>#REF!</v>
      </c>
      <c r="AL9" s="22">
        <v>3100</v>
      </c>
      <c r="AM9" s="23" t="e">
        <f>AL9+'14.04'!AM9</f>
        <v>#REF!</v>
      </c>
      <c r="AN9" s="22">
        <v>4500</v>
      </c>
      <c r="AO9" s="23" t="e">
        <f>AN9+'14.04'!AO9</f>
        <v>#REF!</v>
      </c>
      <c r="AP9" s="28" t="s">
        <v>43</v>
      </c>
      <c r="AQ9" s="19">
        <f t="shared" ref="AQ9:AR22" si="2">AS9+AU9+AW9+AY9+BA9</f>
        <v>63</v>
      </c>
      <c r="AR9" s="20" t="e">
        <f t="shared" si="2"/>
        <v>#REF!</v>
      </c>
      <c r="AS9" s="34">
        <v>1</v>
      </c>
      <c r="AT9" s="23" t="e">
        <f>AS9+'14.04'!AT9</f>
        <v>#REF!</v>
      </c>
      <c r="AU9" s="34">
        <v>0</v>
      </c>
      <c r="AV9" s="23" t="e">
        <f>AU9+'14.04'!AV9</f>
        <v>#REF!</v>
      </c>
      <c r="AW9" s="34">
        <v>0</v>
      </c>
      <c r="AX9" s="23" t="e">
        <f>AW9+'14.04'!AX9</f>
        <v>#REF!</v>
      </c>
      <c r="AY9" s="34">
        <v>0</v>
      </c>
      <c r="AZ9" s="23" t="e">
        <f>AY9+'14.04'!AZ9</f>
        <v>#REF!</v>
      </c>
      <c r="BA9" s="34">
        <v>62</v>
      </c>
      <c r="BB9" s="23" t="e">
        <f>BA9+'14.04'!BB9</f>
        <v>#REF!</v>
      </c>
      <c r="BC9" s="19">
        <f t="shared" ref="BC9:BD22" si="3">BE9+BG9+BI9+BK9+BM9</f>
        <v>381</v>
      </c>
      <c r="BD9" s="20" t="e">
        <f t="shared" si="3"/>
        <v>#REF!</v>
      </c>
      <c r="BE9" s="22">
        <v>1</v>
      </c>
      <c r="BF9" s="23" t="e">
        <f>BE9+'14.04'!BF9</f>
        <v>#REF!</v>
      </c>
      <c r="BG9" s="34">
        <v>0</v>
      </c>
      <c r="BH9" s="23" t="e">
        <f>BG9+'14.04'!BH9</f>
        <v>#REF!</v>
      </c>
      <c r="BI9" s="22">
        <v>380</v>
      </c>
      <c r="BJ9" s="23" t="e">
        <f>BI9+'14.04'!BJ9</f>
        <v>#REF!</v>
      </c>
      <c r="BK9" s="22">
        <v>0</v>
      </c>
      <c r="BL9" s="23" t="e">
        <f>BK9+'14.04'!BL9</f>
        <v>#REF!</v>
      </c>
      <c r="BM9" s="22">
        <v>0</v>
      </c>
      <c r="BN9" s="23" t="e">
        <f>BM9+'14.04'!BN9</f>
        <v>#REF!</v>
      </c>
      <c r="BO9" s="36">
        <v>14</v>
      </c>
      <c r="BP9" s="37">
        <v>0</v>
      </c>
      <c r="BQ9" s="23" t="e">
        <f>BP9+'14.04'!BQ9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172</v>
      </c>
      <c r="D10" s="31" t="e">
        <f t="shared" si="0"/>
        <v>#REF!</v>
      </c>
      <c r="E10" s="32">
        <v>585</v>
      </c>
      <c r="F10" s="22">
        <v>20</v>
      </c>
      <c r="G10" s="23" t="e">
        <f>F10+'14.04'!G10</f>
        <v>#REF!</v>
      </c>
      <c r="H10" s="33">
        <v>93</v>
      </c>
      <c r="I10" s="34">
        <v>7</v>
      </c>
      <c r="J10" s="23" t="e">
        <f>I10+'14.04'!J10</f>
        <v>#REF!</v>
      </c>
      <c r="K10" s="33">
        <v>34</v>
      </c>
      <c r="L10" s="22">
        <v>2</v>
      </c>
      <c r="M10" s="23" t="e">
        <f>L10+'14.04'!M10</f>
        <v>#REF!</v>
      </c>
      <c r="N10" s="33">
        <v>352</v>
      </c>
      <c r="O10" s="22">
        <v>9</v>
      </c>
      <c r="P10" s="23" t="e">
        <f>O10+'14.04'!P10</f>
        <v>#REF!</v>
      </c>
      <c r="Q10" s="33">
        <v>549</v>
      </c>
      <c r="R10" s="22">
        <v>11</v>
      </c>
      <c r="S10" s="23" t="e">
        <f>R10+'14.04'!S10</f>
        <v>#REF!</v>
      </c>
      <c r="T10" s="33">
        <v>198</v>
      </c>
      <c r="U10" s="22">
        <v>10</v>
      </c>
      <c r="V10" s="23" t="e">
        <f>U10+'14.04'!V10</f>
        <v>#REF!</v>
      </c>
      <c r="W10" s="38">
        <v>55</v>
      </c>
      <c r="X10" s="22">
        <v>1</v>
      </c>
      <c r="Y10" s="23" t="e">
        <f>X10+'14.04'!Y10</f>
        <v>#REF!</v>
      </c>
      <c r="Z10" s="38">
        <v>71</v>
      </c>
      <c r="AA10" s="22">
        <v>2</v>
      </c>
      <c r="AB10" s="23" t="e">
        <f>AA10+'14.04'!AB10</f>
        <v>#REF!</v>
      </c>
      <c r="AC10" s="38">
        <v>1690</v>
      </c>
      <c r="AD10" s="22">
        <v>110</v>
      </c>
      <c r="AE10" s="23" t="e">
        <f>AD10+'14.04'!AE10</f>
        <v>#REF!</v>
      </c>
      <c r="AF10" s="19">
        <f t="shared" si="1"/>
        <v>112315</v>
      </c>
      <c r="AG10" s="20" t="e">
        <f t="shared" si="1"/>
        <v>#REF!</v>
      </c>
      <c r="AH10" s="24">
        <v>1236</v>
      </c>
      <c r="AI10" s="23" t="e">
        <f>AH10+'14.04'!AI10</f>
        <v>#REF!</v>
      </c>
      <c r="AJ10" s="24">
        <v>4524</v>
      </c>
      <c r="AK10" s="23" t="e">
        <f>AJ10+'14.04'!AK10</f>
        <v>#REF!</v>
      </c>
      <c r="AL10" s="22">
        <v>15382</v>
      </c>
      <c r="AM10" s="23" t="e">
        <f>AL10+'14.04'!AM10</f>
        <v>#REF!</v>
      </c>
      <c r="AN10" s="22">
        <v>91173</v>
      </c>
      <c r="AO10" s="23" t="e">
        <f>AN10+'14.04'!AO10</f>
        <v>#REF!</v>
      </c>
      <c r="AP10" s="28" t="s">
        <v>44</v>
      </c>
      <c r="AQ10" s="19">
        <f t="shared" si="2"/>
        <v>3</v>
      </c>
      <c r="AR10" s="20" t="e">
        <f t="shared" si="2"/>
        <v>#REF!</v>
      </c>
      <c r="AS10" s="34">
        <v>2</v>
      </c>
      <c r="AT10" s="23" t="e">
        <f>AS10+'14.04'!AT10</f>
        <v>#REF!</v>
      </c>
      <c r="AU10" s="34">
        <v>0</v>
      </c>
      <c r="AV10" s="23" t="e">
        <f>AU10+'14.04'!AV10</f>
        <v>#REF!</v>
      </c>
      <c r="AW10" s="34">
        <v>0</v>
      </c>
      <c r="AX10" s="23" t="e">
        <f>AW10+'14.04'!AX10</f>
        <v>#REF!</v>
      </c>
      <c r="AY10" s="34">
        <v>0</v>
      </c>
      <c r="AZ10" s="23" t="e">
        <f>AY10+'14.04'!AZ10</f>
        <v>#REF!</v>
      </c>
      <c r="BA10" s="34">
        <v>1</v>
      </c>
      <c r="BB10" s="23" t="e">
        <f>BA10+'14.04'!BB10</f>
        <v>#REF!</v>
      </c>
      <c r="BC10" s="19">
        <f t="shared" si="3"/>
        <v>4169</v>
      </c>
      <c r="BD10" s="20" t="e">
        <f t="shared" si="3"/>
        <v>#REF!</v>
      </c>
      <c r="BE10" s="22">
        <v>508</v>
      </c>
      <c r="BF10" s="23" t="e">
        <f>BE10+'14.04'!BF10</f>
        <v>#REF!</v>
      </c>
      <c r="BG10" s="34">
        <v>0</v>
      </c>
      <c r="BH10" s="23" t="e">
        <f>BG10+'14.04'!BH10</f>
        <v>#REF!</v>
      </c>
      <c r="BI10" s="22">
        <v>2623</v>
      </c>
      <c r="BJ10" s="23" t="e">
        <f>BI10+'14.04'!BJ10</f>
        <v>#REF!</v>
      </c>
      <c r="BK10" s="22">
        <v>1038</v>
      </c>
      <c r="BL10" s="23" t="e">
        <f>BK10+'14.04'!BL10</f>
        <v>#REF!</v>
      </c>
      <c r="BM10" s="22">
        <v>0</v>
      </c>
      <c r="BN10" s="23" t="e">
        <f>BM10+'14.04'!BN10</f>
        <v>#REF!</v>
      </c>
      <c r="BO10" s="36">
        <v>32</v>
      </c>
      <c r="BP10" s="37">
        <v>0</v>
      </c>
      <c r="BQ10" s="23" t="e">
        <f>BP10+'14.04'!BQ10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82</v>
      </c>
      <c r="D11" s="31" t="e">
        <f t="shared" si="0"/>
        <v>#REF!</v>
      </c>
      <c r="E11" s="32">
        <v>883</v>
      </c>
      <c r="F11" s="22">
        <v>35</v>
      </c>
      <c r="G11" s="23" t="e">
        <f>F11+'14.04'!G11</f>
        <v>#REF!</v>
      </c>
      <c r="H11" s="33">
        <v>16</v>
      </c>
      <c r="I11" s="34">
        <v>0</v>
      </c>
      <c r="J11" s="23" t="e">
        <f>I11+'14.04'!J11</f>
        <v>#REF!</v>
      </c>
      <c r="K11" s="33">
        <v>3</v>
      </c>
      <c r="L11" s="22">
        <v>0</v>
      </c>
      <c r="M11" s="23" t="e">
        <f>L11+'14.04'!M11</f>
        <v>#REF!</v>
      </c>
      <c r="N11" s="33">
        <v>875</v>
      </c>
      <c r="O11" s="22">
        <v>0</v>
      </c>
      <c r="P11" s="23" t="e">
        <f>O11+'14.04'!P11</f>
        <v>#REF!</v>
      </c>
      <c r="Q11" s="33">
        <v>2424</v>
      </c>
      <c r="R11" s="22">
        <v>0</v>
      </c>
      <c r="S11" s="23" t="e">
        <f>R11+'14.04'!S11</f>
        <v>#REF!</v>
      </c>
      <c r="T11" s="33">
        <v>69</v>
      </c>
      <c r="U11" s="22">
        <v>0</v>
      </c>
      <c r="V11" s="23" t="e">
        <f>U11+'14.04'!V11</f>
        <v>#REF!</v>
      </c>
      <c r="W11" s="38">
        <v>133</v>
      </c>
      <c r="X11" s="22">
        <v>44</v>
      </c>
      <c r="Y11" s="23" t="e">
        <f>X11+'14.04'!Y11</f>
        <v>#REF!</v>
      </c>
      <c r="Z11" s="38">
        <v>1116</v>
      </c>
      <c r="AA11" s="22">
        <v>0</v>
      </c>
      <c r="AB11" s="23" t="e">
        <f>AA11+'14.04'!AB11</f>
        <v>#REF!</v>
      </c>
      <c r="AC11" s="38">
        <v>9862</v>
      </c>
      <c r="AD11" s="22">
        <v>3</v>
      </c>
      <c r="AE11" s="23" t="e">
        <f>AD11+'14.04'!AE11</f>
        <v>#REF!</v>
      </c>
      <c r="AF11" s="19">
        <f t="shared" si="1"/>
        <v>133500</v>
      </c>
      <c r="AG11" s="20" t="e">
        <f t="shared" si="1"/>
        <v>#REF!</v>
      </c>
      <c r="AH11" s="24">
        <v>5100</v>
      </c>
      <c r="AI11" s="23" t="e">
        <f>AH11+'14.04'!AI11</f>
        <v>#REF!</v>
      </c>
      <c r="AJ11" s="24">
        <v>8400</v>
      </c>
      <c r="AK11" s="23" t="e">
        <f>AJ11+'14.04'!AK11</f>
        <v>#REF!</v>
      </c>
      <c r="AL11" s="22">
        <v>28000</v>
      </c>
      <c r="AM11" s="23" t="e">
        <f>AL11+'14.04'!AM11</f>
        <v>#REF!</v>
      </c>
      <c r="AN11" s="22">
        <v>92000</v>
      </c>
      <c r="AO11" s="23" t="e">
        <f>AN11+'14.04'!AO11</f>
        <v>#REF!</v>
      </c>
      <c r="AP11" s="28" t="s">
        <v>45</v>
      </c>
      <c r="AQ11" s="19">
        <f t="shared" si="2"/>
        <v>8</v>
      </c>
      <c r="AR11" s="20" t="e">
        <f t="shared" si="2"/>
        <v>#REF!</v>
      </c>
      <c r="AS11" s="34">
        <v>0</v>
      </c>
      <c r="AT11" s="23" t="e">
        <f>AS11+'14.04'!AT11</f>
        <v>#REF!</v>
      </c>
      <c r="AU11" s="34">
        <v>0</v>
      </c>
      <c r="AV11" s="23" t="e">
        <f>AU11+'14.04'!AV11</f>
        <v>#REF!</v>
      </c>
      <c r="AW11" s="34">
        <v>0</v>
      </c>
      <c r="AX11" s="23" t="e">
        <f>AW11+'14.04'!AX11</f>
        <v>#REF!</v>
      </c>
      <c r="AY11" s="34">
        <v>0</v>
      </c>
      <c r="AZ11" s="23" t="e">
        <f>AY11+'14.04'!AZ11</f>
        <v>#REF!</v>
      </c>
      <c r="BA11" s="34">
        <v>8</v>
      </c>
      <c r="BB11" s="23" t="e">
        <f>BA11+'14.04'!BB11</f>
        <v>#REF!</v>
      </c>
      <c r="BC11" s="19">
        <f t="shared" si="3"/>
        <v>4313</v>
      </c>
      <c r="BD11" s="20" t="e">
        <f t="shared" si="3"/>
        <v>#REF!</v>
      </c>
      <c r="BE11" s="22">
        <v>6</v>
      </c>
      <c r="BF11" s="23" t="e">
        <f>BE11+'14.04'!BF11</f>
        <v>#REF!</v>
      </c>
      <c r="BG11" s="34">
        <v>2</v>
      </c>
      <c r="BH11" s="23" t="e">
        <f>BG11+'14.04'!BH11</f>
        <v>#REF!</v>
      </c>
      <c r="BI11" s="22">
        <v>4200</v>
      </c>
      <c r="BJ11" s="23" t="e">
        <f>BI11+'14.04'!BJ11</f>
        <v>#REF!</v>
      </c>
      <c r="BK11" s="22">
        <v>105</v>
      </c>
      <c r="BL11" s="23" t="e">
        <f>BK11+'14.04'!BL11</f>
        <v>#REF!</v>
      </c>
      <c r="BM11" s="22">
        <v>0</v>
      </c>
      <c r="BN11" s="23" t="e">
        <f>BM11+'14.04'!BN11</f>
        <v>#REF!</v>
      </c>
      <c r="BO11" s="36">
        <v>11506</v>
      </c>
      <c r="BP11" s="37">
        <v>5</v>
      </c>
      <c r="BQ11" s="23" t="e">
        <f>BP11+'14.04'!BQ11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183</v>
      </c>
      <c r="D12" s="31" t="e">
        <f t="shared" si="0"/>
        <v>#REF!</v>
      </c>
      <c r="E12" s="32">
        <v>909</v>
      </c>
      <c r="F12" s="22">
        <v>59</v>
      </c>
      <c r="G12" s="23" t="e">
        <f>F12+'14.04'!G12</f>
        <v>#REF!</v>
      </c>
      <c r="H12" s="33">
        <v>80</v>
      </c>
      <c r="I12" s="34">
        <v>4</v>
      </c>
      <c r="J12" s="23" t="e">
        <f>I12+'14.04'!J12</f>
        <v>#REF!</v>
      </c>
      <c r="K12" s="33">
        <v>5</v>
      </c>
      <c r="L12" s="22">
        <v>0</v>
      </c>
      <c r="M12" s="23" t="e">
        <f>L12+'14.04'!M12</f>
        <v>#REF!</v>
      </c>
      <c r="N12" s="33">
        <v>820</v>
      </c>
      <c r="O12" s="22">
        <v>11</v>
      </c>
      <c r="P12" s="23" t="e">
        <f>O12+'14.04'!P12</f>
        <v>#REF!</v>
      </c>
      <c r="Q12" s="33">
        <v>549</v>
      </c>
      <c r="R12" s="22">
        <v>0</v>
      </c>
      <c r="S12" s="23" t="e">
        <f>R12+'14.04'!S12</f>
        <v>#REF!</v>
      </c>
      <c r="T12" s="33">
        <v>992</v>
      </c>
      <c r="U12" s="22">
        <v>0</v>
      </c>
      <c r="V12" s="23" t="e">
        <f>U12+'14.04'!V12</f>
        <v>#REF!</v>
      </c>
      <c r="W12" s="33">
        <v>38</v>
      </c>
      <c r="X12" s="22">
        <v>98</v>
      </c>
      <c r="Y12" s="23" t="e">
        <f>X12+'14.04'!Y12</f>
        <v>#REF!</v>
      </c>
      <c r="Z12" s="33">
        <v>68</v>
      </c>
      <c r="AA12" s="22">
        <v>0</v>
      </c>
      <c r="AB12" s="23" t="e">
        <f>AA12+'14.04'!AB12</f>
        <v>#REF!</v>
      </c>
      <c r="AC12" s="33">
        <v>26703</v>
      </c>
      <c r="AD12" s="22">
        <v>11</v>
      </c>
      <c r="AE12" s="23" t="e">
        <f>AD12+'14.04'!AE12</f>
        <v>#REF!</v>
      </c>
      <c r="AF12" s="19">
        <f t="shared" si="1"/>
        <v>34400</v>
      </c>
      <c r="AG12" s="20" t="e">
        <f t="shared" si="1"/>
        <v>#REF!</v>
      </c>
      <c r="AH12" s="24">
        <v>5800</v>
      </c>
      <c r="AI12" s="23" t="e">
        <f>AH12+'14.04'!AI12</f>
        <v>#REF!</v>
      </c>
      <c r="AJ12" s="24">
        <v>10500</v>
      </c>
      <c r="AK12" s="23" t="e">
        <f>AJ12+'14.04'!AK12</f>
        <v>#REF!</v>
      </c>
      <c r="AL12" s="22">
        <v>9050</v>
      </c>
      <c r="AM12" s="23" t="e">
        <f>AL12+'14.04'!AM12</f>
        <v>#REF!</v>
      </c>
      <c r="AN12" s="22">
        <v>9050</v>
      </c>
      <c r="AO12" s="23" t="e">
        <f>AN12+'14.04'!AO12</f>
        <v>#REF!</v>
      </c>
      <c r="AP12" s="28" t="s">
        <v>46</v>
      </c>
      <c r="AQ12" s="19">
        <f t="shared" si="2"/>
        <v>91</v>
      </c>
      <c r="AR12" s="20" t="e">
        <f t="shared" si="2"/>
        <v>#REF!</v>
      </c>
      <c r="AS12" s="34">
        <v>0</v>
      </c>
      <c r="AT12" s="23" t="e">
        <f>AS12+'14.04'!AT12</f>
        <v>#REF!</v>
      </c>
      <c r="AU12" s="34">
        <v>0</v>
      </c>
      <c r="AV12" s="23" t="e">
        <f>AU12+'14.04'!AV12</f>
        <v>#REF!</v>
      </c>
      <c r="AW12" s="34">
        <v>0</v>
      </c>
      <c r="AX12" s="23" t="e">
        <f>AW12+'14.04'!AX12</f>
        <v>#REF!</v>
      </c>
      <c r="AY12" s="34">
        <v>0</v>
      </c>
      <c r="AZ12" s="23" t="e">
        <f>AY12+'14.04'!AZ12</f>
        <v>#REF!</v>
      </c>
      <c r="BA12" s="34">
        <v>91</v>
      </c>
      <c r="BB12" s="23" t="e">
        <f>BA12+'14.04'!BB12</f>
        <v>#REF!</v>
      </c>
      <c r="BC12" s="19">
        <f t="shared" si="3"/>
        <v>3059</v>
      </c>
      <c r="BD12" s="20" t="e">
        <f t="shared" si="3"/>
        <v>#REF!</v>
      </c>
      <c r="BE12" s="22">
        <v>250</v>
      </c>
      <c r="BF12" s="23" t="e">
        <f>BE12+'14.04'!BF12</f>
        <v>#REF!</v>
      </c>
      <c r="BG12" s="34">
        <v>9</v>
      </c>
      <c r="BH12" s="23" t="e">
        <f>BG12+'14.04'!BH12</f>
        <v>#REF!</v>
      </c>
      <c r="BI12" s="22">
        <v>2500</v>
      </c>
      <c r="BJ12" s="23" t="e">
        <f>BI12+'14.04'!BJ12</f>
        <v>#REF!</v>
      </c>
      <c r="BK12" s="22">
        <v>300</v>
      </c>
      <c r="BL12" s="23" t="e">
        <f>BK12+'14.04'!BL12</f>
        <v>#REF!</v>
      </c>
      <c r="BM12" s="22">
        <v>0</v>
      </c>
      <c r="BN12" s="23" t="e">
        <f>BM12+'14.04'!BN12</f>
        <v>#REF!</v>
      </c>
      <c r="BO12" s="36"/>
      <c r="BP12" s="37">
        <v>1</v>
      </c>
      <c r="BQ12" s="23" t="e">
        <f>BP12+'14.04'!BQ12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 t="e">
        <f t="shared" si="0"/>
        <v>#REF!</v>
      </c>
      <c r="E13" s="32">
        <v>516</v>
      </c>
      <c r="F13" s="22">
        <v>2</v>
      </c>
      <c r="G13" s="23" t="e">
        <f>F13+'14.04'!G13</f>
        <v>#REF!</v>
      </c>
      <c r="H13" s="33">
        <v>10</v>
      </c>
      <c r="I13" s="34">
        <v>1</v>
      </c>
      <c r="J13" s="23" t="e">
        <f>I13+'14.04'!J13</f>
        <v>#REF!</v>
      </c>
      <c r="K13" s="33">
        <v>38</v>
      </c>
      <c r="L13" s="22">
        <v>0</v>
      </c>
      <c r="M13" s="23" t="e">
        <f>L13+'14.04'!M13</f>
        <v>#REF!</v>
      </c>
      <c r="N13" s="33">
        <v>581</v>
      </c>
      <c r="O13" s="22">
        <v>0</v>
      </c>
      <c r="P13" s="23" t="e">
        <f>O13+'14.04'!P13</f>
        <v>#REF!</v>
      </c>
      <c r="Q13" s="33">
        <v>525</v>
      </c>
      <c r="R13" s="22">
        <v>0</v>
      </c>
      <c r="S13" s="23" t="e">
        <f>R13+'14.04'!S13</f>
        <v>#REF!</v>
      </c>
      <c r="T13" s="33">
        <v>263</v>
      </c>
      <c r="U13" s="22">
        <v>0</v>
      </c>
      <c r="V13" s="23" t="e">
        <f>U13+'14.04'!V13</f>
        <v>#REF!</v>
      </c>
      <c r="W13" s="33">
        <v>43</v>
      </c>
      <c r="X13" s="22">
        <v>0</v>
      </c>
      <c r="Y13" s="23" t="e">
        <f>X13+'14.04'!Y13</f>
        <v>#REF!</v>
      </c>
      <c r="Z13" s="33">
        <v>17</v>
      </c>
      <c r="AA13" s="22">
        <v>0</v>
      </c>
      <c r="AB13" s="23" t="e">
        <f>AA13+'14.04'!AB13</f>
        <v>#REF!</v>
      </c>
      <c r="AC13" s="33">
        <v>51</v>
      </c>
      <c r="AD13" s="22">
        <v>0</v>
      </c>
      <c r="AE13" s="23" t="e">
        <f>AD13+'14.04'!AE13</f>
        <v>#REF!</v>
      </c>
      <c r="AF13" s="19">
        <f t="shared" si="1"/>
        <v>237000</v>
      </c>
      <c r="AG13" s="20" t="e">
        <f t="shared" si="1"/>
        <v>#REF!</v>
      </c>
      <c r="AH13" s="24">
        <v>3000</v>
      </c>
      <c r="AI13" s="23" t="e">
        <f>AH13+'14.04'!AI13</f>
        <v>#REF!</v>
      </c>
      <c r="AJ13" s="24">
        <v>14000</v>
      </c>
      <c r="AK13" s="23" t="e">
        <f>AJ13+'14.04'!AK13</f>
        <v>#REF!</v>
      </c>
      <c r="AL13" s="22">
        <v>20000</v>
      </c>
      <c r="AM13" s="23" t="e">
        <f>AL13+'14.04'!AM13</f>
        <v>#REF!</v>
      </c>
      <c r="AN13" s="22">
        <v>200000</v>
      </c>
      <c r="AO13" s="23" t="e">
        <f>AN13+'14.04'!AO13</f>
        <v>#REF!</v>
      </c>
      <c r="AP13" s="28" t="s">
        <v>47</v>
      </c>
      <c r="AQ13" s="19">
        <f t="shared" si="2"/>
        <v>50</v>
      </c>
      <c r="AR13" s="20" t="e">
        <f t="shared" si="2"/>
        <v>#REF!</v>
      </c>
      <c r="AS13" s="34">
        <v>0</v>
      </c>
      <c r="AT13" s="23" t="e">
        <f>AS13+'14.04'!AT13</f>
        <v>#REF!</v>
      </c>
      <c r="AU13" s="34">
        <v>0</v>
      </c>
      <c r="AV13" s="23" t="e">
        <f>AU13+'14.04'!AV13</f>
        <v>#REF!</v>
      </c>
      <c r="AW13" s="34">
        <v>0</v>
      </c>
      <c r="AX13" s="23" t="e">
        <f>AW13+'14.04'!AX13</f>
        <v>#REF!</v>
      </c>
      <c r="AY13" s="34">
        <v>0</v>
      </c>
      <c r="AZ13" s="23" t="e">
        <f>AY13+'14.04'!AZ13</f>
        <v>#REF!</v>
      </c>
      <c r="BA13" s="34">
        <v>50</v>
      </c>
      <c r="BB13" s="23" t="e">
        <f>BA13+'14.04'!BB13</f>
        <v>#REF!</v>
      </c>
      <c r="BC13" s="19">
        <f t="shared" si="3"/>
        <v>7601</v>
      </c>
      <c r="BD13" s="20" t="e">
        <f t="shared" si="3"/>
        <v>#REF!</v>
      </c>
      <c r="BE13" s="22">
        <v>516</v>
      </c>
      <c r="BF13" s="23" t="e">
        <f>BE13+'14.04'!BF13</f>
        <v>#REF!</v>
      </c>
      <c r="BG13" s="34">
        <v>15</v>
      </c>
      <c r="BH13" s="23" t="e">
        <f>BG13+'14.04'!BH13</f>
        <v>#REF!</v>
      </c>
      <c r="BI13" s="22">
        <v>7000</v>
      </c>
      <c r="BJ13" s="23" t="e">
        <f>BI13+'14.04'!BJ13</f>
        <v>#REF!</v>
      </c>
      <c r="BK13" s="22">
        <v>70</v>
      </c>
      <c r="BL13" s="23" t="e">
        <f>BK13+'14.04'!BL13</f>
        <v>#REF!</v>
      </c>
      <c r="BM13" s="22">
        <v>0</v>
      </c>
      <c r="BN13" s="23" t="e">
        <f>BM13+'14.04'!BN13</f>
        <v>#REF!</v>
      </c>
      <c r="BO13" s="36"/>
      <c r="BP13" s="37">
        <v>1</v>
      </c>
      <c r="BQ13" s="23" t="e">
        <f>BP13+'14.04'!BQ13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F14+'14.04'!G14</f>
        <v>#REF!</v>
      </c>
      <c r="H14" s="44">
        <v>5</v>
      </c>
      <c r="I14" s="45"/>
      <c r="J14" s="23" t="e">
        <f>I14+'14.04'!J14</f>
        <v>#REF!</v>
      </c>
      <c r="K14" s="44">
        <v>34</v>
      </c>
      <c r="L14" s="22"/>
      <c r="M14" s="23" t="e">
        <f>L14+'14.04'!M14</f>
        <v>#REF!</v>
      </c>
      <c r="N14" s="44">
        <v>583</v>
      </c>
      <c r="O14" s="22"/>
      <c r="P14" s="23" t="e">
        <f>O14+'14.04'!P14</f>
        <v>#REF!</v>
      </c>
      <c r="Q14" s="44">
        <v>254</v>
      </c>
      <c r="R14" s="22"/>
      <c r="S14" s="23" t="e">
        <f>R14+'14.04'!S14</f>
        <v>#REF!</v>
      </c>
      <c r="T14" s="44">
        <v>196</v>
      </c>
      <c r="U14" s="22"/>
      <c r="V14" s="23" t="e">
        <f>U14+'14.04'!V14</f>
        <v>#REF!</v>
      </c>
      <c r="W14" s="44">
        <v>30</v>
      </c>
      <c r="X14" s="22"/>
      <c r="Y14" s="23" t="e">
        <f>X14+'14.04'!Y14</f>
        <v>#REF!</v>
      </c>
      <c r="Z14" s="44">
        <v>10</v>
      </c>
      <c r="AA14" s="22"/>
      <c r="AB14" s="23" t="e">
        <f>AA14+'14.04'!AB14</f>
        <v>#REF!</v>
      </c>
      <c r="AC14" s="44">
        <v>2500</v>
      </c>
      <c r="AD14" s="22"/>
      <c r="AE14" s="23" t="e">
        <f>AD14+'14.04'!AE14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AH14+'14.04'!AI14</f>
        <v>#REF!</v>
      </c>
      <c r="AJ14" s="24"/>
      <c r="AK14" s="23" t="e">
        <f>AJ14+'14.04'!AK14</f>
        <v>#REF!</v>
      </c>
      <c r="AL14" s="22"/>
      <c r="AM14" s="23" t="e">
        <f>AL14+'14.04'!AM14</f>
        <v>#REF!</v>
      </c>
      <c r="AN14" s="22"/>
      <c r="AO14" s="23" t="e">
        <f>AN14+'14.04'!AO14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AS14+'14.04'!AT14</f>
        <v>#REF!</v>
      </c>
      <c r="AU14" s="45"/>
      <c r="AV14" s="23" t="e">
        <f>AU14+'14.04'!AV14</f>
        <v>#REF!</v>
      </c>
      <c r="AW14" s="45"/>
      <c r="AX14" s="23" t="e">
        <f>AW14+'14.04'!AX14</f>
        <v>#REF!</v>
      </c>
      <c r="AY14" s="45"/>
      <c r="AZ14" s="23" t="e">
        <f>AY14+'14.04'!AZ14</f>
        <v>#REF!</v>
      </c>
      <c r="BA14" s="45"/>
      <c r="BB14" s="23" t="e">
        <f>BA14+'14.04'!BB14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BE14+'14.04'!BF14</f>
        <v>#REF!</v>
      </c>
      <c r="BG14" s="45"/>
      <c r="BH14" s="23" t="e">
        <f>BG14+'14.04'!BH14</f>
        <v>#REF!</v>
      </c>
      <c r="BI14" s="22"/>
      <c r="BJ14" s="23" t="e">
        <f>BI14+'14.04'!BJ14</f>
        <v>#REF!</v>
      </c>
      <c r="BK14" s="22"/>
      <c r="BL14" s="23" t="e">
        <f>BK14+'14.04'!BL14</f>
        <v>#REF!</v>
      </c>
      <c r="BM14" s="22"/>
      <c r="BN14" s="23" t="e">
        <f>BM14+'14.04'!BN14</f>
        <v>#REF!</v>
      </c>
      <c r="BO14" s="48">
        <v>2</v>
      </c>
      <c r="BP14" s="49"/>
      <c r="BQ14" s="23" t="e">
        <f>BP14+'14.04'!BQ14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476</v>
      </c>
      <c r="D15" s="53" t="e">
        <f t="shared" si="0"/>
        <v>#REF!</v>
      </c>
      <c r="E15" s="54">
        <v>776</v>
      </c>
      <c r="F15" s="55">
        <v>346</v>
      </c>
      <c r="G15" s="23" t="e">
        <f>F15+'14.04'!G15</f>
        <v>#REF!</v>
      </c>
      <c r="H15" s="56">
        <v>9</v>
      </c>
      <c r="I15" s="57">
        <v>0</v>
      </c>
      <c r="J15" s="23" t="e">
        <f>I15+'14.04'!J15</f>
        <v>#REF!</v>
      </c>
      <c r="K15" s="56">
        <v>6</v>
      </c>
      <c r="L15" s="55">
        <v>0</v>
      </c>
      <c r="M15" s="23" t="e">
        <f>L15+'14.04'!M15</f>
        <v>#REF!</v>
      </c>
      <c r="N15" s="56">
        <v>1305</v>
      </c>
      <c r="O15" s="55">
        <v>0</v>
      </c>
      <c r="P15" s="23" t="e">
        <f>O15+'14.04'!P15</f>
        <v>#REF!</v>
      </c>
      <c r="Q15" s="56">
        <v>447</v>
      </c>
      <c r="R15" s="55">
        <v>0</v>
      </c>
      <c r="S15" s="23" t="e">
        <f>R15+'14.04'!S15</f>
        <v>#REF!</v>
      </c>
      <c r="T15" s="56">
        <v>337</v>
      </c>
      <c r="U15" s="55">
        <v>0</v>
      </c>
      <c r="V15" s="23" t="e">
        <f>U15+'14.04'!V15</f>
        <v>#REF!</v>
      </c>
      <c r="W15" s="56">
        <v>78</v>
      </c>
      <c r="X15" s="55">
        <v>116</v>
      </c>
      <c r="Y15" s="23" t="e">
        <f>X15+'14.04'!Y15</f>
        <v>#REF!</v>
      </c>
      <c r="Z15" s="56">
        <v>141</v>
      </c>
      <c r="AA15" s="55">
        <v>0</v>
      </c>
      <c r="AB15" s="23" t="e">
        <f>AA15+'14.04'!AB15</f>
        <v>#REF!</v>
      </c>
      <c r="AC15" s="56">
        <v>798</v>
      </c>
      <c r="AD15" s="55">
        <v>14</v>
      </c>
      <c r="AE15" s="23" t="e">
        <f>AD15+'14.04'!AE15</f>
        <v>#REF!</v>
      </c>
      <c r="AF15" s="58">
        <f t="shared" si="1"/>
        <v>1191388</v>
      </c>
      <c r="AG15" s="59" t="e">
        <f t="shared" si="1"/>
        <v>#REF!</v>
      </c>
      <c r="AH15" s="60">
        <v>864</v>
      </c>
      <c r="AI15" s="23" t="e">
        <f>AH15+'14.04'!AI15</f>
        <v>#REF!</v>
      </c>
      <c r="AJ15" s="60">
        <v>3400</v>
      </c>
      <c r="AK15" s="23" t="e">
        <f>AJ15+'14.04'!AK15</f>
        <v>#REF!</v>
      </c>
      <c r="AL15" s="55">
        <v>593562</v>
      </c>
      <c r="AM15" s="23" t="e">
        <f>AL15+'14.04'!AM15</f>
        <v>#REF!</v>
      </c>
      <c r="AN15" s="55">
        <v>593562</v>
      </c>
      <c r="AO15" s="23" t="e">
        <f>AN15+'14.04'!AO15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AS15+'14.04'!AT15</f>
        <v>#REF!</v>
      </c>
      <c r="AU15" s="57">
        <v>0</v>
      </c>
      <c r="AV15" s="23" t="e">
        <f>AU15+'14.04'!AV15</f>
        <v>#REF!</v>
      </c>
      <c r="AW15" s="57">
        <v>0</v>
      </c>
      <c r="AX15" s="23" t="e">
        <f>AW15+'14.04'!AX15</f>
        <v>#REF!</v>
      </c>
      <c r="AY15" s="57">
        <v>0</v>
      </c>
      <c r="AZ15" s="23" t="e">
        <f>AY15+'14.04'!AZ15</f>
        <v>#REF!</v>
      </c>
      <c r="BA15" s="57">
        <v>2</v>
      </c>
      <c r="BB15" s="23" t="e">
        <f>BA15+'14.04'!BB15</f>
        <v>#REF!</v>
      </c>
      <c r="BC15" s="58">
        <f t="shared" si="3"/>
        <v>1181</v>
      </c>
      <c r="BD15" s="59" t="e">
        <f t="shared" si="3"/>
        <v>#REF!</v>
      </c>
      <c r="BE15" s="55">
        <v>79</v>
      </c>
      <c r="BF15" s="23" t="e">
        <f>BE15+'14.04'!BF15</f>
        <v>#REF!</v>
      </c>
      <c r="BG15" s="57">
        <v>2</v>
      </c>
      <c r="BH15" s="23" t="e">
        <f>BG15+'14.04'!BH15</f>
        <v>#REF!</v>
      </c>
      <c r="BI15" s="55">
        <v>550</v>
      </c>
      <c r="BJ15" s="23" t="e">
        <f>BI15+'14.04'!BJ15</f>
        <v>#REF!</v>
      </c>
      <c r="BK15" s="55">
        <v>550</v>
      </c>
      <c r="BL15" s="23" t="e">
        <f>BK15+'14.04'!BL15</f>
        <v>#REF!</v>
      </c>
      <c r="BM15" s="55">
        <v>0</v>
      </c>
      <c r="BN15" s="23" t="e">
        <f>BM15+'14.04'!BN15</f>
        <v>#REF!</v>
      </c>
      <c r="BO15" s="36">
        <v>6274</v>
      </c>
      <c r="BP15" s="37">
        <v>2</v>
      </c>
      <c r="BQ15" s="23" t="e">
        <f>BP15+'14.04'!BQ15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F16+'14.04'!G16</f>
        <v>#REF!</v>
      </c>
      <c r="H16" s="33">
        <v>5</v>
      </c>
      <c r="I16" s="34"/>
      <c r="J16" s="23" t="e">
        <f>I16+'14.04'!J16</f>
        <v>#REF!</v>
      </c>
      <c r="K16" s="33">
        <v>3</v>
      </c>
      <c r="L16" s="22"/>
      <c r="M16" s="23" t="e">
        <f>L16+'14.04'!M16</f>
        <v>#REF!</v>
      </c>
      <c r="N16" s="33">
        <v>384</v>
      </c>
      <c r="O16" s="22"/>
      <c r="P16" s="23" t="e">
        <f>O16+'14.04'!P16</f>
        <v>#REF!</v>
      </c>
      <c r="Q16" s="33">
        <v>245</v>
      </c>
      <c r="R16" s="22"/>
      <c r="S16" s="23" t="e">
        <f>R16+'14.04'!S16</f>
        <v>#REF!</v>
      </c>
      <c r="T16" s="33">
        <v>397</v>
      </c>
      <c r="U16" s="22"/>
      <c r="V16" s="23" t="e">
        <f>U16+'14.04'!V16</f>
        <v>#REF!</v>
      </c>
      <c r="W16" s="33">
        <v>24</v>
      </c>
      <c r="X16" s="22"/>
      <c r="Y16" s="23" t="e">
        <f>X16+'14.04'!Y16</f>
        <v>#REF!</v>
      </c>
      <c r="Z16" s="33">
        <v>18</v>
      </c>
      <c r="AA16" s="22"/>
      <c r="AB16" s="23" t="e">
        <f>AA16+'14.04'!AB16</f>
        <v>#REF!</v>
      </c>
      <c r="AC16" s="33">
        <v>18515</v>
      </c>
      <c r="AD16" s="22"/>
      <c r="AE16" s="23" t="e">
        <f>AD16+'14.04'!AE16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AH16+'14.04'!AI16</f>
        <v>#REF!</v>
      </c>
      <c r="AJ16" s="24"/>
      <c r="AK16" s="23" t="e">
        <f>AJ16+'14.04'!AK16</f>
        <v>#REF!</v>
      </c>
      <c r="AL16" s="22"/>
      <c r="AM16" s="23" t="e">
        <f>AL16+'14.04'!AM16</f>
        <v>#REF!</v>
      </c>
      <c r="AN16" s="22"/>
      <c r="AO16" s="23" t="e">
        <f>AN16+'14.04'!AO16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AS16+'14.04'!AT16</f>
        <v>#REF!</v>
      </c>
      <c r="AU16" s="34"/>
      <c r="AV16" s="23" t="e">
        <f>AU16+'14.04'!AV16</f>
        <v>#REF!</v>
      </c>
      <c r="AW16" s="34"/>
      <c r="AX16" s="23" t="e">
        <f>AW16+'14.04'!AX16</f>
        <v>#REF!</v>
      </c>
      <c r="AY16" s="34"/>
      <c r="AZ16" s="23" t="e">
        <f>AY16+'14.04'!AZ16</f>
        <v>#REF!</v>
      </c>
      <c r="BA16" s="34"/>
      <c r="BB16" s="23" t="e">
        <f>BA16+'14.04'!BB16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BE16+'14.04'!BF16</f>
        <v>#REF!</v>
      </c>
      <c r="BG16" s="34"/>
      <c r="BH16" s="23" t="e">
        <f>BG16+'14.04'!BH16</f>
        <v>#REF!</v>
      </c>
      <c r="BI16" s="22"/>
      <c r="BJ16" s="23" t="e">
        <f>BI16+'14.04'!BJ16</f>
        <v>#REF!</v>
      </c>
      <c r="BK16" s="22"/>
      <c r="BL16" s="23" t="e">
        <f>BK16+'14.04'!BL16</f>
        <v>#REF!</v>
      </c>
      <c r="BM16" s="22"/>
      <c r="BN16" s="23" t="e">
        <f>BM16+'14.04'!BN16</f>
        <v>#REF!</v>
      </c>
      <c r="BO16" s="36">
        <v>2546</v>
      </c>
      <c r="BP16" s="37"/>
      <c r="BQ16" s="23" t="e">
        <f>BP16+'14.04'!BQ16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270</v>
      </c>
      <c r="D17" s="31" t="e">
        <f t="shared" si="0"/>
        <v>#REF!</v>
      </c>
      <c r="E17" s="32">
        <v>754</v>
      </c>
      <c r="F17" s="22">
        <v>185</v>
      </c>
      <c r="G17" s="23" t="e">
        <f>F17+'14.04'!G17</f>
        <v>#REF!</v>
      </c>
      <c r="H17" s="33">
        <v>9</v>
      </c>
      <c r="I17" s="34">
        <v>0</v>
      </c>
      <c r="J17" s="23" t="e">
        <f>I17+'14.04'!J17</f>
        <v>#REF!</v>
      </c>
      <c r="K17" s="33">
        <v>5</v>
      </c>
      <c r="L17" s="22">
        <v>0</v>
      </c>
      <c r="M17" s="23" t="e">
        <f>L17+'14.04'!M17</f>
        <v>#REF!</v>
      </c>
      <c r="N17" s="33">
        <v>768</v>
      </c>
      <c r="O17" s="22">
        <v>0</v>
      </c>
      <c r="P17" s="23" t="e">
        <f>O17+'14.04'!P17</f>
        <v>#REF!</v>
      </c>
      <c r="Q17" s="33">
        <v>624</v>
      </c>
      <c r="R17" s="22">
        <v>0</v>
      </c>
      <c r="S17" s="23" t="e">
        <f>R17+'14.04'!S17</f>
        <v>#REF!</v>
      </c>
      <c r="T17" s="33">
        <v>742</v>
      </c>
      <c r="U17" s="22">
        <v>0</v>
      </c>
      <c r="V17" s="23" t="e">
        <f>U17+'14.04'!V17</f>
        <v>#REF!</v>
      </c>
      <c r="W17" s="33">
        <v>54</v>
      </c>
      <c r="X17" s="22">
        <v>56</v>
      </c>
      <c r="Y17" s="23" t="e">
        <f>X17+'14.04'!Y17</f>
        <v>#REF!</v>
      </c>
      <c r="Z17" s="33">
        <v>66</v>
      </c>
      <c r="AA17" s="22">
        <v>0</v>
      </c>
      <c r="AB17" s="23" t="e">
        <f>AA17+'14.04'!AB17</f>
        <v>#REF!</v>
      </c>
      <c r="AC17" s="33">
        <v>2580</v>
      </c>
      <c r="AD17" s="22">
        <v>29</v>
      </c>
      <c r="AE17" s="23" t="e">
        <f>AD17+'14.04'!AE17</f>
        <v>#REF!</v>
      </c>
      <c r="AF17" s="19">
        <f t="shared" si="1"/>
        <v>363500</v>
      </c>
      <c r="AG17" s="20" t="e">
        <f t="shared" si="1"/>
        <v>#REF!</v>
      </c>
      <c r="AH17" s="24">
        <v>9500</v>
      </c>
      <c r="AI17" s="23" t="e">
        <f>AH17+'14.04'!AI17</f>
        <v>#REF!</v>
      </c>
      <c r="AJ17" s="24">
        <v>177000</v>
      </c>
      <c r="AK17" s="23" t="e">
        <f>AJ17+'14.04'!AK17</f>
        <v>#REF!</v>
      </c>
      <c r="AL17" s="22">
        <v>66200</v>
      </c>
      <c r="AM17" s="23" t="e">
        <f>AL17+'14.04'!AM17</f>
        <v>#REF!</v>
      </c>
      <c r="AN17" s="22">
        <v>110800</v>
      </c>
      <c r="AO17" s="23" t="e">
        <f>AN17+'14.04'!AO17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AS17+'14.04'!AT17</f>
        <v>#REF!</v>
      </c>
      <c r="AU17" s="34">
        <v>1</v>
      </c>
      <c r="AV17" s="23" t="e">
        <f>AU17+'14.04'!AV17</f>
        <v>#REF!</v>
      </c>
      <c r="AW17" s="34">
        <v>0</v>
      </c>
      <c r="AX17" s="23" t="e">
        <f>AW17+'14.04'!AX17</f>
        <v>#REF!</v>
      </c>
      <c r="AY17" s="34">
        <v>0</v>
      </c>
      <c r="AZ17" s="23" t="e">
        <f>AY17+'14.04'!AZ17</f>
        <v>#REF!</v>
      </c>
      <c r="BA17" s="34">
        <v>14</v>
      </c>
      <c r="BB17" s="23" t="e">
        <f>BA17+'14.04'!BB17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BE17+'14.04'!BF17</f>
        <v>#REF!</v>
      </c>
      <c r="BG17" s="34">
        <v>4</v>
      </c>
      <c r="BH17" s="23" t="e">
        <f>BG17+'14.04'!BH17</f>
        <v>#REF!</v>
      </c>
      <c r="BI17" s="22">
        <v>1400</v>
      </c>
      <c r="BJ17" s="23" t="e">
        <f>BI17+'14.04'!BJ17</f>
        <v>#REF!</v>
      </c>
      <c r="BK17" s="22">
        <v>160</v>
      </c>
      <c r="BL17" s="23" t="e">
        <f>BK17+'14.04'!BL17</f>
        <v>#REF!</v>
      </c>
      <c r="BM17" s="22">
        <v>0</v>
      </c>
      <c r="BN17" s="23" t="e">
        <f>BM17+'14.04'!BN17</f>
        <v>#REF!</v>
      </c>
      <c r="BO17" s="36">
        <v>8022</v>
      </c>
      <c r="BP17" s="37">
        <v>15</v>
      </c>
      <c r="BQ17" s="23" t="e">
        <f>BP17+'14.04'!BQ17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589</v>
      </c>
      <c r="D18" s="20" t="e">
        <f t="shared" si="0"/>
        <v>#REF!</v>
      </c>
      <c r="E18" s="21">
        <v>1063</v>
      </c>
      <c r="F18" s="22">
        <v>351</v>
      </c>
      <c r="G18" s="23" t="e">
        <f>F18+'14.04'!G18</f>
        <v>#REF!</v>
      </c>
      <c r="H18" s="21">
        <v>19</v>
      </c>
      <c r="I18" s="22">
        <v>0</v>
      </c>
      <c r="J18" s="23" t="e">
        <f>I18+'14.04'!J18</f>
        <v>#REF!</v>
      </c>
      <c r="K18" s="21">
        <v>8</v>
      </c>
      <c r="L18" s="22">
        <v>0</v>
      </c>
      <c r="M18" s="23" t="e">
        <f>L18+'14.04'!M18</f>
        <v>#REF!</v>
      </c>
      <c r="N18" s="21">
        <v>1331</v>
      </c>
      <c r="O18" s="22">
        <v>0</v>
      </c>
      <c r="P18" s="23" t="e">
        <f>O18+'14.04'!P18</f>
        <v>#REF!</v>
      </c>
      <c r="Q18" s="21">
        <v>777</v>
      </c>
      <c r="R18" s="22">
        <v>0</v>
      </c>
      <c r="S18" s="23" t="e">
        <f>R18+'14.04'!S18</f>
        <v>#REF!</v>
      </c>
      <c r="T18" s="21">
        <v>318</v>
      </c>
      <c r="U18" s="22">
        <v>0</v>
      </c>
      <c r="V18" s="23" t="e">
        <f>U18+'14.04'!V18</f>
        <v>#REF!</v>
      </c>
      <c r="W18" s="21">
        <v>60</v>
      </c>
      <c r="X18" s="22">
        <v>238</v>
      </c>
      <c r="Y18" s="23" t="e">
        <f>X18+'14.04'!Y18</f>
        <v>#REF!</v>
      </c>
      <c r="Z18" s="21">
        <v>72</v>
      </c>
      <c r="AA18" s="22">
        <v>0</v>
      </c>
      <c r="AB18" s="23" t="e">
        <f>AA18+'14.04'!AB18</f>
        <v>#REF!</v>
      </c>
      <c r="AC18" s="21">
        <v>143</v>
      </c>
      <c r="AD18" s="22">
        <v>0</v>
      </c>
      <c r="AE18" s="23" t="e">
        <f>AD18+'14.04'!AE18</f>
        <v>#REF!</v>
      </c>
      <c r="AF18" s="19">
        <f t="shared" si="1"/>
        <v>373165</v>
      </c>
      <c r="AG18" s="20" t="e">
        <f t="shared" si="1"/>
        <v>#REF!</v>
      </c>
      <c r="AH18" s="24">
        <v>715</v>
      </c>
      <c r="AI18" s="23" t="e">
        <f>AH18+'14.04'!AI18</f>
        <v>#REF!</v>
      </c>
      <c r="AJ18" s="24">
        <v>5104</v>
      </c>
      <c r="AK18" s="23" t="e">
        <f>AJ18+'14.04'!AK18</f>
        <v>#REF!</v>
      </c>
      <c r="AL18" s="22">
        <v>5627</v>
      </c>
      <c r="AM18" s="23" t="e">
        <f>AL18+'14.04'!AM18</f>
        <v>#REF!</v>
      </c>
      <c r="AN18" s="22">
        <v>361719</v>
      </c>
      <c r="AO18" s="23" t="e">
        <f>AN18+'14.04'!AO18</f>
        <v>#REF!</v>
      </c>
      <c r="AP18" s="17" t="s">
        <v>53</v>
      </c>
      <c r="AQ18" s="19">
        <f>AS18+AU18+AW18+AY18+BA18</f>
        <v>4</v>
      </c>
      <c r="AR18" s="20" t="e">
        <f t="shared" si="2"/>
        <v>#REF!</v>
      </c>
      <c r="AS18" s="22">
        <v>1</v>
      </c>
      <c r="AT18" s="23" t="e">
        <f>AS18+'14.04'!AT18</f>
        <v>#REF!</v>
      </c>
      <c r="AU18" s="22">
        <v>0</v>
      </c>
      <c r="AV18" s="23" t="e">
        <f>AU18+'14.04'!AV18</f>
        <v>#REF!</v>
      </c>
      <c r="AW18" s="22">
        <v>0</v>
      </c>
      <c r="AX18" s="23" t="e">
        <f>AW18+'14.04'!AX18</f>
        <v>#REF!</v>
      </c>
      <c r="AY18" s="22">
        <v>0</v>
      </c>
      <c r="AZ18" s="23" t="e">
        <f>AY18+'14.04'!AZ18</f>
        <v>#REF!</v>
      </c>
      <c r="BA18" s="22">
        <v>3</v>
      </c>
      <c r="BB18" s="23" t="e">
        <f>BA18+'14.04'!BB18</f>
        <v>#REF!</v>
      </c>
      <c r="BC18" s="19">
        <f t="shared" si="3"/>
        <v>4268</v>
      </c>
      <c r="BD18" s="20" t="e">
        <f>BF18+BH18+BJ18+BL18+BN18</f>
        <v>#REF!</v>
      </c>
      <c r="BE18" s="22">
        <v>1</v>
      </c>
      <c r="BF18" s="23" t="e">
        <f>BE18+'14.04'!BF18</f>
        <v>#REF!</v>
      </c>
      <c r="BG18" s="22">
        <v>0</v>
      </c>
      <c r="BH18" s="23" t="e">
        <f>BG18+'14.04'!BH18</f>
        <v>#REF!</v>
      </c>
      <c r="BI18" s="22">
        <v>3972</v>
      </c>
      <c r="BJ18" s="23" t="e">
        <f>BI18+'14.04'!BJ18</f>
        <v>#REF!</v>
      </c>
      <c r="BK18" s="22">
        <v>295</v>
      </c>
      <c r="BL18" s="23" t="e">
        <f>BK18+'14.04'!BL18</f>
        <v>#REF!</v>
      </c>
      <c r="BM18" s="22">
        <v>0</v>
      </c>
      <c r="BN18" s="23" t="e">
        <f>BM18+'14.04'!BN18</f>
        <v>#REF!</v>
      </c>
      <c r="BO18" s="36">
        <v>442</v>
      </c>
      <c r="BP18" s="37">
        <v>0</v>
      </c>
      <c r="BQ18" s="23" t="e">
        <f>BP18+'14.04'!BQ18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55</v>
      </c>
      <c r="D19" s="31" t="e">
        <f t="shared" si="0"/>
        <v>#REF!</v>
      </c>
      <c r="E19" s="33">
        <v>221</v>
      </c>
      <c r="F19" s="22">
        <v>16</v>
      </c>
      <c r="G19" s="23" t="e">
        <f>F19+'14.04'!G19</f>
        <v>#REF!</v>
      </c>
      <c r="H19" s="33">
        <v>5</v>
      </c>
      <c r="I19" s="34">
        <v>0</v>
      </c>
      <c r="J19" s="23" t="e">
        <f>I19+'14.04'!J19</f>
        <v>#REF!</v>
      </c>
      <c r="K19" s="33">
        <v>4</v>
      </c>
      <c r="L19" s="22">
        <v>0</v>
      </c>
      <c r="M19" s="23" t="e">
        <f>L19+'14.04'!M19</f>
        <v>#REF!</v>
      </c>
      <c r="N19" s="33">
        <v>313</v>
      </c>
      <c r="O19" s="22">
        <v>0</v>
      </c>
      <c r="P19" s="23" t="e">
        <f>O19+'14.04'!P19</f>
        <v>#REF!</v>
      </c>
      <c r="Q19" s="33">
        <v>203</v>
      </c>
      <c r="R19" s="22">
        <v>0</v>
      </c>
      <c r="S19" s="23" t="e">
        <f>R19+'14.04'!S19</f>
        <v>#REF!</v>
      </c>
      <c r="T19" s="33">
        <v>241</v>
      </c>
      <c r="U19" s="22">
        <v>0</v>
      </c>
      <c r="V19" s="23" t="e">
        <f>U19+'14.04'!V19</f>
        <v>#REF!</v>
      </c>
      <c r="W19" s="33">
        <v>14</v>
      </c>
      <c r="X19" s="22">
        <v>25</v>
      </c>
      <c r="Y19" s="23" t="e">
        <f>X19+'14.04'!Y19</f>
        <v>#REF!</v>
      </c>
      <c r="Z19" s="33">
        <v>7</v>
      </c>
      <c r="AA19" s="22">
        <v>0</v>
      </c>
      <c r="AB19" s="23" t="e">
        <f>AA19+'14.04'!AB19</f>
        <v>#REF!</v>
      </c>
      <c r="AC19" s="33">
        <v>32</v>
      </c>
      <c r="AD19" s="22">
        <v>14</v>
      </c>
      <c r="AE19" s="23" t="e">
        <f>AD19+'14.04'!AE19</f>
        <v>#REF!</v>
      </c>
      <c r="AF19" s="19">
        <f t="shared" si="1"/>
        <v>6100</v>
      </c>
      <c r="AG19" s="20" t="e">
        <f t="shared" si="1"/>
        <v>#REF!</v>
      </c>
      <c r="AH19" s="24">
        <v>1850</v>
      </c>
      <c r="AI19" s="23" t="e">
        <f>AH19+'14.04'!AI19</f>
        <v>#REF!</v>
      </c>
      <c r="AJ19" s="24">
        <v>1850</v>
      </c>
      <c r="AK19" s="23" t="e">
        <f>AJ19+'14.04'!AK19</f>
        <v>#REF!</v>
      </c>
      <c r="AL19" s="22">
        <v>1200</v>
      </c>
      <c r="AM19" s="23" t="e">
        <f>AL19+'14.04'!AM19</f>
        <v>#REF!</v>
      </c>
      <c r="AN19" s="22">
        <v>1200</v>
      </c>
      <c r="AO19" s="23" t="e">
        <f>AN19+'14.04'!AO19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AS19+'14.04'!AT19</f>
        <v>#REF!</v>
      </c>
      <c r="AU19" s="34">
        <v>0</v>
      </c>
      <c r="AV19" s="23" t="e">
        <f>AU19+'14.04'!AV19</f>
        <v>#REF!</v>
      </c>
      <c r="AW19" s="34"/>
      <c r="AX19" s="23" t="e">
        <f>AW19+'14.04'!AX19</f>
        <v>#REF!</v>
      </c>
      <c r="AY19" s="34">
        <v>0</v>
      </c>
      <c r="AZ19" s="23" t="e">
        <f>AY19+'14.04'!AZ19</f>
        <v>#REF!</v>
      </c>
      <c r="BA19" s="34">
        <v>0</v>
      </c>
      <c r="BB19" s="23" t="e">
        <f>BA19+'14.04'!BB19</f>
        <v>#REF!</v>
      </c>
      <c r="BC19" s="19">
        <f t="shared" si="3"/>
        <v>1112</v>
      </c>
      <c r="BD19" s="20" t="e">
        <f t="shared" si="3"/>
        <v>#REF!</v>
      </c>
      <c r="BE19" s="22">
        <v>12</v>
      </c>
      <c r="BF19" s="23" t="e">
        <f>BE19+'14.04'!BF19</f>
        <v>#REF!</v>
      </c>
      <c r="BG19" s="34">
        <v>0</v>
      </c>
      <c r="BH19" s="23" t="e">
        <f>BG19+'14.04'!BH19</f>
        <v>#REF!</v>
      </c>
      <c r="BI19" s="22">
        <v>1000</v>
      </c>
      <c r="BJ19" s="23" t="e">
        <f>BI19+'14.04'!BJ19</f>
        <v>#REF!</v>
      </c>
      <c r="BK19" s="22">
        <v>100</v>
      </c>
      <c r="BL19" s="23" t="e">
        <f>BK19+'14.04'!BL19</f>
        <v>#REF!</v>
      </c>
      <c r="BM19" s="22">
        <v>0</v>
      </c>
      <c r="BN19" s="23" t="e">
        <f>BM19+'14.04'!BN19</f>
        <v>#REF!</v>
      </c>
      <c r="BO19" s="36">
        <v>2898</v>
      </c>
      <c r="BP19" s="37">
        <v>0</v>
      </c>
      <c r="BQ19" s="23" t="e">
        <f>BP19+'14.04'!BQ19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449</v>
      </c>
      <c r="D20" s="31" t="e">
        <f t="shared" si="0"/>
        <v>#REF!</v>
      </c>
      <c r="E20" s="32">
        <v>723</v>
      </c>
      <c r="F20" s="22">
        <v>270</v>
      </c>
      <c r="G20" s="23" t="e">
        <f>F20+'14.04'!G20</f>
        <v>#REF!</v>
      </c>
      <c r="H20" s="33">
        <v>5</v>
      </c>
      <c r="I20" s="34">
        <v>1</v>
      </c>
      <c r="J20" s="23" t="e">
        <f>I20+'14.04'!J20</f>
        <v>#REF!</v>
      </c>
      <c r="K20" s="33">
        <v>3</v>
      </c>
      <c r="L20" s="22">
        <v>0</v>
      </c>
      <c r="M20" s="23" t="e">
        <f>L20+'14.04'!M20</f>
        <v>#REF!</v>
      </c>
      <c r="N20" s="33">
        <v>975</v>
      </c>
      <c r="O20" s="22">
        <v>80</v>
      </c>
      <c r="P20" s="23" t="e">
        <f>O20+'14.04'!P20</f>
        <v>#REF!</v>
      </c>
      <c r="Q20" s="61">
        <v>1862</v>
      </c>
      <c r="R20" s="22">
        <v>2</v>
      </c>
      <c r="S20" s="23" t="e">
        <f>R20+'14.04'!S20</f>
        <v>#REF!</v>
      </c>
      <c r="T20" s="33">
        <v>35</v>
      </c>
      <c r="U20" s="22">
        <v>4</v>
      </c>
      <c r="V20" s="23" t="e">
        <f>U20+'14.04'!V20</f>
        <v>#REF!</v>
      </c>
      <c r="W20" s="33">
        <v>64</v>
      </c>
      <c r="X20" s="22">
        <v>3</v>
      </c>
      <c r="Y20" s="23" t="e">
        <f>X20+'14.04'!Y20</f>
        <v>#REF!</v>
      </c>
      <c r="Z20" s="33">
        <v>15</v>
      </c>
      <c r="AA20" s="22">
        <v>1</v>
      </c>
      <c r="AB20" s="23" t="e">
        <f>AA20+'14.04'!AB20</f>
        <v>#REF!</v>
      </c>
      <c r="AC20" s="33">
        <v>1546</v>
      </c>
      <c r="AD20" s="22">
        <v>88</v>
      </c>
      <c r="AE20" s="23" t="e">
        <f>AD20+'14.04'!AE20</f>
        <v>#REF!</v>
      </c>
      <c r="AF20" s="19">
        <f t="shared" si="1"/>
        <v>25174</v>
      </c>
      <c r="AG20" s="20" t="e">
        <f t="shared" si="1"/>
        <v>#REF!</v>
      </c>
      <c r="AH20" s="24">
        <v>12312</v>
      </c>
      <c r="AI20" s="23" t="e">
        <f>AH20+'14.04'!AI20</f>
        <v>#REF!</v>
      </c>
      <c r="AJ20" s="24">
        <v>12162</v>
      </c>
      <c r="AK20" s="23" t="e">
        <f>AJ20+'14.04'!AK20</f>
        <v>#REF!</v>
      </c>
      <c r="AL20" s="22">
        <v>550</v>
      </c>
      <c r="AM20" s="23" t="e">
        <f>AL20+'14.04'!AM20</f>
        <v>#REF!</v>
      </c>
      <c r="AN20" s="22">
        <v>150</v>
      </c>
      <c r="AO20" s="23" t="e">
        <f>AN20+'14.04'!AO20</f>
        <v>#REF!</v>
      </c>
      <c r="AP20" s="28" t="s">
        <v>55</v>
      </c>
      <c r="AQ20" s="19">
        <f t="shared" si="4"/>
        <v>237</v>
      </c>
      <c r="AR20" s="20" t="e">
        <f t="shared" si="2"/>
        <v>#REF!</v>
      </c>
      <c r="AS20" s="34">
        <v>1</v>
      </c>
      <c r="AT20" s="23" t="e">
        <f>AS20+'14.04'!AT20</f>
        <v>#REF!</v>
      </c>
      <c r="AU20" s="34">
        <v>0</v>
      </c>
      <c r="AV20" s="23" t="e">
        <f>AU20+'14.04'!AV20</f>
        <v>#REF!</v>
      </c>
      <c r="AW20" s="34">
        <v>0</v>
      </c>
      <c r="AX20" s="23" t="e">
        <f>AW20+'14.04'!AX20</f>
        <v>#REF!</v>
      </c>
      <c r="AY20" s="34">
        <v>0</v>
      </c>
      <c r="AZ20" s="23" t="e">
        <f>AY20+'14.04'!AZ20</f>
        <v>#REF!</v>
      </c>
      <c r="BA20" s="34">
        <v>236</v>
      </c>
      <c r="BB20" s="23" t="e">
        <f>BA20+'14.04'!BB20</f>
        <v>#REF!</v>
      </c>
      <c r="BC20" s="19">
        <f t="shared" si="3"/>
        <v>4882</v>
      </c>
      <c r="BD20" s="20" t="e">
        <f t="shared" si="3"/>
        <v>#REF!</v>
      </c>
      <c r="BE20" s="22">
        <v>702</v>
      </c>
      <c r="BF20" s="23" t="e">
        <f>BE20+'14.04'!BF20</f>
        <v>#REF!</v>
      </c>
      <c r="BG20" s="34">
        <v>0</v>
      </c>
      <c r="BH20" s="23" t="e">
        <f>BG20+'14.04'!BH20</f>
        <v>#REF!</v>
      </c>
      <c r="BI20" s="22">
        <v>2075</v>
      </c>
      <c r="BJ20" s="23" t="e">
        <f>BI20+'14.04'!BJ20</f>
        <v>#REF!</v>
      </c>
      <c r="BK20" s="22">
        <v>2105</v>
      </c>
      <c r="BL20" s="23" t="e">
        <f>BK20+'14.04'!BL20</f>
        <v>#REF!</v>
      </c>
      <c r="BM20" s="22">
        <v>0</v>
      </c>
      <c r="BN20" s="23" t="e">
        <f>BM20+'14.04'!BN20</f>
        <v>#REF!</v>
      </c>
      <c r="BO20" s="36">
        <v>5854</v>
      </c>
      <c r="BP20" s="37">
        <v>0</v>
      </c>
      <c r="BQ20" s="23" t="e">
        <f>BP20+'14.04'!BQ20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1344</v>
      </c>
      <c r="D21" s="31" t="e">
        <f t="shared" si="0"/>
        <v>#REF!</v>
      </c>
      <c r="E21" s="32">
        <v>1017</v>
      </c>
      <c r="F21" s="22">
        <v>1280</v>
      </c>
      <c r="G21" s="23" t="e">
        <f>F21+'14.04'!G21</f>
        <v>#REF!</v>
      </c>
      <c r="H21" s="33">
        <v>8</v>
      </c>
      <c r="I21" s="34">
        <v>2</v>
      </c>
      <c r="J21" s="23" t="e">
        <f>I21+'14.04'!J21</f>
        <v>#REF!</v>
      </c>
      <c r="K21" s="33">
        <v>4</v>
      </c>
      <c r="L21" s="22">
        <v>0</v>
      </c>
      <c r="M21" s="23" t="e">
        <f>L21+'14.04'!M21</f>
        <v>#REF!</v>
      </c>
      <c r="N21" s="33">
        <v>963</v>
      </c>
      <c r="O21" s="22">
        <v>0</v>
      </c>
      <c r="P21" s="23" t="e">
        <f>O21+'14.04'!P21</f>
        <v>#REF!</v>
      </c>
      <c r="Q21" s="33">
        <v>912</v>
      </c>
      <c r="R21" s="22">
        <v>0</v>
      </c>
      <c r="S21" s="23" t="e">
        <f>R21+'14.04'!S21</f>
        <v>#REF!</v>
      </c>
      <c r="T21" s="33">
        <v>199</v>
      </c>
      <c r="U21" s="22">
        <v>2</v>
      </c>
      <c r="V21" s="23" t="e">
        <f>U21+'14.04'!V21</f>
        <v>#REF!</v>
      </c>
      <c r="W21" s="33">
        <v>101</v>
      </c>
      <c r="X21" s="22">
        <v>55</v>
      </c>
      <c r="Y21" s="23" t="e">
        <f>X21+'14.04'!Y21</f>
        <v>#REF!</v>
      </c>
      <c r="Z21" s="33">
        <v>42</v>
      </c>
      <c r="AA21" s="22">
        <v>0</v>
      </c>
      <c r="AB21" s="23" t="e">
        <f>AA21+'14.04'!AB21</f>
        <v>#REF!</v>
      </c>
      <c r="AC21" s="33">
        <v>20</v>
      </c>
      <c r="AD21" s="22">
        <v>5</v>
      </c>
      <c r="AE21" s="23" t="e">
        <f>AD21+'14.04'!AE21</f>
        <v>#REF!</v>
      </c>
      <c r="AF21" s="19">
        <f t="shared" si="1"/>
        <v>2750000</v>
      </c>
      <c r="AG21" s="20" t="e">
        <f t="shared" si="1"/>
        <v>#REF!</v>
      </c>
      <c r="AH21" s="24">
        <v>2500</v>
      </c>
      <c r="AI21" s="23" t="e">
        <f>AH21+'14.04'!AI21</f>
        <v>#REF!</v>
      </c>
      <c r="AJ21" s="24">
        <v>247500</v>
      </c>
      <c r="AK21" s="23" t="e">
        <f>AJ21+'14.04'!AK21</f>
        <v>#REF!</v>
      </c>
      <c r="AL21" s="22">
        <v>8000</v>
      </c>
      <c r="AM21" s="23" t="e">
        <f>AL21+'14.04'!AM21</f>
        <v>#REF!</v>
      </c>
      <c r="AN21" s="22">
        <v>2492000</v>
      </c>
      <c r="AO21" s="23" t="e">
        <f>AN21+'14.04'!AO21</f>
        <v>#REF!</v>
      </c>
      <c r="AP21" s="28" t="s">
        <v>58</v>
      </c>
      <c r="AQ21" s="19">
        <f t="shared" si="4"/>
        <v>6</v>
      </c>
      <c r="AR21" s="20" t="e">
        <f t="shared" si="2"/>
        <v>#REF!</v>
      </c>
      <c r="AS21" s="34">
        <v>0</v>
      </c>
      <c r="AT21" s="23" t="e">
        <f>AS21+'14.04'!AT21</f>
        <v>#REF!</v>
      </c>
      <c r="AU21" s="34">
        <v>4</v>
      </c>
      <c r="AV21" s="23" t="e">
        <f>AU21+'14.04'!AV21</f>
        <v>#REF!</v>
      </c>
      <c r="AW21" s="34">
        <v>1</v>
      </c>
      <c r="AX21" s="23" t="e">
        <f>AW21+'14.04'!AX21</f>
        <v>#REF!</v>
      </c>
      <c r="AY21" s="34">
        <v>1</v>
      </c>
      <c r="AZ21" s="23" t="e">
        <f>AY21+'14.04'!AZ21</f>
        <v>#REF!</v>
      </c>
      <c r="BA21" s="34">
        <v>0</v>
      </c>
      <c r="BB21" s="23" t="e">
        <f>BA21+'14.04'!BB21</f>
        <v>#REF!</v>
      </c>
      <c r="BC21" s="19">
        <f t="shared" si="3"/>
        <v>10200</v>
      </c>
      <c r="BD21" s="20" t="e">
        <f t="shared" si="3"/>
        <v>#REF!</v>
      </c>
      <c r="BE21" s="22">
        <v>200</v>
      </c>
      <c r="BF21" s="23" t="e">
        <f>BE21+'14.04'!BF21</f>
        <v>#REF!</v>
      </c>
      <c r="BG21" s="34">
        <v>0</v>
      </c>
      <c r="BH21" s="23" t="e">
        <f>BG21+'14.04'!BH21</f>
        <v>#REF!</v>
      </c>
      <c r="BI21" s="22">
        <v>10000</v>
      </c>
      <c r="BJ21" s="23" t="e">
        <f>BI21+'14.04'!BJ21</f>
        <v>#REF!</v>
      </c>
      <c r="BK21" s="22">
        <v>0</v>
      </c>
      <c r="BL21" s="23" t="e">
        <f>BK21+'14.04'!BL21</f>
        <v>#REF!</v>
      </c>
      <c r="BM21" s="22">
        <v>0</v>
      </c>
      <c r="BN21" s="23" t="e">
        <f>BM21+'14.04'!BN21</f>
        <v>#REF!</v>
      </c>
      <c r="BO21" s="36">
        <v>68</v>
      </c>
      <c r="BP21" s="37">
        <v>0</v>
      </c>
      <c r="BQ21" s="23" t="e">
        <f>BP21+'14.04'!BQ21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1954</v>
      </c>
      <c r="D22" s="31" t="e">
        <f t="shared" si="0"/>
        <v>#REF!</v>
      </c>
      <c r="E22" s="32">
        <v>509</v>
      </c>
      <c r="F22" s="22">
        <v>406</v>
      </c>
      <c r="G22" s="23" t="e">
        <f>F22+'14.04'!G22</f>
        <v>#REF!</v>
      </c>
      <c r="H22" s="33">
        <v>8</v>
      </c>
      <c r="I22" s="34">
        <v>10</v>
      </c>
      <c r="J22" s="23" t="e">
        <f>I22+'14.04'!J22</f>
        <v>#REF!</v>
      </c>
      <c r="K22" s="33">
        <v>21</v>
      </c>
      <c r="L22" s="22">
        <v>0</v>
      </c>
      <c r="M22" s="23" t="e">
        <f>L22+'14.04'!M22</f>
        <v>#REF!</v>
      </c>
      <c r="N22" s="33">
        <v>560</v>
      </c>
      <c r="O22" s="22">
        <v>25</v>
      </c>
      <c r="P22" s="23" t="e">
        <f>O22+'14.04'!P22</f>
        <v>#REF!</v>
      </c>
      <c r="Q22" s="33">
        <v>375</v>
      </c>
      <c r="R22" s="22">
        <v>35</v>
      </c>
      <c r="S22" s="23" t="e">
        <f>R22+'14.04'!S22</f>
        <v>#REF!</v>
      </c>
      <c r="T22" s="33">
        <v>165</v>
      </c>
      <c r="U22" s="22">
        <v>34</v>
      </c>
      <c r="V22" s="23" t="e">
        <f>U22+'14.04'!V22</f>
        <v>#REF!</v>
      </c>
      <c r="W22" s="33">
        <v>28</v>
      </c>
      <c r="X22" s="22">
        <v>109</v>
      </c>
      <c r="Y22" s="23" t="e">
        <f>X22+'14.04'!Y22</f>
        <v>#REF!</v>
      </c>
      <c r="Z22" s="33">
        <v>9</v>
      </c>
      <c r="AA22" s="22">
        <v>0</v>
      </c>
      <c r="AB22" s="23" t="e">
        <f>AA22+'14.04'!AB22</f>
        <v>#REF!</v>
      </c>
      <c r="AC22" s="33">
        <v>112</v>
      </c>
      <c r="AD22" s="22">
        <v>1335</v>
      </c>
      <c r="AE22" s="23" t="e">
        <f>AD22+'14.04'!AE22</f>
        <v>#REF!</v>
      </c>
      <c r="AF22" s="19">
        <f t="shared" si="1"/>
        <v>33649</v>
      </c>
      <c r="AG22" s="20" t="e">
        <f t="shared" si="1"/>
        <v>#REF!</v>
      </c>
      <c r="AH22" s="24">
        <v>3854</v>
      </c>
      <c r="AI22" s="23" t="e">
        <f>AH22+'14.04'!AI22</f>
        <v>#REF!</v>
      </c>
      <c r="AJ22" s="24">
        <v>6244</v>
      </c>
      <c r="AK22" s="23" t="e">
        <f>AJ22+'14.04'!AK22</f>
        <v>#REF!</v>
      </c>
      <c r="AL22" s="22">
        <v>551</v>
      </c>
      <c r="AM22" s="23" t="e">
        <f>AL22+'14.04'!AM22</f>
        <v>#REF!</v>
      </c>
      <c r="AN22" s="22">
        <v>23000</v>
      </c>
      <c r="AO22" s="23" t="e">
        <f>AN22+'14.04'!AO22</f>
        <v>#REF!</v>
      </c>
      <c r="AP22" s="28" t="s">
        <v>59</v>
      </c>
      <c r="AQ22" s="19">
        <f t="shared" si="4"/>
        <v>1721</v>
      </c>
      <c r="AR22" s="20" t="e">
        <f t="shared" si="2"/>
        <v>#REF!</v>
      </c>
      <c r="AS22" s="34">
        <v>0</v>
      </c>
      <c r="AT22" s="23" t="e">
        <f>AS22+'14.04'!AT22</f>
        <v>#REF!</v>
      </c>
      <c r="AU22" s="34">
        <v>0</v>
      </c>
      <c r="AV22" s="23" t="e">
        <f>AU22+'14.04'!AV22</f>
        <v>#REF!</v>
      </c>
      <c r="AW22" s="34">
        <v>0</v>
      </c>
      <c r="AX22" s="23" t="e">
        <f>AW22+'14.04'!AX22</f>
        <v>#REF!</v>
      </c>
      <c r="AY22" s="34">
        <v>0</v>
      </c>
      <c r="AZ22" s="23" t="e">
        <f>AY22+'14.04'!AZ22</f>
        <v>#REF!</v>
      </c>
      <c r="BA22" s="34">
        <v>1721</v>
      </c>
      <c r="BB22" s="23" t="e">
        <f>BA22+'14.04'!BB22</f>
        <v>#REF!</v>
      </c>
      <c r="BC22" s="19">
        <f t="shared" si="3"/>
        <v>7384</v>
      </c>
      <c r="BD22" s="20" t="e">
        <f t="shared" si="3"/>
        <v>#REF!</v>
      </c>
      <c r="BE22" s="22">
        <v>9</v>
      </c>
      <c r="BF22" s="23" t="e">
        <f>BE22+'14.04'!BF22</f>
        <v>#REF!</v>
      </c>
      <c r="BG22" s="34">
        <v>2</v>
      </c>
      <c r="BH22" s="23" t="e">
        <f>BG22+'14.04'!BH22</f>
        <v>#REF!</v>
      </c>
      <c r="BI22" s="22">
        <v>7364</v>
      </c>
      <c r="BJ22" s="23" t="e">
        <f>BI22+'14.04'!BJ22</f>
        <v>#REF!</v>
      </c>
      <c r="BK22" s="22">
        <v>9</v>
      </c>
      <c r="BL22" s="23" t="e">
        <f>BK22+'14.04'!BL22</f>
        <v>#REF!</v>
      </c>
      <c r="BM22" s="22">
        <v>0</v>
      </c>
      <c r="BN22" s="23" t="e">
        <f>BM22+'14.04'!BN22</f>
        <v>#REF!</v>
      </c>
      <c r="BO22" s="36">
        <v>26</v>
      </c>
      <c r="BP22" s="37">
        <v>5</v>
      </c>
      <c r="BQ22" s="23" t="e">
        <f>BP22+'14.04'!BQ22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5579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2971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26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2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125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48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50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745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1609</v>
      </c>
      <c r="AE23" s="68" t="e">
        <f t="shared" si="5"/>
        <v>#REF!</v>
      </c>
      <c r="AF23" s="64">
        <f t="shared" si="5"/>
        <v>5268047</v>
      </c>
      <c r="AG23" s="64" t="e">
        <f t="shared" si="5"/>
        <v>#REF!</v>
      </c>
      <c r="AH23" s="67">
        <f t="shared" si="5"/>
        <v>46789</v>
      </c>
      <c r="AI23" s="68" t="e">
        <f t="shared" si="5"/>
        <v>#REF!</v>
      </c>
      <c r="AJ23" s="67">
        <f t="shared" si="5"/>
        <v>490882</v>
      </c>
      <c r="AK23" s="68" t="e">
        <f t="shared" si="5"/>
        <v>#REF!</v>
      </c>
      <c r="AL23" s="67">
        <f t="shared" si="5"/>
        <v>751222</v>
      </c>
      <c r="AM23" s="68" t="e">
        <f t="shared" si="5"/>
        <v>#REF!</v>
      </c>
      <c r="AN23" s="67">
        <f t="shared" si="5"/>
        <v>3979154</v>
      </c>
      <c r="AO23" s="68" t="e">
        <f t="shared" si="5"/>
        <v>#REF!</v>
      </c>
      <c r="AP23" s="62" t="s">
        <v>12</v>
      </c>
      <c r="AQ23" s="64">
        <f t="shared" ref="AQ23:BP23" si="6">SUM(AQ8:AQ22)</f>
        <v>2201</v>
      </c>
      <c r="AR23" s="64" t="e">
        <f t="shared" si="6"/>
        <v>#REF!</v>
      </c>
      <c r="AS23" s="67">
        <f t="shared" si="6"/>
        <v>6</v>
      </c>
      <c r="AT23" s="68" t="e">
        <f t="shared" si="6"/>
        <v>#REF!</v>
      </c>
      <c r="AU23" s="67">
        <f t="shared" si="6"/>
        <v>5</v>
      </c>
      <c r="AV23" s="68" t="e">
        <f t="shared" si="6"/>
        <v>#REF!</v>
      </c>
      <c r="AW23" s="67">
        <f t="shared" si="6"/>
        <v>1</v>
      </c>
      <c r="AX23" s="68" t="e">
        <f t="shared" si="6"/>
        <v>#REF!</v>
      </c>
      <c r="AY23" s="67">
        <f t="shared" si="6"/>
        <v>1</v>
      </c>
      <c r="AZ23" s="68" t="e">
        <f t="shared" si="6"/>
        <v>#REF!</v>
      </c>
      <c r="BA23" s="67">
        <f t="shared" si="6"/>
        <v>2188</v>
      </c>
      <c r="BB23" s="68" t="e">
        <f t="shared" si="6"/>
        <v>#REF!</v>
      </c>
      <c r="BC23" s="64">
        <f t="shared" si="6"/>
        <v>50152</v>
      </c>
      <c r="BD23" s="64" t="e">
        <f t="shared" si="6"/>
        <v>#REF!</v>
      </c>
      <c r="BE23" s="67">
        <f t="shared" si="6"/>
        <v>2322</v>
      </c>
      <c r="BF23" s="68" t="e">
        <f t="shared" si="6"/>
        <v>#REF!</v>
      </c>
      <c r="BG23" s="67">
        <f t="shared" si="6"/>
        <v>34</v>
      </c>
      <c r="BH23" s="68" t="e">
        <f t="shared" si="6"/>
        <v>#REF!</v>
      </c>
      <c r="BI23" s="67">
        <f t="shared" si="6"/>
        <v>43064</v>
      </c>
      <c r="BJ23" s="68" t="e">
        <f t="shared" si="6"/>
        <v>#REF!</v>
      </c>
      <c r="BK23" s="67">
        <f t="shared" si="6"/>
        <v>4732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29</v>
      </c>
      <c r="BQ23" s="23">
        <f>BP23+'14.04'!BP23</f>
        <v>45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BU23"/>
  <sheetViews>
    <sheetView zoomScale="55" zoomScaleNormal="55" workbookViewId="0">
      <pane xSplit="4" ySplit="8" topLeftCell="E15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8" customWidth="1"/>
    <col min="5" max="6" width="6.28515625" customWidth="1"/>
    <col min="7" max="7" width="8.285156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F9+'15.04'!G9</f>
        <v>#REF!</v>
      </c>
      <c r="H9" s="33">
        <v>12</v>
      </c>
      <c r="I9" s="34">
        <v>1</v>
      </c>
      <c r="J9" s="23" t="e">
        <f>I9+'15.04'!J9</f>
        <v>#REF!</v>
      </c>
      <c r="K9" s="33">
        <v>2</v>
      </c>
      <c r="L9" s="22">
        <v>0</v>
      </c>
      <c r="M9" s="23" t="e">
        <f>L9+'15.04'!M9</f>
        <v>#REF!</v>
      </c>
      <c r="N9" s="33">
        <v>735</v>
      </c>
      <c r="O9" s="22">
        <v>0</v>
      </c>
      <c r="P9" s="23" t="e">
        <f>O9+'15.04'!P9</f>
        <v>#REF!</v>
      </c>
      <c r="Q9" s="33">
        <v>502</v>
      </c>
      <c r="R9" s="22">
        <v>0</v>
      </c>
      <c r="S9" s="23" t="e">
        <f>R9+'15.04'!S9</f>
        <v>#REF!</v>
      </c>
      <c r="T9" s="33">
        <v>197</v>
      </c>
      <c r="U9" s="22">
        <v>0</v>
      </c>
      <c r="V9" s="23" t="e">
        <f>U9+'15.04'!V9</f>
        <v>#REF!</v>
      </c>
      <c r="W9" s="33">
        <v>47</v>
      </c>
      <c r="X9" s="22">
        <v>0</v>
      </c>
      <c r="Y9" s="23" t="e">
        <f>X9+'15.04'!Y9</f>
        <v>#REF!</v>
      </c>
      <c r="Z9" s="33">
        <v>34</v>
      </c>
      <c r="AA9" s="22">
        <v>0</v>
      </c>
      <c r="AB9" s="23" t="e">
        <f>AA9+'15.04'!AB9</f>
        <v>#REF!</v>
      </c>
      <c r="AC9" s="33">
        <v>1860</v>
      </c>
      <c r="AD9" s="22">
        <v>0</v>
      </c>
      <c r="AE9" s="23" t="e">
        <f>AD9+'15.04'!AE9</f>
        <v>#REF!</v>
      </c>
      <c r="AF9" s="19">
        <f t="shared" ref="AF9:AG22" si="1">AH9+AJ9+AL9+AN9</f>
        <v>6860</v>
      </c>
      <c r="AG9" s="20" t="e">
        <f t="shared" si="1"/>
        <v>#REF!</v>
      </c>
      <c r="AH9" s="24">
        <v>180</v>
      </c>
      <c r="AI9" s="23" t="e">
        <f>AH9+'15.04'!AI9</f>
        <v>#REF!</v>
      </c>
      <c r="AJ9" s="24">
        <v>280</v>
      </c>
      <c r="AK9" s="23" t="e">
        <f>AJ9+'15.04'!AK9</f>
        <v>#REF!</v>
      </c>
      <c r="AL9" s="22">
        <v>2600</v>
      </c>
      <c r="AM9" s="23" t="e">
        <f>AL9+'15.04'!AM9</f>
        <v>#REF!</v>
      </c>
      <c r="AN9" s="22">
        <v>3800</v>
      </c>
      <c r="AO9" s="23" t="e">
        <f>AN9+'15.04'!AO9</f>
        <v>#REF!</v>
      </c>
      <c r="AP9" s="28" t="s">
        <v>43</v>
      </c>
      <c r="AQ9" s="19">
        <f t="shared" ref="AQ9:AR22" si="2">AS9+AU9+AW9+AY9+BA9</f>
        <v>36</v>
      </c>
      <c r="AR9" s="20" t="e">
        <f t="shared" si="2"/>
        <v>#REF!</v>
      </c>
      <c r="AS9" s="34">
        <v>1</v>
      </c>
      <c r="AT9" s="23" t="e">
        <f>AS9+'15.04'!AT9</f>
        <v>#REF!</v>
      </c>
      <c r="AU9" s="34">
        <v>1</v>
      </c>
      <c r="AV9" s="23" t="e">
        <f>AU9+'15.04'!AV9</f>
        <v>#REF!</v>
      </c>
      <c r="AW9" s="34">
        <v>0</v>
      </c>
      <c r="AX9" s="23" t="e">
        <f>AW9+'15.04'!AX9</f>
        <v>#REF!</v>
      </c>
      <c r="AY9" s="34">
        <v>0</v>
      </c>
      <c r="AZ9" s="23" t="e">
        <f>AY9+'15.04'!AZ9</f>
        <v>#REF!</v>
      </c>
      <c r="BA9" s="34">
        <v>34</v>
      </c>
      <c r="BB9" s="23" t="e">
        <f>BA9+'15.04'!BB9</f>
        <v>#REF!</v>
      </c>
      <c r="BC9" s="19">
        <f t="shared" ref="BC9:BD22" si="3">BE9+BG9+BI9+BK9+BM9</f>
        <v>8542</v>
      </c>
      <c r="BD9" s="20" t="e">
        <f t="shared" si="3"/>
        <v>#REF!</v>
      </c>
      <c r="BE9" s="22">
        <v>1</v>
      </c>
      <c r="BF9" s="23" t="e">
        <f>BE9+'15.04'!BF9</f>
        <v>#REF!</v>
      </c>
      <c r="BG9" s="34">
        <v>0</v>
      </c>
      <c r="BH9" s="23" t="e">
        <f>BG9+'15.04'!BH9</f>
        <v>#REF!</v>
      </c>
      <c r="BI9" s="22">
        <v>420</v>
      </c>
      <c r="BJ9" s="23" t="e">
        <f>BI9+'15.04'!BJ9</f>
        <v>#REF!</v>
      </c>
      <c r="BK9" s="22">
        <v>8121</v>
      </c>
      <c r="BL9" s="23" t="e">
        <f>BK9+'15.04'!BL9</f>
        <v>#REF!</v>
      </c>
      <c r="BM9" s="22">
        <v>0</v>
      </c>
      <c r="BN9" s="23" t="e">
        <f>BM9+'15.04'!BN9</f>
        <v>#REF!</v>
      </c>
      <c r="BO9" s="36">
        <v>14</v>
      </c>
      <c r="BP9" s="37">
        <v>0</v>
      </c>
      <c r="BQ9" s="23" t="e">
        <f>BP9+'15.04'!BQ9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164</v>
      </c>
      <c r="D10" s="31" t="e">
        <f t="shared" si="0"/>
        <v>#REF!</v>
      </c>
      <c r="E10" s="32">
        <v>585</v>
      </c>
      <c r="F10" s="22">
        <v>17</v>
      </c>
      <c r="G10" s="23" t="e">
        <f>F10+'15.04'!G10</f>
        <v>#REF!</v>
      </c>
      <c r="H10" s="33">
        <v>93</v>
      </c>
      <c r="I10" s="34">
        <v>9</v>
      </c>
      <c r="J10" s="23" t="e">
        <f>I10+'15.04'!J10</f>
        <v>#REF!</v>
      </c>
      <c r="K10" s="33">
        <v>34</v>
      </c>
      <c r="L10" s="22">
        <v>4</v>
      </c>
      <c r="M10" s="23" t="e">
        <f>L10+'15.04'!M10</f>
        <v>#REF!</v>
      </c>
      <c r="N10" s="33">
        <v>352</v>
      </c>
      <c r="O10" s="22">
        <v>11</v>
      </c>
      <c r="P10" s="23" t="e">
        <f>O10+'15.04'!P10</f>
        <v>#REF!</v>
      </c>
      <c r="Q10" s="33">
        <v>549</v>
      </c>
      <c r="R10" s="22">
        <v>8</v>
      </c>
      <c r="S10" s="23" t="e">
        <f>R10+'15.04'!S10</f>
        <v>#REF!</v>
      </c>
      <c r="T10" s="33">
        <v>198</v>
      </c>
      <c r="U10" s="22">
        <v>5</v>
      </c>
      <c r="V10" s="23" t="e">
        <f>U10+'15.04'!V10</f>
        <v>#REF!</v>
      </c>
      <c r="W10" s="38">
        <v>55</v>
      </c>
      <c r="X10" s="22">
        <v>0</v>
      </c>
      <c r="Y10" s="23" t="e">
        <f>X10+'15.04'!Y10</f>
        <v>#REF!</v>
      </c>
      <c r="Z10" s="38">
        <v>71</v>
      </c>
      <c r="AA10" s="22">
        <v>1</v>
      </c>
      <c r="AB10" s="23" t="e">
        <f>AA10+'15.04'!AB10</f>
        <v>#REF!</v>
      </c>
      <c r="AC10" s="38">
        <v>1690</v>
      </c>
      <c r="AD10" s="22">
        <v>109</v>
      </c>
      <c r="AE10" s="23" t="e">
        <f>AD10+'15.04'!AE10</f>
        <v>#REF!</v>
      </c>
      <c r="AF10" s="19">
        <f t="shared" si="1"/>
        <v>90052</v>
      </c>
      <c r="AG10" s="20" t="e">
        <f t="shared" si="1"/>
        <v>#REF!</v>
      </c>
      <c r="AH10" s="24">
        <v>778</v>
      </c>
      <c r="AI10" s="23" t="e">
        <f>AH10+'15.04'!AI10</f>
        <v>#REF!</v>
      </c>
      <c r="AJ10" s="24">
        <v>3781</v>
      </c>
      <c r="AK10" s="23" t="e">
        <f>AJ10+'15.04'!AK10</f>
        <v>#REF!</v>
      </c>
      <c r="AL10" s="22">
        <v>10683</v>
      </c>
      <c r="AM10" s="23" t="e">
        <f>AL10+'15.04'!AM10</f>
        <v>#REF!</v>
      </c>
      <c r="AN10" s="22">
        <v>74810</v>
      </c>
      <c r="AO10" s="23" t="e">
        <f>AN10+'15.04'!AO10</f>
        <v>#REF!</v>
      </c>
      <c r="AP10" s="28" t="s">
        <v>44</v>
      </c>
      <c r="AQ10" s="19">
        <f t="shared" si="2"/>
        <v>3</v>
      </c>
      <c r="AR10" s="20" t="e">
        <f t="shared" si="2"/>
        <v>#REF!</v>
      </c>
      <c r="AS10" s="34">
        <v>0</v>
      </c>
      <c r="AT10" s="23" t="e">
        <f>AS10+'15.04'!AT10</f>
        <v>#REF!</v>
      </c>
      <c r="AU10" s="34">
        <v>0</v>
      </c>
      <c r="AV10" s="23" t="e">
        <f>AU10+'15.04'!AV10</f>
        <v>#REF!</v>
      </c>
      <c r="AW10" s="34">
        <v>0</v>
      </c>
      <c r="AX10" s="23" t="e">
        <f>AW10+'15.04'!AX10</f>
        <v>#REF!</v>
      </c>
      <c r="AY10" s="34">
        <v>0</v>
      </c>
      <c r="AZ10" s="23" t="e">
        <f>AY10+'15.04'!AZ10</f>
        <v>#REF!</v>
      </c>
      <c r="BA10" s="34">
        <v>3</v>
      </c>
      <c r="BB10" s="23" t="e">
        <f>BA10+'15.04'!BB10</f>
        <v>#REF!</v>
      </c>
      <c r="BC10" s="19">
        <f t="shared" si="3"/>
        <v>9166</v>
      </c>
      <c r="BD10" s="20" t="e">
        <f t="shared" si="3"/>
        <v>#REF!</v>
      </c>
      <c r="BE10" s="22">
        <v>432</v>
      </c>
      <c r="BF10" s="23" t="e">
        <f>BE10+'15.04'!BF10</f>
        <v>#REF!</v>
      </c>
      <c r="BG10" s="34">
        <v>0</v>
      </c>
      <c r="BH10" s="23" t="e">
        <f>BG10+'15.04'!BH10</f>
        <v>#REF!</v>
      </c>
      <c r="BI10" s="22">
        <v>3001</v>
      </c>
      <c r="BJ10" s="23" t="e">
        <f>BI10+'15.04'!BJ10</f>
        <v>#REF!</v>
      </c>
      <c r="BK10" s="22">
        <v>5733</v>
      </c>
      <c r="BL10" s="23" t="e">
        <f>BK10+'15.04'!BL10</f>
        <v>#REF!</v>
      </c>
      <c r="BM10" s="22">
        <v>0</v>
      </c>
      <c r="BN10" s="23" t="e">
        <f>BM10+'15.04'!BN10</f>
        <v>#REF!</v>
      </c>
      <c r="BO10" s="36">
        <v>32</v>
      </c>
      <c r="BP10" s="37">
        <v>0</v>
      </c>
      <c r="BQ10" s="23" t="e">
        <f>BP10+'15.04'!BQ10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79</v>
      </c>
      <c r="D11" s="31" t="e">
        <f t="shared" si="0"/>
        <v>#REF!</v>
      </c>
      <c r="E11" s="32">
        <v>883</v>
      </c>
      <c r="F11" s="22">
        <v>31</v>
      </c>
      <c r="G11" s="23" t="e">
        <f>F11+'15.04'!G11</f>
        <v>#REF!</v>
      </c>
      <c r="H11" s="33">
        <v>16</v>
      </c>
      <c r="I11" s="34">
        <v>0</v>
      </c>
      <c r="J11" s="23" t="e">
        <f>I11+'15.04'!J11</f>
        <v>#REF!</v>
      </c>
      <c r="K11" s="33">
        <v>3</v>
      </c>
      <c r="L11" s="22">
        <v>0</v>
      </c>
      <c r="M11" s="23" t="e">
        <f>L11+'15.04'!M11</f>
        <v>#REF!</v>
      </c>
      <c r="N11" s="33">
        <v>875</v>
      </c>
      <c r="O11" s="22">
        <v>0</v>
      </c>
      <c r="P11" s="23" t="e">
        <f>O11+'15.04'!P11</f>
        <v>#REF!</v>
      </c>
      <c r="Q11" s="33">
        <v>2424</v>
      </c>
      <c r="R11" s="22">
        <v>0</v>
      </c>
      <c r="S11" s="23" t="e">
        <f>R11+'15.04'!S11</f>
        <v>#REF!</v>
      </c>
      <c r="T11" s="33">
        <v>69</v>
      </c>
      <c r="U11" s="22">
        <v>0</v>
      </c>
      <c r="V11" s="23" t="e">
        <f>U11+'15.04'!V11</f>
        <v>#REF!</v>
      </c>
      <c r="W11" s="38">
        <v>133</v>
      </c>
      <c r="X11" s="22">
        <v>44</v>
      </c>
      <c r="Y11" s="23" t="e">
        <f>X11+'15.04'!Y11</f>
        <v>#REF!</v>
      </c>
      <c r="Z11" s="38">
        <v>1116</v>
      </c>
      <c r="AA11" s="22">
        <v>0</v>
      </c>
      <c r="AB11" s="23" t="e">
        <f>AA11+'15.04'!AB11</f>
        <v>#REF!</v>
      </c>
      <c r="AC11" s="38">
        <v>9862</v>
      </c>
      <c r="AD11" s="22">
        <v>4</v>
      </c>
      <c r="AE11" s="23" t="e">
        <f>AD11+'15.04'!AE11</f>
        <v>#REF!</v>
      </c>
      <c r="AF11" s="19">
        <f t="shared" si="1"/>
        <v>118200</v>
      </c>
      <c r="AG11" s="20" t="e">
        <f t="shared" si="1"/>
        <v>#REF!</v>
      </c>
      <c r="AH11" s="24">
        <v>5000</v>
      </c>
      <c r="AI11" s="23" t="e">
        <f>AH11+'15.04'!AI11</f>
        <v>#REF!</v>
      </c>
      <c r="AJ11" s="24">
        <v>8200</v>
      </c>
      <c r="AK11" s="23" t="e">
        <f>AJ11+'15.04'!AK11</f>
        <v>#REF!</v>
      </c>
      <c r="AL11" s="22">
        <v>24000</v>
      </c>
      <c r="AM11" s="23" t="e">
        <f>AL11+'15.04'!AM11</f>
        <v>#REF!</v>
      </c>
      <c r="AN11" s="22">
        <v>81000</v>
      </c>
      <c r="AO11" s="23" t="e">
        <f>AN11+'15.04'!AO11</f>
        <v>#REF!</v>
      </c>
      <c r="AP11" s="28" t="s">
        <v>45</v>
      </c>
      <c r="AQ11" s="19">
        <f t="shared" si="2"/>
        <v>7</v>
      </c>
      <c r="AR11" s="20" t="e">
        <f t="shared" si="2"/>
        <v>#REF!</v>
      </c>
      <c r="AS11" s="34">
        <v>0</v>
      </c>
      <c r="AT11" s="23" t="e">
        <f>AS11+'15.04'!AT11</f>
        <v>#REF!</v>
      </c>
      <c r="AU11" s="34">
        <v>0</v>
      </c>
      <c r="AV11" s="23" t="e">
        <f>AU11+'15.04'!AV11</f>
        <v>#REF!</v>
      </c>
      <c r="AW11" s="34">
        <v>0</v>
      </c>
      <c r="AX11" s="23" t="e">
        <f>AW11+'15.04'!AX11</f>
        <v>#REF!</v>
      </c>
      <c r="AY11" s="34">
        <v>0</v>
      </c>
      <c r="AZ11" s="23" t="e">
        <f>AY11+'15.04'!AZ11</f>
        <v>#REF!</v>
      </c>
      <c r="BA11" s="34">
        <v>7</v>
      </c>
      <c r="BB11" s="23" t="e">
        <f>BA11+'15.04'!BB11</f>
        <v>#REF!</v>
      </c>
      <c r="BC11" s="19">
        <f t="shared" si="3"/>
        <v>4213</v>
      </c>
      <c r="BD11" s="20" t="e">
        <f t="shared" si="3"/>
        <v>#REF!</v>
      </c>
      <c r="BE11" s="22">
        <v>8</v>
      </c>
      <c r="BF11" s="23" t="e">
        <f>BE11+'15.04'!BF11</f>
        <v>#REF!</v>
      </c>
      <c r="BG11" s="34">
        <v>3</v>
      </c>
      <c r="BH11" s="23" t="e">
        <f>BG11+'15.04'!BH11</f>
        <v>#REF!</v>
      </c>
      <c r="BI11" s="22">
        <v>4100</v>
      </c>
      <c r="BJ11" s="23" t="e">
        <f>BI11+'15.04'!BJ11</f>
        <v>#REF!</v>
      </c>
      <c r="BK11" s="22">
        <v>102</v>
      </c>
      <c r="BL11" s="23" t="e">
        <f>BK11+'15.04'!BL11</f>
        <v>#REF!</v>
      </c>
      <c r="BM11" s="22">
        <v>0</v>
      </c>
      <c r="BN11" s="23" t="e">
        <f>BM11+'15.04'!BN11</f>
        <v>#REF!</v>
      </c>
      <c r="BO11" s="36">
        <v>11506</v>
      </c>
      <c r="BP11" s="37">
        <v>6</v>
      </c>
      <c r="BQ11" s="23" t="e">
        <f>BP11+'15.04'!BQ11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210</v>
      </c>
      <c r="D12" s="31" t="e">
        <f t="shared" si="0"/>
        <v>#REF!</v>
      </c>
      <c r="E12" s="32">
        <v>909</v>
      </c>
      <c r="F12" s="22">
        <v>55</v>
      </c>
      <c r="G12" s="23" t="e">
        <f>F12+'15.04'!G12</f>
        <v>#REF!</v>
      </c>
      <c r="H12" s="33">
        <v>80</v>
      </c>
      <c r="I12" s="34">
        <v>3</v>
      </c>
      <c r="J12" s="23" t="e">
        <f>I12+'15.04'!J12</f>
        <v>#REF!</v>
      </c>
      <c r="K12" s="33">
        <v>5</v>
      </c>
      <c r="L12" s="22">
        <v>0</v>
      </c>
      <c r="M12" s="23" t="e">
        <f>L12+'15.04'!M12</f>
        <v>#REF!</v>
      </c>
      <c r="N12" s="33">
        <v>820</v>
      </c>
      <c r="O12" s="22">
        <v>50</v>
      </c>
      <c r="P12" s="23" t="e">
        <f>O12+'15.04'!P12</f>
        <v>#REF!</v>
      </c>
      <c r="Q12" s="33">
        <v>549</v>
      </c>
      <c r="R12" s="22">
        <v>0</v>
      </c>
      <c r="S12" s="23" t="e">
        <f>R12+'15.04'!S12</f>
        <v>#REF!</v>
      </c>
      <c r="T12" s="33">
        <v>992</v>
      </c>
      <c r="U12" s="22">
        <v>0</v>
      </c>
      <c r="V12" s="23" t="e">
        <f>U12+'15.04'!V12</f>
        <v>#REF!</v>
      </c>
      <c r="W12" s="33">
        <v>38</v>
      </c>
      <c r="X12" s="22">
        <v>102</v>
      </c>
      <c r="Y12" s="23" t="e">
        <f>X12+'15.04'!Y12</f>
        <v>#REF!</v>
      </c>
      <c r="Z12" s="33">
        <v>68</v>
      </c>
      <c r="AA12" s="22">
        <v>0</v>
      </c>
      <c r="AB12" s="23" t="e">
        <f>AA12+'15.04'!AB12</f>
        <v>#REF!</v>
      </c>
      <c r="AC12" s="33">
        <v>26703</v>
      </c>
      <c r="AD12" s="22">
        <v>0</v>
      </c>
      <c r="AE12" s="23" t="e">
        <f>AD12+'15.04'!AE12</f>
        <v>#REF!</v>
      </c>
      <c r="AF12" s="19">
        <f t="shared" si="1"/>
        <v>33500</v>
      </c>
      <c r="AG12" s="20" t="e">
        <f t="shared" si="1"/>
        <v>#REF!</v>
      </c>
      <c r="AH12" s="24">
        <v>6100</v>
      </c>
      <c r="AI12" s="23" t="e">
        <f>AH12+'15.04'!AI12</f>
        <v>#REF!</v>
      </c>
      <c r="AJ12" s="24">
        <v>9600</v>
      </c>
      <c r="AK12" s="23" t="e">
        <f>AJ12+'15.04'!AK12</f>
        <v>#REF!</v>
      </c>
      <c r="AL12" s="22">
        <v>8900</v>
      </c>
      <c r="AM12" s="23" t="e">
        <f>AL12+'15.04'!AM12</f>
        <v>#REF!</v>
      </c>
      <c r="AN12" s="22">
        <v>8900</v>
      </c>
      <c r="AO12" s="23" t="e">
        <f>AN12+'15.04'!AO12</f>
        <v>#REF!</v>
      </c>
      <c r="AP12" s="28" t="s">
        <v>46</v>
      </c>
      <c r="AQ12" s="19">
        <f t="shared" si="2"/>
        <v>85</v>
      </c>
      <c r="AR12" s="20" t="e">
        <f t="shared" si="2"/>
        <v>#REF!</v>
      </c>
      <c r="AS12" s="34">
        <v>0</v>
      </c>
      <c r="AT12" s="23" t="e">
        <f>AS12+'15.04'!AT12</f>
        <v>#REF!</v>
      </c>
      <c r="AU12" s="34">
        <v>0</v>
      </c>
      <c r="AV12" s="23" t="e">
        <f>AU12+'15.04'!AV12</f>
        <v>#REF!</v>
      </c>
      <c r="AW12" s="34">
        <v>0</v>
      </c>
      <c r="AX12" s="23" t="e">
        <f>AW12+'15.04'!AX12</f>
        <v>#REF!</v>
      </c>
      <c r="AY12" s="34">
        <v>0</v>
      </c>
      <c r="AZ12" s="23" t="e">
        <f>AY12+'15.04'!AZ12</f>
        <v>#REF!</v>
      </c>
      <c r="BA12" s="34">
        <v>85</v>
      </c>
      <c r="BB12" s="23" t="e">
        <f>BA12+'15.04'!BB12</f>
        <v>#REF!</v>
      </c>
      <c r="BC12" s="19">
        <f t="shared" si="3"/>
        <v>4034</v>
      </c>
      <c r="BD12" s="20" t="e">
        <f t="shared" si="3"/>
        <v>#REF!</v>
      </c>
      <c r="BE12" s="22">
        <v>252</v>
      </c>
      <c r="BF12" s="23" t="e">
        <f>BE12+'15.04'!BF12</f>
        <v>#REF!</v>
      </c>
      <c r="BG12" s="34">
        <v>12</v>
      </c>
      <c r="BH12" s="23" t="e">
        <f>BG12+'15.04'!BH12</f>
        <v>#REF!</v>
      </c>
      <c r="BI12" s="22">
        <v>3500</v>
      </c>
      <c r="BJ12" s="23" t="e">
        <f>BI12+'15.04'!BJ12</f>
        <v>#REF!</v>
      </c>
      <c r="BK12" s="22">
        <v>270</v>
      </c>
      <c r="BL12" s="23" t="e">
        <f>BK12+'15.04'!BL12</f>
        <v>#REF!</v>
      </c>
      <c r="BM12" s="22">
        <v>0</v>
      </c>
      <c r="BN12" s="23" t="e">
        <f>BM12+'15.04'!BN12</f>
        <v>#REF!</v>
      </c>
      <c r="BO12" s="36"/>
      <c r="BP12" s="37">
        <v>1</v>
      </c>
      <c r="BQ12" s="23" t="e">
        <f>BP12+'15.04'!BQ12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0</v>
      </c>
      <c r="D13" s="31" t="e">
        <f t="shared" si="0"/>
        <v>#REF!</v>
      </c>
      <c r="E13" s="32">
        <v>516</v>
      </c>
      <c r="F13" s="22"/>
      <c r="G13" s="23" t="e">
        <f>F13+'15.04'!G13</f>
        <v>#REF!</v>
      </c>
      <c r="H13" s="33">
        <v>10</v>
      </c>
      <c r="I13" s="34"/>
      <c r="J13" s="23" t="e">
        <f>I13+'15.04'!J13</f>
        <v>#REF!</v>
      </c>
      <c r="K13" s="33">
        <v>38</v>
      </c>
      <c r="L13" s="22"/>
      <c r="M13" s="23" t="e">
        <f>L13+'15.04'!M13</f>
        <v>#REF!</v>
      </c>
      <c r="N13" s="33">
        <v>581</v>
      </c>
      <c r="O13" s="22"/>
      <c r="P13" s="23" t="e">
        <f>O13+'15.04'!P13</f>
        <v>#REF!</v>
      </c>
      <c r="Q13" s="33">
        <v>525</v>
      </c>
      <c r="R13" s="22"/>
      <c r="S13" s="23" t="e">
        <f>R13+'15.04'!S13</f>
        <v>#REF!</v>
      </c>
      <c r="T13" s="33">
        <v>263</v>
      </c>
      <c r="U13" s="22"/>
      <c r="V13" s="23" t="e">
        <f>U13+'15.04'!V13</f>
        <v>#REF!</v>
      </c>
      <c r="W13" s="33">
        <v>43</v>
      </c>
      <c r="X13" s="22"/>
      <c r="Y13" s="23" t="e">
        <f>X13+'15.04'!Y13</f>
        <v>#REF!</v>
      </c>
      <c r="Z13" s="33">
        <v>17</v>
      </c>
      <c r="AA13" s="22"/>
      <c r="AB13" s="23" t="e">
        <f>AA13+'15.04'!AB13</f>
        <v>#REF!</v>
      </c>
      <c r="AC13" s="33">
        <v>51</v>
      </c>
      <c r="AD13" s="22"/>
      <c r="AE13" s="23" t="e">
        <f>AD13+'15.04'!AE13</f>
        <v>#REF!</v>
      </c>
      <c r="AF13" s="19">
        <f t="shared" si="1"/>
        <v>0</v>
      </c>
      <c r="AG13" s="20" t="e">
        <f t="shared" si="1"/>
        <v>#REF!</v>
      </c>
      <c r="AH13" s="24"/>
      <c r="AI13" s="23" t="e">
        <f>AH13+'15.04'!AI13</f>
        <v>#REF!</v>
      </c>
      <c r="AJ13" s="24"/>
      <c r="AK13" s="23" t="e">
        <f>AJ13+'15.04'!AK13</f>
        <v>#REF!</v>
      </c>
      <c r="AL13" s="22"/>
      <c r="AM13" s="23" t="e">
        <f>AL13+'15.04'!AM13</f>
        <v>#REF!</v>
      </c>
      <c r="AN13" s="22"/>
      <c r="AO13" s="23" t="e">
        <f>AN13+'15.04'!AO13</f>
        <v>#REF!</v>
      </c>
      <c r="AP13" s="28" t="s">
        <v>47</v>
      </c>
      <c r="AQ13" s="19">
        <f t="shared" si="2"/>
        <v>0</v>
      </c>
      <c r="AR13" s="20" t="e">
        <f t="shared" si="2"/>
        <v>#REF!</v>
      </c>
      <c r="AS13" s="34"/>
      <c r="AT13" s="23" t="e">
        <f>AS13+'15.04'!AT13</f>
        <v>#REF!</v>
      </c>
      <c r="AU13" s="34"/>
      <c r="AV13" s="23" t="e">
        <f>AU13+'15.04'!AV13</f>
        <v>#REF!</v>
      </c>
      <c r="AW13" s="34"/>
      <c r="AX13" s="23" t="e">
        <f>AW13+'15.04'!AX13</f>
        <v>#REF!</v>
      </c>
      <c r="AY13" s="34"/>
      <c r="AZ13" s="23" t="e">
        <f>AY13+'15.04'!AZ13</f>
        <v>#REF!</v>
      </c>
      <c r="BA13" s="34"/>
      <c r="BB13" s="23" t="e">
        <f>BA13+'15.04'!BB13</f>
        <v>#REF!</v>
      </c>
      <c r="BC13" s="19">
        <f t="shared" si="3"/>
        <v>0</v>
      </c>
      <c r="BD13" s="20" t="e">
        <f t="shared" si="3"/>
        <v>#REF!</v>
      </c>
      <c r="BE13" s="22"/>
      <c r="BF13" s="23" t="e">
        <f>BE13+'15.04'!BF13</f>
        <v>#REF!</v>
      </c>
      <c r="BG13" s="34"/>
      <c r="BH13" s="23" t="e">
        <f>BG13+'15.04'!BH13</f>
        <v>#REF!</v>
      </c>
      <c r="BI13" s="22"/>
      <c r="BJ13" s="23" t="e">
        <f>BI13+'15.04'!BJ13</f>
        <v>#REF!</v>
      </c>
      <c r="BK13" s="22"/>
      <c r="BL13" s="23" t="e">
        <f>BK13+'15.04'!BL13</f>
        <v>#REF!</v>
      </c>
      <c r="BM13" s="22"/>
      <c r="BN13" s="23" t="e">
        <f>BM13+'15.04'!BN13</f>
        <v>#REF!</v>
      </c>
      <c r="BO13" s="36"/>
      <c r="BP13" s="37"/>
      <c r="BQ13" s="23" t="e">
        <f>BP13+'15.04'!BQ13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F14+'15.04'!G14</f>
        <v>#REF!</v>
      </c>
      <c r="H14" s="44">
        <v>5</v>
      </c>
      <c r="I14" s="45"/>
      <c r="J14" s="23" t="e">
        <f>I14+'15.04'!J14</f>
        <v>#REF!</v>
      </c>
      <c r="K14" s="44">
        <v>34</v>
      </c>
      <c r="L14" s="22"/>
      <c r="M14" s="23" t="e">
        <f>L14+'15.04'!M14</f>
        <v>#REF!</v>
      </c>
      <c r="N14" s="44">
        <v>583</v>
      </c>
      <c r="O14" s="22"/>
      <c r="P14" s="23" t="e">
        <f>O14+'15.04'!P14</f>
        <v>#REF!</v>
      </c>
      <c r="Q14" s="44">
        <v>254</v>
      </c>
      <c r="R14" s="22"/>
      <c r="S14" s="23" t="e">
        <f>R14+'15.04'!S14</f>
        <v>#REF!</v>
      </c>
      <c r="T14" s="44">
        <v>196</v>
      </c>
      <c r="U14" s="22"/>
      <c r="V14" s="23" t="e">
        <f>U14+'15.04'!V14</f>
        <v>#REF!</v>
      </c>
      <c r="W14" s="44">
        <v>30</v>
      </c>
      <c r="X14" s="22"/>
      <c r="Y14" s="23" t="e">
        <f>X14+'15.04'!Y14</f>
        <v>#REF!</v>
      </c>
      <c r="Z14" s="44">
        <v>10</v>
      </c>
      <c r="AA14" s="22"/>
      <c r="AB14" s="23" t="e">
        <f>AA14+'15.04'!AB14</f>
        <v>#REF!</v>
      </c>
      <c r="AC14" s="44">
        <v>2500</v>
      </c>
      <c r="AD14" s="22"/>
      <c r="AE14" s="23" t="e">
        <f>AD14+'15.04'!AE14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AH14+'15.04'!AI14</f>
        <v>#REF!</v>
      </c>
      <c r="AJ14" s="24"/>
      <c r="AK14" s="23" t="e">
        <f>AJ14+'15.04'!AK14</f>
        <v>#REF!</v>
      </c>
      <c r="AL14" s="22"/>
      <c r="AM14" s="23" t="e">
        <f>AL14+'15.04'!AM14</f>
        <v>#REF!</v>
      </c>
      <c r="AN14" s="22"/>
      <c r="AO14" s="23" t="e">
        <f>AN14+'15.04'!AO14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AS14+'15.04'!AT14</f>
        <v>#REF!</v>
      </c>
      <c r="AU14" s="45"/>
      <c r="AV14" s="23" t="e">
        <f>AU14+'15.04'!AV14</f>
        <v>#REF!</v>
      </c>
      <c r="AW14" s="45"/>
      <c r="AX14" s="23" t="e">
        <f>AW14+'15.04'!AX14</f>
        <v>#REF!</v>
      </c>
      <c r="AY14" s="45"/>
      <c r="AZ14" s="23" t="e">
        <f>AY14+'15.04'!AZ14</f>
        <v>#REF!</v>
      </c>
      <c r="BA14" s="45"/>
      <c r="BB14" s="23" t="e">
        <f>BA14+'15.04'!BB14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BE14+'15.04'!BF14</f>
        <v>#REF!</v>
      </c>
      <c r="BG14" s="45"/>
      <c r="BH14" s="23" t="e">
        <f>BG14+'15.04'!BH14</f>
        <v>#REF!</v>
      </c>
      <c r="BI14" s="22"/>
      <c r="BJ14" s="23" t="e">
        <f>BI14+'15.04'!BJ14</f>
        <v>#REF!</v>
      </c>
      <c r="BK14" s="22"/>
      <c r="BL14" s="23" t="e">
        <f>BK14+'15.04'!BL14</f>
        <v>#REF!</v>
      </c>
      <c r="BM14" s="22"/>
      <c r="BN14" s="23" t="e">
        <f>BM14+'15.04'!BN14</f>
        <v>#REF!</v>
      </c>
      <c r="BO14" s="48">
        <v>2</v>
      </c>
      <c r="BP14" s="49"/>
      <c r="BQ14" s="23" t="e">
        <f>BP14+'15.04'!BQ14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512</v>
      </c>
      <c r="D15" s="53" t="e">
        <f t="shared" si="0"/>
        <v>#REF!</v>
      </c>
      <c r="E15" s="54">
        <v>776</v>
      </c>
      <c r="F15" s="55">
        <v>368</v>
      </c>
      <c r="G15" s="23" t="e">
        <f>F15+'15.04'!G15</f>
        <v>#REF!</v>
      </c>
      <c r="H15" s="56">
        <v>9</v>
      </c>
      <c r="I15" s="57">
        <v>0</v>
      </c>
      <c r="J15" s="23" t="e">
        <f>I15+'15.04'!J15</f>
        <v>#REF!</v>
      </c>
      <c r="K15" s="56">
        <v>6</v>
      </c>
      <c r="L15" s="55">
        <v>0</v>
      </c>
      <c r="M15" s="23" t="e">
        <f>L15+'15.04'!M15</f>
        <v>#REF!</v>
      </c>
      <c r="N15" s="56">
        <v>1305</v>
      </c>
      <c r="O15" s="55">
        <v>0</v>
      </c>
      <c r="P15" s="23" t="e">
        <f>O15+'15.04'!P15</f>
        <v>#REF!</v>
      </c>
      <c r="Q15" s="56">
        <v>447</v>
      </c>
      <c r="R15" s="55">
        <v>0</v>
      </c>
      <c r="S15" s="23" t="e">
        <f>R15+'15.04'!S15</f>
        <v>#REF!</v>
      </c>
      <c r="T15" s="56">
        <v>337</v>
      </c>
      <c r="U15" s="55">
        <v>0</v>
      </c>
      <c r="V15" s="23" t="e">
        <f>U15+'15.04'!V15</f>
        <v>#REF!</v>
      </c>
      <c r="W15" s="56">
        <v>78</v>
      </c>
      <c r="X15" s="55">
        <v>126</v>
      </c>
      <c r="Y15" s="23" t="e">
        <f>X15+'15.04'!Y15</f>
        <v>#REF!</v>
      </c>
      <c r="Z15" s="56">
        <v>141</v>
      </c>
      <c r="AA15" s="55">
        <v>0</v>
      </c>
      <c r="AB15" s="23" t="e">
        <f>AA15+'15.04'!AB15</f>
        <v>#REF!</v>
      </c>
      <c r="AC15" s="56">
        <v>798</v>
      </c>
      <c r="AD15" s="55">
        <v>18</v>
      </c>
      <c r="AE15" s="23" t="e">
        <f>AD15+'15.04'!AE15</f>
        <v>#REF!</v>
      </c>
      <c r="AF15" s="58">
        <f t="shared" si="1"/>
        <v>1191702</v>
      </c>
      <c r="AG15" s="59" t="e">
        <f t="shared" si="1"/>
        <v>#REF!</v>
      </c>
      <c r="AH15" s="60">
        <v>1036</v>
      </c>
      <c r="AI15" s="23" t="e">
        <f>AH15+'15.04'!AI15</f>
        <v>#REF!</v>
      </c>
      <c r="AJ15" s="60">
        <v>3542</v>
      </c>
      <c r="AK15" s="23" t="e">
        <f>AJ15+'15.04'!AK15</f>
        <v>#REF!</v>
      </c>
      <c r="AL15" s="55">
        <v>593562</v>
      </c>
      <c r="AM15" s="23" t="e">
        <f>AL15+'15.04'!AM15</f>
        <v>#REF!</v>
      </c>
      <c r="AN15" s="55">
        <v>593562</v>
      </c>
      <c r="AO15" s="23" t="e">
        <f>AN15+'15.04'!AO15</f>
        <v>#REF!</v>
      </c>
      <c r="AP15" s="50" t="s">
        <v>49</v>
      </c>
      <c r="AQ15" s="58">
        <f t="shared" si="2"/>
        <v>3</v>
      </c>
      <c r="AR15" s="59" t="e">
        <f t="shared" si="2"/>
        <v>#REF!</v>
      </c>
      <c r="AS15" s="57">
        <v>0</v>
      </c>
      <c r="AT15" s="23" t="e">
        <f>AS15+'15.04'!AT15</f>
        <v>#REF!</v>
      </c>
      <c r="AU15" s="57">
        <v>0</v>
      </c>
      <c r="AV15" s="23" t="e">
        <f>AU15+'15.04'!AV15</f>
        <v>#REF!</v>
      </c>
      <c r="AW15" s="57">
        <v>0</v>
      </c>
      <c r="AX15" s="23" t="e">
        <f>AW15+'15.04'!AX15</f>
        <v>#REF!</v>
      </c>
      <c r="AY15" s="57">
        <v>0</v>
      </c>
      <c r="AZ15" s="23" t="e">
        <f>AY15+'15.04'!AZ15</f>
        <v>#REF!</v>
      </c>
      <c r="BA15" s="57">
        <v>3</v>
      </c>
      <c r="BB15" s="23" t="e">
        <f>BA15+'15.04'!BB15</f>
        <v>#REF!</v>
      </c>
      <c r="BC15" s="58">
        <f t="shared" si="3"/>
        <v>1589</v>
      </c>
      <c r="BD15" s="59" t="e">
        <f t="shared" si="3"/>
        <v>#REF!</v>
      </c>
      <c r="BE15" s="55">
        <v>85</v>
      </c>
      <c r="BF15" s="23" t="e">
        <f>BE15+'15.04'!BF15</f>
        <v>#REF!</v>
      </c>
      <c r="BG15" s="57">
        <v>4</v>
      </c>
      <c r="BH15" s="23" t="e">
        <f>BG15+'15.04'!BH15</f>
        <v>#REF!</v>
      </c>
      <c r="BI15" s="55">
        <v>750</v>
      </c>
      <c r="BJ15" s="23" t="e">
        <f>BI15+'15.04'!BJ15</f>
        <v>#REF!</v>
      </c>
      <c r="BK15" s="55">
        <v>750</v>
      </c>
      <c r="BL15" s="23" t="e">
        <f>BK15+'15.04'!BL15</f>
        <v>#REF!</v>
      </c>
      <c r="BM15" s="55">
        <v>0</v>
      </c>
      <c r="BN15" s="23" t="e">
        <f>BM15+'15.04'!BN15</f>
        <v>#REF!</v>
      </c>
      <c r="BO15" s="36">
        <v>6274</v>
      </c>
      <c r="BP15" s="37">
        <v>0</v>
      </c>
      <c r="BQ15" s="23" t="e">
        <f>BP15+'15.04'!BQ15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F16+'15.04'!G16</f>
        <v>#REF!</v>
      </c>
      <c r="H16" s="33">
        <v>5</v>
      </c>
      <c r="I16" s="34"/>
      <c r="J16" s="23" t="e">
        <f>I16+'15.04'!J16</f>
        <v>#REF!</v>
      </c>
      <c r="K16" s="33">
        <v>3</v>
      </c>
      <c r="L16" s="22"/>
      <c r="M16" s="23" t="e">
        <f>L16+'15.04'!M16</f>
        <v>#REF!</v>
      </c>
      <c r="N16" s="33">
        <v>384</v>
      </c>
      <c r="O16" s="22"/>
      <c r="P16" s="23" t="e">
        <f>O16+'15.04'!P16</f>
        <v>#REF!</v>
      </c>
      <c r="Q16" s="33">
        <v>245</v>
      </c>
      <c r="R16" s="22"/>
      <c r="S16" s="23" t="e">
        <f>R16+'15.04'!S16</f>
        <v>#REF!</v>
      </c>
      <c r="T16" s="33">
        <v>397</v>
      </c>
      <c r="U16" s="22"/>
      <c r="V16" s="23" t="e">
        <f>U16+'15.04'!V16</f>
        <v>#REF!</v>
      </c>
      <c r="W16" s="33">
        <v>24</v>
      </c>
      <c r="X16" s="22"/>
      <c r="Y16" s="23" t="e">
        <f>X16+'15.04'!Y16</f>
        <v>#REF!</v>
      </c>
      <c r="Z16" s="33">
        <v>18</v>
      </c>
      <c r="AA16" s="22"/>
      <c r="AB16" s="23" t="e">
        <f>AA16+'15.04'!AB16</f>
        <v>#REF!</v>
      </c>
      <c r="AC16" s="33">
        <v>18515</v>
      </c>
      <c r="AD16" s="22"/>
      <c r="AE16" s="23" t="e">
        <f>AD16+'15.04'!AE16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AH16+'15.04'!AI16</f>
        <v>#REF!</v>
      </c>
      <c r="AJ16" s="24"/>
      <c r="AK16" s="23" t="e">
        <f>AJ16+'15.04'!AK16</f>
        <v>#REF!</v>
      </c>
      <c r="AL16" s="22"/>
      <c r="AM16" s="23" t="e">
        <f>AL16+'15.04'!AM16</f>
        <v>#REF!</v>
      </c>
      <c r="AN16" s="22"/>
      <c r="AO16" s="23" t="e">
        <f>AN16+'15.04'!AO16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AS16+'15.04'!AT16</f>
        <v>#REF!</v>
      </c>
      <c r="AU16" s="34"/>
      <c r="AV16" s="23" t="e">
        <f>AU16+'15.04'!AV16</f>
        <v>#REF!</v>
      </c>
      <c r="AW16" s="34"/>
      <c r="AX16" s="23" t="e">
        <f>AW16+'15.04'!AX16</f>
        <v>#REF!</v>
      </c>
      <c r="AY16" s="34"/>
      <c r="AZ16" s="23" t="e">
        <f>AY16+'15.04'!AZ16</f>
        <v>#REF!</v>
      </c>
      <c r="BA16" s="34"/>
      <c r="BB16" s="23" t="e">
        <f>BA16+'15.04'!BB16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BE16+'15.04'!BF16</f>
        <v>#REF!</v>
      </c>
      <c r="BG16" s="34"/>
      <c r="BH16" s="23" t="e">
        <f>BG16+'15.04'!BH16</f>
        <v>#REF!</v>
      </c>
      <c r="BI16" s="22"/>
      <c r="BJ16" s="23" t="e">
        <f>BI16+'15.04'!BJ16</f>
        <v>#REF!</v>
      </c>
      <c r="BK16" s="22"/>
      <c r="BL16" s="23" t="e">
        <f>BK16+'15.04'!BL16</f>
        <v>#REF!</v>
      </c>
      <c r="BM16" s="22"/>
      <c r="BN16" s="23" t="e">
        <f>BM16+'15.04'!BN16</f>
        <v>#REF!</v>
      </c>
      <c r="BO16" s="36">
        <v>2546</v>
      </c>
      <c r="BP16" s="37"/>
      <c r="BQ16" s="23" t="e">
        <f>BP16+'15.04'!BQ16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0</v>
      </c>
      <c r="D17" s="31" t="e">
        <f t="shared" si="0"/>
        <v>#REF!</v>
      </c>
      <c r="E17" s="32">
        <v>754</v>
      </c>
      <c r="F17" s="22"/>
      <c r="G17" s="23" t="e">
        <f>F17+'15.04'!G17</f>
        <v>#REF!</v>
      </c>
      <c r="H17" s="33">
        <v>9</v>
      </c>
      <c r="I17" s="34"/>
      <c r="J17" s="23" t="e">
        <f>I17+'15.04'!J17</f>
        <v>#REF!</v>
      </c>
      <c r="K17" s="33">
        <v>5</v>
      </c>
      <c r="L17" s="22"/>
      <c r="M17" s="23" t="e">
        <f>L17+'15.04'!M17</f>
        <v>#REF!</v>
      </c>
      <c r="N17" s="33">
        <v>768</v>
      </c>
      <c r="O17" s="22"/>
      <c r="P17" s="23" t="e">
        <f>O17+'15.04'!P17</f>
        <v>#REF!</v>
      </c>
      <c r="Q17" s="33">
        <v>624</v>
      </c>
      <c r="R17" s="22"/>
      <c r="S17" s="23" t="e">
        <f>R17+'15.04'!S17</f>
        <v>#REF!</v>
      </c>
      <c r="T17" s="33">
        <v>742</v>
      </c>
      <c r="U17" s="22"/>
      <c r="V17" s="23" t="e">
        <f>U17+'15.04'!V17</f>
        <v>#REF!</v>
      </c>
      <c r="W17" s="33">
        <v>54</v>
      </c>
      <c r="X17" s="22"/>
      <c r="Y17" s="23" t="e">
        <f>X17+'15.04'!Y17</f>
        <v>#REF!</v>
      </c>
      <c r="Z17" s="33">
        <v>66</v>
      </c>
      <c r="AA17" s="22"/>
      <c r="AB17" s="23" t="e">
        <f>AA17+'15.04'!AB17</f>
        <v>#REF!</v>
      </c>
      <c r="AC17" s="33">
        <v>2580</v>
      </c>
      <c r="AD17" s="22"/>
      <c r="AE17" s="23" t="e">
        <f>AD17+'15.04'!AE17</f>
        <v>#REF!</v>
      </c>
      <c r="AF17" s="19">
        <f t="shared" si="1"/>
        <v>0</v>
      </c>
      <c r="AG17" s="20" t="e">
        <f t="shared" si="1"/>
        <v>#REF!</v>
      </c>
      <c r="AH17" s="24"/>
      <c r="AI17" s="23" t="e">
        <f>AH17+'15.04'!AI17</f>
        <v>#REF!</v>
      </c>
      <c r="AJ17" s="24"/>
      <c r="AK17" s="23" t="e">
        <f>AJ17+'15.04'!AK17</f>
        <v>#REF!</v>
      </c>
      <c r="AL17" s="22"/>
      <c r="AM17" s="23" t="e">
        <f>AL17+'15.04'!AM17</f>
        <v>#REF!</v>
      </c>
      <c r="AN17" s="22"/>
      <c r="AO17" s="23" t="e">
        <f>AN17+'15.04'!AO17</f>
        <v>#REF!</v>
      </c>
      <c r="AP17" s="28" t="s">
        <v>52</v>
      </c>
      <c r="AQ17" s="19">
        <f t="shared" si="2"/>
        <v>0</v>
      </c>
      <c r="AR17" s="20" t="e">
        <f t="shared" si="2"/>
        <v>#REF!</v>
      </c>
      <c r="AS17" s="34"/>
      <c r="AT17" s="23" t="e">
        <f>AS17+'15.04'!AT17</f>
        <v>#REF!</v>
      </c>
      <c r="AU17" s="34"/>
      <c r="AV17" s="23" t="e">
        <f>AU17+'15.04'!AV17</f>
        <v>#REF!</v>
      </c>
      <c r="AW17" s="34"/>
      <c r="AX17" s="23" t="e">
        <f>AW17+'15.04'!AX17</f>
        <v>#REF!</v>
      </c>
      <c r="AY17" s="34"/>
      <c r="AZ17" s="23" t="e">
        <f>AY17+'15.04'!AZ17</f>
        <v>#REF!</v>
      </c>
      <c r="BA17" s="34"/>
      <c r="BB17" s="23" t="e">
        <f>BA17+'15.04'!BB17</f>
        <v>#REF!</v>
      </c>
      <c r="BC17" s="19">
        <f t="shared" si="3"/>
        <v>0</v>
      </c>
      <c r="BD17" s="20" t="e">
        <f t="shared" si="3"/>
        <v>#REF!</v>
      </c>
      <c r="BE17" s="22"/>
      <c r="BF17" s="23" t="e">
        <f>BE17+'15.04'!BF17</f>
        <v>#REF!</v>
      </c>
      <c r="BG17" s="34"/>
      <c r="BH17" s="23" t="e">
        <f>BG17+'15.04'!BH17</f>
        <v>#REF!</v>
      </c>
      <c r="BI17" s="22"/>
      <c r="BJ17" s="23" t="e">
        <f>BI17+'15.04'!BJ17</f>
        <v>#REF!</v>
      </c>
      <c r="BK17" s="22"/>
      <c r="BL17" s="23" t="e">
        <f>BK17+'15.04'!BL17</f>
        <v>#REF!</v>
      </c>
      <c r="BM17" s="22"/>
      <c r="BN17" s="23" t="e">
        <f>BM17+'15.04'!BN17</f>
        <v>#REF!</v>
      </c>
      <c r="BO17" s="36">
        <v>8022</v>
      </c>
      <c r="BP17" s="37"/>
      <c r="BQ17" s="23" t="e">
        <f>BP17+'15.04'!BQ17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589</v>
      </c>
      <c r="D18" s="20" t="e">
        <f t="shared" si="0"/>
        <v>#REF!</v>
      </c>
      <c r="E18" s="21">
        <v>1063</v>
      </c>
      <c r="F18" s="22">
        <v>351</v>
      </c>
      <c r="G18" s="23" t="e">
        <f>F18+'15.04'!G18</f>
        <v>#REF!</v>
      </c>
      <c r="H18" s="21">
        <v>19</v>
      </c>
      <c r="I18" s="22">
        <v>0</v>
      </c>
      <c r="J18" s="23" t="e">
        <f>I18+'15.04'!J18</f>
        <v>#REF!</v>
      </c>
      <c r="K18" s="21">
        <v>8</v>
      </c>
      <c r="L18" s="22">
        <v>0</v>
      </c>
      <c r="M18" s="23" t="e">
        <f>L18+'15.04'!M18</f>
        <v>#REF!</v>
      </c>
      <c r="N18" s="21">
        <v>1331</v>
      </c>
      <c r="O18" s="22">
        <v>0</v>
      </c>
      <c r="P18" s="23" t="e">
        <f>O18+'15.04'!P18</f>
        <v>#REF!</v>
      </c>
      <c r="Q18" s="21">
        <v>777</v>
      </c>
      <c r="R18" s="22">
        <v>0</v>
      </c>
      <c r="S18" s="23" t="e">
        <f>R18+'15.04'!S18</f>
        <v>#REF!</v>
      </c>
      <c r="T18" s="21">
        <v>318</v>
      </c>
      <c r="U18" s="22">
        <v>0</v>
      </c>
      <c r="V18" s="23" t="e">
        <f>U18+'15.04'!V18</f>
        <v>#REF!</v>
      </c>
      <c r="W18" s="21">
        <v>60</v>
      </c>
      <c r="X18" s="22">
        <v>238</v>
      </c>
      <c r="Y18" s="23" t="e">
        <f>X18+'15.04'!Y18</f>
        <v>#REF!</v>
      </c>
      <c r="Z18" s="21">
        <v>72</v>
      </c>
      <c r="AA18" s="22">
        <v>0</v>
      </c>
      <c r="AB18" s="23" t="e">
        <f>AA18+'15.04'!AB18</f>
        <v>#REF!</v>
      </c>
      <c r="AC18" s="21">
        <v>143</v>
      </c>
      <c r="AD18" s="22">
        <v>0</v>
      </c>
      <c r="AE18" s="23" t="e">
        <f>AD18+'15.04'!AE18</f>
        <v>#REF!</v>
      </c>
      <c r="AF18" s="19">
        <f t="shared" si="1"/>
        <v>353657</v>
      </c>
      <c r="AG18" s="20" t="e">
        <f t="shared" si="1"/>
        <v>#REF!</v>
      </c>
      <c r="AH18" s="24">
        <v>624</v>
      </c>
      <c r="AI18" s="23" t="e">
        <f>AH18+'15.04'!AI18</f>
        <v>#REF!</v>
      </c>
      <c r="AJ18" s="24">
        <v>4894</v>
      </c>
      <c r="AK18" s="23" t="e">
        <f>AJ18+'15.04'!AK18</f>
        <v>#REF!</v>
      </c>
      <c r="AL18" s="22">
        <v>5276</v>
      </c>
      <c r="AM18" s="23" t="e">
        <f>AL18+'15.04'!AM18</f>
        <v>#REF!</v>
      </c>
      <c r="AN18" s="22">
        <v>342863</v>
      </c>
      <c r="AO18" s="23" t="e">
        <f>AN18+'15.04'!AO18</f>
        <v>#REF!</v>
      </c>
      <c r="AP18" s="17" t="s">
        <v>53</v>
      </c>
      <c r="AQ18" s="19">
        <f>AS18+AU18+AW18+AY18+BA18</f>
        <v>6</v>
      </c>
      <c r="AR18" s="20" t="e">
        <f t="shared" si="2"/>
        <v>#REF!</v>
      </c>
      <c r="AS18" s="22">
        <v>0</v>
      </c>
      <c r="AT18" s="23" t="e">
        <f>AS18+'15.04'!AT18</f>
        <v>#REF!</v>
      </c>
      <c r="AU18" s="22">
        <v>0</v>
      </c>
      <c r="AV18" s="23" t="e">
        <f>AU18+'15.04'!AV18</f>
        <v>#REF!</v>
      </c>
      <c r="AW18" s="22">
        <v>0</v>
      </c>
      <c r="AX18" s="23" t="e">
        <f>AW18+'15.04'!AX18</f>
        <v>#REF!</v>
      </c>
      <c r="AY18" s="22">
        <v>6</v>
      </c>
      <c r="AZ18" s="23" t="e">
        <f>AY18+'15.04'!AZ18</f>
        <v>#REF!</v>
      </c>
      <c r="BA18" s="22">
        <v>0</v>
      </c>
      <c r="BB18" s="23" t="e">
        <f>BA18+'15.04'!BB18</f>
        <v>#REF!</v>
      </c>
      <c r="BC18" s="19">
        <f t="shared" si="3"/>
        <v>3739</v>
      </c>
      <c r="BD18" s="20" t="e">
        <f>BF18+BH18+BJ18+BL18+BN18</f>
        <v>#REF!</v>
      </c>
      <c r="BE18" s="22">
        <v>2</v>
      </c>
      <c r="BF18" s="23" t="e">
        <f>BE18+'15.04'!BF18</f>
        <v>#REF!</v>
      </c>
      <c r="BG18" s="22">
        <v>0</v>
      </c>
      <c r="BH18" s="23" t="e">
        <f>BG18+'15.04'!BH18</f>
        <v>#REF!</v>
      </c>
      <c r="BI18" s="22">
        <v>3516</v>
      </c>
      <c r="BJ18" s="23" t="e">
        <f>BI18+'15.04'!BJ18</f>
        <v>#REF!</v>
      </c>
      <c r="BK18" s="22">
        <v>221</v>
      </c>
      <c r="BL18" s="23" t="e">
        <f>BK18+'15.04'!BL18</f>
        <v>#REF!</v>
      </c>
      <c r="BM18" s="22">
        <v>0</v>
      </c>
      <c r="BN18" s="23" t="e">
        <f>BM18+'15.04'!BN18</f>
        <v>#REF!</v>
      </c>
      <c r="BO18" s="36">
        <v>442</v>
      </c>
      <c r="BP18" s="37">
        <v>0</v>
      </c>
      <c r="BQ18" s="23" t="e">
        <f>BP18+'15.04'!BQ18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0</v>
      </c>
      <c r="D19" s="31" t="e">
        <f t="shared" si="0"/>
        <v>#REF!</v>
      </c>
      <c r="E19" s="33">
        <v>221</v>
      </c>
      <c r="F19" s="22"/>
      <c r="G19" s="23" t="e">
        <f>F19+'15.04'!G19</f>
        <v>#REF!</v>
      </c>
      <c r="H19" s="33">
        <v>5</v>
      </c>
      <c r="I19" s="34"/>
      <c r="J19" s="23" t="e">
        <f>I19+'15.04'!J19</f>
        <v>#REF!</v>
      </c>
      <c r="K19" s="33">
        <v>4</v>
      </c>
      <c r="L19" s="22"/>
      <c r="M19" s="23" t="e">
        <f>L19+'15.04'!M19</f>
        <v>#REF!</v>
      </c>
      <c r="N19" s="33">
        <v>313</v>
      </c>
      <c r="O19" s="22"/>
      <c r="P19" s="23" t="e">
        <f>O19+'15.04'!P19</f>
        <v>#REF!</v>
      </c>
      <c r="Q19" s="33">
        <v>203</v>
      </c>
      <c r="R19" s="22"/>
      <c r="S19" s="23" t="e">
        <f>R19+'15.04'!S19</f>
        <v>#REF!</v>
      </c>
      <c r="T19" s="33">
        <v>241</v>
      </c>
      <c r="U19" s="22"/>
      <c r="V19" s="23" t="e">
        <f>U19+'15.04'!V19</f>
        <v>#REF!</v>
      </c>
      <c r="W19" s="33">
        <v>14</v>
      </c>
      <c r="X19" s="22"/>
      <c r="Y19" s="23" t="e">
        <f>X19+'15.04'!Y19</f>
        <v>#REF!</v>
      </c>
      <c r="Z19" s="33">
        <v>7</v>
      </c>
      <c r="AA19" s="22"/>
      <c r="AB19" s="23" t="e">
        <f>AA19+'15.04'!AB19</f>
        <v>#REF!</v>
      </c>
      <c r="AC19" s="33">
        <v>32</v>
      </c>
      <c r="AD19" s="22"/>
      <c r="AE19" s="23" t="e">
        <f>AD19+'15.04'!AE19</f>
        <v>#REF!</v>
      </c>
      <c r="AF19" s="19">
        <f t="shared" si="1"/>
        <v>0</v>
      </c>
      <c r="AG19" s="20" t="e">
        <f t="shared" si="1"/>
        <v>#REF!</v>
      </c>
      <c r="AH19" s="24"/>
      <c r="AI19" s="23" t="e">
        <f>AH19+'15.04'!AI19</f>
        <v>#REF!</v>
      </c>
      <c r="AJ19" s="24"/>
      <c r="AK19" s="23" t="e">
        <f>AJ19+'15.04'!AK19</f>
        <v>#REF!</v>
      </c>
      <c r="AL19" s="22"/>
      <c r="AM19" s="23" t="e">
        <f>AL19+'15.04'!AM19</f>
        <v>#REF!</v>
      </c>
      <c r="AN19" s="22"/>
      <c r="AO19" s="23" t="e">
        <f>AN19+'15.04'!AO19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/>
      <c r="AT19" s="23" t="e">
        <f>AS19+'15.04'!AT19</f>
        <v>#REF!</v>
      </c>
      <c r="AU19" s="34"/>
      <c r="AV19" s="23" t="e">
        <f>AU19+'15.04'!AV19</f>
        <v>#REF!</v>
      </c>
      <c r="AW19" s="34"/>
      <c r="AX19" s="23" t="e">
        <f>AW19+'15.04'!AX19</f>
        <v>#REF!</v>
      </c>
      <c r="AY19" s="34"/>
      <c r="AZ19" s="23" t="e">
        <f>AY19+'15.04'!AZ19</f>
        <v>#REF!</v>
      </c>
      <c r="BA19" s="34"/>
      <c r="BB19" s="23" t="e">
        <f>BA19+'15.04'!BB19</f>
        <v>#REF!</v>
      </c>
      <c r="BC19" s="19">
        <f t="shared" si="3"/>
        <v>0</v>
      </c>
      <c r="BD19" s="20" t="e">
        <f t="shared" si="3"/>
        <v>#REF!</v>
      </c>
      <c r="BE19" s="22"/>
      <c r="BF19" s="23" t="e">
        <f>BE19+'15.04'!BF19</f>
        <v>#REF!</v>
      </c>
      <c r="BG19" s="34"/>
      <c r="BH19" s="23" t="e">
        <f>BG19+'15.04'!BH19</f>
        <v>#REF!</v>
      </c>
      <c r="BI19" s="22"/>
      <c r="BJ19" s="23" t="e">
        <f>BI19+'15.04'!BJ19</f>
        <v>#REF!</v>
      </c>
      <c r="BK19" s="22"/>
      <c r="BL19" s="23" t="e">
        <f>BK19+'15.04'!BL19</f>
        <v>#REF!</v>
      </c>
      <c r="BM19" s="22"/>
      <c r="BN19" s="23" t="e">
        <f>BM19+'15.04'!BN19</f>
        <v>#REF!</v>
      </c>
      <c r="BO19" s="36">
        <v>2898</v>
      </c>
      <c r="BP19" s="37"/>
      <c r="BQ19" s="23" t="e">
        <f>BP19+'15.04'!BQ19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428</v>
      </c>
      <c r="D20" s="31" t="e">
        <f t="shared" si="0"/>
        <v>#REF!</v>
      </c>
      <c r="E20" s="32">
        <v>723</v>
      </c>
      <c r="F20" s="22">
        <v>264</v>
      </c>
      <c r="G20" s="23" t="e">
        <f>F20+'15.04'!G20</f>
        <v>#REF!</v>
      </c>
      <c r="H20" s="33">
        <v>5</v>
      </c>
      <c r="I20" s="34">
        <v>1</v>
      </c>
      <c r="J20" s="23" t="e">
        <f>I20+'15.04'!J20</f>
        <v>#REF!</v>
      </c>
      <c r="K20" s="33">
        <v>3</v>
      </c>
      <c r="L20" s="22">
        <v>0</v>
      </c>
      <c r="M20" s="23" t="e">
        <f>L20+'15.04'!M20</f>
        <v>#REF!</v>
      </c>
      <c r="N20" s="33">
        <v>975</v>
      </c>
      <c r="O20" s="22">
        <v>92</v>
      </c>
      <c r="P20" s="23" t="e">
        <f>O20+'15.04'!P20</f>
        <v>#REF!</v>
      </c>
      <c r="Q20" s="61">
        <v>1862</v>
      </c>
      <c r="R20" s="22">
        <v>1</v>
      </c>
      <c r="S20" s="23" t="e">
        <f>R20+'15.04'!S20</f>
        <v>#REF!</v>
      </c>
      <c r="T20" s="33">
        <v>35</v>
      </c>
      <c r="U20" s="22">
        <v>1</v>
      </c>
      <c r="V20" s="23" t="e">
        <f>U20+'15.04'!V20</f>
        <v>#REF!</v>
      </c>
      <c r="W20" s="33">
        <v>64</v>
      </c>
      <c r="X20" s="22">
        <v>5</v>
      </c>
      <c r="Y20" s="23" t="e">
        <f>X20+'15.04'!Y20</f>
        <v>#REF!</v>
      </c>
      <c r="Z20" s="33">
        <v>15</v>
      </c>
      <c r="AA20" s="22">
        <v>1</v>
      </c>
      <c r="AB20" s="23" t="e">
        <f>AA20+'15.04'!AB20</f>
        <v>#REF!</v>
      </c>
      <c r="AC20" s="33">
        <v>1546</v>
      </c>
      <c r="AD20" s="22">
        <v>63</v>
      </c>
      <c r="AE20" s="23" t="e">
        <f>AD20+'15.04'!AE20</f>
        <v>#REF!</v>
      </c>
      <c r="AF20" s="19">
        <f t="shared" si="1"/>
        <v>23622</v>
      </c>
      <c r="AG20" s="20" t="e">
        <f t="shared" si="1"/>
        <v>#REF!</v>
      </c>
      <c r="AH20" s="24">
        <v>12660</v>
      </c>
      <c r="AI20" s="23" t="e">
        <f>AH20+'15.04'!AI20</f>
        <v>#REF!</v>
      </c>
      <c r="AJ20" s="24">
        <v>10562</v>
      </c>
      <c r="AK20" s="23" t="e">
        <f>AJ20+'15.04'!AK20</f>
        <v>#REF!</v>
      </c>
      <c r="AL20" s="22">
        <v>300</v>
      </c>
      <c r="AM20" s="23" t="e">
        <f>AL20+'15.04'!AM20</f>
        <v>#REF!</v>
      </c>
      <c r="AN20" s="22">
        <v>100</v>
      </c>
      <c r="AO20" s="23" t="e">
        <f>AN20+'15.04'!AO20</f>
        <v>#REF!</v>
      </c>
      <c r="AP20" s="28" t="s">
        <v>55</v>
      </c>
      <c r="AQ20" s="19">
        <f t="shared" si="4"/>
        <v>241</v>
      </c>
      <c r="AR20" s="20" t="e">
        <f t="shared" si="2"/>
        <v>#REF!</v>
      </c>
      <c r="AS20" s="34">
        <v>1</v>
      </c>
      <c r="AT20" s="23" t="e">
        <f>AS20+'15.04'!AT20</f>
        <v>#REF!</v>
      </c>
      <c r="AU20" s="34">
        <v>0</v>
      </c>
      <c r="AV20" s="23" t="e">
        <f>AU20+'15.04'!AV20</f>
        <v>#REF!</v>
      </c>
      <c r="AW20" s="34">
        <v>0</v>
      </c>
      <c r="AX20" s="23" t="e">
        <f>AW20+'15.04'!AX20</f>
        <v>#REF!</v>
      </c>
      <c r="AY20" s="34">
        <v>0</v>
      </c>
      <c r="AZ20" s="23" t="e">
        <f>AY20+'15.04'!AZ20</f>
        <v>#REF!</v>
      </c>
      <c r="BA20" s="34">
        <v>240</v>
      </c>
      <c r="BB20" s="23" t="e">
        <f>BA20+'15.04'!BB20</f>
        <v>#REF!</v>
      </c>
      <c r="BC20" s="19">
        <f t="shared" si="3"/>
        <v>4782</v>
      </c>
      <c r="BD20" s="20" t="e">
        <f t="shared" si="3"/>
        <v>#REF!</v>
      </c>
      <c r="BE20" s="22">
        <v>552</v>
      </c>
      <c r="BF20" s="23" t="e">
        <f>BE20+'15.04'!BF20</f>
        <v>#REF!</v>
      </c>
      <c r="BG20" s="34">
        <v>0</v>
      </c>
      <c r="BH20" s="23" t="e">
        <f>BG20+'15.04'!BH20</f>
        <v>#REF!</v>
      </c>
      <c r="BI20" s="22">
        <v>2060</v>
      </c>
      <c r="BJ20" s="23" t="e">
        <f>BI20+'15.04'!BJ20</f>
        <v>#REF!</v>
      </c>
      <c r="BK20" s="22">
        <v>2170</v>
      </c>
      <c r="BL20" s="23" t="e">
        <f>BK20+'15.04'!BL20</f>
        <v>#REF!</v>
      </c>
      <c r="BM20" s="22">
        <v>0</v>
      </c>
      <c r="BN20" s="23" t="e">
        <f>BM20+'15.04'!BN20</f>
        <v>#REF!</v>
      </c>
      <c r="BO20" s="36">
        <v>5854</v>
      </c>
      <c r="BP20" s="37">
        <v>0</v>
      </c>
      <c r="BQ20" s="23" t="e">
        <f>BP20+'15.04'!BQ20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270</v>
      </c>
      <c r="D21" s="31" t="e">
        <f t="shared" si="0"/>
        <v>#REF!</v>
      </c>
      <c r="E21" s="32">
        <v>1017</v>
      </c>
      <c r="F21" s="22">
        <v>200</v>
      </c>
      <c r="G21" s="23" t="e">
        <f>F21+'15.04'!G21</f>
        <v>#REF!</v>
      </c>
      <c r="H21" s="33">
        <v>8</v>
      </c>
      <c r="I21" s="34">
        <v>3</v>
      </c>
      <c r="J21" s="23" t="e">
        <f>I21+'15.04'!J21</f>
        <v>#REF!</v>
      </c>
      <c r="K21" s="33">
        <v>4</v>
      </c>
      <c r="L21" s="22">
        <v>0</v>
      </c>
      <c r="M21" s="23" t="e">
        <f>L21+'15.04'!M21</f>
        <v>#REF!</v>
      </c>
      <c r="N21" s="33">
        <v>963</v>
      </c>
      <c r="O21" s="22">
        <v>0</v>
      </c>
      <c r="P21" s="23" t="e">
        <f>O21+'15.04'!P21</f>
        <v>#REF!</v>
      </c>
      <c r="Q21" s="33">
        <v>912</v>
      </c>
      <c r="R21" s="22">
        <v>0</v>
      </c>
      <c r="S21" s="23" t="e">
        <f>R21+'15.04'!S21</f>
        <v>#REF!</v>
      </c>
      <c r="T21" s="33">
        <v>199</v>
      </c>
      <c r="U21" s="22">
        <v>3</v>
      </c>
      <c r="V21" s="23" t="e">
        <f>U21+'15.04'!V21</f>
        <v>#REF!</v>
      </c>
      <c r="W21" s="33">
        <v>101</v>
      </c>
      <c r="X21" s="22">
        <v>51</v>
      </c>
      <c r="Y21" s="23" t="e">
        <f>X21+'15.04'!Y21</f>
        <v>#REF!</v>
      </c>
      <c r="Z21" s="33">
        <v>42</v>
      </c>
      <c r="AA21" s="22">
        <v>0</v>
      </c>
      <c r="AB21" s="23" t="e">
        <f>AA21+'15.04'!AB21</f>
        <v>#REF!</v>
      </c>
      <c r="AC21" s="33">
        <v>20</v>
      </c>
      <c r="AD21" s="22">
        <v>13</v>
      </c>
      <c r="AE21" s="23" t="e">
        <f>AD21+'15.04'!AE21</f>
        <v>#REF!</v>
      </c>
      <c r="AF21" s="19">
        <f t="shared" si="1"/>
        <v>1680000</v>
      </c>
      <c r="AG21" s="20" t="e">
        <f t="shared" si="1"/>
        <v>#REF!</v>
      </c>
      <c r="AH21" s="24">
        <v>2500</v>
      </c>
      <c r="AI21" s="23" t="e">
        <f>AH21+'15.04'!AI21</f>
        <v>#REF!</v>
      </c>
      <c r="AJ21" s="24">
        <v>177500</v>
      </c>
      <c r="AK21" s="23" t="e">
        <f>AJ21+'15.04'!AK21</f>
        <v>#REF!</v>
      </c>
      <c r="AL21" s="22">
        <v>7000</v>
      </c>
      <c r="AM21" s="23" t="e">
        <f>AL21+'15.04'!AM21</f>
        <v>#REF!</v>
      </c>
      <c r="AN21" s="22">
        <v>1493000</v>
      </c>
      <c r="AO21" s="23" t="e">
        <f>AN21+'15.04'!AO21</f>
        <v>#REF!</v>
      </c>
      <c r="AP21" s="28" t="s">
        <v>58</v>
      </c>
      <c r="AQ21" s="19">
        <f t="shared" si="4"/>
        <v>9</v>
      </c>
      <c r="AR21" s="20" t="e">
        <f t="shared" si="2"/>
        <v>#REF!</v>
      </c>
      <c r="AS21" s="34">
        <v>0</v>
      </c>
      <c r="AT21" s="23" t="e">
        <f>AS21+'15.04'!AT21</f>
        <v>#REF!</v>
      </c>
      <c r="AU21" s="34">
        <v>4</v>
      </c>
      <c r="AV21" s="23" t="e">
        <f>AU21+'15.04'!AV21</f>
        <v>#REF!</v>
      </c>
      <c r="AW21" s="34">
        <v>0</v>
      </c>
      <c r="AX21" s="23" t="e">
        <f>AW21+'15.04'!AX21</f>
        <v>#REF!</v>
      </c>
      <c r="AY21" s="34">
        <v>0</v>
      </c>
      <c r="AZ21" s="23" t="e">
        <f>AY21+'15.04'!AZ21</f>
        <v>#REF!</v>
      </c>
      <c r="BA21" s="34">
        <v>5</v>
      </c>
      <c r="BB21" s="23" t="e">
        <f>BA21+'15.04'!BB21</f>
        <v>#REF!</v>
      </c>
      <c r="BC21" s="19">
        <f t="shared" si="3"/>
        <v>7050</v>
      </c>
      <c r="BD21" s="20" t="e">
        <f t="shared" si="3"/>
        <v>#REF!</v>
      </c>
      <c r="BE21" s="22">
        <v>50</v>
      </c>
      <c r="BF21" s="23" t="e">
        <f>BE21+'15.04'!BF21</f>
        <v>#REF!</v>
      </c>
      <c r="BG21" s="34">
        <v>0</v>
      </c>
      <c r="BH21" s="23" t="e">
        <f>BG21+'15.04'!BH21</f>
        <v>#REF!</v>
      </c>
      <c r="BI21" s="22">
        <v>7000</v>
      </c>
      <c r="BJ21" s="23" t="e">
        <f>BI21+'15.04'!BJ21</f>
        <v>#REF!</v>
      </c>
      <c r="BK21" s="22">
        <v>0</v>
      </c>
      <c r="BL21" s="23" t="e">
        <f>BK21+'15.04'!BL21</f>
        <v>#REF!</v>
      </c>
      <c r="BM21" s="22">
        <v>0</v>
      </c>
      <c r="BN21" s="23" t="e">
        <f>BM21+'15.04'!BN21</f>
        <v>#REF!</v>
      </c>
      <c r="BO21" s="36">
        <v>68</v>
      </c>
      <c r="BP21" s="37">
        <v>1</v>
      </c>
      <c r="BQ21" s="23" t="e">
        <f>BP21+'15.04'!BQ21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2346</v>
      </c>
      <c r="D22" s="31" t="e">
        <f t="shared" si="0"/>
        <v>#REF!</v>
      </c>
      <c r="E22" s="32">
        <v>509</v>
      </c>
      <c r="F22" s="22">
        <v>355</v>
      </c>
      <c r="G22" s="23" t="e">
        <f>F22+'15.04'!G22</f>
        <v>#REF!</v>
      </c>
      <c r="H22" s="33">
        <v>8</v>
      </c>
      <c r="I22" s="34">
        <v>5</v>
      </c>
      <c r="J22" s="23" t="e">
        <f>I22+'15.04'!J22</f>
        <v>#REF!</v>
      </c>
      <c r="K22" s="33">
        <v>21</v>
      </c>
      <c r="L22" s="22">
        <v>0</v>
      </c>
      <c r="M22" s="23" t="e">
        <f>L22+'15.04'!M22</f>
        <v>#REF!</v>
      </c>
      <c r="N22" s="33">
        <v>560</v>
      </c>
      <c r="O22" s="22">
        <v>25</v>
      </c>
      <c r="P22" s="23" t="e">
        <f>O22+'15.04'!P22</f>
        <v>#REF!</v>
      </c>
      <c r="Q22" s="33">
        <v>375</v>
      </c>
      <c r="R22" s="22">
        <v>35</v>
      </c>
      <c r="S22" s="23" t="e">
        <f>R22+'15.04'!S22</f>
        <v>#REF!</v>
      </c>
      <c r="T22" s="33">
        <v>165</v>
      </c>
      <c r="U22" s="22">
        <v>36</v>
      </c>
      <c r="V22" s="23" t="e">
        <f>U22+'15.04'!V22</f>
        <v>#REF!</v>
      </c>
      <c r="W22" s="33">
        <v>28</v>
      </c>
      <c r="X22" s="22">
        <v>74</v>
      </c>
      <c r="Y22" s="23" t="e">
        <f>X22+'15.04'!Y22</f>
        <v>#REF!</v>
      </c>
      <c r="Z22" s="33">
        <v>9</v>
      </c>
      <c r="AA22" s="22">
        <v>0</v>
      </c>
      <c r="AB22" s="23" t="e">
        <f>AA22+'15.04'!AB22</f>
        <v>#REF!</v>
      </c>
      <c r="AC22" s="33">
        <v>112</v>
      </c>
      <c r="AD22" s="22">
        <v>1816</v>
      </c>
      <c r="AE22" s="23" t="e">
        <f>AD22+'15.04'!AE22</f>
        <v>#REF!</v>
      </c>
      <c r="AF22" s="19">
        <f t="shared" si="1"/>
        <v>663865</v>
      </c>
      <c r="AG22" s="20" t="e">
        <f t="shared" si="1"/>
        <v>#REF!</v>
      </c>
      <c r="AH22" s="24">
        <v>1844</v>
      </c>
      <c r="AI22" s="23" t="e">
        <f>AH22+'15.04'!AI22</f>
        <v>#REF!</v>
      </c>
      <c r="AJ22" s="24">
        <v>7909</v>
      </c>
      <c r="AK22" s="23" t="e">
        <f>AJ22+'15.04'!AK22</f>
        <v>#REF!</v>
      </c>
      <c r="AL22" s="22">
        <v>32155</v>
      </c>
      <c r="AM22" s="23" t="e">
        <f>AL22+'15.04'!AM22</f>
        <v>#REF!</v>
      </c>
      <c r="AN22" s="22">
        <v>621957</v>
      </c>
      <c r="AO22" s="23" t="e">
        <f>AN22+'15.04'!AO22</f>
        <v>#REF!</v>
      </c>
      <c r="AP22" s="28" t="s">
        <v>59</v>
      </c>
      <c r="AQ22" s="19">
        <f t="shared" si="4"/>
        <v>2022</v>
      </c>
      <c r="AR22" s="20" t="e">
        <f t="shared" si="2"/>
        <v>#REF!</v>
      </c>
      <c r="AS22" s="34">
        <v>0</v>
      </c>
      <c r="AT22" s="23" t="e">
        <f>AS22+'15.04'!AT22</f>
        <v>#REF!</v>
      </c>
      <c r="AU22" s="34">
        <v>0</v>
      </c>
      <c r="AV22" s="23" t="e">
        <f>AU22+'15.04'!AV22</f>
        <v>#REF!</v>
      </c>
      <c r="AW22" s="34">
        <v>0</v>
      </c>
      <c r="AX22" s="23" t="e">
        <f>AW22+'15.04'!AX22</f>
        <v>#REF!</v>
      </c>
      <c r="AY22" s="34">
        <v>0</v>
      </c>
      <c r="AZ22" s="23" t="e">
        <f>AY22+'15.04'!AZ22</f>
        <v>#REF!</v>
      </c>
      <c r="BA22" s="34">
        <v>2022</v>
      </c>
      <c r="BB22" s="23" t="e">
        <f>BA22+'15.04'!BB22</f>
        <v>#REF!</v>
      </c>
      <c r="BC22" s="19">
        <f t="shared" si="3"/>
        <v>6948</v>
      </c>
      <c r="BD22" s="20" t="e">
        <f t="shared" si="3"/>
        <v>#REF!</v>
      </c>
      <c r="BE22" s="22">
        <v>3</v>
      </c>
      <c r="BF22" s="23" t="e">
        <f>BE22+'15.04'!BF22</f>
        <v>#REF!</v>
      </c>
      <c r="BG22" s="34">
        <v>2</v>
      </c>
      <c r="BH22" s="23" t="e">
        <f>BG22+'15.04'!BH22</f>
        <v>#REF!</v>
      </c>
      <c r="BI22" s="22">
        <v>6941</v>
      </c>
      <c r="BJ22" s="23" t="e">
        <f>BI22+'15.04'!BJ22</f>
        <v>#REF!</v>
      </c>
      <c r="BK22" s="22">
        <v>2</v>
      </c>
      <c r="BL22" s="23" t="e">
        <f>BK22+'15.04'!BL22</f>
        <v>#REF!</v>
      </c>
      <c r="BM22" s="22">
        <v>0</v>
      </c>
      <c r="BN22" s="23" t="e">
        <f>BM22+'15.04'!BN22</f>
        <v>#REF!</v>
      </c>
      <c r="BO22" s="36">
        <v>26</v>
      </c>
      <c r="BP22" s="37">
        <v>1</v>
      </c>
      <c r="BQ22" s="23" t="e">
        <f>BP22+'15.04'!BQ22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4600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1642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22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4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178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44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45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640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2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2023</v>
      </c>
      <c r="AE23" s="68" t="e">
        <f t="shared" si="5"/>
        <v>#REF!</v>
      </c>
      <c r="AF23" s="64">
        <f t="shared" si="5"/>
        <v>4161458</v>
      </c>
      <c r="AG23" s="64" t="e">
        <f t="shared" si="5"/>
        <v>#REF!</v>
      </c>
      <c r="AH23" s="67">
        <f t="shared" si="5"/>
        <v>30722</v>
      </c>
      <c r="AI23" s="68" t="e">
        <f t="shared" si="5"/>
        <v>#REF!</v>
      </c>
      <c r="AJ23" s="67">
        <f t="shared" si="5"/>
        <v>226268</v>
      </c>
      <c r="AK23" s="68" t="e">
        <f t="shared" si="5"/>
        <v>#REF!</v>
      </c>
      <c r="AL23" s="67">
        <f t="shared" si="5"/>
        <v>684476</v>
      </c>
      <c r="AM23" s="68" t="e">
        <f t="shared" si="5"/>
        <v>#REF!</v>
      </c>
      <c r="AN23" s="67">
        <f t="shared" si="5"/>
        <v>3219992</v>
      </c>
      <c r="AO23" s="68" t="e">
        <f t="shared" si="5"/>
        <v>#REF!</v>
      </c>
      <c r="AP23" s="62" t="s">
        <v>12</v>
      </c>
      <c r="AQ23" s="64">
        <f t="shared" ref="AQ23:BP23" si="6">SUM(AQ8:AQ22)</f>
        <v>2412</v>
      </c>
      <c r="AR23" s="64" t="e">
        <f t="shared" si="6"/>
        <v>#REF!</v>
      </c>
      <c r="AS23" s="67">
        <f t="shared" si="6"/>
        <v>2</v>
      </c>
      <c r="AT23" s="68" t="e">
        <f t="shared" si="6"/>
        <v>#REF!</v>
      </c>
      <c r="AU23" s="67">
        <f t="shared" si="6"/>
        <v>5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6</v>
      </c>
      <c r="AZ23" s="68" t="e">
        <f t="shared" si="6"/>
        <v>#REF!</v>
      </c>
      <c r="BA23" s="67">
        <f t="shared" si="6"/>
        <v>2399</v>
      </c>
      <c r="BB23" s="68" t="e">
        <f t="shared" si="6"/>
        <v>#REF!</v>
      </c>
      <c r="BC23" s="64">
        <f t="shared" si="6"/>
        <v>50063</v>
      </c>
      <c r="BD23" s="64" t="e">
        <f t="shared" si="6"/>
        <v>#REF!</v>
      </c>
      <c r="BE23" s="67">
        <f t="shared" si="6"/>
        <v>1385</v>
      </c>
      <c r="BF23" s="68" t="e">
        <f t="shared" si="6"/>
        <v>#REF!</v>
      </c>
      <c r="BG23" s="67">
        <f t="shared" si="6"/>
        <v>21</v>
      </c>
      <c r="BH23" s="68" t="e">
        <f t="shared" si="6"/>
        <v>#REF!</v>
      </c>
      <c r="BI23" s="67">
        <f t="shared" si="6"/>
        <v>31288</v>
      </c>
      <c r="BJ23" s="68" t="e">
        <f t="shared" si="6"/>
        <v>#REF!</v>
      </c>
      <c r="BK23" s="67">
        <f t="shared" si="6"/>
        <v>17369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9</v>
      </c>
      <c r="BQ23" s="23">
        <f>BP23+'15.04'!BP23</f>
        <v>38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BU23"/>
  <sheetViews>
    <sheetView zoomScale="130" zoomScaleNormal="130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7.855468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F9+'16.04'!G9</f>
        <v>#REF!</v>
      </c>
      <c r="H9" s="33">
        <v>12</v>
      </c>
      <c r="I9" s="34">
        <v>0</v>
      </c>
      <c r="J9" s="23" t="e">
        <f>I9+'16.04'!J9</f>
        <v>#REF!</v>
      </c>
      <c r="K9" s="33">
        <v>2</v>
      </c>
      <c r="L9" s="22">
        <v>0</v>
      </c>
      <c r="M9" s="23" t="e">
        <f>L9+'16.04'!M9</f>
        <v>#REF!</v>
      </c>
      <c r="N9" s="33">
        <v>735</v>
      </c>
      <c r="O9" s="22">
        <v>0</v>
      </c>
      <c r="P9" s="23" t="e">
        <f>O9+'16.04'!P9</f>
        <v>#REF!</v>
      </c>
      <c r="Q9" s="33">
        <v>502</v>
      </c>
      <c r="R9" s="22">
        <v>0</v>
      </c>
      <c r="S9" s="23" t="e">
        <f>R9+'16.04'!S9</f>
        <v>#REF!</v>
      </c>
      <c r="T9" s="33">
        <v>197</v>
      </c>
      <c r="U9" s="22">
        <v>0</v>
      </c>
      <c r="V9" s="23" t="e">
        <f>U9+'16.04'!V9</f>
        <v>#REF!</v>
      </c>
      <c r="W9" s="33">
        <v>47</v>
      </c>
      <c r="X9" s="22">
        <v>1</v>
      </c>
      <c r="Y9" s="23" t="e">
        <f>X9+'16.04'!Y9</f>
        <v>#REF!</v>
      </c>
      <c r="Z9" s="33">
        <v>34</v>
      </c>
      <c r="AA9" s="22">
        <v>0</v>
      </c>
      <c r="AB9" s="23" t="e">
        <f>AA9+'16.04'!AB9</f>
        <v>#REF!</v>
      </c>
      <c r="AC9" s="33">
        <v>1860</v>
      </c>
      <c r="AD9" s="22">
        <v>0</v>
      </c>
      <c r="AE9" s="23" t="e">
        <f>AD9+'16.04'!AE9</f>
        <v>#REF!</v>
      </c>
      <c r="AF9" s="19">
        <f t="shared" ref="AF9:AG22" si="1">AH9+AJ9+AL9+AN9</f>
        <v>8110</v>
      </c>
      <c r="AG9" s="20" t="e">
        <f t="shared" si="1"/>
        <v>#REF!</v>
      </c>
      <c r="AH9" s="24">
        <v>97</v>
      </c>
      <c r="AI9" s="23" t="e">
        <f>AH9+'16.04'!AI9</f>
        <v>#REF!</v>
      </c>
      <c r="AJ9" s="24">
        <v>413</v>
      </c>
      <c r="AK9" s="23" t="e">
        <f>AJ9+'16.04'!AK9</f>
        <v>#REF!</v>
      </c>
      <c r="AL9" s="22">
        <v>2200</v>
      </c>
      <c r="AM9" s="23" t="e">
        <f>AL9+'16.04'!AM9</f>
        <v>#REF!</v>
      </c>
      <c r="AN9" s="22">
        <v>5400</v>
      </c>
      <c r="AO9" s="23" t="e">
        <f>AN9+'16.04'!AO9</f>
        <v>#REF!</v>
      </c>
      <c r="AP9" s="28" t="s">
        <v>43</v>
      </c>
      <c r="AQ9" s="19">
        <f t="shared" ref="AQ9:AR22" si="2">AS9+AU9+AW9+AY9+BA9</f>
        <v>60</v>
      </c>
      <c r="AR9" s="20" t="e">
        <f t="shared" si="2"/>
        <v>#REF!</v>
      </c>
      <c r="AS9" s="34">
        <v>1</v>
      </c>
      <c r="AT9" s="23" t="e">
        <f>AS9+'16.04'!AT9</f>
        <v>#REF!</v>
      </c>
      <c r="AU9" s="34">
        <v>1</v>
      </c>
      <c r="AV9" s="23" t="e">
        <f>AU9+'16.04'!AV9</f>
        <v>#REF!</v>
      </c>
      <c r="AW9" s="34">
        <v>0</v>
      </c>
      <c r="AX9" s="23" t="e">
        <f>AW9+'16.04'!AX9</f>
        <v>#REF!</v>
      </c>
      <c r="AY9" s="34">
        <v>0</v>
      </c>
      <c r="AZ9" s="23" t="e">
        <f>AY9+'16.04'!AZ9</f>
        <v>#REF!</v>
      </c>
      <c r="BA9" s="34">
        <v>58</v>
      </c>
      <c r="BB9" s="23" t="e">
        <f>BA9+'16.04'!BB9</f>
        <v>#REF!</v>
      </c>
      <c r="BC9" s="19">
        <f t="shared" ref="BC9:BD22" si="3">BE9+BG9+BI9+BK9+BM9</f>
        <v>511</v>
      </c>
      <c r="BD9" s="20" t="e">
        <f t="shared" si="3"/>
        <v>#REF!</v>
      </c>
      <c r="BE9" s="22">
        <v>1</v>
      </c>
      <c r="BF9" s="23" t="e">
        <f>BE9+'16.04'!BF9</f>
        <v>#REF!</v>
      </c>
      <c r="BG9" s="34">
        <v>0</v>
      </c>
      <c r="BH9" s="23" t="e">
        <f>BG9+'16.04'!BH9</f>
        <v>#REF!</v>
      </c>
      <c r="BI9" s="22">
        <v>510</v>
      </c>
      <c r="BJ9" s="23" t="e">
        <f>BI9+'16.04'!BJ9</f>
        <v>#REF!</v>
      </c>
      <c r="BK9" s="22">
        <v>0</v>
      </c>
      <c r="BL9" s="23" t="e">
        <f>BK9+'16.04'!BL9</f>
        <v>#REF!</v>
      </c>
      <c r="BM9" s="22">
        <v>0</v>
      </c>
      <c r="BN9" s="23" t="e">
        <f>BM9+'16.04'!BN9</f>
        <v>#REF!</v>
      </c>
      <c r="BO9" s="36">
        <v>14</v>
      </c>
      <c r="BP9" s="37">
        <v>0</v>
      </c>
      <c r="BQ9" s="23" t="e">
        <f>BP9+'16.04'!BQ9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178</v>
      </c>
      <c r="D10" s="31" t="e">
        <f t="shared" si="0"/>
        <v>#REF!</v>
      </c>
      <c r="E10" s="32">
        <v>585</v>
      </c>
      <c r="F10" s="22">
        <v>20</v>
      </c>
      <c r="G10" s="23" t="e">
        <f>F10+'16.04'!G10</f>
        <v>#REF!</v>
      </c>
      <c r="H10" s="33">
        <v>93</v>
      </c>
      <c r="I10" s="34">
        <v>3</v>
      </c>
      <c r="J10" s="23" t="e">
        <f>I10+'16.04'!J10</f>
        <v>#REF!</v>
      </c>
      <c r="K10" s="33">
        <v>34</v>
      </c>
      <c r="L10" s="22">
        <v>1</v>
      </c>
      <c r="M10" s="23" t="e">
        <f>L10+'16.04'!M10</f>
        <v>#REF!</v>
      </c>
      <c r="N10" s="33">
        <v>352</v>
      </c>
      <c r="O10" s="22">
        <v>19</v>
      </c>
      <c r="P10" s="23" t="e">
        <f>O10+'16.04'!P10</f>
        <v>#REF!</v>
      </c>
      <c r="Q10" s="33">
        <v>549</v>
      </c>
      <c r="R10" s="22">
        <v>10</v>
      </c>
      <c r="S10" s="23" t="e">
        <f>R10+'16.04'!S10</f>
        <v>#REF!</v>
      </c>
      <c r="T10" s="33">
        <v>198</v>
      </c>
      <c r="U10" s="22">
        <v>2</v>
      </c>
      <c r="V10" s="23" t="e">
        <f>U10+'16.04'!V10</f>
        <v>#REF!</v>
      </c>
      <c r="W10" s="38">
        <v>55</v>
      </c>
      <c r="X10" s="22">
        <v>0</v>
      </c>
      <c r="Y10" s="23" t="e">
        <f>X10+'16.04'!Y10</f>
        <v>#REF!</v>
      </c>
      <c r="Z10" s="38">
        <v>71</v>
      </c>
      <c r="AA10" s="22">
        <v>2</v>
      </c>
      <c r="AB10" s="23" t="e">
        <f>AA10+'16.04'!AB10</f>
        <v>#REF!</v>
      </c>
      <c r="AC10" s="38">
        <v>1690</v>
      </c>
      <c r="AD10" s="22">
        <v>121</v>
      </c>
      <c r="AE10" s="23" t="e">
        <f>AD10+'16.04'!AE10</f>
        <v>#REF!</v>
      </c>
      <c r="AF10" s="19">
        <f t="shared" si="1"/>
        <v>118472</v>
      </c>
      <c r="AG10" s="20" t="e">
        <f t="shared" si="1"/>
        <v>#REF!</v>
      </c>
      <c r="AH10" s="24">
        <v>1159</v>
      </c>
      <c r="AI10" s="23" t="e">
        <f>AH10+'16.04'!AI10</f>
        <v>#REF!</v>
      </c>
      <c r="AJ10" s="24">
        <v>5169</v>
      </c>
      <c r="AK10" s="23" t="e">
        <f>AJ10+'16.04'!AK10</f>
        <v>#REF!</v>
      </c>
      <c r="AL10" s="22">
        <v>14942</v>
      </c>
      <c r="AM10" s="23" t="e">
        <f>AL10+'16.04'!AM10</f>
        <v>#REF!</v>
      </c>
      <c r="AN10" s="22">
        <v>97202</v>
      </c>
      <c r="AO10" s="23" t="e">
        <f>AN10+'16.04'!AO10</f>
        <v>#REF!</v>
      </c>
      <c r="AP10" s="28" t="s">
        <v>44</v>
      </c>
      <c r="AQ10" s="19">
        <f t="shared" si="2"/>
        <v>7</v>
      </c>
      <c r="AR10" s="20" t="e">
        <f t="shared" si="2"/>
        <v>#REF!</v>
      </c>
      <c r="AS10" s="34">
        <v>0</v>
      </c>
      <c r="AT10" s="23" t="e">
        <f>AS10+'16.04'!AT10</f>
        <v>#REF!</v>
      </c>
      <c r="AU10" s="34">
        <v>0</v>
      </c>
      <c r="AV10" s="23" t="e">
        <f>AU10+'16.04'!AV10</f>
        <v>#REF!</v>
      </c>
      <c r="AW10" s="34">
        <v>0</v>
      </c>
      <c r="AX10" s="23" t="e">
        <f>AW10+'16.04'!AX10</f>
        <v>#REF!</v>
      </c>
      <c r="AY10" s="34">
        <v>0</v>
      </c>
      <c r="AZ10" s="23" t="e">
        <f>AY10+'16.04'!AZ10</f>
        <v>#REF!</v>
      </c>
      <c r="BA10" s="34">
        <v>7</v>
      </c>
      <c r="BB10" s="23" t="e">
        <f>BA10+'16.04'!BB10</f>
        <v>#REF!</v>
      </c>
      <c r="BC10" s="19">
        <f t="shared" si="3"/>
        <v>4572</v>
      </c>
      <c r="BD10" s="20" t="e">
        <f t="shared" si="3"/>
        <v>#REF!</v>
      </c>
      <c r="BE10" s="22">
        <v>616</v>
      </c>
      <c r="BF10" s="23" t="e">
        <f>BE10+'16.04'!BF10</f>
        <v>#REF!</v>
      </c>
      <c r="BG10" s="34">
        <v>1</v>
      </c>
      <c r="BH10" s="23" t="e">
        <f>BG10+'16.04'!BH10</f>
        <v>#REF!</v>
      </c>
      <c r="BI10" s="22">
        <v>2630</v>
      </c>
      <c r="BJ10" s="23" t="e">
        <f>BI10+'16.04'!BJ10</f>
        <v>#REF!</v>
      </c>
      <c r="BK10" s="22">
        <v>1325</v>
      </c>
      <c r="BL10" s="23" t="e">
        <f>BK10+'16.04'!BL10</f>
        <v>#REF!</v>
      </c>
      <c r="BM10" s="22">
        <v>0</v>
      </c>
      <c r="BN10" s="23" t="e">
        <f>BM10+'16.04'!BN10</f>
        <v>#REF!</v>
      </c>
      <c r="BO10" s="36">
        <v>32</v>
      </c>
      <c r="BP10" s="37">
        <v>0</v>
      </c>
      <c r="BQ10" s="23" t="e">
        <f>BP10+'16.04'!BQ10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64</v>
      </c>
      <c r="D11" s="31" t="e">
        <f t="shared" si="0"/>
        <v>#REF!</v>
      </c>
      <c r="E11" s="32">
        <v>883</v>
      </c>
      <c r="F11" s="22">
        <v>25</v>
      </c>
      <c r="G11" s="23" t="e">
        <f>F11+'16.04'!G11</f>
        <v>#REF!</v>
      </c>
      <c r="H11" s="33">
        <v>16</v>
      </c>
      <c r="I11" s="34">
        <v>0</v>
      </c>
      <c r="J11" s="23" t="e">
        <f>I11+'16.04'!J11</f>
        <v>#REF!</v>
      </c>
      <c r="K11" s="33">
        <v>3</v>
      </c>
      <c r="L11" s="22">
        <v>0</v>
      </c>
      <c r="M11" s="23" t="e">
        <f>L11+'16.04'!M11</f>
        <v>#REF!</v>
      </c>
      <c r="N11" s="33">
        <v>875</v>
      </c>
      <c r="O11" s="22">
        <v>0</v>
      </c>
      <c r="P11" s="23" t="e">
        <f>O11+'16.04'!P11</f>
        <v>#REF!</v>
      </c>
      <c r="Q11" s="33">
        <v>2424</v>
      </c>
      <c r="R11" s="22">
        <v>0</v>
      </c>
      <c r="S11" s="23" t="e">
        <f>R11+'16.04'!S11</f>
        <v>#REF!</v>
      </c>
      <c r="T11" s="33">
        <v>69</v>
      </c>
      <c r="U11" s="22">
        <v>0</v>
      </c>
      <c r="V11" s="23" t="e">
        <f>U11+'16.04'!V11</f>
        <v>#REF!</v>
      </c>
      <c r="W11" s="38">
        <v>133</v>
      </c>
      <c r="X11" s="22">
        <v>37</v>
      </c>
      <c r="Y11" s="23" t="e">
        <f>X11+'16.04'!Y11</f>
        <v>#REF!</v>
      </c>
      <c r="Z11" s="38">
        <v>1116</v>
      </c>
      <c r="AA11" s="22">
        <v>0</v>
      </c>
      <c r="AB11" s="23" t="e">
        <f>AA11+'16.04'!AB11</f>
        <v>#REF!</v>
      </c>
      <c r="AC11" s="38">
        <v>9862</v>
      </c>
      <c r="AD11" s="22">
        <v>2</v>
      </c>
      <c r="AE11" s="23" t="e">
        <f>AD11+'16.04'!AE11</f>
        <v>#REF!</v>
      </c>
      <c r="AF11" s="19">
        <f t="shared" si="1"/>
        <v>94100</v>
      </c>
      <c r="AG11" s="20" t="e">
        <f t="shared" si="1"/>
        <v>#REF!</v>
      </c>
      <c r="AH11" s="24">
        <v>4500</v>
      </c>
      <c r="AI11" s="23" t="e">
        <f>AH11+'16.04'!AI11</f>
        <v>#REF!</v>
      </c>
      <c r="AJ11" s="24">
        <v>7600</v>
      </c>
      <c r="AK11" s="23" t="e">
        <f>AJ11+'16.04'!AK11</f>
        <v>#REF!</v>
      </c>
      <c r="AL11" s="22">
        <v>27000</v>
      </c>
      <c r="AM11" s="23" t="e">
        <f>AL11+'16.04'!AM11</f>
        <v>#REF!</v>
      </c>
      <c r="AN11" s="22">
        <v>55000</v>
      </c>
      <c r="AO11" s="23" t="e">
        <f>AN11+'16.04'!AO11</f>
        <v>#REF!</v>
      </c>
      <c r="AP11" s="28" t="s">
        <v>45</v>
      </c>
      <c r="AQ11" s="19">
        <f t="shared" si="2"/>
        <v>7</v>
      </c>
      <c r="AR11" s="20" t="e">
        <f t="shared" si="2"/>
        <v>#REF!</v>
      </c>
      <c r="AS11" s="34">
        <v>0</v>
      </c>
      <c r="AT11" s="23" t="e">
        <f>AS11+'16.04'!AT11</f>
        <v>#REF!</v>
      </c>
      <c r="AU11" s="34">
        <v>0</v>
      </c>
      <c r="AV11" s="23" t="e">
        <f>AU11+'16.04'!AV11</f>
        <v>#REF!</v>
      </c>
      <c r="AW11" s="34">
        <v>0</v>
      </c>
      <c r="AX11" s="23" t="e">
        <f>AW11+'16.04'!AX11</f>
        <v>#REF!</v>
      </c>
      <c r="AY11" s="34">
        <v>0</v>
      </c>
      <c r="AZ11" s="23" t="e">
        <f>AY11+'16.04'!AZ11</f>
        <v>#REF!</v>
      </c>
      <c r="BA11" s="34">
        <v>7</v>
      </c>
      <c r="BB11" s="23" t="e">
        <f>BA11+'16.04'!BB11</f>
        <v>#REF!</v>
      </c>
      <c r="BC11" s="19">
        <f t="shared" si="3"/>
        <v>4653</v>
      </c>
      <c r="BD11" s="20" t="e">
        <f t="shared" si="3"/>
        <v>#REF!</v>
      </c>
      <c r="BE11" s="22">
        <v>7</v>
      </c>
      <c r="BF11" s="23" t="e">
        <f>BE11+'16.04'!BF11</f>
        <v>#REF!</v>
      </c>
      <c r="BG11" s="34">
        <v>2</v>
      </c>
      <c r="BH11" s="23" t="e">
        <f>BG11+'16.04'!BH11</f>
        <v>#REF!</v>
      </c>
      <c r="BI11" s="22">
        <v>4600</v>
      </c>
      <c r="BJ11" s="23" t="e">
        <f>BI11+'16.04'!BJ11</f>
        <v>#REF!</v>
      </c>
      <c r="BK11" s="22">
        <v>44</v>
      </c>
      <c r="BL11" s="23" t="e">
        <f>BK11+'16.04'!BL11</f>
        <v>#REF!</v>
      </c>
      <c r="BM11" s="22">
        <v>0</v>
      </c>
      <c r="BN11" s="23" t="e">
        <f>BM11+'16.04'!BN11</f>
        <v>#REF!</v>
      </c>
      <c r="BO11" s="36">
        <v>11506</v>
      </c>
      <c r="BP11" s="37">
        <v>3</v>
      </c>
      <c r="BQ11" s="23" t="e">
        <f>BP11+'16.04'!BQ11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208</v>
      </c>
      <c r="D12" s="31" t="e">
        <f t="shared" si="0"/>
        <v>#REF!</v>
      </c>
      <c r="E12" s="32">
        <v>909</v>
      </c>
      <c r="F12" s="22">
        <v>60</v>
      </c>
      <c r="G12" s="23" t="e">
        <f>F12+'16.04'!G12</f>
        <v>#REF!</v>
      </c>
      <c r="H12" s="33">
        <v>80</v>
      </c>
      <c r="I12" s="34">
        <v>3</v>
      </c>
      <c r="J12" s="23" t="e">
        <f>I12+'16.04'!J12</f>
        <v>#REF!</v>
      </c>
      <c r="K12" s="33">
        <v>5</v>
      </c>
      <c r="L12" s="22">
        <v>0</v>
      </c>
      <c r="M12" s="23" t="e">
        <f>L12+'16.04'!M12</f>
        <v>#REF!</v>
      </c>
      <c r="N12" s="33">
        <v>820</v>
      </c>
      <c r="O12" s="22">
        <v>42</v>
      </c>
      <c r="P12" s="23" t="e">
        <f>O12+'16.04'!P12</f>
        <v>#REF!</v>
      </c>
      <c r="Q12" s="33">
        <v>549</v>
      </c>
      <c r="R12" s="22">
        <v>0</v>
      </c>
      <c r="S12" s="23" t="e">
        <f>R12+'16.04'!S12</f>
        <v>#REF!</v>
      </c>
      <c r="T12" s="33">
        <v>992</v>
      </c>
      <c r="U12" s="22">
        <v>0</v>
      </c>
      <c r="V12" s="23" t="e">
        <f>U12+'16.04'!V12</f>
        <v>#REF!</v>
      </c>
      <c r="W12" s="33">
        <v>38</v>
      </c>
      <c r="X12" s="22">
        <v>95</v>
      </c>
      <c r="Y12" s="23" t="e">
        <f>X12+'16.04'!Y12</f>
        <v>#REF!</v>
      </c>
      <c r="Z12" s="33">
        <v>68</v>
      </c>
      <c r="AA12" s="22">
        <v>0</v>
      </c>
      <c r="AB12" s="23" t="e">
        <f>AA12+'16.04'!AB12</f>
        <v>#REF!</v>
      </c>
      <c r="AC12" s="33">
        <v>26703</v>
      </c>
      <c r="AD12" s="22">
        <v>8</v>
      </c>
      <c r="AE12" s="23" t="e">
        <f>AD12+'16.04'!AE12</f>
        <v>#REF!</v>
      </c>
      <c r="AF12" s="19">
        <f t="shared" si="1"/>
        <v>35700</v>
      </c>
      <c r="AG12" s="20" t="e">
        <f t="shared" si="1"/>
        <v>#REF!</v>
      </c>
      <c r="AH12" s="24">
        <v>7100</v>
      </c>
      <c r="AI12" s="23" t="e">
        <f>AH12+'16.04'!AI12</f>
        <v>#REF!</v>
      </c>
      <c r="AJ12" s="24">
        <v>11100</v>
      </c>
      <c r="AK12" s="23" t="e">
        <f>AJ12+'16.04'!AK12</f>
        <v>#REF!</v>
      </c>
      <c r="AL12" s="22">
        <v>8750</v>
      </c>
      <c r="AM12" s="23" t="e">
        <f>AL12+'16.04'!AM12</f>
        <v>#REF!</v>
      </c>
      <c r="AN12" s="22">
        <v>8750</v>
      </c>
      <c r="AO12" s="23" t="e">
        <f>AN12+'16.04'!AO12</f>
        <v>#REF!</v>
      </c>
      <c r="AP12" s="28" t="s">
        <v>46</v>
      </c>
      <c r="AQ12" s="19">
        <f t="shared" si="2"/>
        <v>90</v>
      </c>
      <c r="AR12" s="20" t="e">
        <f t="shared" si="2"/>
        <v>#REF!</v>
      </c>
      <c r="AS12" s="34">
        <v>0</v>
      </c>
      <c r="AT12" s="23" t="e">
        <f>AS12+'16.04'!AT12</f>
        <v>#REF!</v>
      </c>
      <c r="AU12" s="34">
        <v>0</v>
      </c>
      <c r="AV12" s="23" t="e">
        <f>AU12+'16.04'!AV12</f>
        <v>#REF!</v>
      </c>
      <c r="AW12" s="34">
        <v>0</v>
      </c>
      <c r="AX12" s="23" t="e">
        <f>AW12+'16.04'!AX12</f>
        <v>#REF!</v>
      </c>
      <c r="AY12" s="34">
        <v>0</v>
      </c>
      <c r="AZ12" s="23" t="e">
        <f>AY12+'16.04'!AZ12</f>
        <v>#REF!</v>
      </c>
      <c r="BA12" s="34">
        <v>90</v>
      </c>
      <c r="BB12" s="23" t="e">
        <f>BA12+'16.04'!BB12</f>
        <v>#REF!</v>
      </c>
      <c r="BC12" s="19">
        <f t="shared" si="3"/>
        <v>4063</v>
      </c>
      <c r="BD12" s="20" t="e">
        <f t="shared" si="3"/>
        <v>#REF!</v>
      </c>
      <c r="BE12" s="22">
        <v>48</v>
      </c>
      <c r="BF12" s="23" t="e">
        <f>BE12+'16.04'!BF12</f>
        <v>#REF!</v>
      </c>
      <c r="BG12" s="34">
        <v>15</v>
      </c>
      <c r="BH12" s="23" t="e">
        <f>BG12+'16.04'!BH12</f>
        <v>#REF!</v>
      </c>
      <c r="BI12" s="22">
        <v>3700</v>
      </c>
      <c r="BJ12" s="23" t="e">
        <f>BI12+'16.04'!BJ12</f>
        <v>#REF!</v>
      </c>
      <c r="BK12" s="22">
        <v>300</v>
      </c>
      <c r="BL12" s="23" t="e">
        <f>BK12+'16.04'!BL12</f>
        <v>#REF!</v>
      </c>
      <c r="BM12" s="22">
        <v>0</v>
      </c>
      <c r="BN12" s="23" t="e">
        <f>BM12+'16.04'!BN12</f>
        <v>#REF!</v>
      </c>
      <c r="BO12" s="36"/>
      <c r="BP12" s="37">
        <v>0</v>
      </c>
      <c r="BQ12" s="23" t="e">
        <f>BP12+'16.04'!BQ12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108</v>
      </c>
      <c r="D13" s="31" t="e">
        <f t="shared" si="0"/>
        <v>#REF!</v>
      </c>
      <c r="E13" s="32">
        <v>516</v>
      </c>
      <c r="F13" s="22">
        <v>1</v>
      </c>
      <c r="G13" s="23" t="e">
        <f>F13+'16.04'!G13</f>
        <v>#REF!</v>
      </c>
      <c r="H13" s="33">
        <v>10</v>
      </c>
      <c r="I13" s="34">
        <v>1</v>
      </c>
      <c r="J13" s="23" t="e">
        <f>I13+'16.04'!J13</f>
        <v>#REF!</v>
      </c>
      <c r="K13" s="33">
        <v>38</v>
      </c>
      <c r="L13" s="22">
        <v>0</v>
      </c>
      <c r="M13" s="23" t="e">
        <f>L13+'16.04'!M13</f>
        <v>#REF!</v>
      </c>
      <c r="N13" s="33">
        <v>581</v>
      </c>
      <c r="O13" s="22">
        <v>0</v>
      </c>
      <c r="P13" s="23" t="e">
        <f>O13+'16.04'!P13</f>
        <v>#REF!</v>
      </c>
      <c r="Q13" s="33">
        <v>525</v>
      </c>
      <c r="R13" s="22">
        <v>0</v>
      </c>
      <c r="S13" s="23" t="e">
        <f>R13+'16.04'!S13</f>
        <v>#REF!</v>
      </c>
      <c r="T13" s="33">
        <v>263</v>
      </c>
      <c r="U13" s="22">
        <v>0</v>
      </c>
      <c r="V13" s="23" t="e">
        <f>U13+'16.04'!V13</f>
        <v>#REF!</v>
      </c>
      <c r="W13" s="33">
        <v>43</v>
      </c>
      <c r="X13" s="22">
        <v>0</v>
      </c>
      <c r="Y13" s="23" t="e">
        <f>X13+'16.04'!Y13</f>
        <v>#REF!</v>
      </c>
      <c r="Z13" s="33">
        <v>17</v>
      </c>
      <c r="AA13" s="22">
        <v>0</v>
      </c>
      <c r="AB13" s="23" t="e">
        <f>AA13+'16.04'!AB13</f>
        <v>#REF!</v>
      </c>
      <c r="AC13" s="33">
        <v>51</v>
      </c>
      <c r="AD13" s="22">
        <v>106</v>
      </c>
      <c r="AE13" s="23" t="e">
        <f>AD13+'16.04'!AE13</f>
        <v>#REF!</v>
      </c>
      <c r="AF13" s="19">
        <f t="shared" si="1"/>
        <v>352300</v>
      </c>
      <c r="AG13" s="20" t="e">
        <f t="shared" si="1"/>
        <v>#REF!</v>
      </c>
      <c r="AH13" s="24">
        <v>4000</v>
      </c>
      <c r="AI13" s="23" t="e">
        <f>AH13+'16.04'!AI13</f>
        <v>#REF!</v>
      </c>
      <c r="AJ13" s="24">
        <v>38300</v>
      </c>
      <c r="AK13" s="23" t="e">
        <f>AJ13+'16.04'!AK13</f>
        <v>#REF!</v>
      </c>
      <c r="AL13" s="22">
        <v>20000</v>
      </c>
      <c r="AM13" s="23" t="e">
        <f>AL13+'16.04'!AM13</f>
        <v>#REF!</v>
      </c>
      <c r="AN13" s="22">
        <v>290000</v>
      </c>
      <c r="AO13" s="23" t="e">
        <f>AN13+'16.04'!AO13</f>
        <v>#REF!</v>
      </c>
      <c r="AP13" s="28" t="s">
        <v>47</v>
      </c>
      <c r="AQ13" s="19">
        <f t="shared" si="2"/>
        <v>52</v>
      </c>
      <c r="AR13" s="20" t="e">
        <f t="shared" si="2"/>
        <v>#REF!</v>
      </c>
      <c r="AS13" s="34">
        <v>1</v>
      </c>
      <c r="AT13" s="23" t="e">
        <f>AS13+'16.04'!AT13</f>
        <v>#REF!</v>
      </c>
      <c r="AU13" s="34">
        <v>1</v>
      </c>
      <c r="AV13" s="23" t="e">
        <f>AU13+'16.04'!AV13</f>
        <v>#REF!</v>
      </c>
      <c r="AW13" s="34">
        <v>0</v>
      </c>
      <c r="AX13" s="23" t="e">
        <f>AW13+'16.04'!AX13</f>
        <v>#REF!</v>
      </c>
      <c r="AY13" s="34">
        <v>0</v>
      </c>
      <c r="AZ13" s="23" t="e">
        <f>AY13+'16.04'!AZ13</f>
        <v>#REF!</v>
      </c>
      <c r="BA13" s="34">
        <v>50</v>
      </c>
      <c r="BB13" s="23" t="e">
        <f>BA13+'16.04'!BB13</f>
        <v>#REF!</v>
      </c>
      <c r="BC13" s="19">
        <f t="shared" si="3"/>
        <v>25737</v>
      </c>
      <c r="BD13" s="20" t="e">
        <f t="shared" si="3"/>
        <v>#REF!</v>
      </c>
      <c r="BE13" s="22">
        <v>516</v>
      </c>
      <c r="BF13" s="23" t="e">
        <f>BE13+'16.04'!BF13</f>
        <v>#REF!</v>
      </c>
      <c r="BG13" s="34">
        <v>21</v>
      </c>
      <c r="BH13" s="23" t="e">
        <f>BG13+'16.04'!BH13</f>
        <v>#REF!</v>
      </c>
      <c r="BI13" s="22">
        <v>25000</v>
      </c>
      <c r="BJ13" s="23" t="e">
        <f>BI13+'16.04'!BJ13</f>
        <v>#REF!</v>
      </c>
      <c r="BK13" s="22">
        <v>200</v>
      </c>
      <c r="BL13" s="23" t="e">
        <f>BK13+'16.04'!BL13</f>
        <v>#REF!</v>
      </c>
      <c r="BM13" s="22">
        <v>0</v>
      </c>
      <c r="BN13" s="23" t="e">
        <f>BM13+'16.04'!BN13</f>
        <v>#REF!</v>
      </c>
      <c r="BO13" s="36"/>
      <c r="BP13" s="37">
        <v>0</v>
      </c>
      <c r="BQ13" s="23" t="e">
        <f>BP13+'16.04'!BQ13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F14+'16.04'!G14</f>
        <v>#REF!</v>
      </c>
      <c r="H14" s="44">
        <v>5</v>
      </c>
      <c r="I14" s="45"/>
      <c r="J14" s="23" t="e">
        <f>I14+'16.04'!J14</f>
        <v>#REF!</v>
      </c>
      <c r="K14" s="44">
        <v>34</v>
      </c>
      <c r="L14" s="22"/>
      <c r="M14" s="23" t="e">
        <f>L14+'16.04'!M14</f>
        <v>#REF!</v>
      </c>
      <c r="N14" s="44">
        <v>583</v>
      </c>
      <c r="O14" s="22"/>
      <c r="P14" s="23" t="e">
        <f>O14+'16.04'!P14</f>
        <v>#REF!</v>
      </c>
      <c r="Q14" s="44">
        <v>254</v>
      </c>
      <c r="R14" s="22"/>
      <c r="S14" s="23" t="e">
        <f>R14+'16.04'!S14</f>
        <v>#REF!</v>
      </c>
      <c r="T14" s="44">
        <v>196</v>
      </c>
      <c r="U14" s="22"/>
      <c r="V14" s="23" t="e">
        <f>U14+'16.04'!V14</f>
        <v>#REF!</v>
      </c>
      <c r="W14" s="44">
        <v>30</v>
      </c>
      <c r="X14" s="22"/>
      <c r="Y14" s="23" t="e">
        <f>X14+'16.04'!Y14</f>
        <v>#REF!</v>
      </c>
      <c r="Z14" s="44">
        <v>10</v>
      </c>
      <c r="AA14" s="22"/>
      <c r="AB14" s="23" t="e">
        <f>AA14+'16.04'!AB14</f>
        <v>#REF!</v>
      </c>
      <c r="AC14" s="44">
        <v>2500</v>
      </c>
      <c r="AD14" s="22"/>
      <c r="AE14" s="23" t="e">
        <f>AD14+'16.04'!AE14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AH14+'16.04'!AI14</f>
        <v>#REF!</v>
      </c>
      <c r="AJ14" s="24"/>
      <c r="AK14" s="23" t="e">
        <f>AJ14+'16.04'!AK14</f>
        <v>#REF!</v>
      </c>
      <c r="AL14" s="22"/>
      <c r="AM14" s="23" t="e">
        <f>AL14+'16.04'!AM14</f>
        <v>#REF!</v>
      </c>
      <c r="AN14" s="22"/>
      <c r="AO14" s="23" t="e">
        <f>AN14+'16.04'!AO14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AS14+'16.04'!AT14</f>
        <v>#REF!</v>
      </c>
      <c r="AU14" s="45"/>
      <c r="AV14" s="23" t="e">
        <f>AU14+'16.04'!AV14</f>
        <v>#REF!</v>
      </c>
      <c r="AW14" s="45"/>
      <c r="AX14" s="23" t="e">
        <f>AW14+'16.04'!AX14</f>
        <v>#REF!</v>
      </c>
      <c r="AY14" s="45"/>
      <c r="AZ14" s="23" t="e">
        <f>AY14+'16.04'!AZ14</f>
        <v>#REF!</v>
      </c>
      <c r="BA14" s="45"/>
      <c r="BB14" s="23" t="e">
        <f>BA14+'16.04'!BB14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BE14+'16.04'!BF14</f>
        <v>#REF!</v>
      </c>
      <c r="BG14" s="45"/>
      <c r="BH14" s="23" t="e">
        <f>BG14+'16.04'!BH14</f>
        <v>#REF!</v>
      </c>
      <c r="BI14" s="22"/>
      <c r="BJ14" s="23" t="e">
        <f>BI14+'16.04'!BJ14</f>
        <v>#REF!</v>
      </c>
      <c r="BK14" s="22"/>
      <c r="BL14" s="23" t="e">
        <f>BK14+'16.04'!BL14</f>
        <v>#REF!</v>
      </c>
      <c r="BM14" s="22"/>
      <c r="BN14" s="23" t="e">
        <f>BM14+'16.04'!BN14</f>
        <v>#REF!</v>
      </c>
      <c r="BO14" s="48">
        <v>2</v>
      </c>
      <c r="BP14" s="49"/>
      <c r="BQ14" s="23" t="e">
        <f>BP14+'16.04'!BQ14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457</v>
      </c>
      <c r="D15" s="53" t="e">
        <f t="shared" si="0"/>
        <v>#REF!</v>
      </c>
      <c r="E15" s="54">
        <v>776</v>
      </c>
      <c r="F15" s="55">
        <v>325</v>
      </c>
      <c r="G15" s="23" t="e">
        <f>F15+'16.04'!G15</f>
        <v>#REF!</v>
      </c>
      <c r="H15" s="56">
        <v>9</v>
      </c>
      <c r="I15" s="57">
        <v>0</v>
      </c>
      <c r="J15" s="23" t="e">
        <f>I15+'16.04'!J15</f>
        <v>#REF!</v>
      </c>
      <c r="K15" s="56">
        <v>6</v>
      </c>
      <c r="L15" s="55">
        <v>0</v>
      </c>
      <c r="M15" s="23" t="e">
        <f>L15+'16.04'!M15</f>
        <v>#REF!</v>
      </c>
      <c r="N15" s="56">
        <v>1305</v>
      </c>
      <c r="O15" s="55">
        <v>0</v>
      </c>
      <c r="P15" s="23" t="e">
        <f>O15+'16.04'!P15</f>
        <v>#REF!</v>
      </c>
      <c r="Q15" s="56">
        <v>447</v>
      </c>
      <c r="R15" s="55">
        <v>0</v>
      </c>
      <c r="S15" s="23" t="e">
        <f>R15+'16.04'!S15</f>
        <v>#REF!</v>
      </c>
      <c r="T15" s="56">
        <v>337</v>
      </c>
      <c r="U15" s="55">
        <v>0</v>
      </c>
      <c r="V15" s="23" t="e">
        <f>U15+'16.04'!V15</f>
        <v>#REF!</v>
      </c>
      <c r="W15" s="56">
        <v>78</v>
      </c>
      <c r="X15" s="55">
        <v>118</v>
      </c>
      <c r="Y15" s="23" t="e">
        <f>X15+'16.04'!Y15</f>
        <v>#REF!</v>
      </c>
      <c r="Z15" s="56">
        <v>141</v>
      </c>
      <c r="AA15" s="55">
        <v>0</v>
      </c>
      <c r="AB15" s="23" t="e">
        <f>AA15+'16.04'!AB15</f>
        <v>#REF!</v>
      </c>
      <c r="AC15" s="56">
        <v>798</v>
      </c>
      <c r="AD15" s="55">
        <v>14</v>
      </c>
      <c r="AE15" s="23" t="e">
        <f>AD15+'16.04'!AE15</f>
        <v>#REF!</v>
      </c>
      <c r="AF15" s="58">
        <f t="shared" si="1"/>
        <v>1245572</v>
      </c>
      <c r="AG15" s="59" t="e">
        <f t="shared" si="1"/>
        <v>#REF!</v>
      </c>
      <c r="AH15" s="60">
        <v>1008</v>
      </c>
      <c r="AI15" s="23" t="e">
        <f>AH15+'16.04'!AI15</f>
        <v>#REF!</v>
      </c>
      <c r="AJ15" s="60">
        <v>3418</v>
      </c>
      <c r="AK15" s="23" t="e">
        <f>AJ15+'16.04'!AK15</f>
        <v>#REF!</v>
      </c>
      <c r="AL15" s="55">
        <v>620570</v>
      </c>
      <c r="AM15" s="23" t="e">
        <f>AL15+'16.04'!AM15</f>
        <v>#REF!</v>
      </c>
      <c r="AN15" s="55">
        <v>620576</v>
      </c>
      <c r="AO15" s="23" t="e">
        <f>AN15+'16.04'!AO15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AS15+'16.04'!AT15</f>
        <v>#REF!</v>
      </c>
      <c r="AU15" s="57">
        <v>0</v>
      </c>
      <c r="AV15" s="23" t="e">
        <f>AU15+'16.04'!AV15</f>
        <v>#REF!</v>
      </c>
      <c r="AW15" s="57">
        <v>0</v>
      </c>
      <c r="AX15" s="23" t="e">
        <f>AW15+'16.04'!AX15</f>
        <v>#REF!</v>
      </c>
      <c r="AY15" s="57">
        <v>0</v>
      </c>
      <c r="AZ15" s="23" t="e">
        <f>AY15+'16.04'!AZ15</f>
        <v>#REF!</v>
      </c>
      <c r="BA15" s="57">
        <v>2</v>
      </c>
      <c r="BB15" s="23" t="e">
        <f>BA15+'16.04'!BB15</f>
        <v>#REF!</v>
      </c>
      <c r="BC15" s="58">
        <f t="shared" si="3"/>
        <v>1087</v>
      </c>
      <c r="BD15" s="59" t="e">
        <f t="shared" si="3"/>
        <v>#REF!</v>
      </c>
      <c r="BE15" s="55">
        <v>85</v>
      </c>
      <c r="BF15" s="23" t="e">
        <f>BE15+'16.04'!BF15</f>
        <v>#REF!</v>
      </c>
      <c r="BG15" s="57">
        <v>2</v>
      </c>
      <c r="BH15" s="23" t="e">
        <f>BG15+'16.04'!BH15</f>
        <v>#REF!</v>
      </c>
      <c r="BI15" s="55">
        <v>500</v>
      </c>
      <c r="BJ15" s="23" t="e">
        <f>BI15+'16.04'!BJ15</f>
        <v>#REF!</v>
      </c>
      <c r="BK15" s="55">
        <v>500</v>
      </c>
      <c r="BL15" s="23" t="e">
        <f>BK15+'16.04'!BL15</f>
        <v>#REF!</v>
      </c>
      <c r="BM15" s="55">
        <v>0</v>
      </c>
      <c r="BN15" s="23" t="e">
        <f>BM15+'16.04'!BN15</f>
        <v>#REF!</v>
      </c>
      <c r="BO15" s="36">
        <v>6274</v>
      </c>
      <c r="BP15" s="37">
        <v>4</v>
      </c>
      <c r="BQ15" s="23" t="e">
        <f>BP15+'16.04'!BQ15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F16+'16.04'!G16</f>
        <v>#REF!</v>
      </c>
      <c r="H16" s="33">
        <v>5</v>
      </c>
      <c r="I16" s="34"/>
      <c r="J16" s="23" t="e">
        <f>I16+'16.04'!J16</f>
        <v>#REF!</v>
      </c>
      <c r="K16" s="33">
        <v>3</v>
      </c>
      <c r="L16" s="22"/>
      <c r="M16" s="23" t="e">
        <f>L16+'16.04'!M16</f>
        <v>#REF!</v>
      </c>
      <c r="N16" s="33">
        <v>384</v>
      </c>
      <c r="O16" s="22"/>
      <c r="P16" s="23" t="e">
        <f>O16+'16.04'!P16</f>
        <v>#REF!</v>
      </c>
      <c r="Q16" s="33">
        <v>245</v>
      </c>
      <c r="R16" s="22"/>
      <c r="S16" s="23" t="e">
        <f>R16+'16.04'!S16</f>
        <v>#REF!</v>
      </c>
      <c r="T16" s="33">
        <v>397</v>
      </c>
      <c r="U16" s="22"/>
      <c r="V16" s="23" t="e">
        <f>U16+'16.04'!V16</f>
        <v>#REF!</v>
      </c>
      <c r="W16" s="33">
        <v>24</v>
      </c>
      <c r="X16" s="22"/>
      <c r="Y16" s="23" t="e">
        <f>X16+'16.04'!Y16</f>
        <v>#REF!</v>
      </c>
      <c r="Z16" s="33">
        <v>18</v>
      </c>
      <c r="AA16" s="22"/>
      <c r="AB16" s="23" t="e">
        <f>AA16+'16.04'!AB16</f>
        <v>#REF!</v>
      </c>
      <c r="AC16" s="33">
        <v>18515</v>
      </c>
      <c r="AD16" s="22"/>
      <c r="AE16" s="23" t="e">
        <f>AD16+'16.04'!AE16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AH16+'16.04'!AI16</f>
        <v>#REF!</v>
      </c>
      <c r="AJ16" s="24"/>
      <c r="AK16" s="23" t="e">
        <f>AJ16+'16.04'!AK16</f>
        <v>#REF!</v>
      </c>
      <c r="AL16" s="22"/>
      <c r="AM16" s="23" t="e">
        <f>AL16+'16.04'!AM16</f>
        <v>#REF!</v>
      </c>
      <c r="AN16" s="22"/>
      <c r="AO16" s="23" t="e">
        <f>AN16+'16.04'!AO16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AS16+'16.04'!AT16</f>
        <v>#REF!</v>
      </c>
      <c r="AU16" s="34"/>
      <c r="AV16" s="23" t="e">
        <f>AU16+'16.04'!AV16</f>
        <v>#REF!</v>
      </c>
      <c r="AW16" s="34"/>
      <c r="AX16" s="23" t="e">
        <f>AW16+'16.04'!AX16</f>
        <v>#REF!</v>
      </c>
      <c r="AY16" s="34"/>
      <c r="AZ16" s="23" t="e">
        <f>AY16+'16.04'!AZ16</f>
        <v>#REF!</v>
      </c>
      <c r="BA16" s="34"/>
      <c r="BB16" s="23" t="e">
        <f>BA16+'16.04'!BB16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BE16+'16.04'!BF16</f>
        <v>#REF!</v>
      </c>
      <c r="BG16" s="34"/>
      <c r="BH16" s="23" t="e">
        <f>BG16+'16.04'!BH16</f>
        <v>#REF!</v>
      </c>
      <c r="BI16" s="22"/>
      <c r="BJ16" s="23" t="e">
        <f>BI16+'16.04'!BJ16</f>
        <v>#REF!</v>
      </c>
      <c r="BK16" s="22"/>
      <c r="BL16" s="23" t="e">
        <f>BK16+'16.04'!BL16</f>
        <v>#REF!</v>
      </c>
      <c r="BM16" s="22"/>
      <c r="BN16" s="23" t="e">
        <f>BM16+'16.04'!BN16</f>
        <v>#REF!</v>
      </c>
      <c r="BO16" s="36">
        <v>2546</v>
      </c>
      <c r="BP16" s="37"/>
      <c r="BQ16" s="23" t="e">
        <f>BP16+'16.04'!BQ16</f>
        <v>#REF!</v>
      </c>
    </row>
    <row r="17" spans="1:73" ht="27.75" customHeight="1">
      <c r="A17" s="28" t="s">
        <v>52</v>
      </c>
      <c r="B17" s="29">
        <f t="shared" si="0"/>
        <v>5593</v>
      </c>
      <c r="C17" s="30">
        <f t="shared" si="0"/>
        <v>280</v>
      </c>
      <c r="D17" s="31" t="e">
        <f t="shared" si="0"/>
        <v>#REF!</v>
      </c>
      <c r="E17" s="32">
        <v>754</v>
      </c>
      <c r="F17" s="22">
        <v>185</v>
      </c>
      <c r="G17" s="23" t="e">
        <f>F17+'16.04'!G17</f>
        <v>#REF!</v>
      </c>
      <c r="H17" s="33"/>
      <c r="I17" s="34">
        <v>0</v>
      </c>
      <c r="J17" s="23" t="e">
        <f>I17+'16.04'!J17</f>
        <v>#REF!</v>
      </c>
      <c r="K17" s="33">
        <v>5</v>
      </c>
      <c r="L17" s="22">
        <v>0</v>
      </c>
      <c r="M17" s="23" t="e">
        <f>L17+'16.04'!M17</f>
        <v>#REF!</v>
      </c>
      <c r="N17" s="33">
        <v>768</v>
      </c>
      <c r="O17" s="22">
        <v>0</v>
      </c>
      <c r="P17" s="23" t="e">
        <f>O17+'16.04'!P17</f>
        <v>#REF!</v>
      </c>
      <c r="Q17" s="33">
        <v>624</v>
      </c>
      <c r="R17" s="22">
        <v>0</v>
      </c>
      <c r="S17" s="23" t="e">
        <f>R17+'16.04'!S17</f>
        <v>#REF!</v>
      </c>
      <c r="T17" s="33">
        <v>742</v>
      </c>
      <c r="U17" s="22">
        <v>0</v>
      </c>
      <c r="V17" s="23" t="e">
        <f>U17+'16.04'!V17</f>
        <v>#REF!</v>
      </c>
      <c r="W17" s="33">
        <v>54</v>
      </c>
      <c r="X17" s="22">
        <v>66</v>
      </c>
      <c r="Y17" s="23" t="e">
        <f>X17+'16.04'!Y17</f>
        <v>#REF!</v>
      </c>
      <c r="Z17" s="33">
        <v>66</v>
      </c>
      <c r="AA17" s="22">
        <v>0</v>
      </c>
      <c r="AB17" s="23" t="e">
        <f>AA17+'16.04'!AB17</f>
        <v>#REF!</v>
      </c>
      <c r="AC17" s="33">
        <v>2580</v>
      </c>
      <c r="AD17" s="22">
        <v>29</v>
      </c>
      <c r="AE17" s="23" t="e">
        <f>AD17+'16.04'!AE17</f>
        <v>#REF!</v>
      </c>
      <c r="AF17" s="19">
        <f t="shared" si="1"/>
        <v>199600</v>
      </c>
      <c r="AG17" s="20" t="e">
        <f t="shared" si="1"/>
        <v>#REF!</v>
      </c>
      <c r="AH17" s="24">
        <v>9500</v>
      </c>
      <c r="AI17" s="23" t="e">
        <f>AH17+'16.04'!AI17</f>
        <v>#REF!</v>
      </c>
      <c r="AJ17" s="24">
        <v>12800</v>
      </c>
      <c r="AK17" s="23" t="e">
        <f>AJ17+'16.04'!AK17</f>
        <v>#REF!</v>
      </c>
      <c r="AL17" s="22">
        <v>66500</v>
      </c>
      <c r="AM17" s="23" t="e">
        <f>AL17+'16.04'!AM17</f>
        <v>#REF!</v>
      </c>
      <c r="AN17" s="22">
        <v>110800</v>
      </c>
      <c r="AO17" s="23" t="e">
        <f>AN17+'16.04'!AO17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AS17+'16.04'!AT17</f>
        <v>#REF!</v>
      </c>
      <c r="AU17" s="34">
        <v>1</v>
      </c>
      <c r="AV17" s="23" t="e">
        <f>AU17+'16.04'!AV17</f>
        <v>#REF!</v>
      </c>
      <c r="AW17" s="34">
        <v>0</v>
      </c>
      <c r="AX17" s="23" t="e">
        <f>AW17+'16.04'!AX17</f>
        <v>#REF!</v>
      </c>
      <c r="AY17" s="34">
        <v>0</v>
      </c>
      <c r="AZ17" s="23" t="e">
        <f>AY17+'16.04'!AZ17</f>
        <v>#REF!</v>
      </c>
      <c r="BA17" s="34">
        <v>14</v>
      </c>
      <c r="BB17" s="23" t="e">
        <f>BA17+'16.04'!BB17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BE17+'16.04'!BF17</f>
        <v>#REF!</v>
      </c>
      <c r="BG17" s="34">
        <v>4</v>
      </c>
      <c r="BH17" s="23" t="e">
        <f>BG17+'16.04'!BH17</f>
        <v>#REF!</v>
      </c>
      <c r="BI17" s="22">
        <v>1400</v>
      </c>
      <c r="BJ17" s="23" t="e">
        <f>BI17+'16.04'!BJ17</f>
        <v>#REF!</v>
      </c>
      <c r="BK17" s="22">
        <v>160</v>
      </c>
      <c r="BL17" s="23" t="e">
        <f>BK17+'16.04'!BL17</f>
        <v>#REF!</v>
      </c>
      <c r="BM17" s="22">
        <v>0</v>
      </c>
      <c r="BN17" s="23" t="e">
        <f>BM17+'16.04'!BN17</f>
        <v>#REF!</v>
      </c>
      <c r="BO17" s="36">
        <v>8022</v>
      </c>
      <c r="BP17" s="37">
        <v>15</v>
      </c>
      <c r="BQ17" s="23" t="e">
        <f>BP17+'16.04'!BQ17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556</v>
      </c>
      <c r="D18" s="20" t="e">
        <f t="shared" si="0"/>
        <v>#REF!</v>
      </c>
      <c r="E18" s="21">
        <v>1063</v>
      </c>
      <c r="F18" s="22">
        <v>342</v>
      </c>
      <c r="G18" s="23" t="e">
        <f>F18+'16.04'!G18</f>
        <v>#REF!</v>
      </c>
      <c r="H18" s="21">
        <v>19</v>
      </c>
      <c r="I18" s="22">
        <v>0</v>
      </c>
      <c r="J18" s="23" t="e">
        <f>I18+'16.04'!J18</f>
        <v>#REF!</v>
      </c>
      <c r="K18" s="21">
        <v>8</v>
      </c>
      <c r="L18" s="22">
        <v>0</v>
      </c>
      <c r="M18" s="23" t="e">
        <f>L18+'16.04'!M18</f>
        <v>#REF!</v>
      </c>
      <c r="N18" s="21">
        <v>1331</v>
      </c>
      <c r="O18" s="22">
        <v>0</v>
      </c>
      <c r="P18" s="23" t="e">
        <f>O18+'16.04'!P18</f>
        <v>#REF!</v>
      </c>
      <c r="Q18" s="21">
        <v>777</v>
      </c>
      <c r="R18" s="22">
        <v>0</v>
      </c>
      <c r="S18" s="23" t="e">
        <f>R18+'16.04'!S18</f>
        <v>#REF!</v>
      </c>
      <c r="T18" s="21">
        <v>318</v>
      </c>
      <c r="U18" s="22">
        <v>0</v>
      </c>
      <c r="V18" s="23" t="e">
        <f>U18+'16.04'!V18</f>
        <v>#REF!</v>
      </c>
      <c r="W18" s="21">
        <v>60</v>
      </c>
      <c r="X18" s="22">
        <v>214</v>
      </c>
      <c r="Y18" s="23" t="e">
        <f>X18+'16.04'!Y18</f>
        <v>#REF!</v>
      </c>
      <c r="Z18" s="21">
        <v>72</v>
      </c>
      <c r="AA18" s="22">
        <v>0</v>
      </c>
      <c r="AB18" s="23" t="e">
        <f>AA18+'16.04'!AB18</f>
        <v>#REF!</v>
      </c>
      <c r="AC18" s="21">
        <v>143</v>
      </c>
      <c r="AD18" s="22">
        <v>0</v>
      </c>
      <c r="AE18" s="23" t="e">
        <f>AD18+'16.04'!AE18</f>
        <v>#REF!</v>
      </c>
      <c r="AF18" s="19">
        <f t="shared" si="1"/>
        <v>317451</v>
      </c>
      <c r="AG18" s="20" t="e">
        <f t="shared" si="1"/>
        <v>#REF!</v>
      </c>
      <c r="AH18" s="24">
        <v>602</v>
      </c>
      <c r="AI18" s="23" t="e">
        <f>AH18+'16.04'!AI18</f>
        <v>#REF!</v>
      </c>
      <c r="AJ18" s="24">
        <v>4740</v>
      </c>
      <c r="AK18" s="23" t="e">
        <f>AJ18+'16.04'!AK18</f>
        <v>#REF!</v>
      </c>
      <c r="AL18" s="22">
        <v>5016</v>
      </c>
      <c r="AM18" s="23" t="e">
        <f>AL18+'16.04'!AM18</f>
        <v>#REF!</v>
      </c>
      <c r="AN18" s="22">
        <v>307093</v>
      </c>
      <c r="AO18" s="23" t="e">
        <f>AN18+'16.04'!AO18</f>
        <v>#REF!</v>
      </c>
      <c r="AP18" s="17" t="s">
        <v>53</v>
      </c>
      <c r="AQ18" s="19">
        <f>AS18+AU18+AW18+AY18+BA18</f>
        <v>6</v>
      </c>
      <c r="AR18" s="20" t="e">
        <f t="shared" si="2"/>
        <v>#REF!</v>
      </c>
      <c r="AS18" s="22">
        <v>0</v>
      </c>
      <c r="AT18" s="23" t="e">
        <f>AS18+'16.04'!AT18</f>
        <v>#REF!</v>
      </c>
      <c r="AU18" s="22">
        <v>0</v>
      </c>
      <c r="AV18" s="23" t="e">
        <f>AU18+'16.04'!AV18</f>
        <v>#REF!</v>
      </c>
      <c r="AW18" s="22">
        <v>0</v>
      </c>
      <c r="AX18" s="23" t="e">
        <f>AW18+'16.04'!AX18</f>
        <v>#REF!</v>
      </c>
      <c r="AY18" s="22">
        <v>0</v>
      </c>
      <c r="AZ18" s="23" t="e">
        <f>AY18+'16.04'!AZ18</f>
        <v>#REF!</v>
      </c>
      <c r="BA18" s="22">
        <v>6</v>
      </c>
      <c r="BB18" s="23" t="e">
        <f>BA18+'16.04'!BB18</f>
        <v>#REF!</v>
      </c>
      <c r="BC18" s="19">
        <f t="shared" si="3"/>
        <v>3526</v>
      </c>
      <c r="BD18" s="20" t="e">
        <f>BF18+BH18+BJ18+BL18+BN18</f>
        <v>#REF!</v>
      </c>
      <c r="BE18" s="22">
        <v>2</v>
      </c>
      <c r="BF18" s="23" t="e">
        <f>BE18+'16.04'!BF18</f>
        <v>#REF!</v>
      </c>
      <c r="BG18" s="22">
        <v>1</v>
      </c>
      <c r="BH18" s="23" t="e">
        <f>BG18+'16.04'!BH18</f>
        <v>#REF!</v>
      </c>
      <c r="BI18" s="22">
        <v>3309</v>
      </c>
      <c r="BJ18" s="23" t="e">
        <f>BI18+'16.04'!BJ18</f>
        <v>#REF!</v>
      </c>
      <c r="BK18" s="22">
        <v>214</v>
      </c>
      <c r="BL18" s="23" t="e">
        <f>BK18+'16.04'!BL18</f>
        <v>#REF!</v>
      </c>
      <c r="BM18" s="22">
        <v>0</v>
      </c>
      <c r="BN18" s="23" t="e">
        <f>BM18+'16.04'!BN18</f>
        <v>#REF!</v>
      </c>
      <c r="BO18" s="36">
        <v>442</v>
      </c>
      <c r="BP18" s="37">
        <v>1</v>
      </c>
      <c r="BQ18" s="23" t="e">
        <f>BP18+'16.04'!BQ18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31</v>
      </c>
      <c r="D19" s="31" t="e">
        <f t="shared" si="0"/>
        <v>#REF!</v>
      </c>
      <c r="E19" s="33">
        <v>221</v>
      </c>
      <c r="F19" s="22">
        <v>13</v>
      </c>
      <c r="G19" s="23" t="e">
        <f>F19+'16.04'!G19</f>
        <v>#REF!</v>
      </c>
      <c r="H19" s="33">
        <v>5</v>
      </c>
      <c r="I19" s="34">
        <v>0</v>
      </c>
      <c r="J19" s="23" t="e">
        <f>I19+'16.04'!J19</f>
        <v>#REF!</v>
      </c>
      <c r="K19" s="33">
        <v>4</v>
      </c>
      <c r="L19" s="22">
        <v>0</v>
      </c>
      <c r="M19" s="23" t="e">
        <f>L19+'16.04'!M19</f>
        <v>#REF!</v>
      </c>
      <c r="N19" s="33">
        <v>313</v>
      </c>
      <c r="O19" s="22">
        <v>0</v>
      </c>
      <c r="P19" s="23" t="e">
        <f>O19+'16.04'!P19</f>
        <v>#REF!</v>
      </c>
      <c r="Q19" s="33">
        <v>203</v>
      </c>
      <c r="R19" s="22">
        <v>0</v>
      </c>
      <c r="S19" s="23" t="e">
        <f>R19+'16.04'!S19</f>
        <v>#REF!</v>
      </c>
      <c r="T19" s="33">
        <v>241</v>
      </c>
      <c r="U19" s="22">
        <v>0</v>
      </c>
      <c r="V19" s="23" t="e">
        <f>U19+'16.04'!V19</f>
        <v>#REF!</v>
      </c>
      <c r="W19" s="33">
        <v>14</v>
      </c>
      <c r="X19" s="22">
        <v>18</v>
      </c>
      <c r="Y19" s="23" t="e">
        <f>X19+'16.04'!Y19</f>
        <v>#REF!</v>
      </c>
      <c r="Z19" s="33">
        <v>7</v>
      </c>
      <c r="AA19" s="22">
        <v>0</v>
      </c>
      <c r="AB19" s="23" t="e">
        <f>AA19+'16.04'!AB19</f>
        <v>#REF!</v>
      </c>
      <c r="AC19" s="33">
        <v>32</v>
      </c>
      <c r="AD19" s="22">
        <v>0</v>
      </c>
      <c r="AE19" s="23" t="e">
        <f>AD19+'16.04'!AE19</f>
        <v>#REF!</v>
      </c>
      <c r="AF19" s="19">
        <f t="shared" si="1"/>
        <v>3200</v>
      </c>
      <c r="AG19" s="20" t="e">
        <f t="shared" si="1"/>
        <v>#REF!</v>
      </c>
      <c r="AH19" s="24">
        <v>550</v>
      </c>
      <c r="AI19" s="23" t="e">
        <f>AH19+'16.04'!AI19</f>
        <v>#REF!</v>
      </c>
      <c r="AJ19" s="24">
        <v>550</v>
      </c>
      <c r="AK19" s="23" t="e">
        <f>AJ19+'16.04'!AK19</f>
        <v>#REF!</v>
      </c>
      <c r="AL19" s="22">
        <v>1050</v>
      </c>
      <c r="AM19" s="23" t="e">
        <f>AL19+'16.04'!AM19</f>
        <v>#REF!</v>
      </c>
      <c r="AN19" s="22">
        <v>1050</v>
      </c>
      <c r="AO19" s="23" t="e">
        <f>AN19+'16.04'!AO19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AS19+'16.04'!AT19</f>
        <v>#REF!</v>
      </c>
      <c r="AU19" s="34">
        <v>0</v>
      </c>
      <c r="AV19" s="23" t="e">
        <f>AU19+'16.04'!AV19</f>
        <v>#REF!</v>
      </c>
      <c r="AW19" s="34">
        <v>0</v>
      </c>
      <c r="AX19" s="23" t="e">
        <f>AW19+'16.04'!AX19</f>
        <v>#REF!</v>
      </c>
      <c r="AY19" s="34">
        <v>0</v>
      </c>
      <c r="AZ19" s="23" t="e">
        <f>AY19+'16.04'!AZ19</f>
        <v>#REF!</v>
      </c>
      <c r="BA19" s="34">
        <v>0</v>
      </c>
      <c r="BB19" s="23" t="e">
        <f>BA19+'16.04'!BB19</f>
        <v>#REF!</v>
      </c>
      <c r="BC19" s="19">
        <f t="shared" si="3"/>
        <v>1006</v>
      </c>
      <c r="BD19" s="20" t="e">
        <f t="shared" si="3"/>
        <v>#REF!</v>
      </c>
      <c r="BE19" s="22">
        <v>6</v>
      </c>
      <c r="BF19" s="23" t="e">
        <f>BE19+'16.04'!BF19</f>
        <v>#REF!</v>
      </c>
      <c r="BG19" s="34">
        <v>0</v>
      </c>
      <c r="BH19" s="23" t="e">
        <f>BG19+'16.04'!BH19</f>
        <v>#REF!</v>
      </c>
      <c r="BI19" s="22">
        <v>800</v>
      </c>
      <c r="BJ19" s="23" t="e">
        <f>BI19+'16.04'!BJ19</f>
        <v>#REF!</v>
      </c>
      <c r="BK19" s="22">
        <v>200</v>
      </c>
      <c r="BL19" s="23" t="e">
        <f>BK19+'16.04'!BL19</f>
        <v>#REF!</v>
      </c>
      <c r="BM19" s="22">
        <v>0</v>
      </c>
      <c r="BN19" s="23" t="e">
        <f>BM19+'16.04'!BN19</f>
        <v>#REF!</v>
      </c>
      <c r="BO19" s="36">
        <v>2898</v>
      </c>
      <c r="BP19" s="37">
        <v>0</v>
      </c>
      <c r="BQ19" s="23" t="e">
        <f>BP19+'16.04'!BQ19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391</v>
      </c>
      <c r="D20" s="31" t="e">
        <f t="shared" si="0"/>
        <v>#REF!</v>
      </c>
      <c r="E20" s="32">
        <v>723</v>
      </c>
      <c r="F20" s="22">
        <v>246</v>
      </c>
      <c r="G20" s="23" t="e">
        <f>F20+'16.04'!G20</f>
        <v>#REF!</v>
      </c>
      <c r="H20" s="33">
        <v>5</v>
      </c>
      <c r="I20" s="34">
        <v>1</v>
      </c>
      <c r="J20" s="23" t="e">
        <f>I20+'16.04'!J20</f>
        <v>#REF!</v>
      </c>
      <c r="K20" s="33">
        <v>3</v>
      </c>
      <c r="L20" s="22">
        <v>0</v>
      </c>
      <c r="M20" s="23" t="e">
        <f>L20+'16.04'!M20</f>
        <v>#REF!</v>
      </c>
      <c r="N20" s="33">
        <v>975</v>
      </c>
      <c r="O20" s="22">
        <v>90</v>
      </c>
      <c r="P20" s="23" t="e">
        <f>O20+'16.04'!P20</f>
        <v>#REF!</v>
      </c>
      <c r="Q20" s="61">
        <v>1862</v>
      </c>
      <c r="R20" s="22">
        <v>1</v>
      </c>
      <c r="S20" s="23" t="e">
        <f>R20+'16.04'!S20</f>
        <v>#REF!</v>
      </c>
      <c r="T20" s="33">
        <v>35</v>
      </c>
      <c r="U20" s="22">
        <v>1</v>
      </c>
      <c r="V20" s="23" t="e">
        <f>U20+'16.04'!V20</f>
        <v>#REF!</v>
      </c>
      <c r="W20" s="33">
        <v>64</v>
      </c>
      <c r="X20" s="22">
        <v>4</v>
      </c>
      <c r="Y20" s="23" t="e">
        <f>X20+'16.04'!Y20</f>
        <v>#REF!</v>
      </c>
      <c r="Z20" s="33">
        <v>15</v>
      </c>
      <c r="AA20" s="22">
        <v>1</v>
      </c>
      <c r="AB20" s="23" t="e">
        <f>AA20+'16.04'!AB20</f>
        <v>#REF!</v>
      </c>
      <c r="AC20" s="33">
        <v>1546</v>
      </c>
      <c r="AD20" s="22">
        <v>47</v>
      </c>
      <c r="AE20" s="23" t="e">
        <f>AD20+'16.04'!AE20</f>
        <v>#REF!</v>
      </c>
      <c r="AF20" s="19">
        <f t="shared" si="1"/>
        <v>24492</v>
      </c>
      <c r="AG20" s="20" t="e">
        <f t="shared" si="1"/>
        <v>#REF!</v>
      </c>
      <c r="AH20" s="24">
        <v>12850</v>
      </c>
      <c r="AI20" s="23" t="e">
        <f>AH20+'16.04'!AI20</f>
        <v>#REF!</v>
      </c>
      <c r="AJ20" s="24">
        <v>11042</v>
      </c>
      <c r="AK20" s="23" t="e">
        <f>AJ20+'16.04'!AK20</f>
        <v>#REF!</v>
      </c>
      <c r="AL20" s="22">
        <v>400</v>
      </c>
      <c r="AM20" s="23" t="e">
        <f>AL20+'16.04'!AM20</f>
        <v>#REF!</v>
      </c>
      <c r="AN20" s="22">
        <v>200</v>
      </c>
      <c r="AO20" s="23" t="e">
        <f>AN20+'16.04'!AO20</f>
        <v>#REF!</v>
      </c>
      <c r="AP20" s="28" t="s">
        <v>55</v>
      </c>
      <c r="AQ20" s="19">
        <f t="shared" si="4"/>
        <v>233</v>
      </c>
      <c r="AR20" s="20" t="e">
        <f t="shared" si="2"/>
        <v>#REF!</v>
      </c>
      <c r="AS20" s="34">
        <v>1</v>
      </c>
      <c r="AT20" s="23" t="e">
        <f>AS20+'16.04'!AT20</f>
        <v>#REF!</v>
      </c>
      <c r="AU20" s="34">
        <v>0</v>
      </c>
      <c r="AV20" s="23" t="e">
        <f>AU20+'16.04'!AV20</f>
        <v>#REF!</v>
      </c>
      <c r="AW20" s="34">
        <v>0</v>
      </c>
      <c r="AX20" s="23" t="e">
        <f>AW20+'16.04'!AX20</f>
        <v>#REF!</v>
      </c>
      <c r="AY20" s="34">
        <v>0</v>
      </c>
      <c r="AZ20" s="23" t="e">
        <f>AY20+'16.04'!AZ20</f>
        <v>#REF!</v>
      </c>
      <c r="BA20" s="34">
        <v>232</v>
      </c>
      <c r="BB20" s="23" t="e">
        <f>BA20+'16.04'!BB20</f>
        <v>#REF!</v>
      </c>
      <c r="BC20" s="19">
        <f t="shared" si="3"/>
        <v>4556</v>
      </c>
      <c r="BD20" s="20" t="e">
        <f t="shared" si="3"/>
        <v>#REF!</v>
      </c>
      <c r="BE20" s="22">
        <v>452</v>
      </c>
      <c r="BF20" s="23" t="e">
        <f>BE20+'16.04'!BF20</f>
        <v>#REF!</v>
      </c>
      <c r="BG20" s="34">
        <v>0</v>
      </c>
      <c r="BH20" s="23" t="e">
        <f>BG20+'16.04'!BH20</f>
        <v>#REF!</v>
      </c>
      <c r="BI20" s="22">
        <v>2094</v>
      </c>
      <c r="BJ20" s="23" t="e">
        <f>BI20+'16.04'!BJ20</f>
        <v>#REF!</v>
      </c>
      <c r="BK20" s="22">
        <v>2010</v>
      </c>
      <c r="BL20" s="23" t="e">
        <f>BK20+'16.04'!BL20</f>
        <v>#REF!</v>
      </c>
      <c r="BM20" s="22">
        <v>0</v>
      </c>
      <c r="BN20" s="23" t="e">
        <f>BM20+'16.04'!BN20</f>
        <v>#REF!</v>
      </c>
      <c r="BO20" s="36">
        <v>5854</v>
      </c>
      <c r="BP20" s="37">
        <v>0</v>
      </c>
      <c r="BQ20" s="23" t="e">
        <f>BP20+'16.04'!BQ20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269</v>
      </c>
      <c r="D21" s="31" t="e">
        <f t="shared" si="0"/>
        <v>#REF!</v>
      </c>
      <c r="E21" s="32">
        <v>1017</v>
      </c>
      <c r="F21" s="22">
        <v>250</v>
      </c>
      <c r="G21" s="23" t="e">
        <f>F21+'16.04'!G21</f>
        <v>#REF!</v>
      </c>
      <c r="H21" s="33">
        <v>8</v>
      </c>
      <c r="I21" s="34">
        <v>2</v>
      </c>
      <c r="J21" s="23" t="e">
        <f>I21+'16.04'!J21</f>
        <v>#REF!</v>
      </c>
      <c r="K21" s="33">
        <v>4</v>
      </c>
      <c r="L21" s="22">
        <v>0</v>
      </c>
      <c r="M21" s="23" t="e">
        <f>L21+'16.04'!M21</f>
        <v>#REF!</v>
      </c>
      <c r="N21" s="33">
        <v>963</v>
      </c>
      <c r="O21" s="22">
        <v>0</v>
      </c>
      <c r="P21" s="23" t="e">
        <f>O21+'16.04'!P21</f>
        <v>#REF!</v>
      </c>
      <c r="Q21" s="33">
        <v>912</v>
      </c>
      <c r="R21" s="22">
        <v>0</v>
      </c>
      <c r="S21" s="23" t="e">
        <f>R21+'16.04'!S21</f>
        <v>#REF!</v>
      </c>
      <c r="T21" s="33">
        <v>199</v>
      </c>
      <c r="U21" s="22">
        <v>2</v>
      </c>
      <c r="V21" s="23" t="e">
        <f>U21+'16.04'!V21</f>
        <v>#REF!</v>
      </c>
      <c r="W21" s="33">
        <v>101</v>
      </c>
      <c r="X21" s="22">
        <v>10</v>
      </c>
      <c r="Y21" s="23" t="e">
        <f>X21+'16.04'!Y21</f>
        <v>#REF!</v>
      </c>
      <c r="Z21" s="33">
        <v>42</v>
      </c>
      <c r="AA21" s="22">
        <v>0</v>
      </c>
      <c r="AB21" s="23" t="e">
        <f>AA21+'16.04'!AB21</f>
        <v>#REF!</v>
      </c>
      <c r="AC21" s="33">
        <v>20</v>
      </c>
      <c r="AD21" s="22">
        <v>5</v>
      </c>
      <c r="AE21" s="23" t="e">
        <f>AD21+'16.04'!AE21</f>
        <v>#REF!</v>
      </c>
      <c r="AF21" s="19">
        <f t="shared" si="1"/>
        <v>1737000</v>
      </c>
      <c r="AG21" s="20" t="e">
        <f t="shared" si="1"/>
        <v>#REF!</v>
      </c>
      <c r="AH21" s="24">
        <v>1500</v>
      </c>
      <c r="AI21" s="23" t="e">
        <f>AH21+'16.04'!AI21</f>
        <v>#REF!</v>
      </c>
      <c r="AJ21" s="24">
        <v>235500</v>
      </c>
      <c r="AK21" s="23" t="e">
        <f>AJ21+'16.04'!AK21</f>
        <v>#REF!</v>
      </c>
      <c r="AL21" s="22">
        <v>8000</v>
      </c>
      <c r="AM21" s="23" t="e">
        <f>AL21+'16.04'!AM21</f>
        <v>#REF!</v>
      </c>
      <c r="AN21" s="22">
        <v>1492000</v>
      </c>
      <c r="AO21" s="23" t="e">
        <f>AN21+'16.04'!AO21</f>
        <v>#REF!</v>
      </c>
      <c r="AP21" s="28" t="s">
        <v>58</v>
      </c>
      <c r="AQ21" s="19">
        <f t="shared" si="4"/>
        <v>8</v>
      </c>
      <c r="AR21" s="20" t="e">
        <f t="shared" si="2"/>
        <v>#REF!</v>
      </c>
      <c r="AS21" s="34">
        <v>0</v>
      </c>
      <c r="AT21" s="23" t="e">
        <f>AS21+'16.04'!AT21</f>
        <v>#REF!</v>
      </c>
      <c r="AU21" s="34">
        <v>4</v>
      </c>
      <c r="AV21" s="23" t="e">
        <f>AU21+'16.04'!AV21</f>
        <v>#REF!</v>
      </c>
      <c r="AW21" s="34">
        <v>0</v>
      </c>
      <c r="AX21" s="23" t="e">
        <f>AW21+'16.04'!AX21</f>
        <v>#REF!</v>
      </c>
      <c r="AY21" s="34">
        <v>4</v>
      </c>
      <c r="AZ21" s="23" t="e">
        <f>AY21+'16.04'!AZ21</f>
        <v>#REF!</v>
      </c>
      <c r="BA21" s="34">
        <v>0</v>
      </c>
      <c r="BB21" s="23" t="e">
        <f>BA21+'16.04'!BB21</f>
        <v>#REF!</v>
      </c>
      <c r="BC21" s="19">
        <f t="shared" si="3"/>
        <v>8040</v>
      </c>
      <c r="BD21" s="20" t="e">
        <f t="shared" si="3"/>
        <v>#REF!</v>
      </c>
      <c r="BE21" s="22">
        <v>40</v>
      </c>
      <c r="BF21" s="23" t="e">
        <f>BE21+'16.04'!BF21</f>
        <v>#REF!</v>
      </c>
      <c r="BG21" s="34">
        <v>0</v>
      </c>
      <c r="BH21" s="23" t="e">
        <f>BG21+'16.04'!BH21</f>
        <v>#REF!</v>
      </c>
      <c r="BI21" s="22">
        <v>8000</v>
      </c>
      <c r="BJ21" s="23" t="e">
        <f>BI21+'16.04'!BJ21</f>
        <v>#REF!</v>
      </c>
      <c r="BK21" s="22">
        <v>0</v>
      </c>
      <c r="BL21" s="23" t="e">
        <f>BK21+'16.04'!BL21</f>
        <v>#REF!</v>
      </c>
      <c r="BM21" s="22">
        <v>0</v>
      </c>
      <c r="BN21" s="23" t="e">
        <f>BM21+'16.04'!BN21</f>
        <v>#REF!</v>
      </c>
      <c r="BO21" s="36">
        <v>68</v>
      </c>
      <c r="BP21" s="37">
        <v>1</v>
      </c>
      <c r="BQ21" s="23" t="e">
        <f>BP21+'16.04'!BQ21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1965</v>
      </c>
      <c r="D22" s="31" t="e">
        <f t="shared" si="0"/>
        <v>#REF!</v>
      </c>
      <c r="E22" s="32">
        <v>509</v>
      </c>
      <c r="F22" s="22">
        <v>299</v>
      </c>
      <c r="G22" s="23" t="e">
        <f>F22+'16.04'!G22</f>
        <v>#REF!</v>
      </c>
      <c r="H22" s="33">
        <v>8</v>
      </c>
      <c r="I22" s="34">
        <v>4</v>
      </c>
      <c r="J22" s="23" t="e">
        <f>I22+'16.04'!J22</f>
        <v>#REF!</v>
      </c>
      <c r="K22" s="33">
        <v>21</v>
      </c>
      <c r="L22" s="22">
        <v>0</v>
      </c>
      <c r="M22" s="23" t="e">
        <f>L22+'16.04'!M22</f>
        <v>#REF!</v>
      </c>
      <c r="N22" s="33">
        <v>560</v>
      </c>
      <c r="O22" s="22">
        <v>25</v>
      </c>
      <c r="P22" s="23" t="e">
        <f>O22+'16.04'!P22</f>
        <v>#REF!</v>
      </c>
      <c r="Q22" s="33">
        <v>375</v>
      </c>
      <c r="R22" s="22">
        <v>25</v>
      </c>
      <c r="S22" s="23" t="e">
        <f>R22+'16.04'!S22</f>
        <v>#REF!</v>
      </c>
      <c r="T22" s="33">
        <v>165</v>
      </c>
      <c r="U22" s="22">
        <v>27</v>
      </c>
      <c r="V22" s="23" t="e">
        <f>U22+'16.04'!V22</f>
        <v>#REF!</v>
      </c>
      <c r="W22" s="33">
        <v>28</v>
      </c>
      <c r="X22" s="22">
        <v>83</v>
      </c>
      <c r="Y22" s="23" t="e">
        <f>X22+'16.04'!Y22</f>
        <v>#REF!</v>
      </c>
      <c r="Z22" s="33">
        <v>9</v>
      </c>
      <c r="AA22" s="22">
        <v>0</v>
      </c>
      <c r="AB22" s="23" t="e">
        <f>AA22+'16.04'!AB22</f>
        <v>#REF!</v>
      </c>
      <c r="AC22" s="33">
        <v>112</v>
      </c>
      <c r="AD22" s="22">
        <v>1502</v>
      </c>
      <c r="AE22" s="23" t="e">
        <f>AD22+'16.04'!AE22</f>
        <v>#REF!</v>
      </c>
      <c r="AF22" s="19">
        <f t="shared" si="1"/>
        <v>45986</v>
      </c>
      <c r="AG22" s="20" t="e">
        <f t="shared" si="1"/>
        <v>#REF!</v>
      </c>
      <c r="AH22" s="24">
        <v>874</v>
      </c>
      <c r="AI22" s="23" t="e">
        <f>AH22+'16.04'!AI22</f>
        <v>#REF!</v>
      </c>
      <c r="AJ22" s="24">
        <v>9000</v>
      </c>
      <c r="AK22" s="23" t="e">
        <f>AJ22+'16.04'!AK22</f>
        <v>#REF!</v>
      </c>
      <c r="AL22" s="22">
        <v>112</v>
      </c>
      <c r="AM22" s="23" t="e">
        <f>AL22+'16.04'!AM22</f>
        <v>#REF!</v>
      </c>
      <c r="AN22" s="22">
        <v>36000</v>
      </c>
      <c r="AO22" s="23" t="e">
        <f>AN22+'16.04'!AO22</f>
        <v>#REF!</v>
      </c>
      <c r="AP22" s="28" t="s">
        <v>59</v>
      </c>
      <c r="AQ22" s="19">
        <f t="shared" si="4"/>
        <v>1836</v>
      </c>
      <c r="AR22" s="20" t="e">
        <f t="shared" si="2"/>
        <v>#REF!</v>
      </c>
      <c r="AS22" s="34">
        <v>0</v>
      </c>
      <c r="AT22" s="23" t="e">
        <f>AS22+'16.04'!AT22</f>
        <v>#REF!</v>
      </c>
      <c r="AU22" s="34">
        <v>0</v>
      </c>
      <c r="AV22" s="23" t="e">
        <f>AU22+'16.04'!AV22</f>
        <v>#REF!</v>
      </c>
      <c r="AW22" s="34">
        <v>0</v>
      </c>
      <c r="AX22" s="23" t="e">
        <f>AW22+'16.04'!AX22</f>
        <v>#REF!</v>
      </c>
      <c r="AY22" s="34">
        <v>0</v>
      </c>
      <c r="AZ22" s="23" t="e">
        <f>AY22+'16.04'!AZ22</f>
        <v>#REF!</v>
      </c>
      <c r="BA22" s="34">
        <v>1836</v>
      </c>
      <c r="BB22" s="23" t="e">
        <f>BA22+'16.04'!BB22</f>
        <v>#REF!</v>
      </c>
      <c r="BC22" s="19">
        <f t="shared" si="3"/>
        <v>7038</v>
      </c>
      <c r="BD22" s="20" t="e">
        <f t="shared" si="3"/>
        <v>#REF!</v>
      </c>
      <c r="BE22" s="22">
        <v>6</v>
      </c>
      <c r="BF22" s="23" t="e">
        <f>BE22+'16.04'!BF22</f>
        <v>#REF!</v>
      </c>
      <c r="BG22" s="34">
        <v>5</v>
      </c>
      <c r="BH22" s="23" t="e">
        <f>BG22+'16.04'!BH22</f>
        <v>#REF!</v>
      </c>
      <c r="BI22" s="22">
        <v>7019</v>
      </c>
      <c r="BJ22" s="23" t="e">
        <f>BI22+'16.04'!BJ22</f>
        <v>#REF!</v>
      </c>
      <c r="BK22" s="22">
        <v>8</v>
      </c>
      <c r="BL22" s="23" t="e">
        <f>BK22+'16.04'!BL22</f>
        <v>#REF!</v>
      </c>
      <c r="BM22" s="22">
        <v>0</v>
      </c>
      <c r="BN22" s="23" t="e">
        <f>BM22+'16.04'!BN22</f>
        <v>#REF!</v>
      </c>
      <c r="BO22" s="36">
        <v>26</v>
      </c>
      <c r="BP22" s="37">
        <v>3</v>
      </c>
      <c r="BQ22" s="23" t="e">
        <f>BP22+'16.04'!BQ22</f>
        <v>#REF!</v>
      </c>
    </row>
    <row r="23" spans="1:73" ht="27.75" customHeight="1">
      <c r="A23" s="62" t="s">
        <v>12</v>
      </c>
      <c r="B23" s="63">
        <f t="shared" si="0"/>
        <v>94982</v>
      </c>
      <c r="C23" s="64">
        <f t="shared" si="0"/>
        <v>4509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1767</v>
      </c>
      <c r="G23" s="68" t="e">
        <f>SUM(G8:G22)</f>
        <v>#REF!</v>
      </c>
      <c r="H23" s="66">
        <f>+H18+H19+H22+H17+H16+H15+H14+H13+H12+H11+H10+H9+H8</f>
        <v>262</v>
      </c>
      <c r="I23" s="67">
        <f>SUM(I8:I22)</f>
        <v>14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1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176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36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32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646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1834</v>
      </c>
      <c r="AE23" s="68" t="e">
        <f t="shared" si="5"/>
        <v>#REF!</v>
      </c>
      <c r="AF23" s="64">
        <f t="shared" si="5"/>
        <v>4181983</v>
      </c>
      <c r="AG23" s="64" t="e">
        <f t="shared" si="5"/>
        <v>#REF!</v>
      </c>
      <c r="AH23" s="67">
        <f t="shared" si="5"/>
        <v>43740</v>
      </c>
      <c r="AI23" s="68" t="e">
        <f t="shared" si="5"/>
        <v>#REF!</v>
      </c>
      <c r="AJ23" s="67">
        <f t="shared" si="5"/>
        <v>339632</v>
      </c>
      <c r="AK23" s="68" t="e">
        <f t="shared" si="5"/>
        <v>#REF!</v>
      </c>
      <c r="AL23" s="67">
        <f t="shared" si="5"/>
        <v>774540</v>
      </c>
      <c r="AM23" s="68" t="e">
        <f t="shared" si="5"/>
        <v>#REF!</v>
      </c>
      <c r="AN23" s="67">
        <f t="shared" si="5"/>
        <v>3024071</v>
      </c>
      <c r="AO23" s="68" t="e">
        <f t="shared" si="5"/>
        <v>#REF!</v>
      </c>
      <c r="AP23" s="62" t="s">
        <v>12</v>
      </c>
      <c r="AQ23" s="64">
        <f t="shared" ref="AQ23:BP23" si="6">SUM(AQ8:AQ22)</f>
        <v>2317</v>
      </c>
      <c r="AR23" s="64" t="e">
        <f t="shared" si="6"/>
        <v>#REF!</v>
      </c>
      <c r="AS23" s="67">
        <f t="shared" si="6"/>
        <v>4</v>
      </c>
      <c r="AT23" s="68" t="e">
        <f t="shared" si="6"/>
        <v>#REF!</v>
      </c>
      <c r="AU23" s="67">
        <f t="shared" si="6"/>
        <v>7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4</v>
      </c>
      <c r="AZ23" s="68" t="e">
        <f t="shared" si="6"/>
        <v>#REF!</v>
      </c>
      <c r="BA23" s="67">
        <f t="shared" si="6"/>
        <v>2302</v>
      </c>
      <c r="BB23" s="68" t="e">
        <f t="shared" si="6"/>
        <v>#REF!</v>
      </c>
      <c r="BC23" s="64">
        <f t="shared" si="6"/>
        <v>66391</v>
      </c>
      <c r="BD23" s="64" t="e">
        <f t="shared" si="6"/>
        <v>#REF!</v>
      </c>
      <c r="BE23" s="67">
        <f t="shared" si="6"/>
        <v>1817</v>
      </c>
      <c r="BF23" s="68" t="e">
        <f t="shared" si="6"/>
        <v>#REF!</v>
      </c>
      <c r="BG23" s="67">
        <f t="shared" si="6"/>
        <v>51</v>
      </c>
      <c r="BH23" s="68" t="e">
        <f t="shared" si="6"/>
        <v>#REF!</v>
      </c>
      <c r="BI23" s="67">
        <f t="shared" si="6"/>
        <v>59562</v>
      </c>
      <c r="BJ23" s="68" t="e">
        <f t="shared" si="6"/>
        <v>#REF!</v>
      </c>
      <c r="BK23" s="67">
        <f t="shared" si="6"/>
        <v>4961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27</v>
      </c>
      <c r="BQ23" s="23">
        <f>BP23+'16.04'!BP23</f>
        <v>36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BU23"/>
  <sheetViews>
    <sheetView zoomScale="115" zoomScaleNormal="115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85546875" customWidth="1"/>
    <col min="5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F9+'17.04'!G9</f>
        <v>#REF!</v>
      </c>
      <c r="H9" s="33">
        <v>12</v>
      </c>
      <c r="I9" s="34">
        <v>1</v>
      </c>
      <c r="J9" s="23" t="e">
        <f>I9+'17.04'!J9</f>
        <v>#REF!</v>
      </c>
      <c r="K9" s="33">
        <v>2</v>
      </c>
      <c r="L9" s="22">
        <v>0</v>
      </c>
      <c r="M9" s="23" t="e">
        <f>L9+'17.04'!M9</f>
        <v>#REF!</v>
      </c>
      <c r="N9" s="33">
        <v>735</v>
      </c>
      <c r="O9" s="22">
        <v>0</v>
      </c>
      <c r="P9" s="23" t="e">
        <f>O9+'17.04'!P9</f>
        <v>#REF!</v>
      </c>
      <c r="Q9" s="33">
        <v>502</v>
      </c>
      <c r="R9" s="22">
        <v>0</v>
      </c>
      <c r="S9" s="23" t="e">
        <f>R9+'17.04'!S9</f>
        <v>#REF!</v>
      </c>
      <c r="T9" s="33">
        <v>197</v>
      </c>
      <c r="U9" s="22">
        <v>0</v>
      </c>
      <c r="V9" s="23" t="e">
        <f>U9+'17.04'!V9</f>
        <v>#REF!</v>
      </c>
      <c r="W9" s="33">
        <v>47</v>
      </c>
      <c r="X9" s="22">
        <v>0</v>
      </c>
      <c r="Y9" s="23" t="e">
        <f>X9+'17.04'!Y9</f>
        <v>#REF!</v>
      </c>
      <c r="Z9" s="33">
        <v>34</v>
      </c>
      <c r="AA9" s="22">
        <v>0</v>
      </c>
      <c r="AB9" s="23" t="e">
        <f>AA9+'17.04'!AB9</f>
        <v>#REF!</v>
      </c>
      <c r="AC9" s="33">
        <v>1860</v>
      </c>
      <c r="AD9" s="22">
        <v>0</v>
      </c>
      <c r="AE9" s="23" t="e">
        <f>AD9+'17.04'!AE9</f>
        <v>#REF!</v>
      </c>
      <c r="AF9" s="19">
        <f t="shared" ref="AF9:AG22" si="1">AH9+AJ9+AL9+AN9</f>
        <v>7856</v>
      </c>
      <c r="AG9" s="20" t="e">
        <f t="shared" si="1"/>
        <v>#REF!</v>
      </c>
      <c r="AH9" s="24">
        <v>58</v>
      </c>
      <c r="AI9" s="23" t="e">
        <f>AH9+'17.04'!AI9</f>
        <v>#REF!</v>
      </c>
      <c r="AJ9" s="24">
        <v>198</v>
      </c>
      <c r="AK9" s="23" t="e">
        <f>AJ9+'17.04'!AK9</f>
        <v>#REF!</v>
      </c>
      <c r="AL9" s="22">
        <v>3100</v>
      </c>
      <c r="AM9" s="23" t="e">
        <f>AL9+'17.04'!AM9</f>
        <v>#REF!</v>
      </c>
      <c r="AN9" s="22">
        <v>4500</v>
      </c>
      <c r="AO9" s="23" t="e">
        <f>AN9+'17.04'!AO9</f>
        <v>#REF!</v>
      </c>
      <c r="AP9" s="28" t="s">
        <v>43</v>
      </c>
      <c r="AQ9" s="19">
        <f t="shared" ref="AQ9:AR22" si="2">AS9+AU9+AW9+AY9+BA9</f>
        <v>63</v>
      </c>
      <c r="AR9" s="20" t="e">
        <f t="shared" si="2"/>
        <v>#REF!</v>
      </c>
      <c r="AS9" s="34">
        <v>1</v>
      </c>
      <c r="AT9" s="23" t="e">
        <f>AS9+'17.04'!AT9</f>
        <v>#REF!</v>
      </c>
      <c r="AU9" s="34">
        <v>0</v>
      </c>
      <c r="AV9" s="23" t="e">
        <f>AU9+'17.04'!AV9</f>
        <v>#REF!</v>
      </c>
      <c r="AW9" s="34">
        <v>0</v>
      </c>
      <c r="AX9" s="23" t="e">
        <f>AW9+'17.04'!AX9</f>
        <v>#REF!</v>
      </c>
      <c r="AY9" s="34">
        <v>0</v>
      </c>
      <c r="AZ9" s="23" t="e">
        <f>AY9+'17.04'!AZ9</f>
        <v>#REF!</v>
      </c>
      <c r="BA9" s="34">
        <v>62</v>
      </c>
      <c r="BB9" s="23" t="e">
        <f>BA9+'17.04'!BB9</f>
        <v>#REF!</v>
      </c>
      <c r="BC9" s="19">
        <f t="shared" ref="BC9:BD22" si="3">BE9+BG9+BI9+BK9+BM9</f>
        <v>381</v>
      </c>
      <c r="BD9" s="20" t="e">
        <f t="shared" si="3"/>
        <v>#REF!</v>
      </c>
      <c r="BE9" s="22">
        <v>1</v>
      </c>
      <c r="BF9" s="23" t="e">
        <f>BE9+'17.04'!BF9</f>
        <v>#REF!</v>
      </c>
      <c r="BG9" s="34">
        <v>0</v>
      </c>
      <c r="BH9" s="23" t="e">
        <f>BG9+'17.04'!BH9</f>
        <v>#REF!</v>
      </c>
      <c r="BI9" s="22">
        <v>380</v>
      </c>
      <c r="BJ9" s="23" t="e">
        <f>BI9+'17.04'!BJ9</f>
        <v>#REF!</v>
      </c>
      <c r="BK9" s="22">
        <v>0</v>
      </c>
      <c r="BL9" s="23" t="e">
        <f>BK9+'17.04'!BL9</f>
        <v>#REF!</v>
      </c>
      <c r="BM9" s="22">
        <v>0</v>
      </c>
      <c r="BN9" s="23" t="e">
        <f>BM9+'17.04'!BN9</f>
        <v>#REF!</v>
      </c>
      <c r="BO9" s="36">
        <v>14</v>
      </c>
      <c r="BP9" s="37">
        <v>0</v>
      </c>
      <c r="BQ9" s="23" t="e">
        <f>BP9+'17.04'!BQ9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177</v>
      </c>
      <c r="D10" s="31" t="e">
        <f t="shared" si="0"/>
        <v>#REF!</v>
      </c>
      <c r="E10" s="32">
        <v>585</v>
      </c>
      <c r="F10" s="22">
        <v>4</v>
      </c>
      <c r="G10" s="23" t="e">
        <f>F10+'17.04'!G10</f>
        <v>#REF!</v>
      </c>
      <c r="H10" s="33">
        <v>93</v>
      </c>
      <c r="I10" s="34">
        <v>1</v>
      </c>
      <c r="J10" s="23" t="e">
        <f>I10+'17.04'!J10</f>
        <v>#REF!</v>
      </c>
      <c r="K10" s="33">
        <v>34</v>
      </c>
      <c r="L10" s="22">
        <v>0</v>
      </c>
      <c r="M10" s="23" t="e">
        <f>L10+'17.04'!M10</f>
        <v>#REF!</v>
      </c>
      <c r="N10" s="33">
        <v>352</v>
      </c>
      <c r="O10" s="22">
        <v>6</v>
      </c>
      <c r="P10" s="23" t="e">
        <f>O10+'17.04'!P10</f>
        <v>#REF!</v>
      </c>
      <c r="Q10" s="33">
        <v>549</v>
      </c>
      <c r="R10" s="22">
        <v>0</v>
      </c>
      <c r="S10" s="23" t="e">
        <f>R10+'17.04'!S10</f>
        <v>#REF!</v>
      </c>
      <c r="T10" s="33">
        <v>198</v>
      </c>
      <c r="U10" s="22">
        <v>14</v>
      </c>
      <c r="V10" s="23" t="e">
        <f>U10+'17.04'!V10</f>
        <v>#REF!</v>
      </c>
      <c r="W10" s="38">
        <v>55</v>
      </c>
      <c r="X10" s="22">
        <v>8</v>
      </c>
      <c r="Y10" s="23" t="e">
        <f>X10+'17.04'!Y10</f>
        <v>#REF!</v>
      </c>
      <c r="Z10" s="38">
        <v>71</v>
      </c>
      <c r="AA10" s="22">
        <v>0</v>
      </c>
      <c r="AB10" s="23" t="e">
        <f>AA10+'17.04'!AB10</f>
        <v>#REF!</v>
      </c>
      <c r="AC10" s="38">
        <v>1690</v>
      </c>
      <c r="AD10" s="22">
        <v>144</v>
      </c>
      <c r="AE10" s="23" t="e">
        <f>AD10+'17.04'!AE10</f>
        <v>#REF!</v>
      </c>
      <c r="AF10" s="19">
        <f t="shared" si="1"/>
        <v>92493</v>
      </c>
      <c r="AG10" s="20" t="e">
        <f t="shared" si="1"/>
        <v>#REF!</v>
      </c>
      <c r="AH10" s="24">
        <v>1540</v>
      </c>
      <c r="AI10" s="23" t="e">
        <f>AH10+'17.04'!AI10</f>
        <v>#REF!</v>
      </c>
      <c r="AJ10" s="24">
        <v>3537</v>
      </c>
      <c r="AK10" s="23" t="e">
        <f>AJ10+'17.04'!AK10</f>
        <v>#REF!</v>
      </c>
      <c r="AL10" s="22">
        <v>15017</v>
      </c>
      <c r="AM10" s="23" t="e">
        <f>AL10+'17.04'!AM10</f>
        <v>#REF!</v>
      </c>
      <c r="AN10" s="22">
        <v>72399</v>
      </c>
      <c r="AO10" s="23" t="e">
        <f>AN10+'17.04'!AO10</f>
        <v>#REF!</v>
      </c>
      <c r="AP10" s="28" t="s">
        <v>44</v>
      </c>
      <c r="AQ10" s="19">
        <f t="shared" si="2"/>
        <v>5</v>
      </c>
      <c r="AR10" s="20" t="e">
        <f t="shared" si="2"/>
        <v>#REF!</v>
      </c>
      <c r="AS10" s="34">
        <v>0</v>
      </c>
      <c r="AT10" s="23" t="e">
        <f>AS10+'17.04'!AT10</f>
        <v>#REF!</v>
      </c>
      <c r="AU10" s="34">
        <v>0</v>
      </c>
      <c r="AV10" s="23" t="e">
        <f>AU10+'17.04'!AV10</f>
        <v>#REF!</v>
      </c>
      <c r="AW10" s="34">
        <v>0</v>
      </c>
      <c r="AX10" s="23" t="e">
        <f>AW10+'17.04'!AX10</f>
        <v>#REF!</v>
      </c>
      <c r="AY10" s="34">
        <v>0</v>
      </c>
      <c r="AZ10" s="23" t="e">
        <f>AY10+'17.04'!AZ10</f>
        <v>#REF!</v>
      </c>
      <c r="BA10" s="34">
        <v>5</v>
      </c>
      <c r="BB10" s="23" t="e">
        <f>BA10+'17.04'!BB10</f>
        <v>#REF!</v>
      </c>
      <c r="BC10" s="19">
        <f t="shared" si="3"/>
        <v>9704</v>
      </c>
      <c r="BD10" s="20" t="e">
        <f t="shared" si="3"/>
        <v>#REF!</v>
      </c>
      <c r="BE10" s="22">
        <v>542</v>
      </c>
      <c r="BF10" s="23" t="e">
        <f>BE10+'17.04'!BF10</f>
        <v>#REF!</v>
      </c>
      <c r="BG10" s="34">
        <v>1</v>
      </c>
      <c r="BH10" s="23" t="e">
        <f>BG10+'17.04'!BH10</f>
        <v>#REF!</v>
      </c>
      <c r="BI10" s="22">
        <v>3757</v>
      </c>
      <c r="BJ10" s="23" t="e">
        <f>BI10+'17.04'!BJ10</f>
        <v>#REF!</v>
      </c>
      <c r="BK10" s="22">
        <v>5404</v>
      </c>
      <c r="BL10" s="23" t="e">
        <f>BK10+'17.04'!BL10</f>
        <v>#REF!</v>
      </c>
      <c r="BM10" s="22">
        <v>0</v>
      </c>
      <c r="BN10" s="23" t="e">
        <f>BM10+'17.04'!BN10</f>
        <v>#REF!</v>
      </c>
      <c r="BO10" s="36">
        <v>32</v>
      </c>
      <c r="BP10" s="37">
        <v>0</v>
      </c>
      <c r="BQ10" s="23" t="e">
        <f>BP10+'17.04'!BQ10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68</v>
      </c>
      <c r="D11" s="31" t="e">
        <f t="shared" si="0"/>
        <v>#REF!</v>
      </c>
      <c r="E11" s="32">
        <v>883</v>
      </c>
      <c r="F11" s="22">
        <v>27</v>
      </c>
      <c r="G11" s="23" t="e">
        <f>F11+'17.04'!G11</f>
        <v>#REF!</v>
      </c>
      <c r="H11" s="33">
        <v>16</v>
      </c>
      <c r="I11" s="34">
        <v>0</v>
      </c>
      <c r="J11" s="23" t="e">
        <f>I11+'17.04'!J11</f>
        <v>#REF!</v>
      </c>
      <c r="K11" s="33">
        <v>3</v>
      </c>
      <c r="L11" s="22">
        <v>0</v>
      </c>
      <c r="M11" s="23" t="e">
        <f>L11+'17.04'!M11</f>
        <v>#REF!</v>
      </c>
      <c r="N11" s="33">
        <v>875</v>
      </c>
      <c r="O11" s="22">
        <v>0</v>
      </c>
      <c r="P11" s="23" t="e">
        <f>O11+'17.04'!P11</f>
        <v>#REF!</v>
      </c>
      <c r="Q11" s="33">
        <v>2424</v>
      </c>
      <c r="R11" s="22">
        <v>0</v>
      </c>
      <c r="S11" s="23" t="e">
        <f>R11+'17.04'!S11</f>
        <v>#REF!</v>
      </c>
      <c r="T11" s="33">
        <v>69</v>
      </c>
      <c r="U11" s="22">
        <v>0</v>
      </c>
      <c r="V11" s="23" t="e">
        <f>U11+'17.04'!V11</f>
        <v>#REF!</v>
      </c>
      <c r="W11" s="38">
        <v>133</v>
      </c>
      <c r="X11" s="22">
        <v>37</v>
      </c>
      <c r="Y11" s="23" t="e">
        <f>X11+'17.04'!Y11</f>
        <v>#REF!</v>
      </c>
      <c r="Z11" s="38">
        <v>1116</v>
      </c>
      <c r="AA11" s="22">
        <v>0</v>
      </c>
      <c r="AB11" s="23" t="e">
        <f>AA11+'17.04'!AB11</f>
        <v>#REF!</v>
      </c>
      <c r="AC11" s="38">
        <v>9862</v>
      </c>
      <c r="AD11" s="22">
        <v>4</v>
      </c>
      <c r="AE11" s="23" t="e">
        <f>AD11+'17.04'!AE11</f>
        <v>#REF!</v>
      </c>
      <c r="AF11" s="19">
        <f t="shared" si="1"/>
        <v>99400</v>
      </c>
      <c r="AG11" s="20" t="e">
        <f t="shared" si="1"/>
        <v>#REF!</v>
      </c>
      <c r="AH11" s="24">
        <v>4200</v>
      </c>
      <c r="AI11" s="23" t="e">
        <f>AH11+'17.04'!AI11</f>
        <v>#REF!</v>
      </c>
      <c r="AJ11" s="24">
        <v>7200</v>
      </c>
      <c r="AK11" s="23" t="e">
        <f>AJ11+'17.04'!AK11</f>
        <v>#REF!</v>
      </c>
      <c r="AL11" s="22">
        <v>23000</v>
      </c>
      <c r="AM11" s="23" t="e">
        <f>AL11+'17.04'!AM11</f>
        <v>#REF!</v>
      </c>
      <c r="AN11" s="22">
        <v>65000</v>
      </c>
      <c r="AO11" s="23" t="e">
        <f>AN11+'17.04'!AO11</f>
        <v>#REF!</v>
      </c>
      <c r="AP11" s="28" t="s">
        <v>45</v>
      </c>
      <c r="AQ11" s="19">
        <f t="shared" si="2"/>
        <v>5</v>
      </c>
      <c r="AR11" s="20" t="e">
        <f t="shared" si="2"/>
        <v>#REF!</v>
      </c>
      <c r="AS11" s="34">
        <v>0</v>
      </c>
      <c r="AT11" s="23" t="e">
        <f>AS11+'17.04'!AT11</f>
        <v>#REF!</v>
      </c>
      <c r="AU11" s="34">
        <v>0</v>
      </c>
      <c r="AV11" s="23" t="e">
        <f>AU11+'17.04'!AV11</f>
        <v>#REF!</v>
      </c>
      <c r="AW11" s="34">
        <v>0</v>
      </c>
      <c r="AX11" s="23" t="e">
        <f>AW11+'17.04'!AX11</f>
        <v>#REF!</v>
      </c>
      <c r="AY11" s="34">
        <v>0</v>
      </c>
      <c r="AZ11" s="23" t="e">
        <f>AY11+'17.04'!AZ11</f>
        <v>#REF!</v>
      </c>
      <c r="BA11" s="34">
        <v>5</v>
      </c>
      <c r="BB11" s="23" t="e">
        <f>BA11+'17.04'!BB11</f>
        <v>#REF!</v>
      </c>
      <c r="BC11" s="19">
        <f t="shared" si="3"/>
        <v>3807</v>
      </c>
      <c r="BD11" s="20" t="e">
        <f t="shared" si="3"/>
        <v>#REF!</v>
      </c>
      <c r="BE11" s="22">
        <v>6</v>
      </c>
      <c r="BF11" s="23" t="e">
        <f>BE11+'17.04'!BF11</f>
        <v>#REF!</v>
      </c>
      <c r="BG11" s="34">
        <v>3</v>
      </c>
      <c r="BH11" s="23" t="e">
        <f>BG11+'17.04'!BH11</f>
        <v>#REF!</v>
      </c>
      <c r="BI11" s="22">
        <v>3700</v>
      </c>
      <c r="BJ11" s="23" t="e">
        <f>BI11+'17.04'!BJ11</f>
        <v>#REF!</v>
      </c>
      <c r="BK11" s="22">
        <v>98</v>
      </c>
      <c r="BL11" s="23" t="e">
        <f>BK11+'17.04'!BL11</f>
        <v>#REF!</v>
      </c>
      <c r="BM11" s="22">
        <v>0</v>
      </c>
      <c r="BN11" s="23" t="e">
        <f>BM11+'17.04'!BN11</f>
        <v>#REF!</v>
      </c>
      <c r="BO11" s="36">
        <v>11506</v>
      </c>
      <c r="BP11" s="37">
        <v>4</v>
      </c>
      <c r="BQ11" s="23" t="e">
        <f>BP11+'17.04'!BQ11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0</v>
      </c>
      <c r="D12" s="31" t="e">
        <f t="shared" si="0"/>
        <v>#REF!</v>
      </c>
      <c r="E12" s="32">
        <v>909</v>
      </c>
      <c r="F12" s="22"/>
      <c r="G12" s="23" t="e">
        <f>F12+'17.04'!G12</f>
        <v>#REF!</v>
      </c>
      <c r="H12" s="33">
        <v>80</v>
      </c>
      <c r="I12" s="34"/>
      <c r="J12" s="23" t="e">
        <f>I12+'17.04'!J12</f>
        <v>#REF!</v>
      </c>
      <c r="K12" s="33">
        <v>5</v>
      </c>
      <c r="L12" s="22"/>
      <c r="M12" s="23" t="e">
        <f>L12+'17.04'!M12</f>
        <v>#REF!</v>
      </c>
      <c r="N12" s="33">
        <v>820</v>
      </c>
      <c r="O12" s="22"/>
      <c r="P12" s="23" t="e">
        <f>O12+'17.04'!P12</f>
        <v>#REF!</v>
      </c>
      <c r="Q12" s="33">
        <v>549</v>
      </c>
      <c r="R12" s="22"/>
      <c r="S12" s="23" t="e">
        <f>R12+'17.04'!S12</f>
        <v>#REF!</v>
      </c>
      <c r="T12" s="33">
        <v>992</v>
      </c>
      <c r="U12" s="22"/>
      <c r="V12" s="23" t="e">
        <f>U12+'17.04'!V12</f>
        <v>#REF!</v>
      </c>
      <c r="W12" s="33">
        <v>38</v>
      </c>
      <c r="X12" s="22"/>
      <c r="Y12" s="23" t="e">
        <f>X12+'17.04'!Y12</f>
        <v>#REF!</v>
      </c>
      <c r="Z12" s="33">
        <v>68</v>
      </c>
      <c r="AA12" s="22"/>
      <c r="AB12" s="23" t="e">
        <f>AA12+'17.04'!AB12</f>
        <v>#REF!</v>
      </c>
      <c r="AC12" s="33">
        <v>26703</v>
      </c>
      <c r="AD12" s="22"/>
      <c r="AE12" s="23" t="e">
        <f>AD12+'17.04'!AE12</f>
        <v>#REF!</v>
      </c>
      <c r="AF12" s="19">
        <f t="shared" si="1"/>
        <v>0</v>
      </c>
      <c r="AG12" s="20" t="e">
        <f t="shared" si="1"/>
        <v>#REF!</v>
      </c>
      <c r="AH12" s="24"/>
      <c r="AI12" s="23" t="e">
        <f>AH12+'17.04'!AI12</f>
        <v>#REF!</v>
      </c>
      <c r="AJ12" s="24"/>
      <c r="AK12" s="23" t="e">
        <f>AJ12+'17.04'!AK12</f>
        <v>#REF!</v>
      </c>
      <c r="AL12" s="22"/>
      <c r="AM12" s="23" t="e">
        <f>AL12+'17.04'!AM12</f>
        <v>#REF!</v>
      </c>
      <c r="AN12" s="22"/>
      <c r="AO12" s="23" t="e">
        <f>AN12+'17.04'!AO12</f>
        <v>#REF!</v>
      </c>
      <c r="AP12" s="28" t="s">
        <v>46</v>
      </c>
      <c r="AQ12" s="19">
        <f t="shared" si="2"/>
        <v>0</v>
      </c>
      <c r="AR12" s="20" t="e">
        <f t="shared" si="2"/>
        <v>#REF!</v>
      </c>
      <c r="AS12" s="34"/>
      <c r="AT12" s="23" t="e">
        <f>AS12+'17.04'!AT12</f>
        <v>#REF!</v>
      </c>
      <c r="AU12" s="34"/>
      <c r="AV12" s="23" t="e">
        <f>AU12+'17.04'!AV12</f>
        <v>#REF!</v>
      </c>
      <c r="AW12" s="34"/>
      <c r="AX12" s="23" t="e">
        <f>AW12+'17.04'!AX12</f>
        <v>#REF!</v>
      </c>
      <c r="AY12" s="34"/>
      <c r="AZ12" s="23" t="e">
        <f>AY12+'17.04'!AZ12</f>
        <v>#REF!</v>
      </c>
      <c r="BA12" s="34"/>
      <c r="BB12" s="23" t="e">
        <f>BA12+'17.04'!BB12</f>
        <v>#REF!</v>
      </c>
      <c r="BC12" s="19">
        <f t="shared" si="3"/>
        <v>0</v>
      </c>
      <c r="BD12" s="20" t="e">
        <f t="shared" si="3"/>
        <v>#REF!</v>
      </c>
      <c r="BE12" s="22"/>
      <c r="BF12" s="23" t="e">
        <f>BE12+'17.04'!BF12</f>
        <v>#REF!</v>
      </c>
      <c r="BG12" s="34"/>
      <c r="BH12" s="23" t="e">
        <f>BG12+'17.04'!BH12</f>
        <v>#REF!</v>
      </c>
      <c r="BI12" s="22"/>
      <c r="BJ12" s="23" t="e">
        <f>BI12+'17.04'!BJ12</f>
        <v>#REF!</v>
      </c>
      <c r="BK12" s="22"/>
      <c r="BL12" s="23" t="e">
        <f>BK12+'17.04'!BL12</f>
        <v>#REF!</v>
      </c>
      <c r="BM12" s="22"/>
      <c r="BN12" s="23" t="e">
        <f>BM12+'17.04'!BN12</f>
        <v>#REF!</v>
      </c>
      <c r="BO12" s="36"/>
      <c r="BP12" s="37"/>
      <c r="BQ12" s="23" t="e">
        <f>BP12+'17.04'!BQ12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 t="e">
        <f t="shared" si="0"/>
        <v>#REF!</v>
      </c>
      <c r="E13" s="32">
        <v>516</v>
      </c>
      <c r="F13" s="22">
        <v>1</v>
      </c>
      <c r="G13" s="23" t="e">
        <f>F13+'17.04'!G13</f>
        <v>#REF!</v>
      </c>
      <c r="H13" s="33">
        <v>10</v>
      </c>
      <c r="I13" s="34">
        <v>0</v>
      </c>
      <c r="J13" s="23" t="e">
        <f>I13+'17.04'!J13</f>
        <v>#REF!</v>
      </c>
      <c r="K13" s="33">
        <v>38</v>
      </c>
      <c r="L13" s="22">
        <v>0</v>
      </c>
      <c r="M13" s="23" t="e">
        <f>L13+'17.04'!M13</f>
        <v>#REF!</v>
      </c>
      <c r="N13" s="33">
        <v>581</v>
      </c>
      <c r="O13" s="22">
        <v>1</v>
      </c>
      <c r="P13" s="23" t="e">
        <f>O13+'17.04'!P13</f>
        <v>#REF!</v>
      </c>
      <c r="Q13" s="33">
        <v>525</v>
      </c>
      <c r="R13" s="22">
        <v>0</v>
      </c>
      <c r="S13" s="23" t="e">
        <f>R13+'17.04'!S13</f>
        <v>#REF!</v>
      </c>
      <c r="T13" s="33">
        <v>263</v>
      </c>
      <c r="U13" s="22">
        <v>0</v>
      </c>
      <c r="V13" s="23" t="e">
        <f>U13+'17.04'!V13</f>
        <v>#REF!</v>
      </c>
      <c r="W13" s="33">
        <v>43</v>
      </c>
      <c r="X13" s="22"/>
      <c r="Y13" s="23" t="e">
        <f>X13+'17.04'!Y13</f>
        <v>#REF!</v>
      </c>
      <c r="Z13" s="33">
        <v>17</v>
      </c>
      <c r="AA13" s="22">
        <v>0</v>
      </c>
      <c r="AB13" s="23" t="e">
        <f>AA13+'17.04'!AB13</f>
        <v>#REF!</v>
      </c>
      <c r="AC13" s="33">
        <v>51</v>
      </c>
      <c r="AD13" s="22">
        <v>0</v>
      </c>
      <c r="AE13" s="23" t="e">
        <f>AD13+'17.04'!AE13</f>
        <v>#REF!</v>
      </c>
      <c r="AF13" s="19">
        <f t="shared" si="1"/>
        <v>277000</v>
      </c>
      <c r="AG13" s="20" t="e">
        <f t="shared" si="1"/>
        <v>#REF!</v>
      </c>
      <c r="AH13" s="24">
        <v>1000</v>
      </c>
      <c r="AI13" s="23" t="e">
        <f>AH13+'17.04'!AI13</f>
        <v>#REF!</v>
      </c>
      <c r="AJ13" s="24">
        <v>6000</v>
      </c>
      <c r="AK13" s="23" t="e">
        <f>AJ13+'17.04'!AK13</f>
        <v>#REF!</v>
      </c>
      <c r="AL13" s="22">
        <v>20000</v>
      </c>
      <c r="AM13" s="23" t="e">
        <f>AL13+'17.04'!AM13</f>
        <v>#REF!</v>
      </c>
      <c r="AN13" s="22">
        <v>250000</v>
      </c>
      <c r="AO13" s="23" t="e">
        <f>AN13+'17.04'!AO13</f>
        <v>#REF!</v>
      </c>
      <c r="AP13" s="28" t="s">
        <v>47</v>
      </c>
      <c r="AQ13" s="19">
        <f t="shared" si="2"/>
        <v>20</v>
      </c>
      <c r="AR13" s="20" t="e">
        <f t="shared" si="2"/>
        <v>#REF!</v>
      </c>
      <c r="AS13" s="34">
        <v>0</v>
      </c>
      <c r="AT13" s="23" t="e">
        <f>AS13+'17.04'!AT13</f>
        <v>#REF!</v>
      </c>
      <c r="AU13" s="34">
        <v>0</v>
      </c>
      <c r="AV13" s="23" t="e">
        <f>AU13+'17.04'!AV13</f>
        <v>#REF!</v>
      </c>
      <c r="AW13" s="34">
        <v>0</v>
      </c>
      <c r="AX13" s="23" t="e">
        <f>AW13+'17.04'!AX13</f>
        <v>#REF!</v>
      </c>
      <c r="AY13" s="34">
        <v>0</v>
      </c>
      <c r="AZ13" s="23" t="e">
        <f>AY13+'17.04'!AZ13</f>
        <v>#REF!</v>
      </c>
      <c r="BA13" s="34">
        <v>20</v>
      </c>
      <c r="BB13" s="23" t="e">
        <f>BA13+'17.04'!BB13</f>
        <v>#REF!</v>
      </c>
      <c r="BC13" s="19">
        <f t="shared" si="3"/>
        <v>4577</v>
      </c>
      <c r="BD13" s="20" t="e">
        <f t="shared" si="3"/>
        <v>#REF!</v>
      </c>
      <c r="BE13" s="22">
        <v>516</v>
      </c>
      <c r="BF13" s="23" t="e">
        <f>BE13+'17.04'!BF13</f>
        <v>#REF!</v>
      </c>
      <c r="BG13" s="34">
        <v>10</v>
      </c>
      <c r="BH13" s="23" t="e">
        <f>BG13+'17.04'!BH13</f>
        <v>#REF!</v>
      </c>
      <c r="BI13" s="22">
        <v>4000</v>
      </c>
      <c r="BJ13" s="23" t="e">
        <f>BI13+'17.04'!BJ13</f>
        <v>#REF!</v>
      </c>
      <c r="BK13" s="22">
        <v>50</v>
      </c>
      <c r="BL13" s="23" t="e">
        <f>BK13+'17.04'!BL13</f>
        <v>#REF!</v>
      </c>
      <c r="BM13" s="22">
        <v>1</v>
      </c>
      <c r="BN13" s="23" t="e">
        <f>BM13+'17.04'!BN13</f>
        <v>#REF!</v>
      </c>
      <c r="BO13" s="36"/>
      <c r="BP13" s="37">
        <v>0</v>
      </c>
      <c r="BQ13" s="23" t="e">
        <f>BP13+'17.04'!BQ13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F14+'17.04'!G14</f>
        <v>#REF!</v>
      </c>
      <c r="H14" s="44">
        <v>5</v>
      </c>
      <c r="I14" s="45"/>
      <c r="J14" s="23" t="e">
        <f>I14+'17.04'!J14</f>
        <v>#REF!</v>
      </c>
      <c r="K14" s="44">
        <v>34</v>
      </c>
      <c r="L14" s="22"/>
      <c r="M14" s="23" t="e">
        <f>L14+'17.04'!M14</f>
        <v>#REF!</v>
      </c>
      <c r="N14" s="44">
        <v>583</v>
      </c>
      <c r="O14" s="22"/>
      <c r="P14" s="23" t="e">
        <f>O14+'17.04'!P14</f>
        <v>#REF!</v>
      </c>
      <c r="Q14" s="44">
        <v>254</v>
      </c>
      <c r="R14" s="22"/>
      <c r="S14" s="23" t="e">
        <f>R14+'17.04'!S14</f>
        <v>#REF!</v>
      </c>
      <c r="T14" s="44">
        <v>196</v>
      </c>
      <c r="U14" s="22"/>
      <c r="V14" s="23" t="e">
        <f>U14+'17.04'!V14</f>
        <v>#REF!</v>
      </c>
      <c r="W14" s="44">
        <v>30</v>
      </c>
      <c r="X14" s="22"/>
      <c r="Y14" s="23" t="e">
        <f>X14+'17.04'!Y14</f>
        <v>#REF!</v>
      </c>
      <c r="Z14" s="44">
        <v>10</v>
      </c>
      <c r="AA14" s="22"/>
      <c r="AB14" s="23" t="e">
        <f>AA14+'17.04'!AB14</f>
        <v>#REF!</v>
      </c>
      <c r="AC14" s="44">
        <v>2500</v>
      </c>
      <c r="AD14" s="22"/>
      <c r="AE14" s="23" t="e">
        <f>AD14+'17.04'!AE14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AH14+'17.04'!AI14</f>
        <v>#REF!</v>
      </c>
      <c r="AJ14" s="24"/>
      <c r="AK14" s="23" t="e">
        <f>AJ14+'17.04'!AK14</f>
        <v>#REF!</v>
      </c>
      <c r="AL14" s="22"/>
      <c r="AM14" s="23" t="e">
        <f>AL14+'17.04'!AM14</f>
        <v>#REF!</v>
      </c>
      <c r="AN14" s="22"/>
      <c r="AO14" s="23" t="e">
        <f>AN14+'17.04'!AO14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AS14+'17.04'!AT14</f>
        <v>#REF!</v>
      </c>
      <c r="AU14" s="45"/>
      <c r="AV14" s="23" t="e">
        <f>AU14+'17.04'!AV14</f>
        <v>#REF!</v>
      </c>
      <c r="AW14" s="45"/>
      <c r="AX14" s="23" t="e">
        <f>AW14+'17.04'!AX14</f>
        <v>#REF!</v>
      </c>
      <c r="AY14" s="45"/>
      <c r="AZ14" s="23" t="e">
        <f>AY14+'17.04'!AZ14</f>
        <v>#REF!</v>
      </c>
      <c r="BA14" s="45"/>
      <c r="BB14" s="23" t="e">
        <f>BA14+'17.04'!BB14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BE14+'17.04'!BF14</f>
        <v>#REF!</v>
      </c>
      <c r="BG14" s="45"/>
      <c r="BH14" s="23" t="e">
        <f>BG14+'17.04'!BH14</f>
        <v>#REF!</v>
      </c>
      <c r="BI14" s="22"/>
      <c r="BJ14" s="23" t="e">
        <f>BI14+'17.04'!BJ14</f>
        <v>#REF!</v>
      </c>
      <c r="BK14" s="22"/>
      <c r="BL14" s="23" t="e">
        <f>BK14+'17.04'!BL14</f>
        <v>#REF!</v>
      </c>
      <c r="BM14" s="22"/>
      <c r="BN14" s="23" t="e">
        <f>BM14+'17.04'!BN14</f>
        <v>#REF!</v>
      </c>
      <c r="BO14" s="48">
        <v>2</v>
      </c>
      <c r="BP14" s="49"/>
      <c r="BQ14" s="23" t="e">
        <f>BP14+'17.04'!BQ14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491</v>
      </c>
      <c r="D15" s="53" t="e">
        <f t="shared" si="0"/>
        <v>#REF!</v>
      </c>
      <c r="E15" s="54">
        <v>776</v>
      </c>
      <c r="F15" s="55">
        <v>349</v>
      </c>
      <c r="G15" s="23" t="e">
        <f>F15+'17.04'!G15</f>
        <v>#REF!</v>
      </c>
      <c r="H15" s="56">
        <v>9</v>
      </c>
      <c r="I15" s="57">
        <v>0</v>
      </c>
      <c r="J15" s="23" t="e">
        <f>I15+'17.04'!J15</f>
        <v>#REF!</v>
      </c>
      <c r="K15" s="56">
        <v>6</v>
      </c>
      <c r="L15" s="55">
        <v>0</v>
      </c>
      <c r="M15" s="23" t="e">
        <f>L15+'17.04'!M15</f>
        <v>#REF!</v>
      </c>
      <c r="N15" s="56">
        <v>1305</v>
      </c>
      <c r="O15" s="55">
        <v>0</v>
      </c>
      <c r="P15" s="23" t="e">
        <f>O15+'17.04'!P15</f>
        <v>#REF!</v>
      </c>
      <c r="Q15" s="56">
        <v>447</v>
      </c>
      <c r="R15" s="55">
        <v>0</v>
      </c>
      <c r="S15" s="23" t="e">
        <f>R15+'17.04'!S15</f>
        <v>#REF!</v>
      </c>
      <c r="T15" s="56">
        <v>337</v>
      </c>
      <c r="U15" s="55">
        <v>0</v>
      </c>
      <c r="V15" s="23" t="e">
        <f>U15+'17.04'!V15</f>
        <v>#REF!</v>
      </c>
      <c r="W15" s="56">
        <v>78</v>
      </c>
      <c r="X15" s="55">
        <v>124</v>
      </c>
      <c r="Y15" s="23" t="e">
        <f>X15+'17.04'!Y15</f>
        <v>#REF!</v>
      </c>
      <c r="Z15" s="56">
        <v>141</v>
      </c>
      <c r="AA15" s="55">
        <v>0</v>
      </c>
      <c r="AB15" s="23" t="e">
        <f>AA15+'17.04'!AB15</f>
        <v>#REF!</v>
      </c>
      <c r="AC15" s="56">
        <v>798</v>
      </c>
      <c r="AD15" s="55">
        <v>18</v>
      </c>
      <c r="AE15" s="23" t="e">
        <f>AD15+'17.04'!AE15</f>
        <v>#REF!</v>
      </c>
      <c r="AF15" s="58">
        <f t="shared" si="1"/>
        <v>1245910</v>
      </c>
      <c r="AG15" s="59" t="e">
        <f t="shared" si="1"/>
        <v>#REF!</v>
      </c>
      <c r="AH15" s="60">
        <v>1021</v>
      </c>
      <c r="AI15" s="23" t="e">
        <f>AH15+'17.04'!AI15</f>
        <v>#REF!</v>
      </c>
      <c r="AJ15" s="60">
        <v>3743</v>
      </c>
      <c r="AK15" s="23" t="e">
        <f>AJ15+'17.04'!AK15</f>
        <v>#REF!</v>
      </c>
      <c r="AL15" s="55">
        <v>620570</v>
      </c>
      <c r="AM15" s="23" t="e">
        <f>AL15+'17.04'!AM15</f>
        <v>#REF!</v>
      </c>
      <c r="AN15" s="55">
        <v>620576</v>
      </c>
      <c r="AO15" s="23" t="e">
        <f>AN15+'17.04'!AO15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AS15+'17.04'!AT15</f>
        <v>#REF!</v>
      </c>
      <c r="AU15" s="57">
        <v>0</v>
      </c>
      <c r="AV15" s="23" t="e">
        <f>AU15+'17.04'!AV15</f>
        <v>#REF!</v>
      </c>
      <c r="AW15" s="57">
        <v>0</v>
      </c>
      <c r="AX15" s="23" t="e">
        <f>AW15+'17.04'!AX15</f>
        <v>#REF!</v>
      </c>
      <c r="AY15" s="57">
        <v>0</v>
      </c>
      <c r="AZ15" s="23" t="e">
        <f>AY15+'17.04'!AZ15</f>
        <v>#REF!</v>
      </c>
      <c r="BA15" s="57">
        <v>2</v>
      </c>
      <c r="BB15" s="23" t="e">
        <f>BA15+'17.04'!BB15</f>
        <v>#REF!</v>
      </c>
      <c r="BC15" s="58">
        <f t="shared" si="3"/>
        <v>1076</v>
      </c>
      <c r="BD15" s="59" t="e">
        <f t="shared" si="3"/>
        <v>#REF!</v>
      </c>
      <c r="BE15" s="55">
        <v>74</v>
      </c>
      <c r="BF15" s="23" t="e">
        <f>BE15+'17.04'!BF15</f>
        <v>#REF!</v>
      </c>
      <c r="BG15" s="57">
        <v>2</v>
      </c>
      <c r="BH15" s="23" t="e">
        <f>BG15+'17.04'!BH15</f>
        <v>#REF!</v>
      </c>
      <c r="BI15" s="55">
        <v>500</v>
      </c>
      <c r="BJ15" s="23" t="e">
        <f>BI15+'17.04'!BJ15</f>
        <v>#REF!</v>
      </c>
      <c r="BK15" s="55">
        <v>500</v>
      </c>
      <c r="BL15" s="23" t="e">
        <f>BK15+'17.04'!BL15</f>
        <v>#REF!</v>
      </c>
      <c r="BM15" s="55">
        <v>0</v>
      </c>
      <c r="BN15" s="23" t="e">
        <f>BM15+'17.04'!BN15</f>
        <v>#REF!</v>
      </c>
      <c r="BO15" s="36">
        <v>6274</v>
      </c>
      <c r="BP15" s="37">
        <v>4</v>
      </c>
      <c r="BQ15" s="23" t="e">
        <f>BP15+'17.04'!BQ15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F16+'17.04'!G16</f>
        <v>#REF!</v>
      </c>
      <c r="H16" s="33">
        <v>5</v>
      </c>
      <c r="I16" s="34"/>
      <c r="J16" s="23" t="e">
        <f>I16+'17.04'!J16</f>
        <v>#REF!</v>
      </c>
      <c r="K16" s="33">
        <v>3</v>
      </c>
      <c r="L16" s="22"/>
      <c r="M16" s="23" t="e">
        <f>L16+'17.04'!M16</f>
        <v>#REF!</v>
      </c>
      <c r="N16" s="33">
        <v>384</v>
      </c>
      <c r="O16" s="22"/>
      <c r="P16" s="23" t="e">
        <f>O16+'17.04'!P16</f>
        <v>#REF!</v>
      </c>
      <c r="Q16" s="33">
        <v>245</v>
      </c>
      <c r="R16" s="22"/>
      <c r="S16" s="23" t="e">
        <f>R16+'17.04'!S16</f>
        <v>#REF!</v>
      </c>
      <c r="T16" s="33">
        <v>397</v>
      </c>
      <c r="U16" s="22"/>
      <c r="V16" s="23" t="e">
        <f>U16+'17.04'!V16</f>
        <v>#REF!</v>
      </c>
      <c r="W16" s="33">
        <v>24</v>
      </c>
      <c r="X16" s="22"/>
      <c r="Y16" s="23" t="e">
        <f>X16+'17.04'!Y16</f>
        <v>#REF!</v>
      </c>
      <c r="Z16" s="33">
        <v>18</v>
      </c>
      <c r="AA16" s="22"/>
      <c r="AB16" s="23" t="e">
        <f>AA16+'17.04'!AB16</f>
        <v>#REF!</v>
      </c>
      <c r="AC16" s="33">
        <v>18515</v>
      </c>
      <c r="AD16" s="22"/>
      <c r="AE16" s="23" t="e">
        <f>AD16+'17.04'!AE16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AH16+'17.04'!AI16</f>
        <v>#REF!</v>
      </c>
      <c r="AJ16" s="24"/>
      <c r="AK16" s="23" t="e">
        <f>AJ16+'17.04'!AK16</f>
        <v>#REF!</v>
      </c>
      <c r="AL16" s="22"/>
      <c r="AM16" s="23" t="e">
        <f>AL16+'17.04'!AM16</f>
        <v>#REF!</v>
      </c>
      <c r="AN16" s="22"/>
      <c r="AO16" s="23" t="e">
        <f>AN16+'17.04'!AO16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AS16+'17.04'!AT16</f>
        <v>#REF!</v>
      </c>
      <c r="AU16" s="34"/>
      <c r="AV16" s="23" t="e">
        <f>AU16+'17.04'!AV16</f>
        <v>#REF!</v>
      </c>
      <c r="AW16" s="34"/>
      <c r="AX16" s="23" t="e">
        <f>AW16+'17.04'!AX16</f>
        <v>#REF!</v>
      </c>
      <c r="AY16" s="34"/>
      <c r="AZ16" s="23" t="e">
        <f>AY16+'17.04'!AZ16</f>
        <v>#REF!</v>
      </c>
      <c r="BA16" s="34"/>
      <c r="BB16" s="23" t="e">
        <f>BA16+'17.04'!BB16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BE16+'17.04'!BF16</f>
        <v>#REF!</v>
      </c>
      <c r="BG16" s="34"/>
      <c r="BH16" s="23" t="e">
        <f>BG16+'17.04'!BH16</f>
        <v>#REF!</v>
      </c>
      <c r="BI16" s="22"/>
      <c r="BJ16" s="23" t="e">
        <f>BI16+'17.04'!BJ16</f>
        <v>#REF!</v>
      </c>
      <c r="BK16" s="22"/>
      <c r="BL16" s="23" t="e">
        <f>BK16+'17.04'!BL16</f>
        <v>#REF!</v>
      </c>
      <c r="BM16" s="22"/>
      <c r="BN16" s="23" t="e">
        <f>BM16+'17.04'!BN16</f>
        <v>#REF!</v>
      </c>
      <c r="BO16" s="36">
        <v>2546</v>
      </c>
      <c r="BP16" s="37"/>
      <c r="BQ16" s="23" t="e">
        <f>BP16+'17.04'!BQ16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250</v>
      </c>
      <c r="D17" s="31" t="e">
        <f t="shared" si="0"/>
        <v>#REF!</v>
      </c>
      <c r="E17" s="32">
        <v>754</v>
      </c>
      <c r="F17" s="22">
        <v>175</v>
      </c>
      <c r="G17" s="23" t="e">
        <f>F17+'17.04'!G17</f>
        <v>#REF!</v>
      </c>
      <c r="H17" s="33">
        <v>9</v>
      </c>
      <c r="I17" s="34">
        <v>0</v>
      </c>
      <c r="J17" s="23" t="e">
        <f>I17+'17.04'!J17</f>
        <v>#REF!</v>
      </c>
      <c r="K17" s="33">
        <v>5</v>
      </c>
      <c r="L17" s="22">
        <v>0</v>
      </c>
      <c r="M17" s="23" t="e">
        <f>L17+'17.04'!M17</f>
        <v>#REF!</v>
      </c>
      <c r="N17" s="33">
        <v>768</v>
      </c>
      <c r="O17" s="22">
        <v>0</v>
      </c>
      <c r="P17" s="23" t="e">
        <f>O17+'17.04'!P17</f>
        <v>#REF!</v>
      </c>
      <c r="Q17" s="33">
        <v>624</v>
      </c>
      <c r="R17" s="22">
        <v>0</v>
      </c>
      <c r="S17" s="23" t="e">
        <f>R17+'17.04'!S17</f>
        <v>#REF!</v>
      </c>
      <c r="T17" s="33">
        <v>742</v>
      </c>
      <c r="U17" s="22">
        <v>0</v>
      </c>
      <c r="V17" s="23" t="e">
        <f>U17+'17.04'!V17</f>
        <v>#REF!</v>
      </c>
      <c r="W17" s="33">
        <v>54</v>
      </c>
      <c r="X17" s="22">
        <v>56</v>
      </c>
      <c r="Y17" s="23" t="e">
        <f>X17+'17.04'!Y17</f>
        <v>#REF!</v>
      </c>
      <c r="Z17" s="33">
        <v>66</v>
      </c>
      <c r="AA17" s="22">
        <v>0</v>
      </c>
      <c r="AB17" s="23" t="e">
        <f>AA17+'17.04'!AB17</f>
        <v>#REF!</v>
      </c>
      <c r="AC17" s="33">
        <v>2580</v>
      </c>
      <c r="AD17" s="22">
        <v>19</v>
      </c>
      <c r="AE17" s="23" t="e">
        <f>AD17+'17.04'!AE17</f>
        <v>#REF!</v>
      </c>
      <c r="AF17" s="19">
        <f t="shared" si="1"/>
        <v>167600</v>
      </c>
      <c r="AG17" s="20" t="e">
        <f t="shared" si="1"/>
        <v>#REF!</v>
      </c>
      <c r="AH17" s="24">
        <v>8500</v>
      </c>
      <c r="AI17" s="23" t="e">
        <f>AH17+'17.04'!AI17</f>
        <v>#REF!</v>
      </c>
      <c r="AJ17" s="24">
        <v>11800</v>
      </c>
      <c r="AK17" s="23" t="e">
        <f>AJ17+'17.04'!AK17</f>
        <v>#REF!</v>
      </c>
      <c r="AL17" s="22">
        <v>46500</v>
      </c>
      <c r="AM17" s="23" t="e">
        <f>AL17+'17.04'!AM17</f>
        <v>#REF!</v>
      </c>
      <c r="AN17" s="22">
        <v>100800</v>
      </c>
      <c r="AO17" s="23" t="e">
        <f>AN17+'17.04'!AO17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AS17+'17.04'!AT17</f>
        <v>#REF!</v>
      </c>
      <c r="AU17" s="34">
        <v>1</v>
      </c>
      <c r="AV17" s="23" t="e">
        <f>AU17+'17.04'!AV17</f>
        <v>#REF!</v>
      </c>
      <c r="AW17" s="34">
        <v>0</v>
      </c>
      <c r="AX17" s="23" t="e">
        <f>AW17+'17.04'!AX17</f>
        <v>#REF!</v>
      </c>
      <c r="AY17" s="34">
        <v>0</v>
      </c>
      <c r="AZ17" s="23" t="e">
        <f>AY17+'17.04'!AZ17</f>
        <v>#REF!</v>
      </c>
      <c r="BA17" s="34">
        <v>14</v>
      </c>
      <c r="BB17" s="23" t="e">
        <f>BA17+'17.04'!BB17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BE17+'17.04'!BF17</f>
        <v>#REF!</v>
      </c>
      <c r="BG17" s="34">
        <v>4</v>
      </c>
      <c r="BH17" s="23" t="e">
        <f>BG17+'17.04'!BH17</f>
        <v>#REF!</v>
      </c>
      <c r="BI17" s="22">
        <v>1400</v>
      </c>
      <c r="BJ17" s="23" t="e">
        <f>BI17+'17.04'!BJ17</f>
        <v>#REF!</v>
      </c>
      <c r="BK17" s="22">
        <v>160</v>
      </c>
      <c r="BL17" s="23" t="e">
        <f>BK17+'17.04'!BL17</f>
        <v>#REF!</v>
      </c>
      <c r="BM17" s="22">
        <v>0</v>
      </c>
      <c r="BN17" s="23" t="e">
        <f>BM17+'17.04'!BN17</f>
        <v>#REF!</v>
      </c>
      <c r="BO17" s="36">
        <v>8022</v>
      </c>
      <c r="BP17" s="37">
        <v>15</v>
      </c>
      <c r="BQ17" s="23" t="e">
        <f>BP17+'17.04'!BQ17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611</v>
      </c>
      <c r="D18" s="20" t="e">
        <f t="shared" si="0"/>
        <v>#REF!</v>
      </c>
      <c r="E18" s="21">
        <v>1063</v>
      </c>
      <c r="F18" s="22">
        <v>354</v>
      </c>
      <c r="G18" s="23" t="e">
        <f>F18+'17.04'!G18</f>
        <v>#REF!</v>
      </c>
      <c r="H18" s="21">
        <v>19</v>
      </c>
      <c r="I18" s="22">
        <v>0</v>
      </c>
      <c r="J18" s="23" t="e">
        <f>I18+'17.04'!J18</f>
        <v>#REF!</v>
      </c>
      <c r="K18" s="21">
        <v>8</v>
      </c>
      <c r="L18" s="22">
        <v>0</v>
      </c>
      <c r="M18" s="23" t="e">
        <f>L18+'17.04'!M18</f>
        <v>#REF!</v>
      </c>
      <c r="N18" s="21">
        <v>1331</v>
      </c>
      <c r="O18" s="22">
        <v>0</v>
      </c>
      <c r="P18" s="23" t="e">
        <f>O18+'17.04'!P18</f>
        <v>#REF!</v>
      </c>
      <c r="Q18" s="21">
        <v>777</v>
      </c>
      <c r="R18" s="22">
        <v>0</v>
      </c>
      <c r="S18" s="23" t="e">
        <f>R18+'17.04'!S18</f>
        <v>#REF!</v>
      </c>
      <c r="T18" s="21">
        <v>318</v>
      </c>
      <c r="U18" s="22">
        <v>0</v>
      </c>
      <c r="V18" s="23" t="e">
        <f>U18+'17.04'!V18</f>
        <v>#REF!</v>
      </c>
      <c r="W18" s="21">
        <v>60</v>
      </c>
      <c r="X18" s="22">
        <v>257</v>
      </c>
      <c r="Y18" s="23" t="e">
        <f>X18+'17.04'!Y18</f>
        <v>#REF!</v>
      </c>
      <c r="Z18" s="21">
        <v>72</v>
      </c>
      <c r="AA18" s="22">
        <v>0</v>
      </c>
      <c r="AB18" s="23" t="e">
        <f>AA18+'17.04'!AB18</f>
        <v>#REF!</v>
      </c>
      <c r="AC18" s="21">
        <v>143</v>
      </c>
      <c r="AD18" s="22">
        <v>0</v>
      </c>
      <c r="AE18" s="23" t="e">
        <f>AD18+'17.04'!AE18</f>
        <v>#REF!</v>
      </c>
      <c r="AF18" s="19">
        <f t="shared" si="1"/>
        <v>329998</v>
      </c>
      <c r="AG18" s="20" t="e">
        <f t="shared" si="1"/>
        <v>#REF!</v>
      </c>
      <c r="AH18" s="24">
        <v>742</v>
      </c>
      <c r="AI18" s="23" t="e">
        <f>AH18+'17.04'!AI18</f>
        <v>#REF!</v>
      </c>
      <c r="AJ18" s="24">
        <v>5129</v>
      </c>
      <c r="AK18" s="23" t="e">
        <f>AJ18+'17.04'!AK18</f>
        <v>#REF!</v>
      </c>
      <c r="AL18" s="22">
        <v>6213</v>
      </c>
      <c r="AM18" s="23" t="e">
        <f>AL18+'17.04'!AM18</f>
        <v>#REF!</v>
      </c>
      <c r="AN18" s="22">
        <v>317914</v>
      </c>
      <c r="AO18" s="23" t="e">
        <f>AN18+'17.04'!AO18</f>
        <v>#REF!</v>
      </c>
      <c r="AP18" s="17" t="s">
        <v>53</v>
      </c>
      <c r="AQ18" s="19">
        <f>AS18+AU18+AW18+AY18+BA18</f>
        <v>7</v>
      </c>
      <c r="AR18" s="20" t="e">
        <f t="shared" si="2"/>
        <v>#REF!</v>
      </c>
      <c r="AS18" s="22">
        <v>0</v>
      </c>
      <c r="AT18" s="23" t="e">
        <f>AS18+'17.04'!AT18</f>
        <v>#REF!</v>
      </c>
      <c r="AU18" s="22">
        <v>0</v>
      </c>
      <c r="AV18" s="23" t="e">
        <f>AU18+'17.04'!AV18</f>
        <v>#REF!</v>
      </c>
      <c r="AW18" s="22">
        <v>0</v>
      </c>
      <c r="AX18" s="23" t="e">
        <f>AW18+'17.04'!AX18</f>
        <v>#REF!</v>
      </c>
      <c r="AY18" s="22">
        <v>0</v>
      </c>
      <c r="AZ18" s="23" t="e">
        <f>AY18+'17.04'!AZ18</f>
        <v>#REF!</v>
      </c>
      <c r="BA18" s="22">
        <v>7</v>
      </c>
      <c r="BB18" s="23" t="e">
        <f>BA18+'17.04'!BB18</f>
        <v>#REF!</v>
      </c>
      <c r="BC18" s="19">
        <f t="shared" si="3"/>
        <v>3148</v>
      </c>
      <c r="BD18" s="20" t="e">
        <f>BF18+BH18+BJ18+BL18+BN18</f>
        <v>#REF!</v>
      </c>
      <c r="BE18" s="22">
        <v>2</v>
      </c>
      <c r="BF18" s="23" t="e">
        <f>BE18+'17.04'!BF18</f>
        <v>#REF!</v>
      </c>
      <c r="BG18" s="22">
        <v>0</v>
      </c>
      <c r="BH18" s="23" t="e">
        <f>BG18+'17.04'!BH18</f>
        <v>#REF!</v>
      </c>
      <c r="BI18" s="22">
        <v>3014</v>
      </c>
      <c r="BJ18" s="23" t="e">
        <f>BI18+'17.04'!BJ18</f>
        <v>#REF!</v>
      </c>
      <c r="BK18" s="22">
        <v>132</v>
      </c>
      <c r="BL18" s="23" t="e">
        <f>BK18+'17.04'!BL18</f>
        <v>#REF!</v>
      </c>
      <c r="BM18" s="22">
        <v>0</v>
      </c>
      <c r="BN18" s="23" t="e">
        <f>BM18+'17.04'!BN18</f>
        <v>#REF!</v>
      </c>
      <c r="BO18" s="36">
        <v>442</v>
      </c>
      <c r="BP18" s="37">
        <v>0</v>
      </c>
      <c r="BQ18" s="23" t="e">
        <f>BP18+'17.04'!BQ18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38</v>
      </c>
      <c r="D19" s="31" t="e">
        <f t="shared" si="0"/>
        <v>#REF!</v>
      </c>
      <c r="E19" s="33">
        <v>221</v>
      </c>
      <c r="F19" s="22">
        <v>14</v>
      </c>
      <c r="G19" s="23" t="e">
        <f>F19+'17.04'!G19</f>
        <v>#REF!</v>
      </c>
      <c r="H19" s="33">
        <v>5</v>
      </c>
      <c r="I19" s="34">
        <v>0</v>
      </c>
      <c r="J19" s="23" t="e">
        <f>I19+'17.04'!J19</f>
        <v>#REF!</v>
      </c>
      <c r="K19" s="33">
        <v>4</v>
      </c>
      <c r="L19" s="22">
        <v>0</v>
      </c>
      <c r="M19" s="23" t="e">
        <f>L19+'17.04'!M19</f>
        <v>#REF!</v>
      </c>
      <c r="N19" s="33">
        <v>313</v>
      </c>
      <c r="O19" s="22">
        <v>0</v>
      </c>
      <c r="P19" s="23" t="e">
        <f>O19+'17.04'!P19</f>
        <v>#REF!</v>
      </c>
      <c r="Q19" s="33">
        <v>203</v>
      </c>
      <c r="R19" s="22">
        <v>0</v>
      </c>
      <c r="S19" s="23" t="e">
        <f>R19+'17.04'!S19</f>
        <v>#REF!</v>
      </c>
      <c r="T19" s="33">
        <v>241</v>
      </c>
      <c r="U19" s="22">
        <v>0</v>
      </c>
      <c r="V19" s="23" t="e">
        <f>U19+'17.04'!V19</f>
        <v>#REF!</v>
      </c>
      <c r="W19" s="33">
        <v>14</v>
      </c>
      <c r="X19" s="22">
        <v>24</v>
      </c>
      <c r="Y19" s="23" t="e">
        <f>X19+'17.04'!Y19</f>
        <v>#REF!</v>
      </c>
      <c r="Z19" s="33">
        <v>7</v>
      </c>
      <c r="AA19" s="22">
        <v>0</v>
      </c>
      <c r="AB19" s="23" t="e">
        <f>AA19+'17.04'!AB19</f>
        <v>#REF!</v>
      </c>
      <c r="AC19" s="33">
        <v>32</v>
      </c>
      <c r="AD19" s="22">
        <v>0</v>
      </c>
      <c r="AE19" s="23" t="e">
        <f>AD19+'17.04'!AE19</f>
        <v>#REF!</v>
      </c>
      <c r="AF19" s="19">
        <f t="shared" si="1"/>
        <v>3950</v>
      </c>
      <c r="AG19" s="20" t="e">
        <f t="shared" si="1"/>
        <v>#REF!</v>
      </c>
      <c r="AH19" s="24">
        <v>725</v>
      </c>
      <c r="AI19" s="23" t="e">
        <f>AH19+'17.04'!AI19</f>
        <v>#REF!</v>
      </c>
      <c r="AJ19" s="24">
        <v>725</v>
      </c>
      <c r="AK19" s="23" t="e">
        <f>AJ19+'17.04'!AK19</f>
        <v>#REF!</v>
      </c>
      <c r="AL19" s="22">
        <v>1250</v>
      </c>
      <c r="AM19" s="23" t="e">
        <f>AL19+'17.04'!AM19</f>
        <v>#REF!</v>
      </c>
      <c r="AN19" s="22">
        <v>1250</v>
      </c>
      <c r="AO19" s="23" t="e">
        <f>AN19+'17.04'!AO19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AS19+'17.04'!AT19</f>
        <v>#REF!</v>
      </c>
      <c r="AU19" s="34">
        <v>0</v>
      </c>
      <c r="AV19" s="23" t="e">
        <f>AU19+'17.04'!AV19</f>
        <v>#REF!</v>
      </c>
      <c r="AW19" s="34">
        <v>0</v>
      </c>
      <c r="AX19" s="23" t="e">
        <f>AW19+'17.04'!AX19</f>
        <v>#REF!</v>
      </c>
      <c r="AY19" s="34">
        <v>0</v>
      </c>
      <c r="AZ19" s="23" t="e">
        <f>AY19+'17.04'!AZ19</f>
        <v>#REF!</v>
      </c>
      <c r="BA19" s="34">
        <v>0</v>
      </c>
      <c r="BB19" s="23" t="e">
        <f>BA19+'17.04'!BB19</f>
        <v>#REF!</v>
      </c>
      <c r="BC19" s="19">
        <f t="shared" si="3"/>
        <v>1467</v>
      </c>
      <c r="BD19" s="20" t="e">
        <f t="shared" si="3"/>
        <v>#REF!</v>
      </c>
      <c r="BE19" s="22">
        <v>17</v>
      </c>
      <c r="BF19" s="23" t="e">
        <f>BE19+'17.04'!BF19</f>
        <v>#REF!</v>
      </c>
      <c r="BG19" s="34">
        <v>0</v>
      </c>
      <c r="BH19" s="23" t="e">
        <f>BG19+'17.04'!BH19</f>
        <v>#REF!</v>
      </c>
      <c r="BI19" s="22">
        <v>1300</v>
      </c>
      <c r="BJ19" s="23" t="e">
        <f>BI19+'17.04'!BJ19</f>
        <v>#REF!</v>
      </c>
      <c r="BK19" s="22">
        <v>150</v>
      </c>
      <c r="BL19" s="23" t="e">
        <f>BK19+'17.04'!BL19</f>
        <v>#REF!</v>
      </c>
      <c r="BM19" s="22">
        <v>0</v>
      </c>
      <c r="BN19" s="23" t="e">
        <f>BM19+'17.04'!BN19</f>
        <v>#REF!</v>
      </c>
      <c r="BO19" s="36">
        <v>2898</v>
      </c>
      <c r="BP19" s="37">
        <v>0</v>
      </c>
      <c r="BQ19" s="23" t="e">
        <f>BP19+'17.04'!BQ19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400</v>
      </c>
      <c r="D20" s="31" t="e">
        <f t="shared" si="0"/>
        <v>#REF!</v>
      </c>
      <c r="E20" s="32">
        <v>723</v>
      </c>
      <c r="F20" s="22">
        <v>255</v>
      </c>
      <c r="G20" s="23" t="e">
        <f>F20+'17.04'!G20</f>
        <v>#REF!</v>
      </c>
      <c r="H20" s="33">
        <v>5</v>
      </c>
      <c r="I20" s="34">
        <v>1</v>
      </c>
      <c r="J20" s="23" t="e">
        <f>I20+'17.04'!J20</f>
        <v>#REF!</v>
      </c>
      <c r="K20" s="33">
        <v>3</v>
      </c>
      <c r="L20" s="22">
        <v>0</v>
      </c>
      <c r="M20" s="23" t="e">
        <f>L20+'17.04'!M20</f>
        <v>#REF!</v>
      </c>
      <c r="N20" s="33">
        <v>975</v>
      </c>
      <c r="O20" s="22">
        <v>86</v>
      </c>
      <c r="P20" s="23" t="e">
        <f>O20+'17.04'!P20</f>
        <v>#REF!</v>
      </c>
      <c r="Q20" s="61">
        <v>1862</v>
      </c>
      <c r="R20" s="22">
        <v>1</v>
      </c>
      <c r="S20" s="23" t="e">
        <f>R20+'17.04'!S20</f>
        <v>#REF!</v>
      </c>
      <c r="T20" s="33">
        <v>35</v>
      </c>
      <c r="U20" s="22">
        <v>4</v>
      </c>
      <c r="V20" s="23" t="e">
        <f>U20+'17.04'!V20</f>
        <v>#REF!</v>
      </c>
      <c r="W20" s="33">
        <v>64</v>
      </c>
      <c r="X20" s="22">
        <v>4</v>
      </c>
      <c r="Y20" s="23" t="e">
        <f>X20+'17.04'!Y20</f>
        <v>#REF!</v>
      </c>
      <c r="Z20" s="33">
        <v>15</v>
      </c>
      <c r="AA20" s="22">
        <v>1</v>
      </c>
      <c r="AB20" s="23" t="e">
        <f>AA20+'17.04'!AB20</f>
        <v>#REF!</v>
      </c>
      <c r="AC20" s="33">
        <v>1546</v>
      </c>
      <c r="AD20" s="22">
        <v>48</v>
      </c>
      <c r="AE20" s="23" t="e">
        <f>AD20+'17.04'!AE20</f>
        <v>#REF!</v>
      </c>
      <c r="AF20" s="19">
        <f t="shared" si="1"/>
        <v>23695</v>
      </c>
      <c r="AG20" s="20" t="e">
        <f t="shared" si="1"/>
        <v>#REF!</v>
      </c>
      <c r="AH20" s="24">
        <v>12850</v>
      </c>
      <c r="AI20" s="23" t="e">
        <f>AH20+'17.04'!AI20</f>
        <v>#REF!</v>
      </c>
      <c r="AJ20" s="24">
        <v>10245</v>
      </c>
      <c r="AK20" s="23" t="e">
        <f>AJ20+'17.04'!AK20</f>
        <v>#REF!</v>
      </c>
      <c r="AL20" s="22">
        <v>300</v>
      </c>
      <c r="AM20" s="23" t="e">
        <f>AL20+'17.04'!AM20</f>
        <v>#REF!</v>
      </c>
      <c r="AN20" s="22">
        <v>300</v>
      </c>
      <c r="AO20" s="23" t="e">
        <f>AN20+'17.04'!AO20</f>
        <v>#REF!</v>
      </c>
      <c r="AP20" s="28" t="s">
        <v>55</v>
      </c>
      <c r="AQ20" s="19">
        <f t="shared" si="4"/>
        <v>207</v>
      </c>
      <c r="AR20" s="20" t="e">
        <f t="shared" si="2"/>
        <v>#REF!</v>
      </c>
      <c r="AS20" s="34">
        <v>1</v>
      </c>
      <c r="AT20" s="23" t="e">
        <f>AS20+'17.04'!AT20</f>
        <v>#REF!</v>
      </c>
      <c r="AU20" s="34">
        <v>0</v>
      </c>
      <c r="AV20" s="23" t="e">
        <f>AU20+'17.04'!AV20</f>
        <v>#REF!</v>
      </c>
      <c r="AW20" s="34">
        <v>0</v>
      </c>
      <c r="AX20" s="23" t="e">
        <f>AW20+'17.04'!AX20</f>
        <v>#REF!</v>
      </c>
      <c r="AY20" s="34">
        <v>0</v>
      </c>
      <c r="AZ20" s="23" t="e">
        <f>AY20+'17.04'!AZ20</f>
        <v>#REF!</v>
      </c>
      <c r="BA20" s="34">
        <v>206</v>
      </c>
      <c r="BB20" s="23" t="e">
        <f>BA20+'17.04'!BB20</f>
        <v>#REF!</v>
      </c>
      <c r="BC20" s="19">
        <f t="shared" si="3"/>
        <v>4882</v>
      </c>
      <c r="BD20" s="20" t="e">
        <f t="shared" si="3"/>
        <v>#REF!</v>
      </c>
      <c r="BE20" s="22">
        <v>402</v>
      </c>
      <c r="BF20" s="23" t="e">
        <f>BE20+'17.04'!BF20</f>
        <v>#REF!</v>
      </c>
      <c r="BG20" s="34">
        <v>0</v>
      </c>
      <c r="BH20" s="23" t="e">
        <f>BG20+'17.04'!BH20</f>
        <v>#REF!</v>
      </c>
      <c r="BI20" s="22">
        <v>2170</v>
      </c>
      <c r="BJ20" s="23" t="e">
        <f>BI20+'17.04'!BJ20</f>
        <v>#REF!</v>
      </c>
      <c r="BK20" s="22">
        <v>2310</v>
      </c>
      <c r="BL20" s="23" t="e">
        <f>BK20+'17.04'!BL20</f>
        <v>#REF!</v>
      </c>
      <c r="BM20" s="22">
        <v>0</v>
      </c>
      <c r="BN20" s="23" t="e">
        <f>BM20+'17.04'!BN20</f>
        <v>#REF!</v>
      </c>
      <c r="BO20" s="36">
        <v>5854</v>
      </c>
      <c r="BP20" s="37">
        <v>0</v>
      </c>
      <c r="BQ20" s="23" t="e">
        <f>BP20+'17.04'!BQ20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186</v>
      </c>
      <c r="D21" s="31" t="e">
        <f t="shared" si="0"/>
        <v>#REF!</v>
      </c>
      <c r="E21" s="32">
        <v>1017</v>
      </c>
      <c r="F21" s="22">
        <v>150</v>
      </c>
      <c r="G21" s="23" t="e">
        <f>F21+'17.04'!G21</f>
        <v>#REF!</v>
      </c>
      <c r="H21" s="33">
        <v>8</v>
      </c>
      <c r="I21" s="34">
        <v>3</v>
      </c>
      <c r="J21" s="23" t="e">
        <f>I21+'17.04'!J21</f>
        <v>#REF!</v>
      </c>
      <c r="K21" s="33">
        <v>4</v>
      </c>
      <c r="L21" s="22">
        <v>0</v>
      </c>
      <c r="M21" s="23" t="e">
        <f>L21+'17.04'!M21</f>
        <v>#REF!</v>
      </c>
      <c r="N21" s="33">
        <v>963</v>
      </c>
      <c r="O21" s="22">
        <v>0</v>
      </c>
      <c r="P21" s="23" t="e">
        <f>O21+'17.04'!P21</f>
        <v>#REF!</v>
      </c>
      <c r="Q21" s="33">
        <v>912</v>
      </c>
      <c r="R21" s="22">
        <v>0</v>
      </c>
      <c r="S21" s="23" t="e">
        <f>R21+'17.04'!S21</f>
        <v>#REF!</v>
      </c>
      <c r="T21" s="33">
        <v>199</v>
      </c>
      <c r="U21" s="22">
        <v>2</v>
      </c>
      <c r="V21" s="23" t="e">
        <f>U21+'17.04'!V21</f>
        <v>#REF!</v>
      </c>
      <c r="W21" s="33">
        <v>101</v>
      </c>
      <c r="X21" s="22">
        <v>30</v>
      </c>
      <c r="Y21" s="23" t="e">
        <f>X21+'17.04'!Y21</f>
        <v>#REF!</v>
      </c>
      <c r="Z21" s="33">
        <v>42</v>
      </c>
      <c r="AA21" s="22">
        <v>0</v>
      </c>
      <c r="AB21" s="23" t="e">
        <f>AA21+'17.04'!AB21</f>
        <v>#REF!</v>
      </c>
      <c r="AC21" s="33">
        <v>20</v>
      </c>
      <c r="AD21" s="22">
        <v>1</v>
      </c>
      <c r="AE21" s="23" t="e">
        <f>AD21+'17.04'!AE21</f>
        <v>#REF!</v>
      </c>
      <c r="AF21" s="19">
        <f t="shared" si="1"/>
        <v>2450500</v>
      </c>
      <c r="AG21" s="20" t="e">
        <f t="shared" si="1"/>
        <v>#REF!</v>
      </c>
      <c r="AH21" s="24">
        <v>1000</v>
      </c>
      <c r="AI21" s="23" t="e">
        <f>AH21+'17.04'!AI21</f>
        <v>#REF!</v>
      </c>
      <c r="AJ21" s="24">
        <v>149500</v>
      </c>
      <c r="AK21" s="23" t="e">
        <f>AJ21+'17.04'!AK21</f>
        <v>#REF!</v>
      </c>
      <c r="AL21" s="22">
        <v>7000</v>
      </c>
      <c r="AM21" s="23" t="e">
        <f>AL21+'17.04'!AM21</f>
        <v>#REF!</v>
      </c>
      <c r="AN21" s="22">
        <v>2293000</v>
      </c>
      <c r="AO21" s="23" t="e">
        <f>AN21+'17.04'!AO21</f>
        <v>#REF!</v>
      </c>
      <c r="AP21" s="28" t="s">
        <v>58</v>
      </c>
      <c r="AQ21" s="19">
        <f t="shared" si="4"/>
        <v>5</v>
      </c>
      <c r="AR21" s="20" t="e">
        <f t="shared" si="2"/>
        <v>#REF!</v>
      </c>
      <c r="AS21" s="34">
        <v>0</v>
      </c>
      <c r="AT21" s="23" t="e">
        <f>AS21+'17.04'!AT21</f>
        <v>#REF!</v>
      </c>
      <c r="AU21" s="34">
        <v>3</v>
      </c>
      <c r="AV21" s="23" t="e">
        <f>AU21+'17.04'!AV21</f>
        <v>#REF!</v>
      </c>
      <c r="AW21" s="34">
        <v>0</v>
      </c>
      <c r="AX21" s="23" t="e">
        <f>AW21+'17.04'!AX21</f>
        <v>#REF!</v>
      </c>
      <c r="AY21" s="34">
        <v>0</v>
      </c>
      <c r="AZ21" s="23" t="e">
        <f>AY21+'17.04'!AZ21</f>
        <v>#REF!</v>
      </c>
      <c r="BA21" s="34">
        <v>2</v>
      </c>
      <c r="BB21" s="23" t="e">
        <f>BA21+'17.04'!BB21</f>
        <v>#REF!</v>
      </c>
      <c r="BC21" s="19">
        <f t="shared" si="3"/>
        <v>8075</v>
      </c>
      <c r="BD21" s="20" t="e">
        <f t="shared" si="3"/>
        <v>#REF!</v>
      </c>
      <c r="BE21" s="22">
        <v>75</v>
      </c>
      <c r="BF21" s="23" t="e">
        <f>BE21+'17.04'!BF21</f>
        <v>#REF!</v>
      </c>
      <c r="BG21" s="34">
        <v>0</v>
      </c>
      <c r="BH21" s="23" t="e">
        <f>BG21+'17.04'!BH21</f>
        <v>#REF!</v>
      </c>
      <c r="BI21" s="22">
        <v>8000</v>
      </c>
      <c r="BJ21" s="23" t="e">
        <f>BI21+'17.04'!BJ21</f>
        <v>#REF!</v>
      </c>
      <c r="BK21" s="22">
        <v>0</v>
      </c>
      <c r="BL21" s="23" t="e">
        <f>BK21+'17.04'!BL21</f>
        <v>#REF!</v>
      </c>
      <c r="BM21" s="22">
        <v>0</v>
      </c>
      <c r="BN21" s="23" t="e">
        <f>BM21+'17.04'!BN21</f>
        <v>#REF!</v>
      </c>
      <c r="BO21" s="36">
        <v>68</v>
      </c>
      <c r="BP21" s="37">
        <v>0</v>
      </c>
      <c r="BQ21" s="23" t="e">
        <f>BP21+'17.04'!BQ21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1660</v>
      </c>
      <c r="D22" s="31" t="e">
        <f t="shared" si="0"/>
        <v>#REF!</v>
      </c>
      <c r="E22" s="32">
        <v>509</v>
      </c>
      <c r="F22" s="22">
        <v>310</v>
      </c>
      <c r="G22" s="23" t="e">
        <f>F22+'17.04'!G22</f>
        <v>#REF!</v>
      </c>
      <c r="H22" s="33">
        <v>8</v>
      </c>
      <c r="I22" s="34">
        <v>4</v>
      </c>
      <c r="J22" s="23" t="e">
        <f>I22+'17.04'!J22</f>
        <v>#REF!</v>
      </c>
      <c r="K22" s="33">
        <v>21</v>
      </c>
      <c r="L22" s="22">
        <v>0</v>
      </c>
      <c r="M22" s="23" t="e">
        <f>L22+'17.04'!M22</f>
        <v>#REF!</v>
      </c>
      <c r="N22" s="33">
        <v>560</v>
      </c>
      <c r="O22" s="22">
        <v>20</v>
      </c>
      <c r="P22" s="23" t="e">
        <f>O22+'17.04'!P22</f>
        <v>#REF!</v>
      </c>
      <c r="Q22" s="33">
        <v>375</v>
      </c>
      <c r="R22" s="22">
        <v>20</v>
      </c>
      <c r="S22" s="23" t="e">
        <f>R22+'17.04'!S22</f>
        <v>#REF!</v>
      </c>
      <c r="T22" s="33">
        <v>165</v>
      </c>
      <c r="U22" s="22">
        <v>30</v>
      </c>
      <c r="V22" s="23" t="e">
        <f>U22+'17.04'!V22</f>
        <v>#REF!</v>
      </c>
      <c r="W22" s="33">
        <v>28</v>
      </c>
      <c r="X22" s="22">
        <v>93</v>
      </c>
      <c r="Y22" s="23" t="e">
        <f>X22+'17.04'!Y22</f>
        <v>#REF!</v>
      </c>
      <c r="Z22" s="33">
        <v>9</v>
      </c>
      <c r="AA22" s="22">
        <v>0</v>
      </c>
      <c r="AB22" s="23" t="e">
        <f>AA22+'17.04'!AB22</f>
        <v>#REF!</v>
      </c>
      <c r="AC22" s="33">
        <v>112</v>
      </c>
      <c r="AD22" s="22">
        <v>1183</v>
      </c>
      <c r="AE22" s="23" t="e">
        <f>AD22+'17.04'!AE22</f>
        <v>#REF!</v>
      </c>
      <c r="AF22" s="19">
        <f t="shared" si="1"/>
        <v>642933</v>
      </c>
      <c r="AG22" s="20" t="e">
        <f t="shared" si="1"/>
        <v>#REF!</v>
      </c>
      <c r="AH22" s="24">
        <v>821</v>
      </c>
      <c r="AI22" s="23" t="e">
        <f>AH22+'17.04'!AI22</f>
        <v>#REF!</v>
      </c>
      <c r="AJ22" s="24">
        <v>8000</v>
      </c>
      <c r="AK22" s="23" t="e">
        <f>AJ22+'17.04'!AK22</f>
        <v>#REF!</v>
      </c>
      <c r="AL22" s="22">
        <v>32510</v>
      </c>
      <c r="AM22" s="23" t="e">
        <f>AL22+'17.04'!AM22</f>
        <v>#REF!</v>
      </c>
      <c r="AN22" s="22">
        <v>601602</v>
      </c>
      <c r="AO22" s="23" t="e">
        <f>AN22+'17.04'!AO22</f>
        <v>#REF!</v>
      </c>
      <c r="AP22" s="28" t="s">
        <v>59</v>
      </c>
      <c r="AQ22" s="19">
        <f t="shared" si="4"/>
        <v>1633</v>
      </c>
      <c r="AR22" s="20" t="e">
        <f t="shared" si="2"/>
        <v>#REF!</v>
      </c>
      <c r="AS22" s="34">
        <v>0</v>
      </c>
      <c r="AT22" s="23" t="e">
        <f>AS22+'17.04'!AT22</f>
        <v>#REF!</v>
      </c>
      <c r="AU22" s="34">
        <v>0</v>
      </c>
      <c r="AV22" s="23" t="e">
        <f>AU22+'17.04'!AV22</f>
        <v>#REF!</v>
      </c>
      <c r="AW22" s="34">
        <v>0</v>
      </c>
      <c r="AX22" s="23" t="e">
        <f>AW22+'17.04'!AX22</f>
        <v>#REF!</v>
      </c>
      <c r="AY22" s="34">
        <v>0</v>
      </c>
      <c r="AZ22" s="23" t="e">
        <f>AY22+'17.04'!AZ22</f>
        <v>#REF!</v>
      </c>
      <c r="BA22" s="34">
        <v>1633</v>
      </c>
      <c r="BB22" s="23" t="e">
        <f>BA22+'17.04'!BB22</f>
        <v>#REF!</v>
      </c>
      <c r="BC22" s="19">
        <f t="shared" si="3"/>
        <v>6535</v>
      </c>
      <c r="BD22" s="20" t="e">
        <f t="shared" si="3"/>
        <v>#REF!</v>
      </c>
      <c r="BE22" s="22">
        <v>6</v>
      </c>
      <c r="BF22" s="23" t="e">
        <f>BE22+'17.04'!BF22</f>
        <v>#REF!</v>
      </c>
      <c r="BG22" s="34">
        <v>5</v>
      </c>
      <c r="BH22" s="23" t="e">
        <f>BG22+'17.04'!BH22</f>
        <v>#REF!</v>
      </c>
      <c r="BI22" s="22">
        <v>6520</v>
      </c>
      <c r="BJ22" s="23" t="e">
        <f>BI22+'17.04'!BJ22</f>
        <v>#REF!</v>
      </c>
      <c r="BK22" s="22">
        <v>4</v>
      </c>
      <c r="BL22" s="23" t="e">
        <f>BK22+'17.04'!BL22</f>
        <v>#REF!</v>
      </c>
      <c r="BM22" s="22">
        <v>0</v>
      </c>
      <c r="BN22" s="23" t="e">
        <f>BM22+'17.04'!BN22</f>
        <v>#REF!</v>
      </c>
      <c r="BO22" s="36">
        <v>26</v>
      </c>
      <c r="BP22" s="37">
        <v>1</v>
      </c>
      <c r="BQ22" s="23" t="e">
        <f>BP22+'17.04'!BQ22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3885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1640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10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113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21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50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633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1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1417</v>
      </c>
      <c r="AE23" s="68" t="e">
        <f t="shared" si="5"/>
        <v>#REF!</v>
      </c>
      <c r="AF23" s="64">
        <f t="shared" si="5"/>
        <v>5341335</v>
      </c>
      <c r="AG23" s="64" t="e">
        <f t="shared" si="5"/>
        <v>#REF!</v>
      </c>
      <c r="AH23" s="67">
        <f t="shared" si="5"/>
        <v>32457</v>
      </c>
      <c r="AI23" s="68" t="e">
        <f t="shared" si="5"/>
        <v>#REF!</v>
      </c>
      <c r="AJ23" s="67">
        <f t="shared" si="5"/>
        <v>206077</v>
      </c>
      <c r="AK23" s="68" t="e">
        <f t="shared" si="5"/>
        <v>#REF!</v>
      </c>
      <c r="AL23" s="67">
        <f t="shared" si="5"/>
        <v>775460</v>
      </c>
      <c r="AM23" s="68" t="e">
        <f t="shared" si="5"/>
        <v>#REF!</v>
      </c>
      <c r="AN23" s="67">
        <f t="shared" si="5"/>
        <v>4327341</v>
      </c>
      <c r="AO23" s="68" t="e">
        <f t="shared" si="5"/>
        <v>#REF!</v>
      </c>
      <c r="AP23" s="62" t="s">
        <v>12</v>
      </c>
      <c r="AQ23" s="64">
        <f t="shared" ref="AQ23:BP23" si="6">SUM(AQ8:AQ22)</f>
        <v>1963</v>
      </c>
      <c r="AR23" s="64" t="e">
        <f t="shared" si="6"/>
        <v>#REF!</v>
      </c>
      <c r="AS23" s="67">
        <f t="shared" si="6"/>
        <v>3</v>
      </c>
      <c r="AT23" s="68" t="e">
        <f t="shared" si="6"/>
        <v>#REF!</v>
      </c>
      <c r="AU23" s="67">
        <f t="shared" si="6"/>
        <v>4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1956</v>
      </c>
      <c r="BB23" s="68" t="e">
        <f t="shared" si="6"/>
        <v>#REF!</v>
      </c>
      <c r="BC23" s="64">
        <f t="shared" si="6"/>
        <v>45254</v>
      </c>
      <c r="BD23" s="64" t="e">
        <f t="shared" si="6"/>
        <v>#REF!</v>
      </c>
      <c r="BE23" s="67">
        <f t="shared" si="6"/>
        <v>1679</v>
      </c>
      <c r="BF23" s="68" t="e">
        <f t="shared" si="6"/>
        <v>#REF!</v>
      </c>
      <c r="BG23" s="67">
        <f t="shared" si="6"/>
        <v>25</v>
      </c>
      <c r="BH23" s="68" t="e">
        <f t="shared" si="6"/>
        <v>#REF!</v>
      </c>
      <c r="BI23" s="67">
        <f t="shared" si="6"/>
        <v>34741</v>
      </c>
      <c r="BJ23" s="68" t="e">
        <f t="shared" si="6"/>
        <v>#REF!</v>
      </c>
      <c r="BK23" s="67">
        <f t="shared" si="6"/>
        <v>8808</v>
      </c>
      <c r="BL23" s="68" t="e">
        <f t="shared" si="6"/>
        <v>#REF!</v>
      </c>
      <c r="BM23" s="67">
        <f t="shared" si="6"/>
        <v>1</v>
      </c>
      <c r="BN23" s="68" t="e">
        <f t="shared" si="6"/>
        <v>#REF!</v>
      </c>
      <c r="BO23" s="69">
        <f t="shared" si="6"/>
        <v>37684</v>
      </c>
      <c r="BP23" s="70">
        <f t="shared" si="6"/>
        <v>24</v>
      </c>
      <c r="BQ23" s="23">
        <f>BP23+'17.04'!BP23</f>
        <v>51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BU23"/>
  <sheetViews>
    <sheetView zoomScale="115" zoomScaleNormal="115" workbookViewId="0">
      <pane xSplit="4" ySplit="8" topLeftCell="E15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F9+'18.04'!G9</f>
        <v>#REF!</v>
      </c>
      <c r="H9" s="33">
        <v>12</v>
      </c>
      <c r="I9" s="34">
        <v>0</v>
      </c>
      <c r="J9" s="23" t="e">
        <f>I9+'18.04'!J9</f>
        <v>#REF!</v>
      </c>
      <c r="K9" s="33">
        <v>2</v>
      </c>
      <c r="L9" s="22">
        <v>0</v>
      </c>
      <c r="M9" s="23" t="e">
        <f>L9+'18.04'!M9</f>
        <v>#REF!</v>
      </c>
      <c r="N9" s="33">
        <v>735</v>
      </c>
      <c r="O9" s="22">
        <v>0</v>
      </c>
      <c r="P9" s="23" t="e">
        <f>O9+'18.04'!P9</f>
        <v>#REF!</v>
      </c>
      <c r="Q9" s="33">
        <v>502</v>
      </c>
      <c r="R9" s="22">
        <v>0</v>
      </c>
      <c r="S9" s="23" t="e">
        <f>R9+'18.04'!S9</f>
        <v>#REF!</v>
      </c>
      <c r="T9" s="33">
        <v>197</v>
      </c>
      <c r="U9" s="22">
        <v>0</v>
      </c>
      <c r="V9" s="23" t="e">
        <f>U9+'18.04'!V9</f>
        <v>#REF!</v>
      </c>
      <c r="W9" s="33">
        <v>47</v>
      </c>
      <c r="X9" s="22">
        <v>1</v>
      </c>
      <c r="Y9" s="23" t="e">
        <f>X9+'18.04'!Y9</f>
        <v>#REF!</v>
      </c>
      <c r="Z9" s="33">
        <v>34</v>
      </c>
      <c r="AA9" s="22">
        <v>0</v>
      </c>
      <c r="AB9" s="23" t="e">
        <f>AA9+'18.04'!AB9</f>
        <v>#REF!</v>
      </c>
      <c r="AC9" s="33">
        <v>1860</v>
      </c>
      <c r="AD9" s="22">
        <v>0</v>
      </c>
      <c r="AE9" s="23" t="e">
        <f>AD9+'18.04'!AE9</f>
        <v>#REF!</v>
      </c>
      <c r="AF9" s="19">
        <f t="shared" ref="AF9:AG22" si="1">AH9+AJ9+AL9+AN9</f>
        <v>7940</v>
      </c>
      <c r="AG9" s="20" t="e">
        <f t="shared" si="1"/>
        <v>#REF!</v>
      </c>
      <c r="AH9" s="24">
        <v>125</v>
      </c>
      <c r="AI9" s="23" t="e">
        <f>AH9+'18.04'!AI9</f>
        <v>#REF!</v>
      </c>
      <c r="AJ9" s="24">
        <v>415</v>
      </c>
      <c r="AK9" s="23" t="e">
        <f>AJ9+'18.04'!AK9</f>
        <v>#REF!</v>
      </c>
      <c r="AL9" s="22">
        <v>2400</v>
      </c>
      <c r="AM9" s="23" t="e">
        <f>AL9+'18.04'!AM9</f>
        <v>#REF!</v>
      </c>
      <c r="AN9" s="22">
        <v>5000</v>
      </c>
      <c r="AO9" s="23" t="e">
        <f>AN9+'18.04'!AO9</f>
        <v>#REF!</v>
      </c>
      <c r="AP9" s="28" t="s">
        <v>43</v>
      </c>
      <c r="AQ9" s="19">
        <f t="shared" ref="AQ9:AR22" si="2">AS9+AU9+AW9+AY9+BA9</f>
        <v>48</v>
      </c>
      <c r="AR9" s="20" t="e">
        <f t="shared" si="2"/>
        <v>#REF!</v>
      </c>
      <c r="AS9" s="34">
        <v>1</v>
      </c>
      <c r="AT9" s="23" t="e">
        <f>AS9+'18.04'!AT9</f>
        <v>#REF!</v>
      </c>
      <c r="AU9" s="34">
        <v>1</v>
      </c>
      <c r="AV9" s="23" t="e">
        <f>AU9+'18.04'!AV9</f>
        <v>#REF!</v>
      </c>
      <c r="AW9" s="34">
        <v>0</v>
      </c>
      <c r="AX9" s="23" t="e">
        <f>AW9+'18.04'!AX9</f>
        <v>#REF!</v>
      </c>
      <c r="AY9" s="34">
        <v>0</v>
      </c>
      <c r="AZ9" s="23" t="e">
        <f>AY9+'18.04'!AZ9</f>
        <v>#REF!</v>
      </c>
      <c r="BA9" s="34">
        <v>46</v>
      </c>
      <c r="BB9" s="23" t="e">
        <f>BA9+'18.04'!BB9</f>
        <v>#REF!</v>
      </c>
      <c r="BC9" s="19">
        <f t="shared" ref="BC9:BD22" si="3">BE9+BG9+BI9+BK9+BM9</f>
        <v>421</v>
      </c>
      <c r="BD9" s="20" t="e">
        <f t="shared" si="3"/>
        <v>#REF!</v>
      </c>
      <c r="BE9" s="22">
        <v>1</v>
      </c>
      <c r="BF9" s="23" t="e">
        <f>BE9+'18.04'!BF9</f>
        <v>#REF!</v>
      </c>
      <c r="BG9" s="34">
        <v>0</v>
      </c>
      <c r="BH9" s="23" t="e">
        <f>BG9+'18.04'!BH9</f>
        <v>#REF!</v>
      </c>
      <c r="BI9" s="22">
        <v>420</v>
      </c>
      <c r="BJ9" s="23" t="e">
        <f>BI9+'18.04'!BJ9</f>
        <v>#REF!</v>
      </c>
      <c r="BK9" s="22">
        <v>0</v>
      </c>
      <c r="BL9" s="23" t="e">
        <f>BK9+'18.04'!BL9</f>
        <v>#REF!</v>
      </c>
      <c r="BM9" s="22">
        <v>0</v>
      </c>
      <c r="BN9" s="23" t="e">
        <f>BM9+'18.04'!BN9</f>
        <v>#REF!</v>
      </c>
      <c r="BO9" s="36">
        <v>14</v>
      </c>
      <c r="BP9" s="37">
        <v>0</v>
      </c>
      <c r="BQ9" s="23" t="e">
        <f>BP9+'18.04'!BQ9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48</v>
      </c>
      <c r="D10" s="31" t="e">
        <f t="shared" si="0"/>
        <v>#REF!</v>
      </c>
      <c r="E10" s="32">
        <v>585</v>
      </c>
      <c r="F10" s="22">
        <v>0</v>
      </c>
      <c r="G10" s="23" t="e">
        <f>F10+'18.04'!G10</f>
        <v>#REF!</v>
      </c>
      <c r="H10" s="33">
        <v>93</v>
      </c>
      <c r="I10" s="34">
        <v>0</v>
      </c>
      <c r="J10" s="23" t="e">
        <f>I10+'18.04'!J10</f>
        <v>#REF!</v>
      </c>
      <c r="K10" s="33">
        <v>34</v>
      </c>
      <c r="L10" s="22">
        <v>0</v>
      </c>
      <c r="M10" s="23" t="e">
        <f>L10+'18.04'!M10</f>
        <v>#REF!</v>
      </c>
      <c r="N10" s="33">
        <v>352</v>
      </c>
      <c r="O10" s="22">
        <v>0</v>
      </c>
      <c r="P10" s="23" t="e">
        <f>O10+'18.04'!P10</f>
        <v>#REF!</v>
      </c>
      <c r="Q10" s="33">
        <v>549</v>
      </c>
      <c r="R10" s="22">
        <v>0</v>
      </c>
      <c r="S10" s="23" t="e">
        <f>R10+'18.04'!S10</f>
        <v>#REF!</v>
      </c>
      <c r="T10" s="33">
        <v>198</v>
      </c>
      <c r="U10" s="22">
        <v>0</v>
      </c>
      <c r="V10" s="23" t="e">
        <f>U10+'18.04'!V10</f>
        <v>#REF!</v>
      </c>
      <c r="W10" s="38">
        <v>55</v>
      </c>
      <c r="X10" s="22">
        <v>14</v>
      </c>
      <c r="Y10" s="23" t="e">
        <f>X10+'18.04'!Y10</f>
        <v>#REF!</v>
      </c>
      <c r="Z10" s="38">
        <v>71</v>
      </c>
      <c r="AA10" s="22">
        <v>0</v>
      </c>
      <c r="AB10" s="23" t="e">
        <f>AA10+'18.04'!AB10</f>
        <v>#REF!</v>
      </c>
      <c r="AC10" s="38">
        <v>1690</v>
      </c>
      <c r="AD10" s="22">
        <v>34</v>
      </c>
      <c r="AE10" s="23" t="e">
        <f>AD10+'18.04'!AE10</f>
        <v>#REF!</v>
      </c>
      <c r="AF10" s="19">
        <f t="shared" si="1"/>
        <v>99870</v>
      </c>
      <c r="AG10" s="20" t="e">
        <f t="shared" si="1"/>
        <v>#REF!</v>
      </c>
      <c r="AH10" s="24">
        <v>578</v>
      </c>
      <c r="AI10" s="23" t="e">
        <f>AH10+'18.04'!AI10</f>
        <v>#REF!</v>
      </c>
      <c r="AJ10" s="24">
        <v>3871</v>
      </c>
      <c r="AK10" s="23" t="e">
        <f>AJ10+'18.04'!AK10</f>
        <v>#REF!</v>
      </c>
      <c r="AL10" s="22">
        <v>13805</v>
      </c>
      <c r="AM10" s="23" t="e">
        <f>AL10+'18.04'!AM10</f>
        <v>#REF!</v>
      </c>
      <c r="AN10" s="22">
        <v>81616</v>
      </c>
      <c r="AO10" s="23" t="e">
        <f>AN10+'18.04'!AO10</f>
        <v>#REF!</v>
      </c>
      <c r="AP10" s="28" t="s">
        <v>44</v>
      </c>
      <c r="AQ10" s="19">
        <f t="shared" si="2"/>
        <v>6</v>
      </c>
      <c r="AR10" s="20" t="e">
        <f t="shared" si="2"/>
        <v>#REF!</v>
      </c>
      <c r="AS10" s="34">
        <v>0</v>
      </c>
      <c r="AT10" s="23" t="e">
        <f>AS10+'18.04'!AT10</f>
        <v>#REF!</v>
      </c>
      <c r="AU10" s="34">
        <v>0</v>
      </c>
      <c r="AV10" s="23" t="e">
        <f>AU10+'18.04'!AV10</f>
        <v>#REF!</v>
      </c>
      <c r="AW10" s="34">
        <v>0</v>
      </c>
      <c r="AX10" s="23" t="e">
        <f>AW10+'18.04'!AX10</f>
        <v>#REF!</v>
      </c>
      <c r="AY10" s="34">
        <v>0</v>
      </c>
      <c r="AZ10" s="23" t="e">
        <f>AY10+'18.04'!AZ10</f>
        <v>#REF!</v>
      </c>
      <c r="BA10" s="34">
        <v>6</v>
      </c>
      <c r="BB10" s="23" t="e">
        <f>BA10+'18.04'!BB10</f>
        <v>#REF!</v>
      </c>
      <c r="BC10" s="19">
        <f t="shared" si="3"/>
        <v>3932</v>
      </c>
      <c r="BD10" s="20" t="e">
        <f t="shared" si="3"/>
        <v>#REF!</v>
      </c>
      <c r="BE10" s="22">
        <v>532</v>
      </c>
      <c r="BF10" s="23" t="e">
        <f>BE10+'18.04'!BF10</f>
        <v>#REF!</v>
      </c>
      <c r="BG10" s="34">
        <v>0</v>
      </c>
      <c r="BH10" s="23" t="e">
        <f>BG10+'18.04'!BH10</f>
        <v>#REF!</v>
      </c>
      <c r="BI10" s="22">
        <v>2315</v>
      </c>
      <c r="BJ10" s="23" t="e">
        <f>BI10+'18.04'!BJ10</f>
        <v>#REF!</v>
      </c>
      <c r="BK10" s="22">
        <v>1085</v>
      </c>
      <c r="BL10" s="23" t="e">
        <f>BK10+'18.04'!BL10</f>
        <v>#REF!</v>
      </c>
      <c r="BM10" s="22">
        <v>0</v>
      </c>
      <c r="BN10" s="23" t="e">
        <f>BM10+'18.04'!BN10</f>
        <v>#REF!</v>
      </c>
      <c r="BO10" s="36">
        <v>32</v>
      </c>
      <c r="BP10" s="37">
        <v>0</v>
      </c>
      <c r="BQ10" s="23" t="e">
        <f>BP10+'18.04'!BQ10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65</v>
      </c>
      <c r="D11" s="31" t="e">
        <f t="shared" si="0"/>
        <v>#REF!</v>
      </c>
      <c r="E11" s="32">
        <v>883</v>
      </c>
      <c r="F11" s="22">
        <v>28</v>
      </c>
      <c r="G11" s="23" t="e">
        <f>F11+'18.04'!G11</f>
        <v>#REF!</v>
      </c>
      <c r="H11" s="33">
        <v>16</v>
      </c>
      <c r="I11" s="34">
        <v>0</v>
      </c>
      <c r="J11" s="23" t="e">
        <f>I11+'18.04'!J11</f>
        <v>#REF!</v>
      </c>
      <c r="K11" s="33">
        <v>3</v>
      </c>
      <c r="L11" s="22">
        <v>0</v>
      </c>
      <c r="M11" s="23" t="e">
        <f>L11+'18.04'!M11</f>
        <v>#REF!</v>
      </c>
      <c r="N11" s="33">
        <v>875</v>
      </c>
      <c r="O11" s="22">
        <v>0</v>
      </c>
      <c r="P11" s="23" t="e">
        <f>O11+'18.04'!P11</f>
        <v>#REF!</v>
      </c>
      <c r="Q11" s="33">
        <v>2424</v>
      </c>
      <c r="R11" s="22">
        <v>0</v>
      </c>
      <c r="S11" s="23" t="e">
        <f>R11+'18.04'!S11</f>
        <v>#REF!</v>
      </c>
      <c r="T11" s="33">
        <v>69</v>
      </c>
      <c r="U11" s="22">
        <v>0</v>
      </c>
      <c r="V11" s="23" t="e">
        <f>U11+'18.04'!V11</f>
        <v>#REF!</v>
      </c>
      <c r="W11" s="38">
        <v>133</v>
      </c>
      <c r="X11" s="22">
        <v>34</v>
      </c>
      <c r="Y11" s="23" t="e">
        <f>X11+'18.04'!Y11</f>
        <v>#REF!</v>
      </c>
      <c r="Z11" s="38">
        <v>1116</v>
      </c>
      <c r="AA11" s="22">
        <v>0</v>
      </c>
      <c r="AB11" s="23" t="e">
        <f>AA11+'18.04'!AB11</f>
        <v>#REF!</v>
      </c>
      <c r="AC11" s="38">
        <v>9862</v>
      </c>
      <c r="AD11" s="22">
        <v>3</v>
      </c>
      <c r="AE11" s="23" t="e">
        <f>AD11+'18.04'!AE11</f>
        <v>#REF!</v>
      </c>
      <c r="AF11" s="19">
        <f t="shared" si="1"/>
        <v>101100</v>
      </c>
      <c r="AG11" s="20" t="e">
        <f t="shared" si="1"/>
        <v>#REF!</v>
      </c>
      <c r="AH11" s="24">
        <v>4000</v>
      </c>
      <c r="AI11" s="23" t="e">
        <f>AH11+'18.04'!AI11</f>
        <v>#REF!</v>
      </c>
      <c r="AJ11" s="24">
        <v>7100</v>
      </c>
      <c r="AK11" s="23" t="e">
        <f>AJ11+'18.04'!AK11</f>
        <v>#REF!</v>
      </c>
      <c r="AL11" s="22">
        <v>23000</v>
      </c>
      <c r="AM11" s="23" t="e">
        <f>AL11+'18.04'!AM11</f>
        <v>#REF!</v>
      </c>
      <c r="AN11" s="22">
        <v>67000</v>
      </c>
      <c r="AO11" s="23" t="e">
        <f>AN11+'18.04'!AO11</f>
        <v>#REF!</v>
      </c>
      <c r="AP11" s="28" t="s">
        <v>45</v>
      </c>
      <c r="AQ11" s="19">
        <f t="shared" si="2"/>
        <v>6</v>
      </c>
      <c r="AR11" s="20" t="e">
        <f t="shared" si="2"/>
        <v>#REF!</v>
      </c>
      <c r="AS11" s="34">
        <v>0</v>
      </c>
      <c r="AT11" s="23" t="e">
        <f>AS11+'18.04'!AT11</f>
        <v>#REF!</v>
      </c>
      <c r="AU11" s="34">
        <v>0</v>
      </c>
      <c r="AV11" s="23" t="e">
        <f>AU11+'18.04'!AV11</f>
        <v>#REF!</v>
      </c>
      <c r="AW11" s="34">
        <v>0</v>
      </c>
      <c r="AX11" s="23" t="e">
        <f>AW11+'18.04'!AX11</f>
        <v>#REF!</v>
      </c>
      <c r="AY11" s="34">
        <v>0</v>
      </c>
      <c r="AZ11" s="23" t="e">
        <f>AY11+'18.04'!AZ11</f>
        <v>#REF!</v>
      </c>
      <c r="BA11" s="34">
        <v>6</v>
      </c>
      <c r="BB11" s="23" t="e">
        <f>BA11+'18.04'!BB11</f>
        <v>#REF!</v>
      </c>
      <c r="BC11" s="19">
        <f t="shared" si="3"/>
        <v>3705</v>
      </c>
      <c r="BD11" s="20" t="e">
        <f t="shared" si="3"/>
        <v>#REF!</v>
      </c>
      <c r="BE11" s="22">
        <v>7</v>
      </c>
      <c r="BF11" s="23" t="e">
        <f>BE11+'18.04'!BF11</f>
        <v>#REF!</v>
      </c>
      <c r="BG11" s="34">
        <v>2</v>
      </c>
      <c r="BH11" s="23" t="e">
        <f>BG11+'18.04'!BH11</f>
        <v>#REF!</v>
      </c>
      <c r="BI11" s="22">
        <v>3600</v>
      </c>
      <c r="BJ11" s="23" t="e">
        <f>BI11+'18.04'!BJ11</f>
        <v>#REF!</v>
      </c>
      <c r="BK11" s="22">
        <v>96</v>
      </c>
      <c r="BL11" s="23" t="e">
        <f>BK11+'18.04'!BL11</f>
        <v>#REF!</v>
      </c>
      <c r="BM11" s="22">
        <v>0</v>
      </c>
      <c r="BN11" s="23" t="e">
        <f>BM11+'18.04'!BN11</f>
        <v>#REF!</v>
      </c>
      <c r="BO11" s="36">
        <v>11506</v>
      </c>
      <c r="BP11" s="37">
        <v>5</v>
      </c>
      <c r="BQ11" s="23" t="e">
        <f>BP11+'18.04'!BQ11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0</v>
      </c>
      <c r="D12" s="31" t="e">
        <f t="shared" si="0"/>
        <v>#REF!</v>
      </c>
      <c r="E12" s="32">
        <v>909</v>
      </c>
      <c r="F12" s="22"/>
      <c r="G12" s="23" t="e">
        <f>F12+'18.04'!G12</f>
        <v>#REF!</v>
      </c>
      <c r="H12" s="33">
        <v>80</v>
      </c>
      <c r="I12" s="34"/>
      <c r="J12" s="23" t="e">
        <f>I12+'18.04'!J12</f>
        <v>#REF!</v>
      </c>
      <c r="K12" s="33">
        <v>5</v>
      </c>
      <c r="L12" s="22"/>
      <c r="M12" s="23" t="e">
        <f>L12+'18.04'!M12</f>
        <v>#REF!</v>
      </c>
      <c r="N12" s="33">
        <v>820</v>
      </c>
      <c r="O12" s="22"/>
      <c r="P12" s="23" t="e">
        <f>O12+'18.04'!P12</f>
        <v>#REF!</v>
      </c>
      <c r="Q12" s="33">
        <v>549</v>
      </c>
      <c r="R12" s="22"/>
      <c r="S12" s="23" t="e">
        <f>R12+'18.04'!S12</f>
        <v>#REF!</v>
      </c>
      <c r="T12" s="33">
        <v>992</v>
      </c>
      <c r="U12" s="22"/>
      <c r="V12" s="23" t="e">
        <f>U12+'18.04'!V12</f>
        <v>#REF!</v>
      </c>
      <c r="W12" s="33">
        <v>38</v>
      </c>
      <c r="X12" s="22"/>
      <c r="Y12" s="23" t="e">
        <f>X12+'18.04'!Y12</f>
        <v>#REF!</v>
      </c>
      <c r="Z12" s="33">
        <v>68</v>
      </c>
      <c r="AA12" s="22"/>
      <c r="AB12" s="23" t="e">
        <f>AA12+'18.04'!AB12</f>
        <v>#REF!</v>
      </c>
      <c r="AC12" s="33">
        <v>26703</v>
      </c>
      <c r="AD12" s="22"/>
      <c r="AE12" s="23" t="e">
        <f>AD12+'18.04'!AE12</f>
        <v>#REF!</v>
      </c>
      <c r="AF12" s="19">
        <f t="shared" si="1"/>
        <v>0</v>
      </c>
      <c r="AG12" s="20" t="e">
        <f t="shared" si="1"/>
        <v>#REF!</v>
      </c>
      <c r="AH12" s="24"/>
      <c r="AI12" s="23" t="e">
        <f>AH12+'18.04'!AI12</f>
        <v>#REF!</v>
      </c>
      <c r="AJ12" s="24"/>
      <c r="AK12" s="23" t="e">
        <f>AJ12+'18.04'!AK12</f>
        <v>#REF!</v>
      </c>
      <c r="AL12" s="22"/>
      <c r="AM12" s="23" t="e">
        <f>AL12+'18.04'!AM12</f>
        <v>#REF!</v>
      </c>
      <c r="AN12" s="22"/>
      <c r="AO12" s="23" t="e">
        <f>AN12+'18.04'!AO12</f>
        <v>#REF!</v>
      </c>
      <c r="AP12" s="28" t="s">
        <v>46</v>
      </c>
      <c r="AQ12" s="19">
        <f t="shared" si="2"/>
        <v>0</v>
      </c>
      <c r="AR12" s="20" t="e">
        <f t="shared" si="2"/>
        <v>#REF!</v>
      </c>
      <c r="AS12" s="34"/>
      <c r="AT12" s="23" t="e">
        <f>AS12+'18.04'!AT12</f>
        <v>#REF!</v>
      </c>
      <c r="AU12" s="34"/>
      <c r="AV12" s="23" t="e">
        <f>AU12+'18.04'!AV12</f>
        <v>#REF!</v>
      </c>
      <c r="AW12" s="34"/>
      <c r="AX12" s="23" t="e">
        <f>AW12+'18.04'!AX12</f>
        <v>#REF!</v>
      </c>
      <c r="AY12" s="34"/>
      <c r="AZ12" s="23" t="e">
        <f>AY12+'18.04'!AZ12</f>
        <v>#REF!</v>
      </c>
      <c r="BA12" s="34"/>
      <c r="BB12" s="23" t="e">
        <f>BA12+'18.04'!BB12</f>
        <v>#REF!</v>
      </c>
      <c r="BC12" s="19">
        <f t="shared" si="3"/>
        <v>0</v>
      </c>
      <c r="BD12" s="20" t="e">
        <f t="shared" si="3"/>
        <v>#REF!</v>
      </c>
      <c r="BE12" s="22"/>
      <c r="BF12" s="23" t="e">
        <f>BE12+'18.04'!BF12</f>
        <v>#REF!</v>
      </c>
      <c r="BG12" s="34"/>
      <c r="BH12" s="23" t="e">
        <f>BG12+'18.04'!BH12</f>
        <v>#REF!</v>
      </c>
      <c r="BI12" s="22"/>
      <c r="BJ12" s="23" t="e">
        <f>BI12+'18.04'!BJ12</f>
        <v>#REF!</v>
      </c>
      <c r="BK12" s="22"/>
      <c r="BL12" s="23" t="e">
        <f>BK12+'18.04'!BL12</f>
        <v>#REF!</v>
      </c>
      <c r="BM12" s="22"/>
      <c r="BN12" s="23" t="e">
        <f>BM12+'18.04'!BN12</f>
        <v>#REF!</v>
      </c>
      <c r="BO12" s="36"/>
      <c r="BP12" s="37"/>
      <c r="BQ12" s="23" t="e">
        <f>BP12+'18.04'!BQ12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 t="e">
        <f t="shared" si="0"/>
        <v>#REF!</v>
      </c>
      <c r="E13" s="32">
        <v>516</v>
      </c>
      <c r="F13" s="22">
        <v>1</v>
      </c>
      <c r="G13" s="23" t="e">
        <f>F13+'18.04'!G13</f>
        <v>#REF!</v>
      </c>
      <c r="H13" s="33">
        <v>10</v>
      </c>
      <c r="I13" s="34">
        <v>0</v>
      </c>
      <c r="J13" s="23" t="e">
        <f>I13+'18.04'!J13</f>
        <v>#REF!</v>
      </c>
      <c r="K13" s="33">
        <v>38</v>
      </c>
      <c r="L13" s="22">
        <v>0</v>
      </c>
      <c r="M13" s="23" t="e">
        <f>L13+'18.04'!M13</f>
        <v>#REF!</v>
      </c>
      <c r="N13" s="33">
        <v>581</v>
      </c>
      <c r="O13" s="22">
        <v>0</v>
      </c>
      <c r="P13" s="23" t="e">
        <f>O13+'18.04'!P13</f>
        <v>#REF!</v>
      </c>
      <c r="Q13" s="33">
        <v>525</v>
      </c>
      <c r="R13" s="22">
        <v>0</v>
      </c>
      <c r="S13" s="23" t="e">
        <f>R13+'18.04'!S13</f>
        <v>#REF!</v>
      </c>
      <c r="T13" s="33">
        <v>263</v>
      </c>
      <c r="U13" s="22">
        <v>0</v>
      </c>
      <c r="V13" s="23" t="e">
        <f>U13+'18.04'!V13</f>
        <v>#REF!</v>
      </c>
      <c r="W13" s="33">
        <v>43</v>
      </c>
      <c r="X13" s="22">
        <v>0</v>
      </c>
      <c r="Y13" s="23" t="e">
        <f>X13+'18.04'!Y13</f>
        <v>#REF!</v>
      </c>
      <c r="Z13" s="33">
        <v>17</v>
      </c>
      <c r="AA13" s="22">
        <v>0</v>
      </c>
      <c r="AB13" s="23" t="e">
        <f>AA13+'18.04'!AB13</f>
        <v>#REF!</v>
      </c>
      <c r="AC13" s="33">
        <v>51</v>
      </c>
      <c r="AD13" s="22">
        <v>1</v>
      </c>
      <c r="AE13" s="23" t="e">
        <f>AD13+'18.04'!AE13</f>
        <v>#REF!</v>
      </c>
      <c r="AF13" s="19">
        <f t="shared" si="1"/>
        <v>290000</v>
      </c>
      <c r="AG13" s="20" t="e">
        <f t="shared" si="1"/>
        <v>#REF!</v>
      </c>
      <c r="AH13" s="24">
        <v>1000</v>
      </c>
      <c r="AI13" s="23" t="e">
        <f>AH13+'18.04'!AI13</f>
        <v>#REF!</v>
      </c>
      <c r="AJ13" s="24">
        <v>9000</v>
      </c>
      <c r="AK13" s="23" t="e">
        <f>AJ13+'18.04'!AK13</f>
        <v>#REF!</v>
      </c>
      <c r="AL13" s="22">
        <v>30000</v>
      </c>
      <c r="AM13" s="23" t="e">
        <f>AL13+'18.04'!AM13</f>
        <v>#REF!</v>
      </c>
      <c r="AN13" s="22">
        <v>250000</v>
      </c>
      <c r="AO13" s="23" t="e">
        <f>AN13+'18.04'!AO13</f>
        <v>#REF!</v>
      </c>
      <c r="AP13" s="28" t="s">
        <v>47</v>
      </c>
      <c r="AQ13" s="19">
        <f t="shared" si="2"/>
        <v>10</v>
      </c>
      <c r="AR13" s="20" t="e">
        <f t="shared" si="2"/>
        <v>#REF!</v>
      </c>
      <c r="AS13" s="34">
        <v>0</v>
      </c>
      <c r="AT13" s="23" t="e">
        <f>AS13+'18.04'!AT13</f>
        <v>#REF!</v>
      </c>
      <c r="AU13" s="34">
        <v>0</v>
      </c>
      <c r="AV13" s="23" t="e">
        <f>AU13+'18.04'!AV13</f>
        <v>#REF!</v>
      </c>
      <c r="AW13" s="34">
        <v>0</v>
      </c>
      <c r="AX13" s="23" t="e">
        <f>AW13+'18.04'!AX13</f>
        <v>#REF!</v>
      </c>
      <c r="AY13" s="34">
        <v>0</v>
      </c>
      <c r="AZ13" s="23" t="e">
        <f>AY13+'18.04'!AZ13</f>
        <v>#REF!</v>
      </c>
      <c r="BA13" s="34">
        <v>10</v>
      </c>
      <c r="BB13" s="23" t="e">
        <f>BA13+'18.04'!BB13</f>
        <v>#REF!</v>
      </c>
      <c r="BC13" s="19">
        <f t="shared" si="3"/>
        <v>6576</v>
      </c>
      <c r="BD13" s="20" t="e">
        <f t="shared" si="3"/>
        <v>#REF!</v>
      </c>
      <c r="BE13" s="22">
        <v>516</v>
      </c>
      <c r="BF13" s="23" t="e">
        <f>BE13+'18.04'!BF13</f>
        <v>#REF!</v>
      </c>
      <c r="BG13" s="34">
        <v>10</v>
      </c>
      <c r="BH13" s="23" t="e">
        <f>BG13+'18.04'!BH13</f>
        <v>#REF!</v>
      </c>
      <c r="BI13" s="22">
        <v>6000</v>
      </c>
      <c r="BJ13" s="23" t="e">
        <f>BI13+'18.04'!BJ13</f>
        <v>#REF!</v>
      </c>
      <c r="BK13" s="22">
        <v>50</v>
      </c>
      <c r="BL13" s="23" t="e">
        <f>BK13+'18.04'!BL13</f>
        <v>#REF!</v>
      </c>
      <c r="BM13" s="22">
        <v>0</v>
      </c>
      <c r="BN13" s="23" t="e">
        <f>BM13+'18.04'!BN13</f>
        <v>#REF!</v>
      </c>
      <c r="BO13" s="36"/>
      <c r="BP13" s="37">
        <v>0</v>
      </c>
      <c r="BQ13" s="23" t="e">
        <f>BP13+'18.04'!BQ13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F14+'18.04'!G14</f>
        <v>#REF!</v>
      </c>
      <c r="H14" s="44">
        <v>5</v>
      </c>
      <c r="I14" s="45"/>
      <c r="J14" s="23" t="e">
        <f>I14+'18.04'!J14</f>
        <v>#REF!</v>
      </c>
      <c r="K14" s="44">
        <v>34</v>
      </c>
      <c r="L14" s="22"/>
      <c r="M14" s="23" t="e">
        <f>L14+'18.04'!M14</f>
        <v>#REF!</v>
      </c>
      <c r="N14" s="44">
        <v>583</v>
      </c>
      <c r="O14" s="22"/>
      <c r="P14" s="23" t="e">
        <f>O14+'18.04'!P14</f>
        <v>#REF!</v>
      </c>
      <c r="Q14" s="44">
        <v>254</v>
      </c>
      <c r="R14" s="22"/>
      <c r="S14" s="23" t="e">
        <f>R14+'18.04'!S14</f>
        <v>#REF!</v>
      </c>
      <c r="T14" s="44">
        <v>196</v>
      </c>
      <c r="U14" s="22"/>
      <c r="V14" s="23" t="e">
        <f>U14+'18.04'!V14</f>
        <v>#REF!</v>
      </c>
      <c r="W14" s="44">
        <v>30</v>
      </c>
      <c r="X14" s="22"/>
      <c r="Y14" s="23" t="e">
        <f>X14+'18.04'!Y14</f>
        <v>#REF!</v>
      </c>
      <c r="Z14" s="44">
        <v>10</v>
      </c>
      <c r="AA14" s="22"/>
      <c r="AB14" s="23" t="e">
        <f>AA14+'18.04'!AB14</f>
        <v>#REF!</v>
      </c>
      <c r="AC14" s="44">
        <v>2500</v>
      </c>
      <c r="AD14" s="22"/>
      <c r="AE14" s="23" t="e">
        <f>AD14+'18.04'!AE14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AH14+'18.04'!AI14</f>
        <v>#REF!</v>
      </c>
      <c r="AJ14" s="24"/>
      <c r="AK14" s="23" t="e">
        <f>AJ14+'18.04'!AK14</f>
        <v>#REF!</v>
      </c>
      <c r="AL14" s="22"/>
      <c r="AM14" s="23" t="e">
        <f>AL14+'18.04'!AM14</f>
        <v>#REF!</v>
      </c>
      <c r="AN14" s="22"/>
      <c r="AO14" s="23" t="e">
        <f>AN14+'18.04'!AO14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AS14+'18.04'!AT14</f>
        <v>#REF!</v>
      </c>
      <c r="AU14" s="45"/>
      <c r="AV14" s="23" t="e">
        <f>AU14+'18.04'!AV14</f>
        <v>#REF!</v>
      </c>
      <c r="AW14" s="45"/>
      <c r="AX14" s="23" t="e">
        <f>AW14+'18.04'!AX14</f>
        <v>#REF!</v>
      </c>
      <c r="AY14" s="45"/>
      <c r="AZ14" s="23" t="e">
        <f>AY14+'18.04'!AZ14</f>
        <v>#REF!</v>
      </c>
      <c r="BA14" s="45"/>
      <c r="BB14" s="23" t="e">
        <f>BA14+'18.04'!BB14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BE14+'18.04'!BF14</f>
        <v>#REF!</v>
      </c>
      <c r="BG14" s="45"/>
      <c r="BH14" s="23" t="e">
        <f>BG14+'18.04'!BH14</f>
        <v>#REF!</v>
      </c>
      <c r="BI14" s="22"/>
      <c r="BJ14" s="23" t="e">
        <f>BI14+'18.04'!BJ14</f>
        <v>#REF!</v>
      </c>
      <c r="BK14" s="22"/>
      <c r="BL14" s="23" t="e">
        <f>BK14+'18.04'!BL14</f>
        <v>#REF!</v>
      </c>
      <c r="BM14" s="22"/>
      <c r="BN14" s="23" t="e">
        <f>BM14+'18.04'!BN14</f>
        <v>#REF!</v>
      </c>
      <c r="BO14" s="48">
        <v>2</v>
      </c>
      <c r="BP14" s="49"/>
      <c r="BQ14" s="23" t="e">
        <f>BP14+'18.04'!BQ14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450</v>
      </c>
      <c r="D15" s="53" t="e">
        <f t="shared" si="0"/>
        <v>#REF!</v>
      </c>
      <c r="E15" s="54">
        <v>776</v>
      </c>
      <c r="F15" s="55">
        <v>324</v>
      </c>
      <c r="G15" s="23" t="e">
        <f>F15+'18.04'!G15</f>
        <v>#REF!</v>
      </c>
      <c r="H15" s="56">
        <v>9</v>
      </c>
      <c r="I15" s="57">
        <v>0</v>
      </c>
      <c r="J15" s="23" t="e">
        <f>I15+'18.04'!J15</f>
        <v>#REF!</v>
      </c>
      <c r="K15" s="56">
        <v>6</v>
      </c>
      <c r="L15" s="55">
        <v>0</v>
      </c>
      <c r="M15" s="23" t="e">
        <f>L15+'18.04'!M15</f>
        <v>#REF!</v>
      </c>
      <c r="N15" s="56">
        <v>1305</v>
      </c>
      <c r="O15" s="55">
        <v>0</v>
      </c>
      <c r="P15" s="23" t="e">
        <f>O15+'18.04'!P15</f>
        <v>#REF!</v>
      </c>
      <c r="Q15" s="56">
        <v>447</v>
      </c>
      <c r="R15" s="55">
        <v>0</v>
      </c>
      <c r="S15" s="23" t="e">
        <f>R15+'18.04'!S15</f>
        <v>#REF!</v>
      </c>
      <c r="T15" s="56">
        <v>337</v>
      </c>
      <c r="U15" s="55">
        <v>0</v>
      </c>
      <c r="V15" s="23" t="e">
        <f>U15+'18.04'!V15</f>
        <v>#REF!</v>
      </c>
      <c r="W15" s="56">
        <v>78</v>
      </c>
      <c r="X15" s="55">
        <v>112</v>
      </c>
      <c r="Y15" s="23" t="e">
        <f>X15+'18.04'!Y15</f>
        <v>#REF!</v>
      </c>
      <c r="Z15" s="56">
        <v>141</v>
      </c>
      <c r="AA15" s="55">
        <v>0</v>
      </c>
      <c r="AB15" s="23" t="e">
        <f>AA15+'18.04'!AB15</f>
        <v>#REF!</v>
      </c>
      <c r="AC15" s="56">
        <v>798</v>
      </c>
      <c r="AD15" s="55">
        <v>14</v>
      </c>
      <c r="AE15" s="23" t="e">
        <f>AD15+'18.04'!AE15</f>
        <v>#REF!</v>
      </c>
      <c r="AF15" s="58">
        <f t="shared" si="1"/>
        <v>1116639</v>
      </c>
      <c r="AG15" s="59" t="e">
        <f t="shared" si="1"/>
        <v>#REF!</v>
      </c>
      <c r="AH15" s="60">
        <v>745</v>
      </c>
      <c r="AI15" s="23" t="e">
        <f>AH15+'18.04'!AI15</f>
        <v>#REF!</v>
      </c>
      <c r="AJ15" s="60">
        <v>3680</v>
      </c>
      <c r="AK15" s="23" t="e">
        <f>AJ15+'18.04'!AK15</f>
        <v>#REF!</v>
      </c>
      <c r="AL15" s="55">
        <v>556107</v>
      </c>
      <c r="AM15" s="23" t="e">
        <f>AL15+'18.04'!AM15</f>
        <v>#REF!</v>
      </c>
      <c r="AN15" s="55">
        <v>556107</v>
      </c>
      <c r="AO15" s="23" t="e">
        <f>AN15+'18.04'!AO15</f>
        <v>#REF!</v>
      </c>
      <c r="AP15" s="50" t="s">
        <v>49</v>
      </c>
      <c r="AQ15" s="58">
        <f t="shared" si="2"/>
        <v>2</v>
      </c>
      <c r="AR15" s="59" t="e">
        <f t="shared" si="2"/>
        <v>#REF!</v>
      </c>
      <c r="AS15" s="57">
        <v>0</v>
      </c>
      <c r="AT15" s="23" t="e">
        <f>AS15+'18.04'!AT15</f>
        <v>#REF!</v>
      </c>
      <c r="AU15" s="57">
        <v>0</v>
      </c>
      <c r="AV15" s="23" t="e">
        <f>AU15+'18.04'!AV15</f>
        <v>#REF!</v>
      </c>
      <c r="AW15" s="57">
        <v>0</v>
      </c>
      <c r="AX15" s="23" t="e">
        <f>AW15+'18.04'!AX15</f>
        <v>#REF!</v>
      </c>
      <c r="AY15" s="57">
        <v>0</v>
      </c>
      <c r="AZ15" s="23" t="e">
        <f>AY15+'18.04'!AZ15</f>
        <v>#REF!</v>
      </c>
      <c r="BA15" s="57">
        <v>2</v>
      </c>
      <c r="BB15" s="23" t="e">
        <f>BA15+'18.04'!BB15</f>
        <v>#REF!</v>
      </c>
      <c r="BC15" s="58">
        <f t="shared" si="3"/>
        <v>1368</v>
      </c>
      <c r="BD15" s="59" t="e">
        <f t="shared" si="3"/>
        <v>#REF!</v>
      </c>
      <c r="BE15" s="55">
        <v>65</v>
      </c>
      <c r="BF15" s="23" t="e">
        <f>BE15+'18.04'!BF15</f>
        <v>#REF!</v>
      </c>
      <c r="BG15" s="57">
        <v>3</v>
      </c>
      <c r="BH15" s="23" t="e">
        <f>BG15+'18.04'!BH15</f>
        <v>#REF!</v>
      </c>
      <c r="BI15" s="55">
        <v>650</v>
      </c>
      <c r="BJ15" s="23" t="e">
        <f>BI15+'18.04'!BJ15</f>
        <v>#REF!</v>
      </c>
      <c r="BK15" s="55">
        <v>650</v>
      </c>
      <c r="BL15" s="23" t="e">
        <f>BK15+'18.04'!BL15</f>
        <v>#REF!</v>
      </c>
      <c r="BM15" s="55">
        <v>0</v>
      </c>
      <c r="BN15" s="23" t="e">
        <f>BM15+'18.04'!BN15</f>
        <v>#REF!</v>
      </c>
      <c r="BO15" s="36">
        <v>6274</v>
      </c>
      <c r="BP15" s="37">
        <v>3</v>
      </c>
      <c r="BQ15" s="23" t="e">
        <f>BP15+'18.04'!BQ15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F16+'18.04'!G16</f>
        <v>#REF!</v>
      </c>
      <c r="H16" s="33">
        <v>5</v>
      </c>
      <c r="I16" s="34"/>
      <c r="J16" s="23" t="e">
        <f>I16+'18.04'!J16</f>
        <v>#REF!</v>
      </c>
      <c r="K16" s="33">
        <v>3</v>
      </c>
      <c r="L16" s="22"/>
      <c r="M16" s="23" t="e">
        <f>L16+'18.04'!M16</f>
        <v>#REF!</v>
      </c>
      <c r="N16" s="33">
        <v>384</v>
      </c>
      <c r="O16" s="22"/>
      <c r="P16" s="23" t="e">
        <f>O16+'18.04'!P16</f>
        <v>#REF!</v>
      </c>
      <c r="Q16" s="33">
        <v>245</v>
      </c>
      <c r="R16" s="22"/>
      <c r="S16" s="23" t="e">
        <f>R16+'18.04'!S16</f>
        <v>#REF!</v>
      </c>
      <c r="T16" s="33">
        <v>397</v>
      </c>
      <c r="U16" s="22"/>
      <c r="V16" s="23" t="e">
        <f>U16+'18.04'!V16</f>
        <v>#REF!</v>
      </c>
      <c r="W16" s="33">
        <v>24</v>
      </c>
      <c r="X16" s="22"/>
      <c r="Y16" s="23" t="e">
        <f>X16+'18.04'!Y16</f>
        <v>#REF!</v>
      </c>
      <c r="Z16" s="33">
        <v>18</v>
      </c>
      <c r="AA16" s="22"/>
      <c r="AB16" s="23" t="e">
        <f>AA16+'18.04'!AB16</f>
        <v>#REF!</v>
      </c>
      <c r="AC16" s="33">
        <v>18515</v>
      </c>
      <c r="AD16" s="22"/>
      <c r="AE16" s="23" t="e">
        <f>AD16+'18.04'!AE16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AH16+'18.04'!AI16</f>
        <v>#REF!</v>
      </c>
      <c r="AJ16" s="24"/>
      <c r="AK16" s="23" t="e">
        <f>AJ16+'18.04'!AK16</f>
        <v>#REF!</v>
      </c>
      <c r="AL16" s="22"/>
      <c r="AM16" s="23" t="e">
        <f>AL16+'18.04'!AM16</f>
        <v>#REF!</v>
      </c>
      <c r="AN16" s="22"/>
      <c r="AO16" s="23" t="e">
        <f>AN16+'18.04'!AO16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AS16+'18.04'!AT16</f>
        <v>#REF!</v>
      </c>
      <c r="AU16" s="34"/>
      <c r="AV16" s="23" t="e">
        <f>AU16+'18.04'!AV16</f>
        <v>#REF!</v>
      </c>
      <c r="AW16" s="34"/>
      <c r="AX16" s="23" t="e">
        <f>AW16+'18.04'!AX16</f>
        <v>#REF!</v>
      </c>
      <c r="AY16" s="34"/>
      <c r="AZ16" s="23" t="e">
        <f>AY16+'18.04'!AZ16</f>
        <v>#REF!</v>
      </c>
      <c r="BA16" s="34"/>
      <c r="BB16" s="23" t="e">
        <f>BA16+'18.04'!BB16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BE16+'18.04'!BF16</f>
        <v>#REF!</v>
      </c>
      <c r="BG16" s="34"/>
      <c r="BH16" s="23" t="e">
        <f>BG16+'18.04'!BH16</f>
        <v>#REF!</v>
      </c>
      <c r="BI16" s="22"/>
      <c r="BJ16" s="23" t="e">
        <f>BI16+'18.04'!BJ16</f>
        <v>#REF!</v>
      </c>
      <c r="BK16" s="22"/>
      <c r="BL16" s="23" t="e">
        <f>BK16+'18.04'!BL16</f>
        <v>#REF!</v>
      </c>
      <c r="BM16" s="22"/>
      <c r="BN16" s="23" t="e">
        <f>BM16+'18.04'!BN16</f>
        <v>#REF!</v>
      </c>
      <c r="BO16" s="36">
        <v>2546</v>
      </c>
      <c r="BP16" s="37"/>
      <c r="BQ16" s="23" t="e">
        <f>BP16+'18.04'!BQ16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209</v>
      </c>
      <c r="D17" s="31" t="e">
        <f t="shared" si="0"/>
        <v>#REF!</v>
      </c>
      <c r="E17" s="32">
        <v>754</v>
      </c>
      <c r="F17" s="22">
        <v>145</v>
      </c>
      <c r="G17" s="23" t="e">
        <f>F17+'18.04'!G17</f>
        <v>#REF!</v>
      </c>
      <c r="H17" s="33">
        <v>9</v>
      </c>
      <c r="I17" s="34">
        <v>0</v>
      </c>
      <c r="J17" s="23" t="e">
        <f>I17+'18.04'!J17</f>
        <v>#REF!</v>
      </c>
      <c r="K17" s="33">
        <v>5</v>
      </c>
      <c r="L17" s="22">
        <v>0</v>
      </c>
      <c r="M17" s="23" t="e">
        <f>L17+'18.04'!M17</f>
        <v>#REF!</v>
      </c>
      <c r="N17" s="33">
        <v>768</v>
      </c>
      <c r="O17" s="22">
        <v>0</v>
      </c>
      <c r="P17" s="23" t="e">
        <f>O17+'18.04'!P17</f>
        <v>#REF!</v>
      </c>
      <c r="Q17" s="33">
        <v>624</v>
      </c>
      <c r="R17" s="22">
        <v>0</v>
      </c>
      <c r="S17" s="23" t="e">
        <f>R17+'18.04'!S17</f>
        <v>#REF!</v>
      </c>
      <c r="T17" s="33">
        <v>742</v>
      </c>
      <c r="U17" s="22">
        <v>0</v>
      </c>
      <c r="V17" s="23" t="e">
        <f>U17+'18.04'!V17</f>
        <v>#REF!</v>
      </c>
      <c r="W17" s="33">
        <v>54</v>
      </c>
      <c r="X17" s="22">
        <v>45</v>
      </c>
      <c r="Y17" s="23" t="e">
        <f>X17+'18.04'!Y17</f>
        <v>#REF!</v>
      </c>
      <c r="Z17" s="33">
        <v>66</v>
      </c>
      <c r="AA17" s="22">
        <v>0</v>
      </c>
      <c r="AB17" s="23" t="e">
        <f>AA17+'18.04'!AB17</f>
        <v>#REF!</v>
      </c>
      <c r="AC17" s="33">
        <v>2580</v>
      </c>
      <c r="AD17" s="22">
        <v>19</v>
      </c>
      <c r="AE17" s="23" t="e">
        <f>AD17+'18.04'!AE17</f>
        <v>#REF!</v>
      </c>
      <c r="AF17" s="19">
        <f t="shared" si="1"/>
        <v>53600</v>
      </c>
      <c r="AG17" s="20" t="e">
        <f t="shared" si="1"/>
        <v>#REF!</v>
      </c>
      <c r="AH17" s="24">
        <v>7500</v>
      </c>
      <c r="AI17" s="23" t="e">
        <f>AH17+'18.04'!AI17</f>
        <v>#REF!</v>
      </c>
      <c r="AJ17" s="24">
        <v>9800</v>
      </c>
      <c r="AK17" s="23" t="e">
        <f>AJ17+'18.04'!AK17</f>
        <v>#REF!</v>
      </c>
      <c r="AL17" s="22">
        <v>26500</v>
      </c>
      <c r="AM17" s="23" t="e">
        <f>AL17+'18.04'!AM17</f>
        <v>#REF!</v>
      </c>
      <c r="AN17" s="22">
        <v>9800</v>
      </c>
      <c r="AO17" s="23" t="e">
        <f>AN17+'18.04'!AO17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AS17+'18.04'!AT17</f>
        <v>#REF!</v>
      </c>
      <c r="AU17" s="34">
        <v>1</v>
      </c>
      <c r="AV17" s="23" t="e">
        <f>AU17+'18.04'!AV17</f>
        <v>#REF!</v>
      </c>
      <c r="AW17" s="34">
        <v>0</v>
      </c>
      <c r="AX17" s="23" t="e">
        <f>AW17+'18.04'!AX17</f>
        <v>#REF!</v>
      </c>
      <c r="AY17" s="34">
        <v>0</v>
      </c>
      <c r="AZ17" s="23" t="e">
        <f>AY17+'18.04'!AZ17</f>
        <v>#REF!</v>
      </c>
      <c r="BA17" s="34">
        <v>14</v>
      </c>
      <c r="BB17" s="23" t="e">
        <f>BA17+'18.04'!BB17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BE17+'18.04'!BF17</f>
        <v>#REF!</v>
      </c>
      <c r="BG17" s="34">
        <v>4</v>
      </c>
      <c r="BH17" s="23" t="e">
        <f>BG17+'18.04'!BH17</f>
        <v>#REF!</v>
      </c>
      <c r="BI17" s="22">
        <v>1400</v>
      </c>
      <c r="BJ17" s="23" t="e">
        <f>BI17+'18.04'!BJ17</f>
        <v>#REF!</v>
      </c>
      <c r="BK17" s="22">
        <v>160</v>
      </c>
      <c r="BL17" s="23" t="e">
        <f>BK17+'18.04'!BL17</f>
        <v>#REF!</v>
      </c>
      <c r="BM17" s="22">
        <v>0</v>
      </c>
      <c r="BN17" s="23" t="e">
        <f>BM17+'18.04'!BN17</f>
        <v>#REF!</v>
      </c>
      <c r="BO17" s="36">
        <v>8022</v>
      </c>
      <c r="BP17" s="37"/>
      <c r="BQ17" s="23" t="e">
        <f>BP17+'18.04'!BQ17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561</v>
      </c>
      <c r="D18" s="20" t="e">
        <f t="shared" si="0"/>
        <v>#REF!</v>
      </c>
      <c r="E18" s="21">
        <v>1063</v>
      </c>
      <c r="F18" s="22">
        <v>315</v>
      </c>
      <c r="G18" s="23" t="e">
        <f>F18+'18.04'!G18</f>
        <v>#REF!</v>
      </c>
      <c r="H18" s="21">
        <v>19</v>
      </c>
      <c r="I18" s="22">
        <v>0</v>
      </c>
      <c r="J18" s="23" t="e">
        <f>I18+'18.04'!J18</f>
        <v>#REF!</v>
      </c>
      <c r="K18" s="21">
        <v>8</v>
      </c>
      <c r="L18" s="22">
        <v>0</v>
      </c>
      <c r="M18" s="23" t="e">
        <f>L18+'18.04'!M18</f>
        <v>#REF!</v>
      </c>
      <c r="N18" s="21">
        <v>1331</v>
      </c>
      <c r="O18" s="22">
        <v>0</v>
      </c>
      <c r="P18" s="23" t="e">
        <f>O18+'18.04'!P18</f>
        <v>#REF!</v>
      </c>
      <c r="Q18" s="21">
        <v>777</v>
      </c>
      <c r="R18" s="22">
        <v>0</v>
      </c>
      <c r="S18" s="23" t="e">
        <f>R18+'18.04'!S18</f>
        <v>#REF!</v>
      </c>
      <c r="T18" s="21">
        <v>318</v>
      </c>
      <c r="U18" s="22">
        <v>0</v>
      </c>
      <c r="V18" s="23" t="e">
        <f>U18+'18.04'!V18</f>
        <v>#REF!</v>
      </c>
      <c r="W18" s="21">
        <v>60</v>
      </c>
      <c r="X18" s="22">
        <v>246</v>
      </c>
      <c r="Y18" s="23" t="e">
        <f>X18+'18.04'!Y18</f>
        <v>#REF!</v>
      </c>
      <c r="Z18" s="21">
        <v>72</v>
      </c>
      <c r="AA18" s="22">
        <v>0</v>
      </c>
      <c r="AB18" s="23" t="e">
        <f>AA18+'18.04'!AB18</f>
        <v>#REF!</v>
      </c>
      <c r="AC18" s="21">
        <v>143</v>
      </c>
      <c r="AD18" s="22">
        <v>0</v>
      </c>
      <c r="AE18" s="23" t="e">
        <f>AD18+'18.04'!AE18</f>
        <v>#REF!</v>
      </c>
      <c r="AF18" s="19">
        <f t="shared" si="1"/>
        <v>346870</v>
      </c>
      <c r="AG18" s="20" t="e">
        <f t="shared" si="1"/>
        <v>#REF!</v>
      </c>
      <c r="AH18" s="24">
        <v>742</v>
      </c>
      <c r="AI18" s="23" t="e">
        <f>AH18+'18.04'!AI18</f>
        <v>#REF!</v>
      </c>
      <c r="AJ18" s="24">
        <v>4985</v>
      </c>
      <c r="AK18" s="23" t="e">
        <f>AJ18+'18.04'!AK18</f>
        <v>#REF!</v>
      </c>
      <c r="AL18" s="22">
        <v>6348</v>
      </c>
      <c r="AM18" s="23" t="e">
        <f>AL18+'18.04'!AM18</f>
        <v>#REF!</v>
      </c>
      <c r="AN18" s="22">
        <v>334795</v>
      </c>
      <c r="AO18" s="23" t="e">
        <f>AN18+'18.04'!AO18</f>
        <v>#REF!</v>
      </c>
      <c r="AP18" s="17" t="s">
        <v>53</v>
      </c>
      <c r="AQ18" s="19">
        <f>AS18+AU18+AW18+AY18+BA18</f>
        <v>8</v>
      </c>
      <c r="AR18" s="20" t="e">
        <f t="shared" si="2"/>
        <v>#REF!</v>
      </c>
      <c r="AS18" s="22">
        <v>1</v>
      </c>
      <c r="AT18" s="23" t="e">
        <f>AS18+'18.04'!AT18</f>
        <v>#REF!</v>
      </c>
      <c r="AU18" s="22">
        <v>0</v>
      </c>
      <c r="AV18" s="23" t="e">
        <f>AU18+'18.04'!AV18</f>
        <v>#REF!</v>
      </c>
      <c r="AW18" s="22">
        <v>0</v>
      </c>
      <c r="AX18" s="23" t="e">
        <f>AW18+'18.04'!AX18</f>
        <v>#REF!</v>
      </c>
      <c r="AY18" s="22">
        <v>0</v>
      </c>
      <c r="AZ18" s="23" t="e">
        <f>AY18+'18.04'!AZ18</f>
        <v>#REF!</v>
      </c>
      <c r="BA18" s="22">
        <v>7</v>
      </c>
      <c r="BB18" s="23" t="e">
        <f>BA18+'18.04'!BB18</f>
        <v>#REF!</v>
      </c>
      <c r="BC18" s="19">
        <f t="shared" si="3"/>
        <v>3155</v>
      </c>
      <c r="BD18" s="20" t="e">
        <f>BF18+BH18+BJ18+BL18+BN18</f>
        <v>#REF!</v>
      </c>
      <c r="BE18" s="22">
        <v>0</v>
      </c>
      <c r="BF18" s="23" t="e">
        <f>BE18+'18.04'!BF18</f>
        <v>#REF!</v>
      </c>
      <c r="BG18" s="22">
        <v>0</v>
      </c>
      <c r="BH18" s="23" t="e">
        <f>BG18+'18.04'!BH18</f>
        <v>#REF!</v>
      </c>
      <c r="BI18" s="22">
        <v>3018</v>
      </c>
      <c r="BJ18" s="23" t="e">
        <f>BI18+'18.04'!BJ18</f>
        <v>#REF!</v>
      </c>
      <c r="BK18" s="22">
        <v>137</v>
      </c>
      <c r="BL18" s="23" t="e">
        <f>BK18+'18.04'!BL18</f>
        <v>#REF!</v>
      </c>
      <c r="BM18" s="22">
        <v>0</v>
      </c>
      <c r="BN18" s="23" t="e">
        <f>BM18+'18.04'!BN18</f>
        <v>#REF!</v>
      </c>
      <c r="BO18" s="36">
        <v>442</v>
      </c>
      <c r="BP18" s="37">
        <v>0</v>
      </c>
      <c r="BQ18" s="23" t="e">
        <f>BP18+'18.04'!BQ18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42</v>
      </c>
      <c r="D19" s="31" t="e">
        <f t="shared" si="0"/>
        <v>#REF!</v>
      </c>
      <c r="E19" s="33">
        <v>221</v>
      </c>
      <c r="F19" s="22">
        <v>11</v>
      </c>
      <c r="G19" s="23" t="e">
        <f>F19+'18.04'!G19</f>
        <v>#REF!</v>
      </c>
      <c r="H19" s="33">
        <v>5</v>
      </c>
      <c r="I19" s="34">
        <v>0</v>
      </c>
      <c r="J19" s="23" t="e">
        <f>I19+'18.04'!J19</f>
        <v>#REF!</v>
      </c>
      <c r="K19" s="33">
        <v>4</v>
      </c>
      <c r="L19" s="22">
        <v>0</v>
      </c>
      <c r="M19" s="23" t="e">
        <f>L19+'18.04'!M19</f>
        <v>#REF!</v>
      </c>
      <c r="N19" s="33">
        <v>313</v>
      </c>
      <c r="O19" s="22">
        <v>0</v>
      </c>
      <c r="P19" s="23" t="e">
        <f>O19+'18.04'!P19</f>
        <v>#REF!</v>
      </c>
      <c r="Q19" s="33">
        <v>203</v>
      </c>
      <c r="R19" s="22">
        <v>0</v>
      </c>
      <c r="S19" s="23" t="e">
        <f>R19+'18.04'!S19</f>
        <v>#REF!</v>
      </c>
      <c r="T19" s="33">
        <v>241</v>
      </c>
      <c r="U19" s="22">
        <v>0</v>
      </c>
      <c r="V19" s="23" t="e">
        <f>U19+'18.04'!V19</f>
        <v>#REF!</v>
      </c>
      <c r="W19" s="33">
        <v>14</v>
      </c>
      <c r="X19" s="22">
        <v>15</v>
      </c>
      <c r="Y19" s="23" t="e">
        <f>X19+'18.04'!Y19</f>
        <v>#REF!</v>
      </c>
      <c r="Z19" s="33">
        <v>7</v>
      </c>
      <c r="AA19" s="22">
        <v>0</v>
      </c>
      <c r="AB19" s="23" t="e">
        <f>AA19+'18.04'!AB19</f>
        <v>#REF!</v>
      </c>
      <c r="AC19" s="33">
        <v>32</v>
      </c>
      <c r="AD19" s="22">
        <v>16</v>
      </c>
      <c r="AE19" s="23" t="e">
        <f>AD19+'18.04'!AE19</f>
        <v>#REF!</v>
      </c>
      <c r="AF19" s="19">
        <f t="shared" si="1"/>
        <v>3100</v>
      </c>
      <c r="AG19" s="20" t="e">
        <f t="shared" si="1"/>
        <v>#REF!</v>
      </c>
      <c r="AH19" s="24">
        <v>600</v>
      </c>
      <c r="AI19" s="23" t="e">
        <f>AH19+'18.04'!AI19</f>
        <v>#REF!</v>
      </c>
      <c r="AJ19" s="24">
        <v>600</v>
      </c>
      <c r="AK19" s="23" t="e">
        <f>AJ19+'18.04'!AK19</f>
        <v>#REF!</v>
      </c>
      <c r="AL19" s="22">
        <v>950</v>
      </c>
      <c r="AM19" s="23" t="e">
        <f>AL19+'18.04'!AM19</f>
        <v>#REF!</v>
      </c>
      <c r="AN19" s="22">
        <v>950</v>
      </c>
      <c r="AO19" s="23" t="e">
        <f>AN19+'18.04'!AO19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AS19+'18.04'!AT19</f>
        <v>#REF!</v>
      </c>
      <c r="AU19" s="34">
        <v>0</v>
      </c>
      <c r="AV19" s="23" t="e">
        <f>AU19+'18.04'!AV19</f>
        <v>#REF!</v>
      </c>
      <c r="AW19" s="34">
        <v>0</v>
      </c>
      <c r="AX19" s="23" t="e">
        <f>AW19+'18.04'!AX19</f>
        <v>#REF!</v>
      </c>
      <c r="AY19" s="34">
        <v>0</v>
      </c>
      <c r="AZ19" s="23" t="e">
        <f>AY19+'18.04'!AZ19</f>
        <v>#REF!</v>
      </c>
      <c r="BA19" s="34">
        <v>0</v>
      </c>
      <c r="BB19" s="23" t="e">
        <f>BA19+'18.04'!BB19</f>
        <v>#REF!</v>
      </c>
      <c r="BC19" s="19">
        <f t="shared" si="3"/>
        <v>1118</v>
      </c>
      <c r="BD19" s="20" t="e">
        <f t="shared" si="3"/>
        <v>#REF!</v>
      </c>
      <c r="BE19" s="22">
        <v>12</v>
      </c>
      <c r="BF19" s="23" t="e">
        <f>BE19+'18.04'!BF19</f>
        <v>#REF!</v>
      </c>
      <c r="BG19" s="34">
        <v>0</v>
      </c>
      <c r="BH19" s="23" t="e">
        <f>BG19+'18.04'!BH19</f>
        <v>#REF!</v>
      </c>
      <c r="BI19" s="22">
        <v>100</v>
      </c>
      <c r="BJ19" s="23" t="e">
        <f>BI19+'18.04'!BJ19</f>
        <v>#REF!</v>
      </c>
      <c r="BK19" s="22">
        <v>1000</v>
      </c>
      <c r="BL19" s="23" t="e">
        <f>BK19+'18.04'!BL19</f>
        <v>#REF!</v>
      </c>
      <c r="BM19" s="22">
        <v>6</v>
      </c>
      <c r="BN19" s="23" t="e">
        <f>BM19+'18.04'!BN19</f>
        <v>#REF!</v>
      </c>
      <c r="BO19" s="36">
        <v>2898</v>
      </c>
      <c r="BP19" s="37">
        <v>0</v>
      </c>
      <c r="BQ19" s="23" t="e">
        <f>BP19+'18.04'!BQ19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383</v>
      </c>
      <c r="D20" s="31" t="e">
        <f t="shared" si="0"/>
        <v>#REF!</v>
      </c>
      <c r="E20" s="32">
        <v>723</v>
      </c>
      <c r="F20" s="22">
        <v>223</v>
      </c>
      <c r="G20" s="23" t="e">
        <f>F20+'18.04'!G20</f>
        <v>#REF!</v>
      </c>
      <c r="H20" s="33">
        <v>5</v>
      </c>
      <c r="I20" s="34">
        <v>1</v>
      </c>
      <c r="J20" s="23" t="e">
        <f>I20+'18.04'!J20</f>
        <v>#REF!</v>
      </c>
      <c r="K20" s="33">
        <v>3</v>
      </c>
      <c r="L20" s="22">
        <v>0</v>
      </c>
      <c r="M20" s="23" t="e">
        <f>L20+'18.04'!M20</f>
        <v>#REF!</v>
      </c>
      <c r="N20" s="33">
        <v>975</v>
      </c>
      <c r="O20" s="22">
        <v>90</v>
      </c>
      <c r="P20" s="23" t="e">
        <f>O20+'18.04'!P20</f>
        <v>#REF!</v>
      </c>
      <c r="Q20" s="61">
        <v>1862</v>
      </c>
      <c r="R20" s="22">
        <v>1</v>
      </c>
      <c r="S20" s="23" t="e">
        <f>R20+'18.04'!S20</f>
        <v>#REF!</v>
      </c>
      <c r="T20" s="33">
        <v>35</v>
      </c>
      <c r="U20" s="22">
        <v>1</v>
      </c>
      <c r="V20" s="23" t="e">
        <f>U20+'18.04'!V20</f>
        <v>#REF!</v>
      </c>
      <c r="W20" s="33">
        <v>64</v>
      </c>
      <c r="X20" s="22">
        <v>5</v>
      </c>
      <c r="Y20" s="23" t="e">
        <f>X20+'18.04'!Y20</f>
        <v>#REF!</v>
      </c>
      <c r="Z20" s="33">
        <v>15</v>
      </c>
      <c r="AA20" s="22">
        <v>1</v>
      </c>
      <c r="AB20" s="23" t="e">
        <f>AA20+'18.04'!AB20</f>
        <v>#REF!</v>
      </c>
      <c r="AC20" s="33">
        <v>1546</v>
      </c>
      <c r="AD20" s="22">
        <v>61</v>
      </c>
      <c r="AE20" s="23" t="e">
        <f>AD20+'18.04'!AE20</f>
        <v>#REF!</v>
      </c>
      <c r="AF20" s="19">
        <f t="shared" si="1"/>
        <v>24355</v>
      </c>
      <c r="AG20" s="20" t="e">
        <f t="shared" si="1"/>
        <v>#REF!</v>
      </c>
      <c r="AH20" s="24">
        <v>13510</v>
      </c>
      <c r="AI20" s="23" t="e">
        <f>AH20+'18.04'!AI20</f>
        <v>#REF!</v>
      </c>
      <c r="AJ20" s="24">
        <v>10245</v>
      </c>
      <c r="AK20" s="23" t="e">
        <f>AJ20+'18.04'!AK20</f>
        <v>#REF!</v>
      </c>
      <c r="AL20" s="22">
        <v>300</v>
      </c>
      <c r="AM20" s="23" t="e">
        <f>AL20+'18.04'!AM20</f>
        <v>#REF!</v>
      </c>
      <c r="AN20" s="22">
        <v>300</v>
      </c>
      <c r="AO20" s="23" t="e">
        <f>AN20+'18.04'!AO20</f>
        <v>#REF!</v>
      </c>
      <c r="AP20" s="28" t="s">
        <v>55</v>
      </c>
      <c r="AQ20" s="19">
        <f t="shared" si="4"/>
        <v>221</v>
      </c>
      <c r="AR20" s="20" t="e">
        <f t="shared" si="2"/>
        <v>#REF!</v>
      </c>
      <c r="AS20" s="34">
        <v>1</v>
      </c>
      <c r="AT20" s="23" t="e">
        <f>AS20+'18.04'!AT20</f>
        <v>#REF!</v>
      </c>
      <c r="AU20" s="34">
        <v>0</v>
      </c>
      <c r="AV20" s="23" t="e">
        <f>AU20+'18.04'!AV20</f>
        <v>#REF!</v>
      </c>
      <c r="AW20" s="34">
        <v>0</v>
      </c>
      <c r="AX20" s="23" t="e">
        <f>AW20+'18.04'!AX20</f>
        <v>#REF!</v>
      </c>
      <c r="AY20" s="34">
        <v>0</v>
      </c>
      <c r="AZ20" s="23" t="e">
        <f>AY20+'18.04'!AZ20</f>
        <v>#REF!</v>
      </c>
      <c r="BA20" s="34">
        <v>220</v>
      </c>
      <c r="BB20" s="23" t="e">
        <f>BA20+'18.04'!BB20</f>
        <v>#REF!</v>
      </c>
      <c r="BC20" s="19">
        <f t="shared" si="3"/>
        <v>5052</v>
      </c>
      <c r="BD20" s="20" t="e">
        <f t="shared" si="3"/>
        <v>#REF!</v>
      </c>
      <c r="BE20" s="22">
        <v>552</v>
      </c>
      <c r="BF20" s="23" t="e">
        <f>BE20+'18.04'!BF20</f>
        <v>#REF!</v>
      </c>
      <c r="BG20" s="34">
        <v>0</v>
      </c>
      <c r="BH20" s="23" t="e">
        <f>BG20+'18.04'!BH20</f>
        <v>#REF!</v>
      </c>
      <c r="BI20" s="22">
        <v>2200</v>
      </c>
      <c r="BJ20" s="23" t="e">
        <f>BI20+'18.04'!BJ20</f>
        <v>#REF!</v>
      </c>
      <c r="BK20" s="22">
        <v>2300</v>
      </c>
      <c r="BL20" s="23" t="e">
        <f>BK20+'18.04'!BL20</f>
        <v>#REF!</v>
      </c>
      <c r="BM20" s="22">
        <v>0</v>
      </c>
      <c r="BN20" s="23" t="e">
        <f>BM20+'18.04'!BN20</f>
        <v>#REF!</v>
      </c>
      <c r="BO20" s="36">
        <v>5854</v>
      </c>
      <c r="BP20" s="37">
        <v>0</v>
      </c>
      <c r="BQ20" s="23" t="e">
        <f>BP20+'18.04'!BQ20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176</v>
      </c>
      <c r="D21" s="31" t="e">
        <f t="shared" si="0"/>
        <v>#REF!</v>
      </c>
      <c r="E21" s="32">
        <v>1017</v>
      </c>
      <c r="F21" s="22">
        <v>100</v>
      </c>
      <c r="G21" s="23" t="e">
        <f>F21+'18.04'!G21</f>
        <v>#REF!</v>
      </c>
      <c r="H21" s="33">
        <v>8</v>
      </c>
      <c r="I21" s="34">
        <v>3</v>
      </c>
      <c r="J21" s="23" t="e">
        <f>I21+'18.04'!J21</f>
        <v>#REF!</v>
      </c>
      <c r="K21" s="33">
        <v>4</v>
      </c>
      <c r="L21" s="22">
        <v>0</v>
      </c>
      <c r="M21" s="23" t="e">
        <f>L21+'18.04'!M21</f>
        <v>#REF!</v>
      </c>
      <c r="N21" s="33">
        <v>963</v>
      </c>
      <c r="O21" s="22">
        <v>0</v>
      </c>
      <c r="P21" s="23" t="e">
        <f>O21+'18.04'!P21</f>
        <v>#REF!</v>
      </c>
      <c r="Q21" s="33">
        <v>912</v>
      </c>
      <c r="R21" s="22">
        <v>0</v>
      </c>
      <c r="S21" s="23" t="e">
        <f>R21+'18.04'!S21</f>
        <v>#REF!</v>
      </c>
      <c r="T21" s="33">
        <v>199</v>
      </c>
      <c r="U21" s="22">
        <v>5</v>
      </c>
      <c r="V21" s="23" t="e">
        <f>U21+'18.04'!V21</f>
        <v>#REF!</v>
      </c>
      <c r="W21" s="33">
        <v>101</v>
      </c>
      <c r="X21" s="22">
        <v>66</v>
      </c>
      <c r="Y21" s="23" t="e">
        <f>X21+'18.04'!Y21</f>
        <v>#REF!</v>
      </c>
      <c r="Z21" s="33">
        <v>42</v>
      </c>
      <c r="AA21" s="22">
        <v>0</v>
      </c>
      <c r="AB21" s="23" t="e">
        <f>AA21+'18.04'!AB21</f>
        <v>#REF!</v>
      </c>
      <c r="AC21" s="33">
        <v>20</v>
      </c>
      <c r="AD21" s="22">
        <v>2</v>
      </c>
      <c r="AE21" s="23" t="e">
        <f>AD21+'18.04'!AE21</f>
        <v>#REF!</v>
      </c>
      <c r="AF21" s="19">
        <f t="shared" si="1"/>
        <v>1500000</v>
      </c>
      <c r="AG21" s="20" t="e">
        <f t="shared" si="1"/>
        <v>#REF!</v>
      </c>
      <c r="AH21" s="24">
        <v>1000</v>
      </c>
      <c r="AI21" s="23" t="e">
        <f>AH21+'18.04'!AI21</f>
        <v>#REF!</v>
      </c>
      <c r="AJ21" s="24">
        <v>98000</v>
      </c>
      <c r="AK21" s="23" t="e">
        <f>AJ21+'18.04'!AK21</f>
        <v>#REF!</v>
      </c>
      <c r="AL21" s="22">
        <v>1000</v>
      </c>
      <c r="AM21" s="23" t="e">
        <f>AL21+'18.04'!AM21</f>
        <v>#REF!</v>
      </c>
      <c r="AN21" s="22">
        <v>1400000</v>
      </c>
      <c r="AO21" s="23" t="e">
        <f>AN21+'18.04'!AO21</f>
        <v>#REF!</v>
      </c>
      <c r="AP21" s="28" t="s">
        <v>58</v>
      </c>
      <c r="AQ21" s="19">
        <f t="shared" si="4"/>
        <v>5</v>
      </c>
      <c r="AR21" s="20" t="e">
        <f t="shared" si="2"/>
        <v>#REF!</v>
      </c>
      <c r="AS21" s="34">
        <v>0</v>
      </c>
      <c r="AT21" s="23" t="e">
        <f>AS21+'18.04'!AT21</f>
        <v>#REF!</v>
      </c>
      <c r="AU21" s="34">
        <v>3</v>
      </c>
      <c r="AV21" s="23" t="e">
        <f>AU21+'18.04'!AV21</f>
        <v>#REF!</v>
      </c>
      <c r="AW21" s="34">
        <v>0</v>
      </c>
      <c r="AX21" s="23" t="e">
        <f>AW21+'18.04'!AX21</f>
        <v>#REF!</v>
      </c>
      <c r="AY21" s="34">
        <v>0</v>
      </c>
      <c r="AZ21" s="23" t="e">
        <f>AY21+'18.04'!AZ21</f>
        <v>#REF!</v>
      </c>
      <c r="BA21" s="34">
        <v>2</v>
      </c>
      <c r="BB21" s="23" t="e">
        <f>BA21+'18.04'!BB21</f>
        <v>#REF!</v>
      </c>
      <c r="BC21" s="19">
        <f t="shared" si="3"/>
        <v>5050</v>
      </c>
      <c r="BD21" s="20" t="e">
        <f t="shared" si="3"/>
        <v>#REF!</v>
      </c>
      <c r="BE21" s="22">
        <v>50</v>
      </c>
      <c r="BF21" s="23" t="e">
        <f>BE21+'18.04'!BF21</f>
        <v>#REF!</v>
      </c>
      <c r="BG21" s="34">
        <v>0</v>
      </c>
      <c r="BH21" s="23" t="e">
        <f>BG21+'18.04'!BH21</f>
        <v>#REF!</v>
      </c>
      <c r="BI21" s="22">
        <v>5000</v>
      </c>
      <c r="BJ21" s="23" t="e">
        <f>BI21+'18.04'!BJ21</f>
        <v>#REF!</v>
      </c>
      <c r="BK21" s="22">
        <v>0</v>
      </c>
      <c r="BL21" s="23" t="e">
        <f>BK21+'18.04'!BL21</f>
        <v>#REF!</v>
      </c>
      <c r="BM21" s="22">
        <v>0</v>
      </c>
      <c r="BN21" s="23" t="e">
        <f>BM21+'18.04'!BN21</f>
        <v>#REF!</v>
      </c>
      <c r="BO21" s="36">
        <v>68</v>
      </c>
      <c r="BP21" s="37">
        <v>0</v>
      </c>
      <c r="BQ21" s="23" t="e">
        <f>BP21+'18.04'!BQ21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1559</v>
      </c>
      <c r="D22" s="31" t="e">
        <f t="shared" si="0"/>
        <v>#REF!</v>
      </c>
      <c r="E22" s="32">
        <v>509</v>
      </c>
      <c r="F22" s="22">
        <v>325</v>
      </c>
      <c r="G22" s="23" t="e">
        <f>F22+'18.04'!G22</f>
        <v>#REF!</v>
      </c>
      <c r="H22" s="33">
        <v>8</v>
      </c>
      <c r="I22" s="34">
        <v>6</v>
      </c>
      <c r="J22" s="23" t="e">
        <f>I22+'18.04'!J22</f>
        <v>#REF!</v>
      </c>
      <c r="K22" s="33">
        <v>21</v>
      </c>
      <c r="L22" s="22">
        <v>0</v>
      </c>
      <c r="M22" s="23" t="e">
        <f>L22+'18.04'!M22</f>
        <v>#REF!</v>
      </c>
      <c r="N22" s="33">
        <v>560</v>
      </c>
      <c r="O22" s="22">
        <v>25</v>
      </c>
      <c r="P22" s="23" t="e">
        <f>O22+'18.04'!P22</f>
        <v>#REF!</v>
      </c>
      <c r="Q22" s="33">
        <v>375</v>
      </c>
      <c r="R22" s="22">
        <v>25</v>
      </c>
      <c r="S22" s="23" t="e">
        <f>R22+'18.04'!S22</f>
        <v>#REF!</v>
      </c>
      <c r="T22" s="33">
        <v>165</v>
      </c>
      <c r="U22" s="22">
        <v>31</v>
      </c>
      <c r="V22" s="23" t="e">
        <f>U22+'18.04'!V22</f>
        <v>#REF!</v>
      </c>
      <c r="W22" s="33">
        <v>28</v>
      </c>
      <c r="X22" s="22">
        <v>80</v>
      </c>
      <c r="Y22" s="23" t="e">
        <f>X22+'18.04'!Y22</f>
        <v>#REF!</v>
      </c>
      <c r="Z22" s="33">
        <v>9</v>
      </c>
      <c r="AA22" s="22">
        <v>0</v>
      </c>
      <c r="AB22" s="23" t="e">
        <f>AA22+'18.04'!AB22</f>
        <v>#REF!</v>
      </c>
      <c r="AC22" s="33">
        <v>112</v>
      </c>
      <c r="AD22" s="22">
        <v>1067</v>
      </c>
      <c r="AE22" s="23" t="e">
        <f>AD22+'18.04'!AE22</f>
        <v>#REF!</v>
      </c>
      <c r="AF22" s="19">
        <f t="shared" si="1"/>
        <v>43366</v>
      </c>
      <c r="AG22" s="20" t="e">
        <f t="shared" si="1"/>
        <v>#REF!</v>
      </c>
      <c r="AH22" s="24">
        <v>1145</v>
      </c>
      <c r="AI22" s="23" t="e">
        <f>AH22+'18.04'!AI22</f>
        <v>#REF!</v>
      </c>
      <c r="AJ22" s="24">
        <v>7000</v>
      </c>
      <c r="AK22" s="23" t="e">
        <f>AJ22+'18.04'!AK22</f>
        <v>#REF!</v>
      </c>
      <c r="AL22" s="22">
        <v>221</v>
      </c>
      <c r="AM22" s="23" t="e">
        <f>AL22+'18.04'!AM22</f>
        <v>#REF!</v>
      </c>
      <c r="AN22" s="22">
        <v>35000</v>
      </c>
      <c r="AO22" s="23" t="e">
        <f>AN22+'18.04'!AO22</f>
        <v>#REF!</v>
      </c>
      <c r="AP22" s="28" t="s">
        <v>59</v>
      </c>
      <c r="AQ22" s="19">
        <f t="shared" si="4"/>
        <v>1754</v>
      </c>
      <c r="AR22" s="20" t="e">
        <f t="shared" si="2"/>
        <v>#REF!</v>
      </c>
      <c r="AS22" s="34">
        <v>0</v>
      </c>
      <c r="AT22" s="23" t="e">
        <f>AS22+'18.04'!AT22</f>
        <v>#REF!</v>
      </c>
      <c r="AU22" s="34">
        <v>0</v>
      </c>
      <c r="AV22" s="23" t="e">
        <f>AU22+'18.04'!AV22</f>
        <v>#REF!</v>
      </c>
      <c r="AW22" s="34">
        <v>0</v>
      </c>
      <c r="AX22" s="23" t="e">
        <f>AW22+'18.04'!AX22</f>
        <v>#REF!</v>
      </c>
      <c r="AY22" s="34">
        <v>0</v>
      </c>
      <c r="AZ22" s="23" t="e">
        <f>AY22+'18.04'!AZ22</f>
        <v>#REF!</v>
      </c>
      <c r="BA22" s="34">
        <v>1754</v>
      </c>
      <c r="BB22" s="23" t="e">
        <f>BA22+'18.04'!BB22</f>
        <v>#REF!</v>
      </c>
      <c r="BC22" s="19">
        <f t="shared" si="3"/>
        <v>6864</v>
      </c>
      <c r="BD22" s="20" t="e">
        <f t="shared" si="3"/>
        <v>#REF!</v>
      </c>
      <c r="BE22" s="22">
        <v>6</v>
      </c>
      <c r="BF22" s="23" t="e">
        <f>BE22+'18.04'!BF22</f>
        <v>#REF!</v>
      </c>
      <c r="BG22" s="34">
        <v>2</v>
      </c>
      <c r="BH22" s="23" t="e">
        <f>BG22+'18.04'!BH22</f>
        <v>#REF!</v>
      </c>
      <c r="BI22" s="22">
        <v>6854</v>
      </c>
      <c r="BJ22" s="23" t="e">
        <f>BI22+'18.04'!BJ22</f>
        <v>#REF!</v>
      </c>
      <c r="BK22" s="22">
        <v>2</v>
      </c>
      <c r="BL22" s="23" t="e">
        <f>BK22+'18.04'!BL22</f>
        <v>#REF!</v>
      </c>
      <c r="BM22" s="22">
        <v>0</v>
      </c>
      <c r="BN22" s="23" t="e">
        <f>BM22+'18.04'!BN22</f>
        <v>#REF!</v>
      </c>
      <c r="BO22" s="36">
        <v>26</v>
      </c>
      <c r="BP22" s="37">
        <v>1</v>
      </c>
      <c r="BQ22" s="23" t="e">
        <f>BP22+'18.04'!BQ22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3497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1473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10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115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26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37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618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1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1217</v>
      </c>
      <c r="AE23" s="68" t="e">
        <f t="shared" si="5"/>
        <v>#REF!</v>
      </c>
      <c r="AF23" s="64">
        <f t="shared" si="5"/>
        <v>3586840</v>
      </c>
      <c r="AG23" s="64" t="e">
        <f t="shared" si="5"/>
        <v>#REF!</v>
      </c>
      <c r="AH23" s="67">
        <f t="shared" si="5"/>
        <v>30945</v>
      </c>
      <c r="AI23" s="68" t="e">
        <f t="shared" si="5"/>
        <v>#REF!</v>
      </c>
      <c r="AJ23" s="67">
        <f t="shared" si="5"/>
        <v>154696</v>
      </c>
      <c r="AK23" s="68" t="e">
        <f t="shared" si="5"/>
        <v>#REF!</v>
      </c>
      <c r="AL23" s="67">
        <f t="shared" si="5"/>
        <v>660631</v>
      </c>
      <c r="AM23" s="68" t="e">
        <f t="shared" si="5"/>
        <v>#REF!</v>
      </c>
      <c r="AN23" s="67">
        <f t="shared" si="5"/>
        <v>2740568</v>
      </c>
      <c r="AO23" s="68" t="e">
        <f t="shared" si="5"/>
        <v>#REF!</v>
      </c>
      <c r="AP23" s="62" t="s">
        <v>12</v>
      </c>
      <c r="AQ23" s="64">
        <f t="shared" ref="AQ23:BP23" si="6">SUM(AQ8:AQ22)</f>
        <v>2076</v>
      </c>
      <c r="AR23" s="64" t="e">
        <f t="shared" si="6"/>
        <v>#REF!</v>
      </c>
      <c r="AS23" s="67">
        <f t="shared" si="6"/>
        <v>4</v>
      </c>
      <c r="AT23" s="68" t="e">
        <f t="shared" si="6"/>
        <v>#REF!</v>
      </c>
      <c r="AU23" s="67">
        <f t="shared" si="6"/>
        <v>5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2067</v>
      </c>
      <c r="BB23" s="68" t="e">
        <f t="shared" si="6"/>
        <v>#REF!</v>
      </c>
      <c r="BC23" s="64">
        <f t="shared" si="6"/>
        <v>38843</v>
      </c>
      <c r="BD23" s="64" t="e">
        <f t="shared" si="6"/>
        <v>#REF!</v>
      </c>
      <c r="BE23" s="67">
        <f t="shared" si="6"/>
        <v>1779</v>
      </c>
      <c r="BF23" s="68" t="e">
        <f t="shared" si="6"/>
        <v>#REF!</v>
      </c>
      <c r="BG23" s="67">
        <f t="shared" si="6"/>
        <v>21</v>
      </c>
      <c r="BH23" s="68" t="e">
        <f t="shared" si="6"/>
        <v>#REF!</v>
      </c>
      <c r="BI23" s="67">
        <f t="shared" si="6"/>
        <v>31557</v>
      </c>
      <c r="BJ23" s="68" t="e">
        <f t="shared" si="6"/>
        <v>#REF!</v>
      </c>
      <c r="BK23" s="67">
        <f t="shared" si="6"/>
        <v>5480</v>
      </c>
      <c r="BL23" s="68" t="e">
        <f t="shared" si="6"/>
        <v>#REF!</v>
      </c>
      <c r="BM23" s="67">
        <f t="shared" si="6"/>
        <v>6</v>
      </c>
      <c r="BN23" s="68" t="e">
        <f t="shared" si="6"/>
        <v>#REF!</v>
      </c>
      <c r="BO23" s="69">
        <f t="shared" si="6"/>
        <v>37684</v>
      </c>
      <c r="BP23" s="70">
        <f t="shared" si="6"/>
        <v>9</v>
      </c>
      <c r="BQ23" s="23">
        <f>BP23+'18.04'!BP23</f>
        <v>33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BU23"/>
  <sheetViews>
    <sheetView zoomScale="115" zoomScaleNormal="115" workbookViewId="0">
      <pane xSplit="4" ySplit="8" topLeftCell="E12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7109375" customWidth="1"/>
    <col min="5" max="6" width="6.28515625" customWidth="1"/>
    <col min="7" max="7" width="7.14062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0.8554687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F9+'19.04'!G9</f>
        <v>#REF!</v>
      </c>
      <c r="H9" s="33">
        <v>12</v>
      </c>
      <c r="I9" s="34">
        <v>1</v>
      </c>
      <c r="J9" s="23" t="e">
        <f>I9+'19.04'!J9</f>
        <v>#REF!</v>
      </c>
      <c r="K9" s="33">
        <v>2</v>
      </c>
      <c r="L9" s="22">
        <v>0</v>
      </c>
      <c r="M9" s="23" t="e">
        <f>L9+'19.04'!M9</f>
        <v>#REF!</v>
      </c>
      <c r="N9" s="33">
        <v>735</v>
      </c>
      <c r="O9" s="22">
        <v>0</v>
      </c>
      <c r="P9" s="23" t="e">
        <f>O9+'19.04'!P9</f>
        <v>#REF!</v>
      </c>
      <c r="Q9" s="33">
        <v>502</v>
      </c>
      <c r="R9" s="22">
        <v>0</v>
      </c>
      <c r="S9" s="23" t="e">
        <f>R9+'19.04'!S9</f>
        <v>#REF!</v>
      </c>
      <c r="T9" s="33">
        <v>197</v>
      </c>
      <c r="U9" s="22">
        <v>0</v>
      </c>
      <c r="V9" s="23" t="e">
        <f>U9+'19.04'!V9</f>
        <v>#REF!</v>
      </c>
      <c r="W9" s="33">
        <v>47</v>
      </c>
      <c r="X9" s="22">
        <v>0</v>
      </c>
      <c r="Y9" s="23" t="e">
        <f>X9+'19.04'!Y9</f>
        <v>#REF!</v>
      </c>
      <c r="Z9" s="33">
        <v>34</v>
      </c>
      <c r="AA9" s="22">
        <v>0</v>
      </c>
      <c r="AB9" s="23" t="e">
        <f>AA9+'19.04'!AB9</f>
        <v>#REF!</v>
      </c>
      <c r="AC9" s="33">
        <v>1860</v>
      </c>
      <c r="AD9" s="22">
        <v>0</v>
      </c>
      <c r="AE9" s="23" t="e">
        <f>AD9+'19.04'!AE9</f>
        <v>#REF!</v>
      </c>
      <c r="AF9" s="19">
        <f t="shared" ref="AF9:AG22" si="1">AH9+AJ9+AL9+AN9</f>
        <v>7856</v>
      </c>
      <c r="AG9" s="20" t="e">
        <f t="shared" si="1"/>
        <v>#REF!</v>
      </c>
      <c r="AH9" s="24">
        <v>58</v>
      </c>
      <c r="AI9" s="23" t="e">
        <f>AH9+'19.04'!AI9</f>
        <v>#REF!</v>
      </c>
      <c r="AJ9" s="24">
        <v>198</v>
      </c>
      <c r="AK9" s="23" t="e">
        <f>AJ9+'19.04'!AK9</f>
        <v>#REF!</v>
      </c>
      <c r="AL9" s="22">
        <v>3100</v>
      </c>
      <c r="AM9" s="23" t="e">
        <f>AL9+'19.04'!AM9</f>
        <v>#REF!</v>
      </c>
      <c r="AN9" s="22">
        <v>4500</v>
      </c>
      <c r="AO9" s="23" t="e">
        <f>AN9+'19.04'!AO9</f>
        <v>#REF!</v>
      </c>
      <c r="AP9" s="28" t="s">
        <v>43</v>
      </c>
      <c r="AQ9" s="19">
        <f t="shared" ref="AQ9:AR22" si="2">AS9+AU9+AW9+AY9+BA9</f>
        <v>63</v>
      </c>
      <c r="AR9" s="20" t="e">
        <f t="shared" si="2"/>
        <v>#REF!</v>
      </c>
      <c r="AS9" s="34">
        <v>1</v>
      </c>
      <c r="AT9" s="23" t="e">
        <f>AS9+'19.04'!AT9</f>
        <v>#REF!</v>
      </c>
      <c r="AU9" s="34">
        <v>0</v>
      </c>
      <c r="AV9" s="23" t="e">
        <f>AU9+'19.04'!AV9</f>
        <v>#REF!</v>
      </c>
      <c r="AW9" s="34">
        <v>0</v>
      </c>
      <c r="AX9" s="23" t="e">
        <f>AW9+'19.04'!AX9</f>
        <v>#REF!</v>
      </c>
      <c r="AY9" s="34">
        <v>0</v>
      </c>
      <c r="AZ9" s="23" t="e">
        <f>AY9+'19.04'!AZ9</f>
        <v>#REF!</v>
      </c>
      <c r="BA9" s="34">
        <v>62</v>
      </c>
      <c r="BB9" s="23" t="e">
        <f>BA9+'19.04'!BB9</f>
        <v>#REF!</v>
      </c>
      <c r="BC9" s="19">
        <f t="shared" ref="BC9:BD22" si="3">BE9+BG9+BI9+BK9+BM9</f>
        <v>382</v>
      </c>
      <c r="BD9" s="20" t="e">
        <f t="shared" si="3"/>
        <v>#REF!</v>
      </c>
      <c r="BE9" s="22">
        <v>2</v>
      </c>
      <c r="BF9" s="23" t="e">
        <f>BE9+'19.04'!BF9</f>
        <v>#REF!</v>
      </c>
      <c r="BG9" s="34">
        <v>0</v>
      </c>
      <c r="BH9" s="23" t="e">
        <f>BG9+'19.04'!BH9</f>
        <v>#REF!</v>
      </c>
      <c r="BI9" s="22">
        <v>380</v>
      </c>
      <c r="BJ9" s="23" t="e">
        <f>BI9+'19.04'!BJ9</f>
        <v>#REF!</v>
      </c>
      <c r="BK9" s="22">
        <v>0</v>
      </c>
      <c r="BL9" s="23" t="e">
        <f>BK9+'19.04'!BL9</f>
        <v>#REF!</v>
      </c>
      <c r="BM9" s="22">
        <v>0</v>
      </c>
      <c r="BN9" s="23" t="e">
        <f>BM9+'19.04'!BN9</f>
        <v>#REF!</v>
      </c>
      <c r="BO9" s="36">
        <v>14</v>
      </c>
      <c r="BP9" s="37">
        <v>0</v>
      </c>
      <c r="BQ9" s="23" t="e">
        <f>BP9+'19.04'!BQ9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187</v>
      </c>
      <c r="D10" s="31" t="e">
        <f t="shared" si="0"/>
        <v>#REF!</v>
      </c>
      <c r="E10" s="32">
        <v>585</v>
      </c>
      <c r="F10" s="22">
        <v>20</v>
      </c>
      <c r="G10" s="23" t="e">
        <f>F10+'19.04'!G10</f>
        <v>#REF!</v>
      </c>
      <c r="H10" s="33">
        <v>93</v>
      </c>
      <c r="I10" s="34">
        <v>3</v>
      </c>
      <c r="J10" s="23" t="e">
        <f>I10+'19.04'!J10</f>
        <v>#REF!</v>
      </c>
      <c r="K10" s="33">
        <v>34</v>
      </c>
      <c r="L10" s="22">
        <v>0</v>
      </c>
      <c r="M10" s="23" t="e">
        <f>L10+'19.04'!M10</f>
        <v>#REF!</v>
      </c>
      <c r="N10" s="33">
        <v>352</v>
      </c>
      <c r="O10" s="22">
        <v>13</v>
      </c>
      <c r="P10" s="23" t="e">
        <f>O10+'19.04'!P10</f>
        <v>#REF!</v>
      </c>
      <c r="Q10" s="33">
        <v>549</v>
      </c>
      <c r="R10" s="22">
        <v>12</v>
      </c>
      <c r="S10" s="23" t="e">
        <f>R10+'19.04'!S10</f>
        <v>#REF!</v>
      </c>
      <c r="T10" s="33">
        <v>198</v>
      </c>
      <c r="U10" s="22">
        <v>5</v>
      </c>
      <c r="V10" s="23" t="e">
        <f>U10+'19.04'!V10</f>
        <v>#REF!</v>
      </c>
      <c r="W10" s="38">
        <v>55</v>
      </c>
      <c r="X10" s="22">
        <v>2</v>
      </c>
      <c r="Y10" s="23" t="e">
        <f>X10+'19.04'!Y10</f>
        <v>#REF!</v>
      </c>
      <c r="Z10" s="38">
        <v>71</v>
      </c>
      <c r="AA10" s="22">
        <v>2</v>
      </c>
      <c r="AB10" s="23" t="e">
        <f>AA10+'19.04'!AB10</f>
        <v>#REF!</v>
      </c>
      <c r="AC10" s="38">
        <v>1690</v>
      </c>
      <c r="AD10" s="22">
        <v>130</v>
      </c>
      <c r="AE10" s="23" t="e">
        <f>AD10+'19.04'!AE10</f>
        <v>#REF!</v>
      </c>
      <c r="AF10" s="19">
        <f t="shared" si="1"/>
        <v>103870</v>
      </c>
      <c r="AG10" s="20" t="e">
        <f t="shared" si="1"/>
        <v>#REF!</v>
      </c>
      <c r="AH10" s="24">
        <v>1347</v>
      </c>
      <c r="AI10" s="23" t="e">
        <f>AH10+'19.04'!AI10</f>
        <v>#REF!</v>
      </c>
      <c r="AJ10" s="24">
        <v>3489</v>
      </c>
      <c r="AK10" s="23" t="e">
        <f>AJ10+'19.04'!AK10</f>
        <v>#REF!</v>
      </c>
      <c r="AL10" s="22">
        <v>13274</v>
      </c>
      <c r="AM10" s="23" t="e">
        <f>AL10+'19.04'!AM10</f>
        <v>#REF!</v>
      </c>
      <c r="AN10" s="22">
        <v>85760</v>
      </c>
      <c r="AO10" s="23" t="e">
        <f>AN10+'19.04'!AO10</f>
        <v>#REF!</v>
      </c>
      <c r="AP10" s="28" t="s">
        <v>44</v>
      </c>
      <c r="AQ10" s="19">
        <f t="shared" si="2"/>
        <v>2</v>
      </c>
      <c r="AR10" s="20" t="e">
        <f t="shared" si="2"/>
        <v>#REF!</v>
      </c>
      <c r="AS10" s="34">
        <v>0</v>
      </c>
      <c r="AT10" s="23" t="e">
        <f>AS10+'19.04'!AT10</f>
        <v>#REF!</v>
      </c>
      <c r="AU10" s="34">
        <v>0</v>
      </c>
      <c r="AV10" s="23" t="e">
        <f>AU10+'19.04'!AV10</f>
        <v>#REF!</v>
      </c>
      <c r="AW10" s="34">
        <v>0</v>
      </c>
      <c r="AX10" s="23" t="e">
        <f>AW10+'19.04'!AX10</f>
        <v>#REF!</v>
      </c>
      <c r="AY10" s="34">
        <v>0</v>
      </c>
      <c r="AZ10" s="23" t="e">
        <f>AY10+'19.04'!AZ10</f>
        <v>#REF!</v>
      </c>
      <c r="BA10" s="34">
        <v>2</v>
      </c>
      <c r="BB10" s="23" t="e">
        <f>BA10+'19.04'!BB10</f>
        <v>#REF!</v>
      </c>
      <c r="BC10" s="19">
        <f t="shared" si="3"/>
        <v>4265</v>
      </c>
      <c r="BD10" s="20" t="e">
        <f t="shared" si="3"/>
        <v>#REF!</v>
      </c>
      <c r="BE10" s="22">
        <v>535</v>
      </c>
      <c r="BF10" s="23" t="e">
        <f>BE10+'19.04'!BF10</f>
        <v>#REF!</v>
      </c>
      <c r="BG10" s="34">
        <v>2</v>
      </c>
      <c r="BH10" s="23" t="e">
        <f>BG10+'19.04'!BH10</f>
        <v>#REF!</v>
      </c>
      <c r="BI10" s="22">
        <v>2892</v>
      </c>
      <c r="BJ10" s="23" t="e">
        <f>BI10+'19.04'!BJ10</f>
        <v>#REF!</v>
      </c>
      <c r="BK10" s="22">
        <v>836</v>
      </c>
      <c r="BL10" s="23" t="e">
        <f>BK10+'19.04'!BL10</f>
        <v>#REF!</v>
      </c>
      <c r="BM10" s="22">
        <v>0</v>
      </c>
      <c r="BN10" s="23" t="e">
        <f>BM10+'19.04'!BN10</f>
        <v>#REF!</v>
      </c>
      <c r="BO10" s="36">
        <v>32</v>
      </c>
      <c r="BP10" s="37">
        <v>0</v>
      </c>
      <c r="BQ10" s="23" t="e">
        <f>BP10+'19.04'!BQ10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61</v>
      </c>
      <c r="D11" s="31" t="e">
        <f t="shared" si="0"/>
        <v>#REF!</v>
      </c>
      <c r="E11" s="32">
        <v>883</v>
      </c>
      <c r="F11" s="22">
        <v>21</v>
      </c>
      <c r="G11" s="23" t="e">
        <f>F11+'19.04'!G11</f>
        <v>#REF!</v>
      </c>
      <c r="H11" s="33">
        <v>16</v>
      </c>
      <c r="I11" s="34">
        <v>0</v>
      </c>
      <c r="J11" s="23" t="e">
        <f>I11+'19.04'!J11</f>
        <v>#REF!</v>
      </c>
      <c r="K11" s="33">
        <v>3</v>
      </c>
      <c r="L11" s="22">
        <v>0</v>
      </c>
      <c r="M11" s="23" t="e">
        <f>L11+'19.04'!M11</f>
        <v>#REF!</v>
      </c>
      <c r="N11" s="33">
        <v>875</v>
      </c>
      <c r="O11" s="22">
        <v>0</v>
      </c>
      <c r="P11" s="23" t="e">
        <f>O11+'19.04'!P11</f>
        <v>#REF!</v>
      </c>
      <c r="Q11" s="33">
        <v>2424</v>
      </c>
      <c r="R11" s="22">
        <v>0</v>
      </c>
      <c r="S11" s="23" t="e">
        <f>R11+'19.04'!S11</f>
        <v>#REF!</v>
      </c>
      <c r="T11" s="33">
        <v>69</v>
      </c>
      <c r="U11" s="22">
        <v>0</v>
      </c>
      <c r="V11" s="23" t="e">
        <f>U11+'19.04'!V11</f>
        <v>#REF!</v>
      </c>
      <c r="W11" s="38">
        <v>133</v>
      </c>
      <c r="X11" s="22">
        <v>38</v>
      </c>
      <c r="Y11" s="23" t="e">
        <f>X11+'19.04'!Y11</f>
        <v>#REF!</v>
      </c>
      <c r="Z11" s="38">
        <v>1116</v>
      </c>
      <c r="AA11" s="22">
        <v>0</v>
      </c>
      <c r="AB11" s="23" t="e">
        <f>AA11+'19.04'!AB11</f>
        <v>#REF!</v>
      </c>
      <c r="AC11" s="38">
        <v>9862</v>
      </c>
      <c r="AD11" s="22">
        <v>2</v>
      </c>
      <c r="AE11" s="23" t="e">
        <f>AD11+'19.04'!AE11</f>
        <v>#REF!</v>
      </c>
      <c r="AF11" s="19">
        <f t="shared" si="1"/>
        <v>103300</v>
      </c>
      <c r="AG11" s="20" t="e">
        <f t="shared" si="1"/>
        <v>#REF!</v>
      </c>
      <c r="AH11" s="24">
        <v>4100</v>
      </c>
      <c r="AI11" s="23" t="e">
        <f>AH11+'19.04'!AI11</f>
        <v>#REF!</v>
      </c>
      <c r="AJ11" s="24">
        <v>7200</v>
      </c>
      <c r="AK11" s="23" t="e">
        <f>AJ11+'19.04'!AK11</f>
        <v>#REF!</v>
      </c>
      <c r="AL11" s="22">
        <v>23000</v>
      </c>
      <c r="AM11" s="23" t="e">
        <f>AL11+'19.04'!AM11</f>
        <v>#REF!</v>
      </c>
      <c r="AN11" s="22">
        <v>69000</v>
      </c>
      <c r="AO11" s="23" t="e">
        <f>AN11+'19.04'!AO11</f>
        <v>#REF!</v>
      </c>
      <c r="AP11" s="28" t="s">
        <v>45</v>
      </c>
      <c r="AQ11" s="19">
        <f t="shared" si="2"/>
        <v>6</v>
      </c>
      <c r="AR11" s="20" t="e">
        <f t="shared" si="2"/>
        <v>#REF!</v>
      </c>
      <c r="AS11" s="34">
        <v>0</v>
      </c>
      <c r="AT11" s="23" t="e">
        <f>AS11+'19.04'!AT11</f>
        <v>#REF!</v>
      </c>
      <c r="AU11" s="34">
        <v>0</v>
      </c>
      <c r="AV11" s="23" t="e">
        <f>AU11+'19.04'!AV11</f>
        <v>#REF!</v>
      </c>
      <c r="AW11" s="34">
        <v>0</v>
      </c>
      <c r="AX11" s="23" t="e">
        <f>AW11+'19.04'!AX11</f>
        <v>#REF!</v>
      </c>
      <c r="AY11" s="34">
        <v>0</v>
      </c>
      <c r="AZ11" s="23" t="e">
        <f>AY11+'19.04'!AZ11</f>
        <v>#REF!</v>
      </c>
      <c r="BA11" s="34">
        <v>6</v>
      </c>
      <c r="BB11" s="23" t="e">
        <f>BA11+'19.04'!BB11</f>
        <v>#REF!</v>
      </c>
      <c r="BC11" s="19">
        <f t="shared" si="3"/>
        <v>4001</v>
      </c>
      <c r="BD11" s="20" t="e">
        <f t="shared" si="3"/>
        <v>#REF!</v>
      </c>
      <c r="BE11" s="22">
        <v>7</v>
      </c>
      <c r="BF11" s="23" t="e">
        <f>BE11+'19.04'!BF11</f>
        <v>#REF!</v>
      </c>
      <c r="BG11" s="34">
        <v>2</v>
      </c>
      <c r="BH11" s="23" t="e">
        <f>BG11+'19.04'!BH11</f>
        <v>#REF!</v>
      </c>
      <c r="BI11" s="22">
        <v>3900</v>
      </c>
      <c r="BJ11" s="23" t="e">
        <f>BI11+'19.04'!BJ11</f>
        <v>#REF!</v>
      </c>
      <c r="BK11" s="22">
        <v>92</v>
      </c>
      <c r="BL11" s="23" t="e">
        <f>BK11+'19.04'!BL11</f>
        <v>#REF!</v>
      </c>
      <c r="BM11" s="22">
        <v>0</v>
      </c>
      <c r="BN11" s="23" t="e">
        <f>BM11+'19.04'!BN11</f>
        <v>#REF!</v>
      </c>
      <c r="BO11" s="36">
        <v>11506</v>
      </c>
      <c r="BP11" s="37">
        <v>5</v>
      </c>
      <c r="BQ11" s="23" t="e">
        <f>BP11+'19.04'!BQ11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267</v>
      </c>
      <c r="D12" s="31" t="e">
        <f t="shared" si="0"/>
        <v>#REF!</v>
      </c>
      <c r="E12" s="32">
        <v>909</v>
      </c>
      <c r="F12" s="22">
        <v>66</v>
      </c>
      <c r="G12" s="23" t="e">
        <f>F12+'19.04'!G12</f>
        <v>#REF!</v>
      </c>
      <c r="H12" s="33">
        <v>80</v>
      </c>
      <c r="I12" s="34">
        <v>3</v>
      </c>
      <c r="J12" s="23" t="e">
        <f>I12+'19.04'!J12</f>
        <v>#REF!</v>
      </c>
      <c r="K12" s="33">
        <v>5</v>
      </c>
      <c r="L12" s="22">
        <v>0</v>
      </c>
      <c r="M12" s="23" t="e">
        <f>L12+'19.04'!M12</f>
        <v>#REF!</v>
      </c>
      <c r="N12" s="33">
        <v>820</v>
      </c>
      <c r="O12" s="22">
        <v>48</v>
      </c>
      <c r="P12" s="23" t="e">
        <f>O12+'19.04'!P12</f>
        <v>#REF!</v>
      </c>
      <c r="Q12" s="33">
        <v>549</v>
      </c>
      <c r="R12" s="22">
        <v>0</v>
      </c>
      <c r="S12" s="23" t="e">
        <f>R12+'19.04'!S12</f>
        <v>#REF!</v>
      </c>
      <c r="T12" s="33">
        <v>992</v>
      </c>
      <c r="U12" s="22">
        <v>0</v>
      </c>
      <c r="V12" s="23" t="e">
        <f>U12+'19.04'!V12</f>
        <v>#REF!</v>
      </c>
      <c r="W12" s="33">
        <v>38</v>
      </c>
      <c r="X12" s="22">
        <v>92</v>
      </c>
      <c r="Y12" s="23" t="e">
        <f>X12+'19.04'!Y12</f>
        <v>#REF!</v>
      </c>
      <c r="Z12" s="33">
        <v>68</v>
      </c>
      <c r="AA12" s="22">
        <v>0</v>
      </c>
      <c r="AB12" s="23" t="e">
        <f>AA12+'19.04'!AB12</f>
        <v>#REF!</v>
      </c>
      <c r="AC12" s="33">
        <v>26703</v>
      </c>
      <c r="AD12" s="22">
        <v>58</v>
      </c>
      <c r="AE12" s="23" t="e">
        <f>AD12+'19.04'!AE12</f>
        <v>#REF!</v>
      </c>
      <c r="AF12" s="19">
        <f t="shared" si="1"/>
        <v>34900</v>
      </c>
      <c r="AG12" s="20" t="e">
        <f t="shared" si="1"/>
        <v>#REF!</v>
      </c>
      <c r="AH12" s="24">
        <v>6100</v>
      </c>
      <c r="AI12" s="23" t="e">
        <f>AH12+'19.04'!AI12</f>
        <v>#REF!</v>
      </c>
      <c r="AJ12" s="24">
        <v>11000</v>
      </c>
      <c r="AK12" s="23" t="e">
        <f>AJ12+'19.04'!AK12</f>
        <v>#REF!</v>
      </c>
      <c r="AL12" s="22">
        <v>8900</v>
      </c>
      <c r="AM12" s="23" t="e">
        <f>AL12+'19.04'!AM12</f>
        <v>#REF!</v>
      </c>
      <c r="AN12" s="22">
        <v>8900</v>
      </c>
      <c r="AO12" s="23" t="e">
        <f>AN12+'19.04'!AO12</f>
        <v>#REF!</v>
      </c>
      <c r="AP12" s="28" t="s">
        <v>46</v>
      </c>
      <c r="AQ12" s="19">
        <f t="shared" si="2"/>
        <v>91</v>
      </c>
      <c r="AR12" s="20" t="e">
        <f t="shared" si="2"/>
        <v>#REF!</v>
      </c>
      <c r="AS12" s="34">
        <v>0</v>
      </c>
      <c r="AT12" s="23" t="e">
        <f>AS12+'19.04'!AT12</f>
        <v>#REF!</v>
      </c>
      <c r="AU12" s="34">
        <v>0</v>
      </c>
      <c r="AV12" s="23" t="e">
        <f>AU12+'19.04'!AV12</f>
        <v>#REF!</v>
      </c>
      <c r="AW12" s="34">
        <v>0</v>
      </c>
      <c r="AX12" s="23" t="e">
        <f>AW12+'19.04'!AX12</f>
        <v>#REF!</v>
      </c>
      <c r="AY12" s="34">
        <v>0</v>
      </c>
      <c r="AZ12" s="23" t="e">
        <f>AY12+'19.04'!AZ12</f>
        <v>#REF!</v>
      </c>
      <c r="BA12" s="34">
        <v>91</v>
      </c>
      <c r="BB12" s="23" t="e">
        <f>BA12+'19.04'!BB12</f>
        <v>#REF!</v>
      </c>
      <c r="BC12" s="19">
        <f t="shared" si="3"/>
        <v>3487</v>
      </c>
      <c r="BD12" s="20" t="e">
        <f t="shared" si="3"/>
        <v>#REF!</v>
      </c>
      <c r="BE12" s="22">
        <v>265</v>
      </c>
      <c r="BF12" s="23" t="e">
        <f>BE12+'19.04'!BF12</f>
        <v>#REF!</v>
      </c>
      <c r="BG12" s="34">
        <v>12</v>
      </c>
      <c r="BH12" s="23" t="e">
        <f>BG12+'19.04'!BH12</f>
        <v>#REF!</v>
      </c>
      <c r="BI12" s="22">
        <v>3000</v>
      </c>
      <c r="BJ12" s="23" t="e">
        <f>BI12+'19.04'!BJ12</f>
        <v>#REF!</v>
      </c>
      <c r="BK12" s="22">
        <v>210</v>
      </c>
      <c r="BL12" s="23" t="e">
        <f>BK12+'19.04'!BL12</f>
        <v>#REF!</v>
      </c>
      <c r="BM12" s="22">
        <v>0</v>
      </c>
      <c r="BN12" s="23" t="e">
        <f>BM12+'19.04'!BN12</f>
        <v>#REF!</v>
      </c>
      <c r="BO12" s="36"/>
      <c r="BP12" s="37">
        <v>2</v>
      </c>
      <c r="BQ12" s="23" t="e">
        <f>BP12+'19.04'!BQ12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6</v>
      </c>
      <c r="D13" s="31" t="e">
        <f t="shared" si="0"/>
        <v>#REF!</v>
      </c>
      <c r="E13" s="32">
        <v>516</v>
      </c>
      <c r="F13" s="22">
        <v>3</v>
      </c>
      <c r="G13" s="23" t="e">
        <f>F13+'19.04'!G13</f>
        <v>#REF!</v>
      </c>
      <c r="H13" s="33">
        <v>10</v>
      </c>
      <c r="I13" s="34">
        <v>2</v>
      </c>
      <c r="J13" s="23" t="e">
        <f>I13+'19.04'!J13</f>
        <v>#REF!</v>
      </c>
      <c r="K13" s="33">
        <v>38</v>
      </c>
      <c r="L13" s="22">
        <v>0</v>
      </c>
      <c r="M13" s="23" t="e">
        <f>L13+'19.04'!M13</f>
        <v>#REF!</v>
      </c>
      <c r="N13" s="33">
        <v>581</v>
      </c>
      <c r="O13" s="22">
        <v>0</v>
      </c>
      <c r="P13" s="23" t="e">
        <f>O13+'19.04'!P13</f>
        <v>#REF!</v>
      </c>
      <c r="Q13" s="33">
        <v>525</v>
      </c>
      <c r="R13" s="22">
        <v>0</v>
      </c>
      <c r="S13" s="23" t="e">
        <f>R13+'19.04'!S13</f>
        <v>#REF!</v>
      </c>
      <c r="T13" s="33">
        <v>263</v>
      </c>
      <c r="U13" s="22">
        <v>0</v>
      </c>
      <c r="V13" s="23" t="e">
        <f>U13+'19.04'!V13</f>
        <v>#REF!</v>
      </c>
      <c r="W13" s="33">
        <v>43</v>
      </c>
      <c r="X13" s="22">
        <v>0</v>
      </c>
      <c r="Y13" s="23" t="e">
        <f>X13+'19.04'!Y13</f>
        <v>#REF!</v>
      </c>
      <c r="Z13" s="33">
        <v>17</v>
      </c>
      <c r="AA13" s="22">
        <v>0</v>
      </c>
      <c r="AB13" s="23" t="e">
        <f>AA13+'19.04'!AB13</f>
        <v>#REF!</v>
      </c>
      <c r="AC13" s="33">
        <v>51</v>
      </c>
      <c r="AD13" s="22">
        <v>1</v>
      </c>
      <c r="AE13" s="23" t="e">
        <f>AD13+'19.04'!AE13</f>
        <v>#REF!</v>
      </c>
      <c r="AF13" s="19">
        <f t="shared" si="1"/>
        <v>0</v>
      </c>
      <c r="AG13" s="20" t="e">
        <f t="shared" si="1"/>
        <v>#REF!</v>
      </c>
      <c r="AH13" s="24"/>
      <c r="AI13" s="23" t="e">
        <f>AH13+'19.04'!AI13</f>
        <v>#REF!</v>
      </c>
      <c r="AJ13" s="24"/>
      <c r="AK13" s="23" t="e">
        <f>AJ13+'19.04'!AK13</f>
        <v>#REF!</v>
      </c>
      <c r="AL13" s="22"/>
      <c r="AM13" s="23" t="e">
        <f>AL13+'19.04'!AM13</f>
        <v>#REF!</v>
      </c>
      <c r="AN13" s="22"/>
      <c r="AO13" s="23" t="e">
        <f>AN13+'19.04'!AO13</f>
        <v>#REF!</v>
      </c>
      <c r="AP13" s="28" t="s">
        <v>47</v>
      </c>
      <c r="AQ13" s="19">
        <f t="shared" si="2"/>
        <v>0</v>
      </c>
      <c r="AR13" s="20" t="e">
        <f t="shared" si="2"/>
        <v>#REF!</v>
      </c>
      <c r="AS13" s="34"/>
      <c r="AT13" s="23" t="e">
        <f>AS13+'19.04'!AT13</f>
        <v>#REF!</v>
      </c>
      <c r="AU13" s="34"/>
      <c r="AV13" s="23" t="e">
        <f>AU13+'19.04'!AV13</f>
        <v>#REF!</v>
      </c>
      <c r="AW13" s="34"/>
      <c r="AX13" s="23" t="e">
        <f>AW13+'19.04'!AX13</f>
        <v>#REF!</v>
      </c>
      <c r="AY13" s="34"/>
      <c r="AZ13" s="23" t="e">
        <f>AY13+'19.04'!AZ13</f>
        <v>#REF!</v>
      </c>
      <c r="BA13" s="34"/>
      <c r="BB13" s="23" t="e">
        <f>BA13+'19.04'!BB13</f>
        <v>#REF!</v>
      </c>
      <c r="BC13" s="19">
        <f t="shared" si="3"/>
        <v>0</v>
      </c>
      <c r="BD13" s="20" t="e">
        <f t="shared" si="3"/>
        <v>#REF!</v>
      </c>
      <c r="BE13" s="22"/>
      <c r="BF13" s="23" t="e">
        <f>BE13+'19.04'!BF13</f>
        <v>#REF!</v>
      </c>
      <c r="BG13" s="34"/>
      <c r="BH13" s="23" t="e">
        <f>BG13+'19.04'!BH13</f>
        <v>#REF!</v>
      </c>
      <c r="BI13" s="22"/>
      <c r="BJ13" s="23" t="e">
        <f>BI13+'19.04'!BJ13</f>
        <v>#REF!</v>
      </c>
      <c r="BK13" s="22"/>
      <c r="BL13" s="23" t="e">
        <f>BK13+'19.04'!BL13</f>
        <v>#REF!</v>
      </c>
      <c r="BM13" s="22"/>
      <c r="BN13" s="23" t="e">
        <f>BM13+'19.04'!BN13</f>
        <v>#REF!</v>
      </c>
      <c r="BO13" s="36"/>
      <c r="BP13" s="37"/>
      <c r="BQ13" s="23" t="e">
        <f>BP13+'19.04'!BQ13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F14+'19.04'!G14</f>
        <v>#REF!</v>
      </c>
      <c r="H14" s="44">
        <v>5</v>
      </c>
      <c r="I14" s="45"/>
      <c r="J14" s="23" t="e">
        <f>I14+'19.04'!J14</f>
        <v>#REF!</v>
      </c>
      <c r="K14" s="44">
        <v>34</v>
      </c>
      <c r="L14" s="22"/>
      <c r="M14" s="23" t="e">
        <f>L14+'19.04'!M14</f>
        <v>#REF!</v>
      </c>
      <c r="N14" s="44">
        <v>583</v>
      </c>
      <c r="O14" s="22"/>
      <c r="P14" s="23" t="e">
        <f>O14+'19.04'!P14</f>
        <v>#REF!</v>
      </c>
      <c r="Q14" s="44">
        <v>254</v>
      </c>
      <c r="R14" s="22"/>
      <c r="S14" s="23" t="e">
        <f>R14+'19.04'!S14</f>
        <v>#REF!</v>
      </c>
      <c r="T14" s="44">
        <v>196</v>
      </c>
      <c r="U14" s="22"/>
      <c r="V14" s="23" t="e">
        <f>U14+'19.04'!V14</f>
        <v>#REF!</v>
      </c>
      <c r="W14" s="44">
        <v>30</v>
      </c>
      <c r="X14" s="22"/>
      <c r="Y14" s="23" t="e">
        <f>X14+'19.04'!Y14</f>
        <v>#REF!</v>
      </c>
      <c r="Z14" s="44">
        <v>10</v>
      </c>
      <c r="AA14" s="22"/>
      <c r="AB14" s="23" t="e">
        <f>AA14+'19.04'!AB14</f>
        <v>#REF!</v>
      </c>
      <c r="AC14" s="44">
        <v>2500</v>
      </c>
      <c r="AD14" s="22"/>
      <c r="AE14" s="23" t="e">
        <f>AD14+'19.04'!AE14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AH14+'19.04'!AI14</f>
        <v>#REF!</v>
      </c>
      <c r="AJ14" s="24"/>
      <c r="AK14" s="23" t="e">
        <f>AJ14+'19.04'!AK14</f>
        <v>#REF!</v>
      </c>
      <c r="AL14" s="22"/>
      <c r="AM14" s="23" t="e">
        <f>AL14+'19.04'!AM14</f>
        <v>#REF!</v>
      </c>
      <c r="AN14" s="22"/>
      <c r="AO14" s="23" t="e">
        <f>AN14+'19.04'!AO14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AS14+'19.04'!AT14</f>
        <v>#REF!</v>
      </c>
      <c r="AU14" s="45"/>
      <c r="AV14" s="23" t="e">
        <f>AU14+'19.04'!AV14</f>
        <v>#REF!</v>
      </c>
      <c r="AW14" s="45"/>
      <c r="AX14" s="23" t="e">
        <f>AW14+'19.04'!AX14</f>
        <v>#REF!</v>
      </c>
      <c r="AY14" s="45"/>
      <c r="AZ14" s="23" t="e">
        <f>AY14+'19.04'!AZ14</f>
        <v>#REF!</v>
      </c>
      <c r="BA14" s="45"/>
      <c r="BB14" s="23" t="e">
        <f>BA14+'19.04'!BB14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BE14+'19.04'!BF14</f>
        <v>#REF!</v>
      </c>
      <c r="BG14" s="45"/>
      <c r="BH14" s="23" t="e">
        <f>BG14+'19.04'!BH14</f>
        <v>#REF!</v>
      </c>
      <c r="BI14" s="22"/>
      <c r="BJ14" s="23" t="e">
        <f>BI14+'19.04'!BJ14</f>
        <v>#REF!</v>
      </c>
      <c r="BK14" s="22"/>
      <c r="BL14" s="23" t="e">
        <f>BK14+'19.04'!BL14</f>
        <v>#REF!</v>
      </c>
      <c r="BM14" s="22"/>
      <c r="BN14" s="23" t="e">
        <f>BM14+'19.04'!BN14</f>
        <v>#REF!</v>
      </c>
      <c r="BO14" s="48">
        <v>2</v>
      </c>
      <c r="BP14" s="49"/>
      <c r="BQ14" s="23" t="e">
        <f>BP14+'19.04'!BQ14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474</v>
      </c>
      <c r="D15" s="53" t="e">
        <f t="shared" si="0"/>
        <v>#REF!</v>
      </c>
      <c r="E15" s="54">
        <v>776</v>
      </c>
      <c r="F15" s="55">
        <v>336</v>
      </c>
      <c r="G15" s="23" t="e">
        <f>F15+'19.04'!G15</f>
        <v>#REF!</v>
      </c>
      <c r="H15" s="56">
        <v>9</v>
      </c>
      <c r="I15" s="57">
        <v>0</v>
      </c>
      <c r="J15" s="23" t="e">
        <f>I15+'19.04'!J15</f>
        <v>#REF!</v>
      </c>
      <c r="K15" s="56">
        <v>6</v>
      </c>
      <c r="L15" s="55">
        <v>0</v>
      </c>
      <c r="M15" s="23" t="e">
        <f>L15+'19.04'!M15</f>
        <v>#REF!</v>
      </c>
      <c r="N15" s="56">
        <v>1305</v>
      </c>
      <c r="O15" s="55">
        <v>0</v>
      </c>
      <c r="P15" s="23" t="e">
        <f>O15+'19.04'!P15</f>
        <v>#REF!</v>
      </c>
      <c r="Q15" s="56">
        <v>447</v>
      </c>
      <c r="R15" s="55">
        <v>0</v>
      </c>
      <c r="S15" s="23" t="e">
        <f>R15+'19.04'!S15</f>
        <v>#REF!</v>
      </c>
      <c r="T15" s="56">
        <v>337</v>
      </c>
      <c r="U15" s="55">
        <v>0</v>
      </c>
      <c r="V15" s="23" t="e">
        <f>U15+'19.04'!V15</f>
        <v>#REF!</v>
      </c>
      <c r="W15" s="56">
        <v>78</v>
      </c>
      <c r="X15" s="55">
        <v>122</v>
      </c>
      <c r="Y15" s="23" t="e">
        <f>X15+'19.04'!Y15</f>
        <v>#REF!</v>
      </c>
      <c r="Z15" s="56">
        <v>141</v>
      </c>
      <c r="AA15" s="55">
        <v>0</v>
      </c>
      <c r="AB15" s="23" t="e">
        <f>AA15+'19.04'!AB15</f>
        <v>#REF!</v>
      </c>
      <c r="AC15" s="56">
        <v>798</v>
      </c>
      <c r="AD15" s="55">
        <v>16</v>
      </c>
      <c r="AE15" s="23" t="e">
        <f>AD15+'19.04'!AE15</f>
        <v>#REF!</v>
      </c>
      <c r="AF15" s="58">
        <f t="shared" si="1"/>
        <v>1245687</v>
      </c>
      <c r="AG15" s="59" t="e">
        <f t="shared" si="1"/>
        <v>#REF!</v>
      </c>
      <c r="AH15" s="60">
        <v>1024</v>
      </c>
      <c r="AI15" s="23" t="e">
        <f>AH15+'19.04'!AI15</f>
        <v>#REF!</v>
      </c>
      <c r="AJ15" s="60">
        <v>3318</v>
      </c>
      <c r="AK15" s="23" t="e">
        <f>AJ15+'19.04'!AK15</f>
        <v>#REF!</v>
      </c>
      <c r="AL15" s="55">
        <v>620670</v>
      </c>
      <c r="AM15" s="23" t="e">
        <f>AL15+'19.04'!AM15</f>
        <v>#REF!</v>
      </c>
      <c r="AN15" s="55">
        <v>620675</v>
      </c>
      <c r="AO15" s="23" t="e">
        <f>AN15+'19.04'!AO15</f>
        <v>#REF!</v>
      </c>
      <c r="AP15" s="50" t="s">
        <v>49</v>
      </c>
      <c r="AQ15" s="58">
        <f t="shared" si="2"/>
        <v>4</v>
      </c>
      <c r="AR15" s="59" t="e">
        <f t="shared" si="2"/>
        <v>#REF!</v>
      </c>
      <c r="AS15" s="57">
        <v>0</v>
      </c>
      <c r="AT15" s="23" t="e">
        <f>AS15+'19.04'!AT15</f>
        <v>#REF!</v>
      </c>
      <c r="AU15" s="57">
        <v>1</v>
      </c>
      <c r="AV15" s="23" t="e">
        <f>AU15+'19.04'!AV15</f>
        <v>#REF!</v>
      </c>
      <c r="AW15" s="57">
        <v>0</v>
      </c>
      <c r="AX15" s="23" t="e">
        <f>AW15+'19.04'!AX15</f>
        <v>#REF!</v>
      </c>
      <c r="AY15" s="57">
        <v>0</v>
      </c>
      <c r="AZ15" s="23" t="e">
        <f>AY15+'19.04'!AZ15</f>
        <v>#REF!</v>
      </c>
      <c r="BA15" s="57">
        <v>3</v>
      </c>
      <c r="BB15" s="23" t="e">
        <f>BA15+'19.04'!BB15</f>
        <v>#REF!</v>
      </c>
      <c r="BC15" s="58">
        <f t="shared" si="3"/>
        <v>1305</v>
      </c>
      <c r="BD15" s="59" t="e">
        <f t="shared" si="3"/>
        <v>#REF!</v>
      </c>
      <c r="BE15" s="55">
        <v>3</v>
      </c>
      <c r="BF15" s="23" t="e">
        <f>BE15+'19.04'!BF15</f>
        <v>#REF!</v>
      </c>
      <c r="BG15" s="57">
        <v>2</v>
      </c>
      <c r="BH15" s="23" t="e">
        <f>BG15+'19.04'!BH15</f>
        <v>#REF!</v>
      </c>
      <c r="BI15" s="55">
        <v>650</v>
      </c>
      <c r="BJ15" s="23" t="e">
        <f>BI15+'19.04'!BJ15</f>
        <v>#REF!</v>
      </c>
      <c r="BK15" s="55">
        <v>650</v>
      </c>
      <c r="BL15" s="23" t="e">
        <f>BK15+'19.04'!BL15</f>
        <v>#REF!</v>
      </c>
      <c r="BM15" s="55">
        <v>0</v>
      </c>
      <c r="BN15" s="23" t="e">
        <f>BM15+'19.04'!BN15</f>
        <v>#REF!</v>
      </c>
      <c r="BO15" s="36">
        <v>6274</v>
      </c>
      <c r="BP15" s="37">
        <v>3</v>
      </c>
      <c r="BQ15" s="23" t="e">
        <f>BP15+'19.04'!BQ15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F16+'19.04'!G16</f>
        <v>#REF!</v>
      </c>
      <c r="H16" s="33">
        <v>5</v>
      </c>
      <c r="I16" s="34"/>
      <c r="J16" s="23" t="e">
        <f>I16+'19.04'!J16</f>
        <v>#REF!</v>
      </c>
      <c r="K16" s="33">
        <v>3</v>
      </c>
      <c r="L16" s="22"/>
      <c r="M16" s="23" t="e">
        <f>L16+'19.04'!M16</f>
        <v>#REF!</v>
      </c>
      <c r="N16" s="33">
        <v>384</v>
      </c>
      <c r="O16" s="22"/>
      <c r="P16" s="23" t="e">
        <f>O16+'19.04'!P16</f>
        <v>#REF!</v>
      </c>
      <c r="Q16" s="33">
        <v>245</v>
      </c>
      <c r="R16" s="22"/>
      <c r="S16" s="23" t="e">
        <f>R16+'19.04'!S16</f>
        <v>#REF!</v>
      </c>
      <c r="T16" s="33">
        <v>397</v>
      </c>
      <c r="U16" s="22"/>
      <c r="V16" s="23" t="e">
        <f>U16+'19.04'!V16</f>
        <v>#REF!</v>
      </c>
      <c r="W16" s="33">
        <v>24</v>
      </c>
      <c r="X16" s="22"/>
      <c r="Y16" s="23" t="e">
        <f>X16+'19.04'!Y16</f>
        <v>#REF!</v>
      </c>
      <c r="Z16" s="33">
        <v>18</v>
      </c>
      <c r="AA16" s="22"/>
      <c r="AB16" s="23" t="e">
        <f>AA16+'19.04'!AB16</f>
        <v>#REF!</v>
      </c>
      <c r="AC16" s="33">
        <v>18515</v>
      </c>
      <c r="AD16" s="22"/>
      <c r="AE16" s="23" t="e">
        <f>AD16+'19.04'!AE16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AH16+'19.04'!AI16</f>
        <v>#REF!</v>
      </c>
      <c r="AJ16" s="24"/>
      <c r="AK16" s="23" t="e">
        <f>AJ16+'19.04'!AK16</f>
        <v>#REF!</v>
      </c>
      <c r="AL16" s="22"/>
      <c r="AM16" s="23" t="e">
        <f>AL16+'19.04'!AM16</f>
        <v>#REF!</v>
      </c>
      <c r="AN16" s="22"/>
      <c r="AO16" s="23" t="e">
        <f>AN16+'19.04'!AO16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AS16+'19.04'!AT16</f>
        <v>#REF!</v>
      </c>
      <c r="AU16" s="34"/>
      <c r="AV16" s="23" t="e">
        <f>AU16+'19.04'!AV16</f>
        <v>#REF!</v>
      </c>
      <c r="AW16" s="34"/>
      <c r="AX16" s="23" t="e">
        <f>AW16+'19.04'!AX16</f>
        <v>#REF!</v>
      </c>
      <c r="AY16" s="34"/>
      <c r="AZ16" s="23" t="e">
        <f>AY16+'19.04'!AZ16</f>
        <v>#REF!</v>
      </c>
      <c r="BA16" s="34"/>
      <c r="BB16" s="23" t="e">
        <f>BA16+'19.04'!BB16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BE16+'19.04'!BF16</f>
        <v>#REF!</v>
      </c>
      <c r="BG16" s="34"/>
      <c r="BH16" s="23" t="e">
        <f>BG16+'19.04'!BH16</f>
        <v>#REF!</v>
      </c>
      <c r="BI16" s="22"/>
      <c r="BJ16" s="23" t="e">
        <f>BI16+'19.04'!BJ16</f>
        <v>#REF!</v>
      </c>
      <c r="BK16" s="22"/>
      <c r="BL16" s="23" t="e">
        <f>BK16+'19.04'!BL16</f>
        <v>#REF!</v>
      </c>
      <c r="BM16" s="22"/>
      <c r="BN16" s="23" t="e">
        <f>BM16+'19.04'!BN16</f>
        <v>#REF!</v>
      </c>
      <c r="BO16" s="36">
        <v>2546</v>
      </c>
      <c r="BP16" s="37"/>
      <c r="BQ16" s="23" t="e">
        <f>BP16+'19.04'!BQ16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215</v>
      </c>
      <c r="D17" s="31" t="e">
        <f t="shared" si="0"/>
        <v>#REF!</v>
      </c>
      <c r="E17" s="32">
        <v>754</v>
      </c>
      <c r="F17" s="22">
        <v>150</v>
      </c>
      <c r="G17" s="23" t="e">
        <f>F17+'19.04'!G17</f>
        <v>#REF!</v>
      </c>
      <c r="H17" s="33">
        <v>9</v>
      </c>
      <c r="I17" s="34">
        <v>0</v>
      </c>
      <c r="J17" s="23" t="e">
        <f>I17+'19.04'!J17</f>
        <v>#REF!</v>
      </c>
      <c r="K17" s="33">
        <v>5</v>
      </c>
      <c r="L17" s="22">
        <v>0</v>
      </c>
      <c r="M17" s="23" t="e">
        <f>L17+'19.04'!M17</f>
        <v>#REF!</v>
      </c>
      <c r="N17" s="33">
        <v>768</v>
      </c>
      <c r="O17" s="22">
        <v>0</v>
      </c>
      <c r="P17" s="23" t="e">
        <f>O17+'19.04'!P17</f>
        <v>#REF!</v>
      </c>
      <c r="Q17" s="33">
        <v>624</v>
      </c>
      <c r="R17" s="22">
        <v>0</v>
      </c>
      <c r="S17" s="23" t="e">
        <f>R17+'19.04'!S17</f>
        <v>#REF!</v>
      </c>
      <c r="T17" s="33">
        <v>742</v>
      </c>
      <c r="U17" s="22">
        <v>0</v>
      </c>
      <c r="V17" s="23" t="e">
        <f>U17+'19.04'!V17</f>
        <v>#REF!</v>
      </c>
      <c r="W17" s="33">
        <v>54</v>
      </c>
      <c r="X17" s="22">
        <v>46</v>
      </c>
      <c r="Y17" s="23" t="e">
        <f>X17+'19.04'!Y17</f>
        <v>#REF!</v>
      </c>
      <c r="Z17" s="33">
        <v>66</v>
      </c>
      <c r="AA17" s="22">
        <v>0</v>
      </c>
      <c r="AB17" s="23" t="e">
        <f>AA17+'19.04'!AB17</f>
        <v>#REF!</v>
      </c>
      <c r="AC17" s="33">
        <v>2580</v>
      </c>
      <c r="AD17" s="22">
        <v>19</v>
      </c>
      <c r="AE17" s="23" t="e">
        <f>AD17+'19.04'!AE17</f>
        <v>#REF!</v>
      </c>
      <c r="AF17" s="19">
        <f t="shared" si="1"/>
        <v>54650</v>
      </c>
      <c r="AG17" s="20" t="e">
        <f t="shared" si="1"/>
        <v>#REF!</v>
      </c>
      <c r="AH17" s="24">
        <v>7500</v>
      </c>
      <c r="AI17" s="23" t="e">
        <f>AH17+'19.04'!AI17</f>
        <v>#REF!</v>
      </c>
      <c r="AJ17" s="24">
        <v>9850</v>
      </c>
      <c r="AK17" s="23" t="e">
        <f>AJ17+'19.04'!AK17</f>
        <v>#REF!</v>
      </c>
      <c r="AL17" s="22">
        <v>26500</v>
      </c>
      <c r="AM17" s="23" t="e">
        <f>AL17+'19.04'!AM17</f>
        <v>#REF!</v>
      </c>
      <c r="AN17" s="22">
        <v>10800</v>
      </c>
      <c r="AO17" s="23" t="e">
        <f>AN17+'19.04'!AO17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AS17+'19.04'!AT17</f>
        <v>#REF!</v>
      </c>
      <c r="AU17" s="34">
        <v>1</v>
      </c>
      <c r="AV17" s="23" t="e">
        <f>AU17+'19.04'!AV17</f>
        <v>#REF!</v>
      </c>
      <c r="AW17" s="34">
        <v>0</v>
      </c>
      <c r="AX17" s="23" t="e">
        <f>AW17+'19.04'!AX17</f>
        <v>#REF!</v>
      </c>
      <c r="AY17" s="34">
        <v>0</v>
      </c>
      <c r="AZ17" s="23" t="e">
        <f>AY17+'19.04'!AZ17</f>
        <v>#REF!</v>
      </c>
      <c r="BA17" s="34">
        <v>14</v>
      </c>
      <c r="BB17" s="23" t="e">
        <f>BA17+'19.04'!BB17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BE17+'19.04'!BF17</f>
        <v>#REF!</v>
      </c>
      <c r="BG17" s="34">
        <v>4</v>
      </c>
      <c r="BH17" s="23" t="e">
        <f>BG17+'19.04'!BH17</f>
        <v>#REF!</v>
      </c>
      <c r="BI17" s="22">
        <v>1400</v>
      </c>
      <c r="BJ17" s="23" t="e">
        <f>BI17+'19.04'!BJ17</f>
        <v>#REF!</v>
      </c>
      <c r="BK17" s="22">
        <v>160</v>
      </c>
      <c r="BL17" s="23" t="e">
        <f>BK17+'19.04'!BL17</f>
        <v>#REF!</v>
      </c>
      <c r="BM17" s="22">
        <v>0</v>
      </c>
      <c r="BN17" s="23" t="e">
        <f>BM17+'19.04'!BN17</f>
        <v>#REF!</v>
      </c>
      <c r="BO17" s="36">
        <v>8022</v>
      </c>
      <c r="BP17" s="37">
        <v>15</v>
      </c>
      <c r="BQ17" s="23" t="e">
        <f>BP17+'19.04'!BQ17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545</v>
      </c>
      <c r="D18" s="20" t="e">
        <f t="shared" si="0"/>
        <v>#REF!</v>
      </c>
      <c r="E18" s="21">
        <v>1063</v>
      </c>
      <c r="F18" s="22">
        <v>324</v>
      </c>
      <c r="G18" s="23" t="e">
        <f>F18+'19.04'!G18</f>
        <v>#REF!</v>
      </c>
      <c r="H18" s="21">
        <v>19</v>
      </c>
      <c r="I18" s="22">
        <v>0</v>
      </c>
      <c r="J18" s="23" t="e">
        <f>I18+'19.04'!J18</f>
        <v>#REF!</v>
      </c>
      <c r="K18" s="21">
        <v>8</v>
      </c>
      <c r="L18" s="22">
        <v>0</v>
      </c>
      <c r="M18" s="23" t="e">
        <f>L18+'19.04'!M18</f>
        <v>#REF!</v>
      </c>
      <c r="N18" s="21">
        <v>1331</v>
      </c>
      <c r="O18" s="22">
        <v>0</v>
      </c>
      <c r="P18" s="23" t="e">
        <f>O18+'19.04'!P18</f>
        <v>#REF!</v>
      </c>
      <c r="Q18" s="21">
        <v>777</v>
      </c>
      <c r="R18" s="22">
        <v>0</v>
      </c>
      <c r="S18" s="23" t="e">
        <f>R18+'19.04'!S18</f>
        <v>#REF!</v>
      </c>
      <c r="T18" s="21">
        <v>318</v>
      </c>
      <c r="U18" s="22">
        <v>0</v>
      </c>
      <c r="V18" s="23" t="e">
        <f>U18+'19.04'!V18</f>
        <v>#REF!</v>
      </c>
      <c r="W18" s="21">
        <v>60</v>
      </c>
      <c r="X18" s="22">
        <v>221</v>
      </c>
      <c r="Y18" s="23" t="e">
        <f>X18+'19.04'!Y18</f>
        <v>#REF!</v>
      </c>
      <c r="Z18" s="21">
        <v>72</v>
      </c>
      <c r="AA18" s="22">
        <v>0</v>
      </c>
      <c r="AB18" s="23" t="e">
        <f>AA18+'19.04'!AB18</f>
        <v>#REF!</v>
      </c>
      <c r="AC18" s="21">
        <v>143</v>
      </c>
      <c r="AD18" s="22">
        <v>0</v>
      </c>
      <c r="AE18" s="23" t="e">
        <f>AD18+'19.04'!AE18</f>
        <v>#REF!</v>
      </c>
      <c r="AF18" s="19">
        <f t="shared" si="1"/>
        <v>334051</v>
      </c>
      <c r="AG18" s="20" t="e">
        <f t="shared" si="1"/>
        <v>#REF!</v>
      </c>
      <c r="AH18" s="24">
        <v>554</v>
      </c>
      <c r="AI18" s="23" t="e">
        <f>AH18+'19.04'!AI18</f>
        <v>#REF!</v>
      </c>
      <c r="AJ18" s="24">
        <v>4758</v>
      </c>
      <c r="AK18" s="23" t="e">
        <f>AJ18+'19.04'!AK18</f>
        <v>#REF!</v>
      </c>
      <c r="AL18" s="22">
        <v>5861</v>
      </c>
      <c r="AM18" s="23" t="e">
        <f>AL18+'19.04'!AM18</f>
        <v>#REF!</v>
      </c>
      <c r="AN18" s="22">
        <v>322878</v>
      </c>
      <c r="AO18" s="23" t="e">
        <f>AN18+'19.04'!AO18</f>
        <v>#REF!</v>
      </c>
      <c r="AP18" s="17" t="s">
        <v>53</v>
      </c>
      <c r="AQ18" s="19">
        <f>AS18+AU18+AW18+AY18+BA18</f>
        <v>4</v>
      </c>
      <c r="AR18" s="20" t="e">
        <f t="shared" si="2"/>
        <v>#REF!</v>
      </c>
      <c r="AS18" s="22">
        <v>0</v>
      </c>
      <c r="AT18" s="23" t="e">
        <f>AS18+'19.04'!AT18</f>
        <v>#REF!</v>
      </c>
      <c r="AU18" s="22">
        <v>0</v>
      </c>
      <c r="AV18" s="23" t="e">
        <f>AU18+'19.04'!AV18</f>
        <v>#REF!</v>
      </c>
      <c r="AW18" s="22">
        <v>0</v>
      </c>
      <c r="AX18" s="23" t="e">
        <f>AW18+'19.04'!AX18</f>
        <v>#REF!</v>
      </c>
      <c r="AY18" s="22">
        <v>0</v>
      </c>
      <c r="AZ18" s="23" t="e">
        <f>AY18+'19.04'!AZ18</f>
        <v>#REF!</v>
      </c>
      <c r="BA18" s="22">
        <v>4</v>
      </c>
      <c r="BB18" s="23" t="e">
        <f>BA18+'19.04'!BB18</f>
        <v>#REF!</v>
      </c>
      <c r="BC18" s="19">
        <f t="shared" si="3"/>
        <v>3078</v>
      </c>
      <c r="BD18" s="20" t="e">
        <f>BF18+BH18+BJ18+BL18+BN18</f>
        <v>#REF!</v>
      </c>
      <c r="BE18" s="22">
        <v>1</v>
      </c>
      <c r="BF18" s="23" t="e">
        <f>BE18+'19.04'!BF18</f>
        <v>#REF!</v>
      </c>
      <c r="BG18" s="22">
        <v>0</v>
      </c>
      <c r="BH18" s="23" t="e">
        <f>BG18+'19.04'!BH18</f>
        <v>#REF!</v>
      </c>
      <c r="BI18" s="22">
        <v>2918</v>
      </c>
      <c r="BJ18" s="23" t="e">
        <f>BI18+'19.04'!BJ18</f>
        <v>#REF!</v>
      </c>
      <c r="BK18" s="22">
        <v>159</v>
      </c>
      <c r="BL18" s="23" t="e">
        <f>BK18+'19.04'!BL18</f>
        <v>#REF!</v>
      </c>
      <c r="BM18" s="22">
        <v>0</v>
      </c>
      <c r="BN18" s="23" t="e">
        <f>BM18+'19.04'!BN18</f>
        <v>#REF!</v>
      </c>
      <c r="BO18" s="36">
        <v>442</v>
      </c>
      <c r="BP18" s="37">
        <v>0</v>
      </c>
      <c r="BQ18" s="23" t="e">
        <f>BP18+'19.04'!BQ18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30</v>
      </c>
      <c r="D19" s="31" t="e">
        <f t="shared" si="0"/>
        <v>#REF!</v>
      </c>
      <c r="E19" s="33">
        <v>221</v>
      </c>
      <c r="F19" s="22">
        <v>12</v>
      </c>
      <c r="G19" s="23" t="e">
        <f>F19+'19.04'!G19</f>
        <v>#REF!</v>
      </c>
      <c r="H19" s="33">
        <v>5</v>
      </c>
      <c r="I19" s="34">
        <v>0</v>
      </c>
      <c r="J19" s="23" t="e">
        <f>I19+'19.04'!J19</f>
        <v>#REF!</v>
      </c>
      <c r="K19" s="33">
        <v>4</v>
      </c>
      <c r="L19" s="22">
        <v>0</v>
      </c>
      <c r="M19" s="23" t="e">
        <f>L19+'19.04'!M19</f>
        <v>#REF!</v>
      </c>
      <c r="N19" s="33">
        <v>313</v>
      </c>
      <c r="O19" s="22">
        <v>0</v>
      </c>
      <c r="P19" s="23" t="e">
        <f>O19+'19.04'!P19</f>
        <v>#REF!</v>
      </c>
      <c r="Q19" s="33">
        <v>203</v>
      </c>
      <c r="R19" s="22">
        <v>0</v>
      </c>
      <c r="S19" s="23" t="e">
        <f>R19+'19.04'!S19</f>
        <v>#REF!</v>
      </c>
      <c r="T19" s="33">
        <v>241</v>
      </c>
      <c r="U19" s="22">
        <v>0</v>
      </c>
      <c r="V19" s="23" t="e">
        <f>U19+'19.04'!V19</f>
        <v>#REF!</v>
      </c>
      <c r="W19" s="33">
        <v>14</v>
      </c>
      <c r="X19" s="22">
        <v>18</v>
      </c>
      <c r="Y19" s="23" t="e">
        <f>X19+'19.04'!Y19</f>
        <v>#REF!</v>
      </c>
      <c r="Z19" s="33">
        <v>7</v>
      </c>
      <c r="AA19" s="22">
        <v>0</v>
      </c>
      <c r="AB19" s="23" t="e">
        <f>AA19+'19.04'!AB19</f>
        <v>#REF!</v>
      </c>
      <c r="AC19" s="33">
        <v>32</v>
      </c>
      <c r="AD19" s="22">
        <v>0</v>
      </c>
      <c r="AE19" s="23" t="e">
        <f>AD19+'19.04'!AE19</f>
        <v>#REF!</v>
      </c>
      <c r="AF19" s="19">
        <f t="shared" si="1"/>
        <v>3800</v>
      </c>
      <c r="AG19" s="20" t="e">
        <f t="shared" si="1"/>
        <v>#REF!</v>
      </c>
      <c r="AH19" s="24">
        <v>650</v>
      </c>
      <c r="AI19" s="23" t="e">
        <f>AH19+'19.04'!AI19</f>
        <v>#REF!</v>
      </c>
      <c r="AJ19" s="24">
        <v>650</v>
      </c>
      <c r="AK19" s="23" t="e">
        <f>AJ19+'19.04'!AK19</f>
        <v>#REF!</v>
      </c>
      <c r="AL19" s="22">
        <v>1250</v>
      </c>
      <c r="AM19" s="23" t="e">
        <f>AL19+'19.04'!AM19</f>
        <v>#REF!</v>
      </c>
      <c r="AN19" s="22">
        <v>1250</v>
      </c>
      <c r="AO19" s="23" t="e">
        <f>AN19+'19.04'!AO19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AS19+'19.04'!AT19</f>
        <v>#REF!</v>
      </c>
      <c r="AU19" s="34">
        <v>0</v>
      </c>
      <c r="AV19" s="23" t="e">
        <f>AU19+'19.04'!AV19</f>
        <v>#REF!</v>
      </c>
      <c r="AW19" s="34">
        <v>0</v>
      </c>
      <c r="AX19" s="23" t="e">
        <f>AW19+'19.04'!AX19</f>
        <v>#REF!</v>
      </c>
      <c r="AY19" s="34">
        <v>0</v>
      </c>
      <c r="AZ19" s="23" t="e">
        <f>AY19+'19.04'!AZ19</f>
        <v>#REF!</v>
      </c>
      <c r="BA19" s="34">
        <v>0</v>
      </c>
      <c r="BB19" s="23" t="e">
        <f>BA19+'19.04'!BB19</f>
        <v>#REF!</v>
      </c>
      <c r="BC19" s="19">
        <f t="shared" si="3"/>
        <v>1318</v>
      </c>
      <c r="BD19" s="20" t="e">
        <f t="shared" si="3"/>
        <v>#REF!</v>
      </c>
      <c r="BE19" s="22">
        <v>18</v>
      </c>
      <c r="BF19" s="23" t="e">
        <f>BE19+'19.04'!BF19</f>
        <v>#REF!</v>
      </c>
      <c r="BG19" s="34">
        <v>0</v>
      </c>
      <c r="BH19" s="23" t="e">
        <f>BG19+'19.04'!BH19</f>
        <v>#REF!</v>
      </c>
      <c r="BI19" s="22">
        <v>1100</v>
      </c>
      <c r="BJ19" s="23" t="e">
        <f>BI19+'19.04'!BJ19</f>
        <v>#REF!</v>
      </c>
      <c r="BK19" s="22">
        <v>200</v>
      </c>
      <c r="BL19" s="23" t="e">
        <f>BK19+'19.04'!BL19</f>
        <v>#REF!</v>
      </c>
      <c r="BM19" s="22">
        <v>0</v>
      </c>
      <c r="BN19" s="23" t="e">
        <f>BM19+'19.04'!BN19</f>
        <v>#REF!</v>
      </c>
      <c r="BO19" s="36">
        <v>2898</v>
      </c>
      <c r="BP19" s="37">
        <v>0</v>
      </c>
      <c r="BQ19" s="23" t="e">
        <f>BP19+'19.04'!BQ19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427</v>
      </c>
      <c r="D20" s="31" t="e">
        <f t="shared" si="0"/>
        <v>#REF!</v>
      </c>
      <c r="E20" s="32">
        <v>723</v>
      </c>
      <c r="F20" s="22">
        <v>243</v>
      </c>
      <c r="G20" s="23" t="e">
        <f>F20+'19.04'!G20</f>
        <v>#REF!</v>
      </c>
      <c r="H20" s="33">
        <v>5</v>
      </c>
      <c r="I20" s="34">
        <v>1</v>
      </c>
      <c r="J20" s="23" t="e">
        <f>I20+'19.04'!J20</f>
        <v>#REF!</v>
      </c>
      <c r="K20" s="33">
        <v>3</v>
      </c>
      <c r="L20" s="22">
        <v>0</v>
      </c>
      <c r="M20" s="23" t="e">
        <f>L20+'19.04'!M20</f>
        <v>#REF!</v>
      </c>
      <c r="N20" s="33">
        <v>975</v>
      </c>
      <c r="O20" s="22">
        <v>100</v>
      </c>
      <c r="P20" s="23" t="e">
        <f>O20+'19.04'!P20</f>
        <v>#REF!</v>
      </c>
      <c r="Q20" s="61">
        <v>1862</v>
      </c>
      <c r="R20" s="22">
        <v>1</v>
      </c>
      <c r="S20" s="23" t="e">
        <f>R20+'19.04'!S20</f>
        <v>#REF!</v>
      </c>
      <c r="T20" s="33">
        <v>35</v>
      </c>
      <c r="U20" s="22">
        <v>1</v>
      </c>
      <c r="V20" s="23" t="e">
        <f>U20+'19.04'!V20</f>
        <v>#REF!</v>
      </c>
      <c r="W20" s="33">
        <v>64</v>
      </c>
      <c r="X20" s="22">
        <v>6</v>
      </c>
      <c r="Y20" s="23" t="e">
        <f>X20+'19.04'!Y20</f>
        <v>#REF!</v>
      </c>
      <c r="Z20" s="33">
        <v>15</v>
      </c>
      <c r="AA20" s="22">
        <v>1</v>
      </c>
      <c r="AB20" s="23" t="e">
        <f>AA20+'19.04'!AB20</f>
        <v>#REF!</v>
      </c>
      <c r="AC20" s="33">
        <v>1546</v>
      </c>
      <c r="AD20" s="22">
        <v>74</v>
      </c>
      <c r="AE20" s="23" t="e">
        <f>AD20+'19.04'!AE20</f>
        <v>#REF!</v>
      </c>
      <c r="AF20" s="19">
        <f t="shared" si="1"/>
        <v>26305</v>
      </c>
      <c r="AG20" s="20" t="e">
        <f t="shared" si="1"/>
        <v>#REF!</v>
      </c>
      <c r="AH20" s="24">
        <v>13720</v>
      </c>
      <c r="AI20" s="23" t="e">
        <f>AH20+'19.04'!AI20</f>
        <v>#REF!</v>
      </c>
      <c r="AJ20" s="24">
        <v>12185</v>
      </c>
      <c r="AK20" s="23" t="e">
        <f>AJ20+'19.04'!AK20</f>
        <v>#REF!</v>
      </c>
      <c r="AL20" s="22">
        <v>100</v>
      </c>
      <c r="AM20" s="23" t="e">
        <f>AL20+'19.04'!AM20</f>
        <v>#REF!</v>
      </c>
      <c r="AN20" s="22">
        <v>300</v>
      </c>
      <c r="AO20" s="23" t="e">
        <f>AN20+'19.04'!AO20</f>
        <v>#REF!</v>
      </c>
      <c r="AP20" s="28" t="s">
        <v>55</v>
      </c>
      <c r="AQ20" s="19">
        <f t="shared" si="4"/>
        <v>234</v>
      </c>
      <c r="AR20" s="20" t="e">
        <f t="shared" si="2"/>
        <v>#REF!</v>
      </c>
      <c r="AS20" s="34">
        <v>1</v>
      </c>
      <c r="AT20" s="23" t="e">
        <f>AS20+'19.04'!AT20</f>
        <v>#REF!</v>
      </c>
      <c r="AU20" s="34">
        <v>0</v>
      </c>
      <c r="AV20" s="23" t="e">
        <f>AU20+'19.04'!AV20</f>
        <v>#REF!</v>
      </c>
      <c r="AW20" s="34">
        <v>0</v>
      </c>
      <c r="AX20" s="23" t="e">
        <f>AW20+'19.04'!AX20</f>
        <v>#REF!</v>
      </c>
      <c r="AY20" s="34">
        <v>0</v>
      </c>
      <c r="AZ20" s="23" t="e">
        <f>AY20+'19.04'!AZ20</f>
        <v>#REF!</v>
      </c>
      <c r="BA20" s="34">
        <v>233</v>
      </c>
      <c r="BB20" s="23" t="e">
        <f>BA20+'19.04'!BB20</f>
        <v>#REF!</v>
      </c>
      <c r="BC20" s="19">
        <f t="shared" si="3"/>
        <v>4812</v>
      </c>
      <c r="BD20" s="20" t="e">
        <f t="shared" si="3"/>
        <v>#REF!</v>
      </c>
      <c r="BE20" s="22">
        <v>402</v>
      </c>
      <c r="BF20" s="23" t="e">
        <f>BE20+'19.04'!BF20</f>
        <v>#REF!</v>
      </c>
      <c r="BG20" s="34">
        <v>0</v>
      </c>
      <c r="BH20" s="23" t="e">
        <f>BG20+'19.04'!BH20</f>
        <v>#REF!</v>
      </c>
      <c r="BI20" s="22">
        <v>2300</v>
      </c>
      <c r="BJ20" s="23" t="e">
        <f>BI20+'19.04'!BJ20</f>
        <v>#REF!</v>
      </c>
      <c r="BK20" s="22">
        <v>2110</v>
      </c>
      <c r="BL20" s="23" t="e">
        <f>BK20+'19.04'!BL20</f>
        <v>#REF!</v>
      </c>
      <c r="BM20" s="22">
        <v>0</v>
      </c>
      <c r="BN20" s="23" t="e">
        <f>BM20+'19.04'!BN20</f>
        <v>#REF!</v>
      </c>
      <c r="BO20" s="36">
        <v>5854</v>
      </c>
      <c r="BP20" s="37">
        <v>0</v>
      </c>
      <c r="BQ20" s="23" t="e">
        <f>BP20+'19.04'!BQ20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262</v>
      </c>
      <c r="D21" s="31" t="e">
        <f t="shared" si="0"/>
        <v>#REF!</v>
      </c>
      <c r="E21" s="32">
        <v>1017</v>
      </c>
      <c r="F21" s="22">
        <v>200</v>
      </c>
      <c r="G21" s="23" t="e">
        <f>F21+'19.04'!G21</f>
        <v>#REF!</v>
      </c>
      <c r="H21" s="33">
        <v>8</v>
      </c>
      <c r="I21" s="34">
        <v>5</v>
      </c>
      <c r="J21" s="23" t="e">
        <f>I21+'19.04'!J21</f>
        <v>#REF!</v>
      </c>
      <c r="K21" s="33">
        <v>4</v>
      </c>
      <c r="L21" s="22">
        <v>0</v>
      </c>
      <c r="M21" s="23" t="e">
        <f>L21+'19.04'!M21</f>
        <v>#REF!</v>
      </c>
      <c r="N21" s="33">
        <v>963</v>
      </c>
      <c r="O21" s="22">
        <v>0</v>
      </c>
      <c r="P21" s="23" t="e">
        <f>O21+'19.04'!P21</f>
        <v>#REF!</v>
      </c>
      <c r="Q21" s="33">
        <v>912</v>
      </c>
      <c r="R21" s="22">
        <v>0</v>
      </c>
      <c r="S21" s="23" t="e">
        <f>R21+'19.04'!S21</f>
        <v>#REF!</v>
      </c>
      <c r="T21" s="33">
        <v>199</v>
      </c>
      <c r="U21" s="22">
        <v>2</v>
      </c>
      <c r="V21" s="23" t="e">
        <f>U21+'19.04'!V21</f>
        <v>#REF!</v>
      </c>
      <c r="W21" s="33">
        <v>101</v>
      </c>
      <c r="X21" s="22">
        <v>55</v>
      </c>
      <c r="Y21" s="23" t="e">
        <f>X21+'19.04'!Y21</f>
        <v>#REF!</v>
      </c>
      <c r="Z21" s="33">
        <v>42</v>
      </c>
      <c r="AA21" s="22">
        <v>0</v>
      </c>
      <c r="AB21" s="23" t="e">
        <f>AA21+'19.04'!AB21</f>
        <v>#REF!</v>
      </c>
      <c r="AC21" s="33">
        <v>20</v>
      </c>
      <c r="AD21" s="22">
        <v>0</v>
      </c>
      <c r="AE21" s="23" t="e">
        <f>AD21+'19.04'!AE21</f>
        <v>#REF!</v>
      </c>
      <c r="AF21" s="19">
        <f t="shared" si="1"/>
        <v>2780000</v>
      </c>
      <c r="AG21" s="20" t="e">
        <f t="shared" si="1"/>
        <v>#REF!</v>
      </c>
      <c r="AH21" s="24">
        <v>2000</v>
      </c>
      <c r="AI21" s="23" t="e">
        <f>AH21+'19.04'!AI21</f>
        <v>#REF!</v>
      </c>
      <c r="AJ21" s="24">
        <v>278000</v>
      </c>
      <c r="AK21" s="23" t="e">
        <f>AJ21+'19.04'!AK21</f>
        <v>#REF!</v>
      </c>
      <c r="AL21" s="22">
        <v>10000</v>
      </c>
      <c r="AM21" s="23" t="e">
        <f>AL21+'19.04'!AM21</f>
        <v>#REF!</v>
      </c>
      <c r="AN21" s="22">
        <v>2490000</v>
      </c>
      <c r="AO21" s="23" t="e">
        <f>AN21+'19.04'!AO21</f>
        <v>#REF!</v>
      </c>
      <c r="AP21" s="28" t="s">
        <v>58</v>
      </c>
      <c r="AQ21" s="19">
        <f t="shared" si="4"/>
        <v>8</v>
      </c>
      <c r="AR21" s="20" t="e">
        <f t="shared" si="2"/>
        <v>#REF!</v>
      </c>
      <c r="AS21" s="34">
        <v>0</v>
      </c>
      <c r="AT21" s="23" t="e">
        <f>AS21+'19.04'!AT21</f>
        <v>#REF!</v>
      </c>
      <c r="AU21" s="34">
        <v>4</v>
      </c>
      <c r="AV21" s="23" t="e">
        <f>AU21+'19.04'!AV21</f>
        <v>#REF!</v>
      </c>
      <c r="AW21" s="34">
        <v>0</v>
      </c>
      <c r="AX21" s="23" t="e">
        <f>AW21+'19.04'!AX21</f>
        <v>#REF!</v>
      </c>
      <c r="AY21" s="34">
        <v>0</v>
      </c>
      <c r="AZ21" s="23" t="e">
        <f>AY21+'19.04'!AZ21</f>
        <v>#REF!</v>
      </c>
      <c r="BA21" s="34">
        <v>4</v>
      </c>
      <c r="BB21" s="23" t="e">
        <f>BA21+'19.04'!BB21</f>
        <v>#REF!</v>
      </c>
      <c r="BC21" s="19">
        <f t="shared" si="3"/>
        <v>8070</v>
      </c>
      <c r="BD21" s="20" t="e">
        <f t="shared" si="3"/>
        <v>#REF!</v>
      </c>
      <c r="BE21" s="22">
        <v>70</v>
      </c>
      <c r="BF21" s="23" t="e">
        <f>BE21+'19.04'!BF21</f>
        <v>#REF!</v>
      </c>
      <c r="BG21" s="34">
        <v>0</v>
      </c>
      <c r="BH21" s="23" t="e">
        <f>BG21+'19.04'!BH21</f>
        <v>#REF!</v>
      </c>
      <c r="BI21" s="22">
        <v>8000</v>
      </c>
      <c r="BJ21" s="23" t="e">
        <f>BI21+'19.04'!BJ21</f>
        <v>#REF!</v>
      </c>
      <c r="BK21" s="22">
        <v>0</v>
      </c>
      <c r="BL21" s="23" t="e">
        <f>BK21+'19.04'!BL21</f>
        <v>#REF!</v>
      </c>
      <c r="BM21" s="22">
        <v>0</v>
      </c>
      <c r="BN21" s="23" t="e">
        <f>BM21+'19.04'!BN21</f>
        <v>#REF!</v>
      </c>
      <c r="BO21" s="36">
        <v>68</v>
      </c>
      <c r="BP21" s="37">
        <v>0</v>
      </c>
      <c r="BQ21" s="23" t="e">
        <f>BP21+'19.04'!BQ21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2049</v>
      </c>
      <c r="D22" s="31" t="e">
        <f t="shared" si="0"/>
        <v>#REF!</v>
      </c>
      <c r="E22" s="32">
        <v>509</v>
      </c>
      <c r="F22" s="22">
        <v>451</v>
      </c>
      <c r="G22" s="23" t="e">
        <f>F22+'19.04'!G22</f>
        <v>#REF!</v>
      </c>
      <c r="H22" s="33">
        <v>8</v>
      </c>
      <c r="I22" s="34">
        <v>5</v>
      </c>
      <c r="J22" s="23" t="e">
        <f>I22+'19.04'!J22</f>
        <v>#REF!</v>
      </c>
      <c r="K22" s="33">
        <v>21</v>
      </c>
      <c r="L22" s="22">
        <v>0</v>
      </c>
      <c r="M22" s="23" t="e">
        <f>L22+'19.04'!M22</f>
        <v>#REF!</v>
      </c>
      <c r="N22" s="33">
        <v>560</v>
      </c>
      <c r="O22" s="22">
        <v>30</v>
      </c>
      <c r="P22" s="23" t="e">
        <f>O22+'19.04'!P22</f>
        <v>#REF!</v>
      </c>
      <c r="Q22" s="33">
        <v>375</v>
      </c>
      <c r="R22" s="22">
        <v>30</v>
      </c>
      <c r="S22" s="23" t="e">
        <f>R22+'19.04'!S22</f>
        <v>#REF!</v>
      </c>
      <c r="T22" s="33">
        <v>165</v>
      </c>
      <c r="U22" s="22">
        <v>35</v>
      </c>
      <c r="V22" s="23" t="e">
        <f>U22+'19.04'!V22</f>
        <v>#REF!</v>
      </c>
      <c r="W22" s="33">
        <v>28</v>
      </c>
      <c r="X22" s="22">
        <v>58</v>
      </c>
      <c r="Y22" s="23" t="e">
        <f>X22+'19.04'!Y22</f>
        <v>#REF!</v>
      </c>
      <c r="Z22" s="33">
        <v>9</v>
      </c>
      <c r="AA22" s="22">
        <v>0</v>
      </c>
      <c r="AB22" s="23" t="e">
        <f>AA22+'19.04'!AB22</f>
        <v>#REF!</v>
      </c>
      <c r="AC22" s="33">
        <v>112</v>
      </c>
      <c r="AD22" s="22">
        <v>1440</v>
      </c>
      <c r="AE22" s="23" t="e">
        <f>AD22+'19.04'!AE22</f>
        <v>#REF!</v>
      </c>
      <c r="AF22" s="19">
        <f t="shared" si="1"/>
        <v>77075</v>
      </c>
      <c r="AG22" s="20" t="e">
        <f t="shared" si="1"/>
        <v>#REF!</v>
      </c>
      <c r="AH22" s="24">
        <v>1854</v>
      </c>
      <c r="AI22" s="23" t="e">
        <f>AH22+'19.04'!AI22</f>
        <v>#REF!</v>
      </c>
      <c r="AJ22" s="24">
        <v>6000</v>
      </c>
      <c r="AK22" s="23" t="e">
        <f>AJ22+'19.04'!AK22</f>
        <v>#REF!</v>
      </c>
      <c r="AL22" s="22">
        <v>4221</v>
      </c>
      <c r="AM22" s="23" t="e">
        <f>AL22+'19.04'!AM22</f>
        <v>#REF!</v>
      </c>
      <c r="AN22" s="22">
        <v>65000</v>
      </c>
      <c r="AO22" s="23" t="e">
        <f>AN22+'19.04'!AO22</f>
        <v>#REF!</v>
      </c>
      <c r="AP22" s="28" t="s">
        <v>59</v>
      </c>
      <c r="AQ22" s="19">
        <f t="shared" si="4"/>
        <v>1985</v>
      </c>
      <c r="AR22" s="20" t="e">
        <f t="shared" si="2"/>
        <v>#REF!</v>
      </c>
      <c r="AS22" s="34">
        <v>0</v>
      </c>
      <c r="AT22" s="23" t="e">
        <f>AS22+'19.04'!AT22</f>
        <v>#REF!</v>
      </c>
      <c r="AU22" s="34">
        <v>0</v>
      </c>
      <c r="AV22" s="23" t="e">
        <f>AU22+'19.04'!AV22</f>
        <v>#REF!</v>
      </c>
      <c r="AW22" s="34">
        <v>0</v>
      </c>
      <c r="AX22" s="23" t="e">
        <f>AW22+'19.04'!AX22</f>
        <v>#REF!</v>
      </c>
      <c r="AY22" s="34">
        <v>0</v>
      </c>
      <c r="AZ22" s="23" t="e">
        <f>AY22+'19.04'!AZ22</f>
        <v>#REF!</v>
      </c>
      <c r="BA22" s="34">
        <v>1985</v>
      </c>
      <c r="BB22" s="23" t="e">
        <f>BA22+'19.04'!BB22</f>
        <v>#REF!</v>
      </c>
      <c r="BC22" s="19">
        <f t="shared" si="3"/>
        <v>7228</v>
      </c>
      <c r="BD22" s="20" t="e">
        <f t="shared" si="3"/>
        <v>#REF!</v>
      </c>
      <c r="BE22" s="22">
        <v>6</v>
      </c>
      <c r="BF22" s="23" t="e">
        <f>BE22+'19.04'!BF22</f>
        <v>#REF!</v>
      </c>
      <c r="BG22" s="34">
        <v>2</v>
      </c>
      <c r="BH22" s="23" t="e">
        <f>BG22+'19.04'!BH22</f>
        <v>#REF!</v>
      </c>
      <c r="BI22" s="22">
        <v>7210</v>
      </c>
      <c r="BJ22" s="23" t="e">
        <f>BI22+'19.04'!BJ22</f>
        <v>#REF!</v>
      </c>
      <c r="BK22" s="22">
        <v>10</v>
      </c>
      <c r="BL22" s="23" t="e">
        <f>BK22+'19.04'!BL22</f>
        <v>#REF!</v>
      </c>
      <c r="BM22" s="22">
        <v>0</v>
      </c>
      <c r="BN22" s="23" t="e">
        <f>BM22+'19.04'!BN22</f>
        <v>#REF!</v>
      </c>
      <c r="BO22" s="36">
        <v>26</v>
      </c>
      <c r="BP22" s="37">
        <v>1</v>
      </c>
      <c r="BQ22" s="23" t="e">
        <f>BP22+'19.04'!BQ22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4525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1827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20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191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43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43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658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1740</v>
      </c>
      <c r="AE23" s="68" t="e">
        <f t="shared" si="5"/>
        <v>#REF!</v>
      </c>
      <c r="AF23" s="64">
        <f t="shared" si="5"/>
        <v>4771494</v>
      </c>
      <c r="AG23" s="64" t="e">
        <f t="shared" si="5"/>
        <v>#REF!</v>
      </c>
      <c r="AH23" s="67">
        <f t="shared" si="5"/>
        <v>38907</v>
      </c>
      <c r="AI23" s="68" t="e">
        <f t="shared" si="5"/>
        <v>#REF!</v>
      </c>
      <c r="AJ23" s="67">
        <f t="shared" si="5"/>
        <v>336648</v>
      </c>
      <c r="AK23" s="68" t="e">
        <f t="shared" si="5"/>
        <v>#REF!</v>
      </c>
      <c r="AL23" s="67">
        <f t="shared" si="5"/>
        <v>716876</v>
      </c>
      <c r="AM23" s="68" t="e">
        <f t="shared" si="5"/>
        <v>#REF!</v>
      </c>
      <c r="AN23" s="67">
        <f t="shared" si="5"/>
        <v>3679063</v>
      </c>
      <c r="AO23" s="68" t="e">
        <f t="shared" si="5"/>
        <v>#REF!</v>
      </c>
      <c r="AP23" s="62" t="s">
        <v>12</v>
      </c>
      <c r="AQ23" s="64">
        <f t="shared" ref="AQ23:BP23" si="6">SUM(AQ8:AQ22)</f>
        <v>2413</v>
      </c>
      <c r="AR23" s="64" t="e">
        <f t="shared" si="6"/>
        <v>#REF!</v>
      </c>
      <c r="AS23" s="67">
        <f t="shared" si="6"/>
        <v>3</v>
      </c>
      <c r="AT23" s="68" t="e">
        <f t="shared" si="6"/>
        <v>#REF!</v>
      </c>
      <c r="AU23" s="67">
        <f t="shared" si="6"/>
        <v>6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2404</v>
      </c>
      <c r="BB23" s="68" t="e">
        <f t="shared" si="6"/>
        <v>#REF!</v>
      </c>
      <c r="BC23" s="64">
        <f t="shared" si="6"/>
        <v>39548</v>
      </c>
      <c r="BD23" s="64" t="e">
        <f t="shared" si="6"/>
        <v>#REF!</v>
      </c>
      <c r="BE23" s="67">
        <f t="shared" si="6"/>
        <v>1347</v>
      </c>
      <c r="BF23" s="68" t="e">
        <f t="shared" si="6"/>
        <v>#REF!</v>
      </c>
      <c r="BG23" s="67">
        <f t="shared" si="6"/>
        <v>24</v>
      </c>
      <c r="BH23" s="68" t="e">
        <f t="shared" si="6"/>
        <v>#REF!</v>
      </c>
      <c r="BI23" s="67">
        <f t="shared" si="6"/>
        <v>33750</v>
      </c>
      <c r="BJ23" s="68" t="e">
        <f t="shared" si="6"/>
        <v>#REF!</v>
      </c>
      <c r="BK23" s="67">
        <f t="shared" si="6"/>
        <v>4427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26</v>
      </c>
      <c r="BQ23" s="23">
        <f>BP23+'20.04'!BP23</f>
        <v>52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BU23"/>
  <sheetViews>
    <sheetView zoomScale="85" zoomScaleNormal="85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8.28515625" customWidth="1"/>
    <col min="5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 t="e">
        <f t="shared" si="0"/>
        <v>#REF!</v>
      </c>
      <c r="E9" s="32">
        <v>452</v>
      </c>
      <c r="F9" s="22">
        <v>1</v>
      </c>
      <c r="G9" s="23" t="e">
        <f>F9+'20.04'!G9</f>
        <v>#REF!</v>
      </c>
      <c r="H9" s="33">
        <v>12</v>
      </c>
      <c r="I9" s="34">
        <v>0</v>
      </c>
      <c r="J9" s="23" t="e">
        <f>I9+'20.04'!J9</f>
        <v>#REF!</v>
      </c>
      <c r="K9" s="33">
        <v>2</v>
      </c>
      <c r="L9" s="22">
        <v>0</v>
      </c>
      <c r="M9" s="23" t="e">
        <f>L9+'20.04'!M9</f>
        <v>#REF!</v>
      </c>
      <c r="N9" s="33">
        <v>735</v>
      </c>
      <c r="O9" s="22">
        <v>0</v>
      </c>
      <c r="P9" s="23" t="e">
        <f>O9+'20.04'!P9</f>
        <v>#REF!</v>
      </c>
      <c r="Q9" s="33">
        <v>502</v>
      </c>
      <c r="R9" s="22">
        <v>0</v>
      </c>
      <c r="S9" s="23" t="e">
        <f>R9+'20.04'!S9</f>
        <v>#REF!</v>
      </c>
      <c r="T9" s="33">
        <v>197</v>
      </c>
      <c r="U9" s="22">
        <v>0</v>
      </c>
      <c r="V9" s="23" t="e">
        <f>U9+'20.04'!V9</f>
        <v>#REF!</v>
      </c>
      <c r="W9" s="33">
        <v>47</v>
      </c>
      <c r="X9" s="22">
        <v>1</v>
      </c>
      <c r="Y9" s="23" t="e">
        <f>X9+'20.04'!Y9</f>
        <v>#REF!</v>
      </c>
      <c r="Z9" s="33">
        <v>34</v>
      </c>
      <c r="AA9" s="22">
        <v>0</v>
      </c>
      <c r="AB9" s="23" t="e">
        <f>AA9+'20.04'!AB9</f>
        <v>#REF!</v>
      </c>
      <c r="AC9" s="33">
        <v>1860</v>
      </c>
      <c r="AD9" s="22">
        <v>0</v>
      </c>
      <c r="AE9" s="23" t="e">
        <f>AD9+'20.04'!AE9</f>
        <v>#REF!</v>
      </c>
      <c r="AF9" s="19">
        <f t="shared" ref="AF9:AG22" si="1">AH9+AJ9+AL9+AN9</f>
        <v>8480</v>
      </c>
      <c r="AG9" s="20" t="e">
        <f t="shared" si="1"/>
        <v>#REF!</v>
      </c>
      <c r="AH9" s="24">
        <v>180</v>
      </c>
      <c r="AI9" s="23" t="e">
        <f>AH9+'20.04'!AI9</f>
        <v>#REF!</v>
      </c>
      <c r="AJ9" s="24">
        <v>500</v>
      </c>
      <c r="AK9" s="23" t="e">
        <f>AJ9+'20.04'!AK9</f>
        <v>#REF!</v>
      </c>
      <c r="AL9" s="22">
        <v>2400</v>
      </c>
      <c r="AM9" s="23" t="e">
        <f>AL9+'20.04'!AM9</f>
        <v>#REF!</v>
      </c>
      <c r="AN9" s="22">
        <v>5400</v>
      </c>
      <c r="AO9" s="23" t="e">
        <f>AN9+'20.04'!AO9</f>
        <v>#REF!</v>
      </c>
      <c r="AP9" s="28" t="s">
        <v>43</v>
      </c>
      <c r="AQ9" s="19">
        <f t="shared" ref="AQ9:AR22" si="2">AS9+AU9+AW9+AY9+BA9</f>
        <v>54</v>
      </c>
      <c r="AR9" s="20" t="e">
        <f t="shared" si="2"/>
        <v>#REF!</v>
      </c>
      <c r="AS9" s="34">
        <v>1</v>
      </c>
      <c r="AT9" s="23" t="e">
        <f>AS9+'20.04'!AT9</f>
        <v>#REF!</v>
      </c>
      <c r="AU9" s="34">
        <v>1</v>
      </c>
      <c r="AV9" s="23" t="e">
        <f>AU9+'20.04'!AV9</f>
        <v>#REF!</v>
      </c>
      <c r="AW9" s="34">
        <v>0</v>
      </c>
      <c r="AX9" s="23" t="e">
        <f>AW9+'20.04'!AX9</f>
        <v>#REF!</v>
      </c>
      <c r="AY9" s="34">
        <v>0</v>
      </c>
      <c r="AZ9" s="23" t="e">
        <f>AY9+'20.04'!AZ9</f>
        <v>#REF!</v>
      </c>
      <c r="BA9" s="34">
        <v>52</v>
      </c>
      <c r="BB9" s="23" t="e">
        <f>BA9+'20.04'!BB9</f>
        <v>#REF!</v>
      </c>
      <c r="BC9" s="19">
        <f t="shared" ref="BC9:BD22" si="3">BE9+BG9+BI9+BK9+BM9</f>
        <v>681</v>
      </c>
      <c r="BD9" s="20" t="e">
        <f t="shared" si="3"/>
        <v>#REF!</v>
      </c>
      <c r="BE9" s="22">
        <v>1</v>
      </c>
      <c r="BF9" s="23" t="e">
        <f>BE9+'20.04'!BF9</f>
        <v>#REF!</v>
      </c>
      <c r="BG9" s="34">
        <v>0</v>
      </c>
      <c r="BH9" s="23" t="e">
        <f>BG9+'20.04'!BH9</f>
        <v>#REF!</v>
      </c>
      <c r="BI9" s="22">
        <v>680</v>
      </c>
      <c r="BJ9" s="23" t="e">
        <f>BI9+'20.04'!BJ9</f>
        <v>#REF!</v>
      </c>
      <c r="BK9" s="22">
        <v>0</v>
      </c>
      <c r="BL9" s="23" t="e">
        <f>BK9+'20.04'!BL9</f>
        <v>#REF!</v>
      </c>
      <c r="BM9" s="22">
        <v>0</v>
      </c>
      <c r="BN9" s="23" t="e">
        <f>BM9+'20.04'!BN9</f>
        <v>#REF!</v>
      </c>
      <c r="BO9" s="36">
        <v>14</v>
      </c>
      <c r="BP9" s="37">
        <v>0</v>
      </c>
      <c r="BQ9" s="23" t="e">
        <f>BP9+'20.04'!BQ9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200</v>
      </c>
      <c r="D10" s="31" t="e">
        <f t="shared" si="0"/>
        <v>#REF!</v>
      </c>
      <c r="E10" s="32">
        <v>585</v>
      </c>
      <c r="F10" s="22">
        <v>20</v>
      </c>
      <c r="G10" s="23" t="e">
        <f>F10+'20.04'!G10</f>
        <v>#REF!</v>
      </c>
      <c r="H10" s="33">
        <v>93</v>
      </c>
      <c r="I10" s="34">
        <v>8</v>
      </c>
      <c r="J10" s="23" t="e">
        <f>I10+'20.04'!J10</f>
        <v>#REF!</v>
      </c>
      <c r="K10" s="33">
        <v>34</v>
      </c>
      <c r="L10" s="22">
        <v>0</v>
      </c>
      <c r="M10" s="23" t="e">
        <f>L10+'20.04'!M10</f>
        <v>#REF!</v>
      </c>
      <c r="N10" s="33">
        <v>352</v>
      </c>
      <c r="O10" s="22">
        <v>17</v>
      </c>
      <c r="P10" s="23" t="e">
        <f>O10+'20.04'!P10</f>
        <v>#REF!</v>
      </c>
      <c r="Q10" s="33">
        <v>549</v>
      </c>
      <c r="R10" s="22">
        <v>8</v>
      </c>
      <c r="S10" s="23" t="e">
        <f>R10+'20.04'!S10</f>
        <v>#REF!</v>
      </c>
      <c r="T10" s="33">
        <v>198</v>
      </c>
      <c r="U10" s="22">
        <v>3</v>
      </c>
      <c r="V10" s="23" t="e">
        <f>U10+'20.04'!V10</f>
        <v>#REF!</v>
      </c>
      <c r="W10" s="38">
        <v>55</v>
      </c>
      <c r="X10" s="22">
        <v>0</v>
      </c>
      <c r="Y10" s="23" t="e">
        <f>X10+'20.04'!Y10</f>
        <v>#REF!</v>
      </c>
      <c r="Z10" s="38">
        <v>71</v>
      </c>
      <c r="AA10" s="22">
        <v>2</v>
      </c>
      <c r="AB10" s="23" t="e">
        <f>AA10+'20.04'!AB10</f>
        <v>#REF!</v>
      </c>
      <c r="AC10" s="38">
        <v>1690</v>
      </c>
      <c r="AD10" s="22">
        <v>142</v>
      </c>
      <c r="AE10" s="23" t="e">
        <f>AD10+'20.04'!AE10</f>
        <v>#REF!</v>
      </c>
      <c r="AF10" s="19">
        <f t="shared" si="1"/>
        <v>132362</v>
      </c>
      <c r="AG10" s="20" t="e">
        <f t="shared" si="1"/>
        <v>#REF!</v>
      </c>
      <c r="AH10" s="24">
        <v>867</v>
      </c>
      <c r="AI10" s="23" t="e">
        <f>AH10+'20.04'!AI10</f>
        <v>#REF!</v>
      </c>
      <c r="AJ10" s="24">
        <v>4495</v>
      </c>
      <c r="AK10" s="23" t="e">
        <f>AJ10+'20.04'!AK10</f>
        <v>#REF!</v>
      </c>
      <c r="AL10" s="22">
        <v>16416</v>
      </c>
      <c r="AM10" s="23" t="e">
        <f>AL10+'20.04'!AM10</f>
        <v>#REF!</v>
      </c>
      <c r="AN10" s="22">
        <v>110584</v>
      </c>
      <c r="AO10" s="23" t="e">
        <f>AN10+'20.04'!AO10</f>
        <v>#REF!</v>
      </c>
      <c r="AP10" s="28" t="s">
        <v>44</v>
      </c>
      <c r="AQ10" s="19">
        <f t="shared" si="2"/>
        <v>5</v>
      </c>
      <c r="AR10" s="20" t="e">
        <f t="shared" si="2"/>
        <v>#REF!</v>
      </c>
      <c r="AS10" s="34">
        <v>1</v>
      </c>
      <c r="AT10" s="23" t="e">
        <f>AS10+'20.04'!AT10</f>
        <v>#REF!</v>
      </c>
      <c r="AU10" s="34">
        <v>0</v>
      </c>
      <c r="AV10" s="23" t="e">
        <f>AU10+'20.04'!AV10</f>
        <v>#REF!</v>
      </c>
      <c r="AW10" s="34">
        <v>0</v>
      </c>
      <c r="AX10" s="23" t="e">
        <f>AW10+'20.04'!AX10</f>
        <v>#REF!</v>
      </c>
      <c r="AY10" s="34">
        <v>0</v>
      </c>
      <c r="AZ10" s="23" t="e">
        <f>AY10+'20.04'!AZ10</f>
        <v>#REF!</v>
      </c>
      <c r="BA10" s="34">
        <v>4</v>
      </c>
      <c r="BB10" s="23" t="e">
        <f>BA10+'20.04'!BB10</f>
        <v>#REF!</v>
      </c>
      <c r="BC10" s="19">
        <f t="shared" si="3"/>
        <v>4442</v>
      </c>
      <c r="BD10" s="20" t="e">
        <f t="shared" si="3"/>
        <v>#REF!</v>
      </c>
      <c r="BE10" s="22">
        <v>625</v>
      </c>
      <c r="BF10" s="23" t="e">
        <f>BE10+'20.04'!BF10</f>
        <v>#REF!</v>
      </c>
      <c r="BG10" s="34">
        <v>0</v>
      </c>
      <c r="BH10" s="23" t="e">
        <f>BG10+'20.04'!BH10</f>
        <v>#REF!</v>
      </c>
      <c r="BI10" s="22">
        <v>2739</v>
      </c>
      <c r="BJ10" s="23" t="e">
        <f>BI10+'20.04'!BJ10</f>
        <v>#REF!</v>
      </c>
      <c r="BK10" s="22">
        <v>1078</v>
      </c>
      <c r="BL10" s="23" t="e">
        <f>BK10+'20.04'!BL10</f>
        <v>#REF!</v>
      </c>
      <c r="BM10" s="22">
        <v>0</v>
      </c>
      <c r="BN10" s="23" t="e">
        <f>BM10+'20.04'!BN10</f>
        <v>#REF!</v>
      </c>
      <c r="BO10" s="36">
        <v>32</v>
      </c>
      <c r="BP10" s="37">
        <v>0</v>
      </c>
      <c r="BQ10" s="23" t="e">
        <f>BP10+'20.04'!BQ10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60</v>
      </c>
      <c r="D11" s="31" t="e">
        <f t="shared" si="0"/>
        <v>#REF!</v>
      </c>
      <c r="E11" s="32">
        <v>883</v>
      </c>
      <c r="F11" s="22">
        <v>23</v>
      </c>
      <c r="G11" s="23" t="e">
        <f>F11+'20.04'!G11</f>
        <v>#REF!</v>
      </c>
      <c r="H11" s="33">
        <v>16</v>
      </c>
      <c r="I11" s="34">
        <v>0</v>
      </c>
      <c r="J11" s="23" t="e">
        <f>I11+'20.04'!J11</f>
        <v>#REF!</v>
      </c>
      <c r="K11" s="33">
        <v>3</v>
      </c>
      <c r="L11" s="22">
        <v>0</v>
      </c>
      <c r="M11" s="23" t="e">
        <f>L11+'20.04'!M11</f>
        <v>#REF!</v>
      </c>
      <c r="N11" s="33">
        <v>875</v>
      </c>
      <c r="O11" s="22">
        <v>0</v>
      </c>
      <c r="P11" s="23" t="e">
        <f>O11+'20.04'!P11</f>
        <v>#REF!</v>
      </c>
      <c r="Q11" s="33">
        <v>2424</v>
      </c>
      <c r="R11" s="22">
        <v>0</v>
      </c>
      <c r="S11" s="23" t="e">
        <f>R11+'20.04'!S11</f>
        <v>#REF!</v>
      </c>
      <c r="T11" s="33">
        <v>69</v>
      </c>
      <c r="U11" s="22">
        <v>0</v>
      </c>
      <c r="V11" s="23" t="e">
        <f>U11+'20.04'!V11</f>
        <v>#REF!</v>
      </c>
      <c r="W11" s="38">
        <v>133</v>
      </c>
      <c r="X11" s="22">
        <v>35</v>
      </c>
      <c r="Y11" s="23" t="e">
        <f>X11+'20.04'!Y11</f>
        <v>#REF!</v>
      </c>
      <c r="Z11" s="38">
        <v>1116</v>
      </c>
      <c r="AA11" s="22">
        <v>0</v>
      </c>
      <c r="AB11" s="23" t="e">
        <f>AA11+'20.04'!AB11</f>
        <v>#REF!</v>
      </c>
      <c r="AC11" s="38">
        <v>9862</v>
      </c>
      <c r="AD11" s="22">
        <v>2</v>
      </c>
      <c r="AE11" s="23" t="e">
        <f>AD11+'20.04'!AE11</f>
        <v>#REF!</v>
      </c>
      <c r="AF11" s="19">
        <f t="shared" si="1"/>
        <v>100100</v>
      </c>
      <c r="AG11" s="20" t="e">
        <f t="shared" si="1"/>
        <v>#REF!</v>
      </c>
      <c r="AH11" s="24">
        <v>4000</v>
      </c>
      <c r="AI11" s="23" t="e">
        <f>AH11+'20.04'!AI11</f>
        <v>#REF!</v>
      </c>
      <c r="AJ11" s="24">
        <v>7100</v>
      </c>
      <c r="AK11" s="23" t="e">
        <f>AJ11+'20.04'!AK11</f>
        <v>#REF!</v>
      </c>
      <c r="AL11" s="22">
        <v>22000</v>
      </c>
      <c r="AM11" s="23" t="e">
        <f>AL11+'20.04'!AM11</f>
        <v>#REF!</v>
      </c>
      <c r="AN11" s="22">
        <v>67000</v>
      </c>
      <c r="AO11" s="23" t="e">
        <f>AN11+'20.04'!AO11</f>
        <v>#REF!</v>
      </c>
      <c r="AP11" s="28" t="s">
        <v>45</v>
      </c>
      <c r="AQ11" s="19">
        <f t="shared" si="2"/>
        <v>7</v>
      </c>
      <c r="AR11" s="20" t="e">
        <f t="shared" si="2"/>
        <v>#REF!</v>
      </c>
      <c r="AS11" s="34">
        <v>0</v>
      </c>
      <c r="AT11" s="23" t="e">
        <f>AS11+'20.04'!AT11</f>
        <v>#REF!</v>
      </c>
      <c r="AU11" s="34">
        <v>0</v>
      </c>
      <c r="AV11" s="23" t="e">
        <f>AU11+'20.04'!AV11</f>
        <v>#REF!</v>
      </c>
      <c r="AW11" s="34">
        <v>0</v>
      </c>
      <c r="AX11" s="23" t="e">
        <f>AW11+'20.04'!AX11</f>
        <v>#REF!</v>
      </c>
      <c r="AY11" s="34">
        <v>0</v>
      </c>
      <c r="AZ11" s="23" t="e">
        <f>AY11+'20.04'!AZ11</f>
        <v>#REF!</v>
      </c>
      <c r="BA11" s="34">
        <v>7</v>
      </c>
      <c r="BB11" s="23" t="e">
        <f>BA11+'20.04'!BB11</f>
        <v>#REF!</v>
      </c>
      <c r="BC11" s="19">
        <f t="shared" si="3"/>
        <v>3588</v>
      </c>
      <c r="BD11" s="20" t="e">
        <f t="shared" si="3"/>
        <v>#REF!</v>
      </c>
      <c r="BE11" s="22">
        <v>6</v>
      </c>
      <c r="BF11" s="23" t="e">
        <f>BE11+'20.04'!BF11</f>
        <v>#REF!</v>
      </c>
      <c r="BG11" s="34">
        <v>2</v>
      </c>
      <c r="BH11" s="23" t="e">
        <f>BG11+'20.04'!BH11</f>
        <v>#REF!</v>
      </c>
      <c r="BI11" s="22">
        <v>3500</v>
      </c>
      <c r="BJ11" s="23" t="e">
        <f>BI11+'20.04'!BJ11</f>
        <v>#REF!</v>
      </c>
      <c r="BK11" s="22">
        <v>80</v>
      </c>
      <c r="BL11" s="23" t="e">
        <f>BK11+'20.04'!BL11</f>
        <v>#REF!</v>
      </c>
      <c r="BM11" s="22">
        <v>0</v>
      </c>
      <c r="BN11" s="23" t="e">
        <f>BM11+'20.04'!BN11</f>
        <v>#REF!</v>
      </c>
      <c r="BO11" s="36">
        <v>11506</v>
      </c>
      <c r="BP11" s="37">
        <v>4</v>
      </c>
      <c r="BQ11" s="23" t="e">
        <f>BP11+'20.04'!BQ11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253</v>
      </c>
      <c r="D12" s="31" t="e">
        <f t="shared" si="0"/>
        <v>#REF!</v>
      </c>
      <c r="E12" s="32">
        <v>909</v>
      </c>
      <c r="F12" s="22">
        <v>65</v>
      </c>
      <c r="G12" s="23" t="e">
        <f>F12+'20.04'!G12</f>
        <v>#REF!</v>
      </c>
      <c r="H12" s="33">
        <v>80</v>
      </c>
      <c r="I12" s="34">
        <v>2</v>
      </c>
      <c r="J12" s="23" t="e">
        <f>I12+'20.04'!J12</f>
        <v>#REF!</v>
      </c>
      <c r="K12" s="33">
        <v>5</v>
      </c>
      <c r="L12" s="22">
        <v>0</v>
      </c>
      <c r="M12" s="23" t="e">
        <f>L12+'20.04'!M12</f>
        <v>#REF!</v>
      </c>
      <c r="N12" s="33">
        <v>820</v>
      </c>
      <c r="O12" s="22">
        <v>45</v>
      </c>
      <c r="P12" s="23" t="e">
        <f>O12+'20.04'!P12</f>
        <v>#REF!</v>
      </c>
      <c r="Q12" s="33">
        <v>549</v>
      </c>
      <c r="R12" s="22">
        <v>0</v>
      </c>
      <c r="S12" s="23" t="e">
        <f>R12+'20.04'!S12</f>
        <v>#REF!</v>
      </c>
      <c r="T12" s="33">
        <v>992</v>
      </c>
      <c r="U12" s="22">
        <v>0</v>
      </c>
      <c r="V12" s="23" t="e">
        <f>U12+'20.04'!V12</f>
        <v>#REF!</v>
      </c>
      <c r="W12" s="33">
        <v>38</v>
      </c>
      <c r="X12" s="22">
        <v>87</v>
      </c>
      <c r="Y12" s="23" t="e">
        <f>X12+'20.04'!Y12</f>
        <v>#REF!</v>
      </c>
      <c r="Z12" s="33">
        <v>68</v>
      </c>
      <c r="AA12" s="22">
        <v>0</v>
      </c>
      <c r="AB12" s="23" t="e">
        <f>AA12+'20.04'!AB12</f>
        <v>#REF!</v>
      </c>
      <c r="AC12" s="33">
        <v>26703</v>
      </c>
      <c r="AD12" s="22">
        <v>54</v>
      </c>
      <c r="AE12" s="23" t="e">
        <f>AD12+'20.04'!AE12</f>
        <v>#REF!</v>
      </c>
      <c r="AF12" s="19">
        <f t="shared" si="1"/>
        <v>33600</v>
      </c>
      <c r="AG12" s="20" t="e">
        <f t="shared" si="1"/>
        <v>#REF!</v>
      </c>
      <c r="AH12" s="24">
        <v>5700</v>
      </c>
      <c r="AI12" s="23" t="e">
        <f>AH12+'20.04'!AI12</f>
        <v>#REF!</v>
      </c>
      <c r="AJ12" s="24">
        <v>11000</v>
      </c>
      <c r="AK12" s="23" t="e">
        <f>AJ12+'20.04'!AK12</f>
        <v>#REF!</v>
      </c>
      <c r="AL12" s="22">
        <v>8450</v>
      </c>
      <c r="AM12" s="23" t="e">
        <f>AL12+'20.04'!AM12</f>
        <v>#REF!</v>
      </c>
      <c r="AN12" s="22">
        <v>8450</v>
      </c>
      <c r="AO12" s="23" t="e">
        <f>AN12+'20.04'!AO12</f>
        <v>#REF!</v>
      </c>
      <c r="AP12" s="28" t="s">
        <v>46</v>
      </c>
      <c r="AQ12" s="19">
        <f t="shared" si="2"/>
        <v>85</v>
      </c>
      <c r="AR12" s="20" t="e">
        <f t="shared" si="2"/>
        <v>#REF!</v>
      </c>
      <c r="AS12" s="34">
        <v>0</v>
      </c>
      <c r="AT12" s="23" t="e">
        <f>AS12+'20.04'!AT12</f>
        <v>#REF!</v>
      </c>
      <c r="AU12" s="34">
        <v>0</v>
      </c>
      <c r="AV12" s="23" t="e">
        <f>AU12+'20.04'!AV12</f>
        <v>#REF!</v>
      </c>
      <c r="AW12" s="34">
        <v>0</v>
      </c>
      <c r="AX12" s="23" t="e">
        <f>AW12+'20.04'!AX12</f>
        <v>#REF!</v>
      </c>
      <c r="AY12" s="34">
        <v>0</v>
      </c>
      <c r="AZ12" s="23" t="e">
        <f>AY12+'20.04'!AZ12</f>
        <v>#REF!</v>
      </c>
      <c r="BA12" s="34">
        <v>85</v>
      </c>
      <c r="BB12" s="23" t="e">
        <f>BA12+'20.04'!BB12</f>
        <v>#REF!</v>
      </c>
      <c r="BC12" s="19">
        <f t="shared" si="3"/>
        <v>3093</v>
      </c>
      <c r="BD12" s="20" t="e">
        <f t="shared" si="3"/>
        <v>#REF!</v>
      </c>
      <c r="BE12" s="22">
        <v>250</v>
      </c>
      <c r="BF12" s="23" t="e">
        <f>BE12+'20.04'!BF12</f>
        <v>#REF!</v>
      </c>
      <c r="BG12" s="34">
        <v>13</v>
      </c>
      <c r="BH12" s="23" t="e">
        <f>BG12+'20.04'!BH12</f>
        <v>#REF!</v>
      </c>
      <c r="BI12" s="22">
        <v>2600</v>
      </c>
      <c r="BJ12" s="23" t="e">
        <f>BI12+'20.04'!BJ12</f>
        <v>#REF!</v>
      </c>
      <c r="BK12" s="22">
        <v>230</v>
      </c>
      <c r="BL12" s="23" t="e">
        <f>BK12+'20.04'!BL12</f>
        <v>#REF!</v>
      </c>
      <c r="BM12" s="22">
        <v>0</v>
      </c>
      <c r="BN12" s="23" t="e">
        <f>BM12+'20.04'!BN12</f>
        <v>#REF!</v>
      </c>
      <c r="BO12" s="36"/>
      <c r="BP12" s="37">
        <v>1</v>
      </c>
      <c r="BQ12" s="23" t="e">
        <f>BP12+'20.04'!BQ12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 t="e">
        <f t="shared" si="0"/>
        <v>#REF!</v>
      </c>
      <c r="E13" s="32">
        <v>516</v>
      </c>
      <c r="F13" s="22">
        <v>1</v>
      </c>
      <c r="G13" s="23" t="e">
        <f>F13+'20.04'!G13</f>
        <v>#REF!</v>
      </c>
      <c r="H13" s="33">
        <v>10</v>
      </c>
      <c r="I13" s="34">
        <v>2</v>
      </c>
      <c r="J13" s="23" t="e">
        <f>I13+'20.04'!J13</f>
        <v>#REF!</v>
      </c>
      <c r="K13" s="33">
        <v>38</v>
      </c>
      <c r="L13" s="22">
        <v>0</v>
      </c>
      <c r="M13" s="23" t="e">
        <f>L13+'20.04'!M13</f>
        <v>#REF!</v>
      </c>
      <c r="N13" s="33">
        <v>581</v>
      </c>
      <c r="O13" s="22">
        <v>0</v>
      </c>
      <c r="P13" s="23" t="e">
        <f>O13+'20.04'!P13</f>
        <v>#REF!</v>
      </c>
      <c r="Q13" s="33">
        <v>525</v>
      </c>
      <c r="R13" s="22">
        <v>0</v>
      </c>
      <c r="S13" s="23" t="e">
        <f>R13+'20.04'!S13</f>
        <v>#REF!</v>
      </c>
      <c r="T13" s="33">
        <v>263</v>
      </c>
      <c r="U13" s="22">
        <v>0</v>
      </c>
      <c r="V13" s="23" t="e">
        <f>U13+'20.04'!V13</f>
        <v>#REF!</v>
      </c>
      <c r="W13" s="33">
        <v>43</v>
      </c>
      <c r="X13" s="22">
        <v>0</v>
      </c>
      <c r="Y13" s="23" t="e">
        <f>X13+'20.04'!Y13</f>
        <v>#REF!</v>
      </c>
      <c r="Z13" s="33">
        <v>17</v>
      </c>
      <c r="AA13" s="22">
        <v>0</v>
      </c>
      <c r="AB13" s="23" t="e">
        <f>AA13+'20.04'!AB13</f>
        <v>#REF!</v>
      </c>
      <c r="AC13" s="33">
        <v>51</v>
      </c>
      <c r="AD13" s="22">
        <v>0</v>
      </c>
      <c r="AE13" s="23" t="e">
        <f>AD13+'20.04'!AE13</f>
        <v>#REF!</v>
      </c>
      <c r="AF13" s="19">
        <f t="shared" si="1"/>
        <v>230000</v>
      </c>
      <c r="AG13" s="20" t="e">
        <f t="shared" si="1"/>
        <v>#REF!</v>
      </c>
      <c r="AH13" s="24">
        <v>1000</v>
      </c>
      <c r="AI13" s="23" t="e">
        <f>AH13+'20.04'!AI13</f>
        <v>#REF!</v>
      </c>
      <c r="AJ13" s="24">
        <v>9000</v>
      </c>
      <c r="AK13" s="23" t="e">
        <f>AJ13+'20.04'!AK13</f>
        <v>#REF!</v>
      </c>
      <c r="AL13" s="22">
        <v>20000</v>
      </c>
      <c r="AM13" s="23" t="e">
        <f>AL13+'20.04'!AM13</f>
        <v>#REF!</v>
      </c>
      <c r="AN13" s="22">
        <v>200000</v>
      </c>
      <c r="AO13" s="23" t="e">
        <f>AN13+'20.04'!AO13</f>
        <v>#REF!</v>
      </c>
      <c r="AP13" s="28" t="s">
        <v>47</v>
      </c>
      <c r="AQ13" s="19">
        <f t="shared" si="2"/>
        <v>12</v>
      </c>
      <c r="AR13" s="20" t="e">
        <f t="shared" si="2"/>
        <v>#REF!</v>
      </c>
      <c r="AS13" s="34">
        <v>1</v>
      </c>
      <c r="AT13" s="23" t="e">
        <f>AS13+'20.04'!AT13</f>
        <v>#REF!</v>
      </c>
      <c r="AU13" s="34">
        <v>1</v>
      </c>
      <c r="AV13" s="23" t="e">
        <f>AU13+'20.04'!AV13</f>
        <v>#REF!</v>
      </c>
      <c r="AW13" s="34">
        <v>0</v>
      </c>
      <c r="AX13" s="23" t="e">
        <f>AW13+'20.04'!AX13</f>
        <v>#REF!</v>
      </c>
      <c r="AY13" s="34">
        <v>0</v>
      </c>
      <c r="AZ13" s="23" t="e">
        <f>AY13+'20.04'!AZ13</f>
        <v>#REF!</v>
      </c>
      <c r="BA13" s="34">
        <v>10</v>
      </c>
      <c r="BB13" s="23" t="e">
        <f>BA13+'20.04'!BB13</f>
        <v>#REF!</v>
      </c>
      <c r="BC13" s="19">
        <f t="shared" si="3"/>
        <v>5576</v>
      </c>
      <c r="BD13" s="20" t="e">
        <f t="shared" si="3"/>
        <v>#REF!</v>
      </c>
      <c r="BE13" s="22">
        <v>516</v>
      </c>
      <c r="BF13" s="23" t="e">
        <f>BE13+'20.04'!BF13</f>
        <v>#REF!</v>
      </c>
      <c r="BG13" s="34">
        <v>10</v>
      </c>
      <c r="BH13" s="23" t="e">
        <f>BG13+'20.04'!BH13</f>
        <v>#REF!</v>
      </c>
      <c r="BI13" s="22">
        <v>5000</v>
      </c>
      <c r="BJ13" s="23" t="e">
        <f>BI13+'20.04'!BJ13</f>
        <v>#REF!</v>
      </c>
      <c r="BK13" s="22">
        <v>50</v>
      </c>
      <c r="BL13" s="23" t="e">
        <f>BK13+'20.04'!BL13</f>
        <v>#REF!</v>
      </c>
      <c r="BM13" s="22">
        <v>0</v>
      </c>
      <c r="BN13" s="23" t="e">
        <f>BM13+'20.04'!BN13</f>
        <v>#REF!</v>
      </c>
      <c r="BO13" s="36"/>
      <c r="BP13" s="37">
        <v>0</v>
      </c>
      <c r="BQ13" s="23" t="e">
        <f>BP13+'20.04'!BQ13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F14+'20.04'!G14</f>
        <v>#REF!</v>
      </c>
      <c r="H14" s="44">
        <v>5</v>
      </c>
      <c r="I14" s="45"/>
      <c r="J14" s="23" t="e">
        <f>I14+'20.04'!J14</f>
        <v>#REF!</v>
      </c>
      <c r="K14" s="44">
        <v>34</v>
      </c>
      <c r="L14" s="22"/>
      <c r="M14" s="23" t="e">
        <f>L14+'20.04'!M14</f>
        <v>#REF!</v>
      </c>
      <c r="N14" s="44">
        <v>583</v>
      </c>
      <c r="O14" s="22"/>
      <c r="P14" s="23" t="e">
        <f>O14+'20.04'!P14</f>
        <v>#REF!</v>
      </c>
      <c r="Q14" s="44">
        <v>254</v>
      </c>
      <c r="R14" s="22"/>
      <c r="S14" s="23" t="e">
        <f>R14+'20.04'!S14</f>
        <v>#REF!</v>
      </c>
      <c r="T14" s="44">
        <v>196</v>
      </c>
      <c r="U14" s="22"/>
      <c r="V14" s="23" t="e">
        <f>U14+'20.04'!V14</f>
        <v>#REF!</v>
      </c>
      <c r="W14" s="44">
        <v>30</v>
      </c>
      <c r="X14" s="22"/>
      <c r="Y14" s="23" t="e">
        <f>X14+'20.04'!Y14</f>
        <v>#REF!</v>
      </c>
      <c r="Z14" s="44">
        <v>10</v>
      </c>
      <c r="AA14" s="22"/>
      <c r="AB14" s="23" t="e">
        <f>AA14+'20.04'!AB14</f>
        <v>#REF!</v>
      </c>
      <c r="AC14" s="44">
        <v>2500</v>
      </c>
      <c r="AD14" s="22"/>
      <c r="AE14" s="23" t="e">
        <f>AD14+'20.04'!AE14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AH14+'20.04'!AI14</f>
        <v>#REF!</v>
      </c>
      <c r="AJ14" s="24"/>
      <c r="AK14" s="23" t="e">
        <f>AJ14+'20.04'!AK14</f>
        <v>#REF!</v>
      </c>
      <c r="AL14" s="22"/>
      <c r="AM14" s="23" t="e">
        <f>AL14+'20.04'!AM14</f>
        <v>#REF!</v>
      </c>
      <c r="AN14" s="22"/>
      <c r="AO14" s="23" t="e">
        <f>AN14+'20.04'!AO14</f>
        <v>#REF!</v>
      </c>
      <c r="AP14" s="39" t="s">
        <v>48</v>
      </c>
      <c r="AQ14" s="19">
        <f t="shared" si="2"/>
        <v>0</v>
      </c>
      <c r="AR14" s="20" t="e">
        <f t="shared" si="2"/>
        <v>#REF!</v>
      </c>
      <c r="AS14" s="45"/>
      <c r="AT14" s="23" t="e">
        <f>AS14+'20.04'!AT14</f>
        <v>#REF!</v>
      </c>
      <c r="AU14" s="45"/>
      <c r="AV14" s="23" t="e">
        <f>AU14+'20.04'!AV14</f>
        <v>#REF!</v>
      </c>
      <c r="AW14" s="45"/>
      <c r="AX14" s="23" t="e">
        <f>AW14+'20.04'!AX14</f>
        <v>#REF!</v>
      </c>
      <c r="AY14" s="45"/>
      <c r="AZ14" s="23" t="e">
        <f>AY14+'20.04'!AZ14</f>
        <v>#REF!</v>
      </c>
      <c r="BA14" s="45"/>
      <c r="BB14" s="23" t="e">
        <f>BA14+'20.04'!BB14</f>
        <v>#REF!</v>
      </c>
      <c r="BC14" s="19">
        <f t="shared" si="3"/>
        <v>0</v>
      </c>
      <c r="BD14" s="20" t="e">
        <f t="shared" si="3"/>
        <v>#REF!</v>
      </c>
      <c r="BE14" s="22"/>
      <c r="BF14" s="23" t="e">
        <f>BE14+'20.04'!BF14</f>
        <v>#REF!</v>
      </c>
      <c r="BG14" s="45"/>
      <c r="BH14" s="23" t="e">
        <f>BG14+'20.04'!BH14</f>
        <v>#REF!</v>
      </c>
      <c r="BI14" s="22"/>
      <c r="BJ14" s="23" t="e">
        <f>BI14+'20.04'!BJ14</f>
        <v>#REF!</v>
      </c>
      <c r="BK14" s="22"/>
      <c r="BL14" s="23" t="e">
        <f>BK14+'20.04'!BL14</f>
        <v>#REF!</v>
      </c>
      <c r="BM14" s="22"/>
      <c r="BN14" s="23" t="e">
        <f>BM14+'20.04'!BN14</f>
        <v>#REF!</v>
      </c>
      <c r="BO14" s="48">
        <v>2</v>
      </c>
      <c r="BP14" s="49"/>
      <c r="BQ14" s="23" t="e">
        <f>BP14+'20.04'!BQ14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507</v>
      </c>
      <c r="D15" s="53" t="e">
        <f t="shared" si="0"/>
        <v>#REF!</v>
      </c>
      <c r="E15" s="54">
        <v>776</v>
      </c>
      <c r="F15" s="55">
        <v>354</v>
      </c>
      <c r="G15" s="23" t="e">
        <f>F15+'20.04'!G15</f>
        <v>#REF!</v>
      </c>
      <c r="H15" s="56">
        <v>9</v>
      </c>
      <c r="I15" s="57">
        <v>0</v>
      </c>
      <c r="J15" s="23" t="e">
        <f>I15+'20.04'!J15</f>
        <v>#REF!</v>
      </c>
      <c r="K15" s="56">
        <v>6</v>
      </c>
      <c r="L15" s="55">
        <v>0</v>
      </c>
      <c r="M15" s="23" t="e">
        <f>L15+'20.04'!M15</f>
        <v>#REF!</v>
      </c>
      <c r="N15" s="56">
        <v>1305</v>
      </c>
      <c r="O15" s="55">
        <v>0</v>
      </c>
      <c r="P15" s="23" t="e">
        <f>O15+'20.04'!P15</f>
        <v>#REF!</v>
      </c>
      <c r="Q15" s="56">
        <v>447</v>
      </c>
      <c r="R15" s="55">
        <v>0</v>
      </c>
      <c r="S15" s="23" t="e">
        <f>R15+'20.04'!S15</f>
        <v>#REF!</v>
      </c>
      <c r="T15" s="56">
        <v>337</v>
      </c>
      <c r="U15" s="55">
        <v>0</v>
      </c>
      <c r="V15" s="23" t="e">
        <f>U15+'20.04'!V15</f>
        <v>#REF!</v>
      </c>
      <c r="W15" s="56">
        <v>78</v>
      </c>
      <c r="X15" s="55">
        <v>136</v>
      </c>
      <c r="Y15" s="23" t="e">
        <f>X15+'20.04'!Y15</f>
        <v>#REF!</v>
      </c>
      <c r="Z15" s="56">
        <v>141</v>
      </c>
      <c r="AA15" s="55">
        <v>0</v>
      </c>
      <c r="AB15" s="23" t="e">
        <f>AA15+'20.04'!AB15</f>
        <v>#REF!</v>
      </c>
      <c r="AC15" s="56">
        <v>798</v>
      </c>
      <c r="AD15" s="55">
        <v>17</v>
      </c>
      <c r="AE15" s="23" t="e">
        <f>AD15+'20.04'!AE15</f>
        <v>#REF!</v>
      </c>
      <c r="AF15" s="58">
        <f t="shared" si="1"/>
        <v>1349843</v>
      </c>
      <c r="AG15" s="59" t="e">
        <f t="shared" si="1"/>
        <v>#REF!</v>
      </c>
      <c r="AH15" s="60">
        <v>1024</v>
      </c>
      <c r="AI15" s="23" t="e">
        <f>AH15+'20.04'!AI15</f>
        <v>#REF!</v>
      </c>
      <c r="AJ15" s="60">
        <v>3271</v>
      </c>
      <c r="AK15" s="23" t="e">
        <f>AJ15+'20.04'!AK15</f>
        <v>#REF!</v>
      </c>
      <c r="AL15" s="55">
        <v>672774</v>
      </c>
      <c r="AM15" s="23" t="e">
        <f>AL15+'20.04'!AM15</f>
        <v>#REF!</v>
      </c>
      <c r="AN15" s="55">
        <v>672774</v>
      </c>
      <c r="AO15" s="23" t="e">
        <f>AN15+'20.04'!AO15</f>
        <v>#REF!</v>
      </c>
      <c r="AP15" s="50" t="s">
        <v>49</v>
      </c>
      <c r="AQ15" s="58">
        <f t="shared" si="2"/>
        <v>6</v>
      </c>
      <c r="AR15" s="59" t="e">
        <f t="shared" si="2"/>
        <v>#REF!</v>
      </c>
      <c r="AS15" s="57">
        <v>1</v>
      </c>
      <c r="AT15" s="23" t="e">
        <f>AS15+'20.04'!AT15</f>
        <v>#REF!</v>
      </c>
      <c r="AU15" s="57">
        <v>3</v>
      </c>
      <c r="AV15" s="23" t="e">
        <f>AU15+'20.04'!AV15</f>
        <v>#REF!</v>
      </c>
      <c r="AW15" s="57">
        <v>0</v>
      </c>
      <c r="AX15" s="23" t="e">
        <f>AW15+'20.04'!AX15</f>
        <v>#REF!</v>
      </c>
      <c r="AY15" s="57">
        <v>0</v>
      </c>
      <c r="AZ15" s="23" t="e">
        <f>AY15+'20.04'!AZ15</f>
        <v>#REF!</v>
      </c>
      <c r="BA15" s="57">
        <v>2</v>
      </c>
      <c r="BB15" s="23" t="e">
        <f>BA15+'20.04'!BB15</f>
        <v>#REF!</v>
      </c>
      <c r="BC15" s="58">
        <f t="shared" si="3"/>
        <v>1475</v>
      </c>
      <c r="BD15" s="59" t="e">
        <f t="shared" si="3"/>
        <v>#REF!</v>
      </c>
      <c r="BE15" s="55">
        <v>72</v>
      </c>
      <c r="BF15" s="23" t="e">
        <f>BE15+'20.04'!BF15</f>
        <v>#REF!</v>
      </c>
      <c r="BG15" s="57">
        <v>3</v>
      </c>
      <c r="BH15" s="23" t="e">
        <f>BG15+'20.04'!BH15</f>
        <v>#REF!</v>
      </c>
      <c r="BI15" s="55">
        <v>700</v>
      </c>
      <c r="BJ15" s="23" t="e">
        <f>BI15+'20.04'!BJ15</f>
        <v>#REF!</v>
      </c>
      <c r="BK15" s="55">
        <v>700</v>
      </c>
      <c r="BL15" s="23" t="e">
        <f>BK15+'20.04'!BL15</f>
        <v>#REF!</v>
      </c>
      <c r="BM15" s="55">
        <v>0</v>
      </c>
      <c r="BN15" s="23" t="e">
        <f>BM15+'20.04'!BN15</f>
        <v>#REF!</v>
      </c>
      <c r="BO15" s="36">
        <v>6274</v>
      </c>
      <c r="BP15" s="37">
        <v>3</v>
      </c>
      <c r="BQ15" s="23" t="e">
        <f>BP15+'20.04'!BQ15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0</v>
      </c>
      <c r="D16" s="31" t="e">
        <f t="shared" si="0"/>
        <v>#REF!</v>
      </c>
      <c r="E16" s="32">
        <v>310</v>
      </c>
      <c r="F16" s="22"/>
      <c r="G16" s="23" t="e">
        <f>F16+'20.04'!G16</f>
        <v>#REF!</v>
      </c>
      <c r="H16" s="33">
        <v>5</v>
      </c>
      <c r="I16" s="34"/>
      <c r="J16" s="23" t="e">
        <f>I16+'20.04'!J16</f>
        <v>#REF!</v>
      </c>
      <c r="K16" s="33">
        <v>3</v>
      </c>
      <c r="L16" s="22"/>
      <c r="M16" s="23" t="e">
        <f>L16+'20.04'!M16</f>
        <v>#REF!</v>
      </c>
      <c r="N16" s="33">
        <v>384</v>
      </c>
      <c r="O16" s="22"/>
      <c r="P16" s="23" t="e">
        <f>O16+'20.04'!P16</f>
        <v>#REF!</v>
      </c>
      <c r="Q16" s="33">
        <v>245</v>
      </c>
      <c r="R16" s="22"/>
      <c r="S16" s="23" t="e">
        <f>R16+'20.04'!S16</f>
        <v>#REF!</v>
      </c>
      <c r="T16" s="33">
        <v>397</v>
      </c>
      <c r="U16" s="22"/>
      <c r="V16" s="23" t="e">
        <f>U16+'20.04'!V16</f>
        <v>#REF!</v>
      </c>
      <c r="W16" s="33">
        <v>24</v>
      </c>
      <c r="X16" s="22"/>
      <c r="Y16" s="23" t="e">
        <f>X16+'20.04'!Y16</f>
        <v>#REF!</v>
      </c>
      <c r="Z16" s="33">
        <v>18</v>
      </c>
      <c r="AA16" s="22"/>
      <c r="AB16" s="23" t="e">
        <f>AA16+'20.04'!AB16</f>
        <v>#REF!</v>
      </c>
      <c r="AC16" s="33">
        <v>18515</v>
      </c>
      <c r="AD16" s="22"/>
      <c r="AE16" s="23" t="e">
        <f>AD16+'20.04'!AE16</f>
        <v>#REF!</v>
      </c>
      <c r="AF16" s="19">
        <f t="shared" si="1"/>
        <v>0</v>
      </c>
      <c r="AG16" s="20" t="e">
        <f t="shared" si="1"/>
        <v>#REF!</v>
      </c>
      <c r="AH16" s="24"/>
      <c r="AI16" s="23" t="e">
        <f>AH16+'20.04'!AI16</f>
        <v>#REF!</v>
      </c>
      <c r="AJ16" s="24"/>
      <c r="AK16" s="23" t="e">
        <f>AJ16+'20.04'!AK16</f>
        <v>#REF!</v>
      </c>
      <c r="AL16" s="22"/>
      <c r="AM16" s="23" t="e">
        <f>AL16+'20.04'!AM16</f>
        <v>#REF!</v>
      </c>
      <c r="AN16" s="22"/>
      <c r="AO16" s="23" t="e">
        <f>AN16+'20.04'!AO16</f>
        <v>#REF!</v>
      </c>
      <c r="AP16" s="28" t="s">
        <v>51</v>
      </c>
      <c r="AQ16" s="19">
        <f t="shared" si="2"/>
        <v>0</v>
      </c>
      <c r="AR16" s="20" t="e">
        <f t="shared" si="2"/>
        <v>#REF!</v>
      </c>
      <c r="AS16" s="34"/>
      <c r="AT16" s="23" t="e">
        <f>AS16+'20.04'!AT16</f>
        <v>#REF!</v>
      </c>
      <c r="AU16" s="34"/>
      <c r="AV16" s="23" t="e">
        <f>AU16+'20.04'!AV16</f>
        <v>#REF!</v>
      </c>
      <c r="AW16" s="34"/>
      <c r="AX16" s="23" t="e">
        <f>AW16+'20.04'!AX16</f>
        <v>#REF!</v>
      </c>
      <c r="AY16" s="34"/>
      <c r="AZ16" s="23" t="e">
        <f>AY16+'20.04'!AZ16</f>
        <v>#REF!</v>
      </c>
      <c r="BA16" s="34"/>
      <c r="BB16" s="23" t="e">
        <f>BA16+'20.04'!BB16</f>
        <v>#REF!</v>
      </c>
      <c r="BC16" s="19">
        <f t="shared" si="3"/>
        <v>0</v>
      </c>
      <c r="BD16" s="20" t="e">
        <f t="shared" si="3"/>
        <v>#REF!</v>
      </c>
      <c r="BE16" s="22"/>
      <c r="BF16" s="23" t="e">
        <f>BE16+'20.04'!BF16</f>
        <v>#REF!</v>
      </c>
      <c r="BG16" s="34"/>
      <c r="BH16" s="23" t="e">
        <f>BG16+'20.04'!BH16</f>
        <v>#REF!</v>
      </c>
      <c r="BI16" s="22"/>
      <c r="BJ16" s="23" t="e">
        <f>BI16+'20.04'!BJ16</f>
        <v>#REF!</v>
      </c>
      <c r="BK16" s="22"/>
      <c r="BL16" s="23" t="e">
        <f>BK16+'20.04'!BL16</f>
        <v>#REF!</v>
      </c>
      <c r="BM16" s="22"/>
      <c r="BN16" s="23" t="e">
        <f>BM16+'20.04'!BN16</f>
        <v>#REF!</v>
      </c>
      <c r="BO16" s="36">
        <v>2546</v>
      </c>
      <c r="BP16" s="37"/>
      <c r="BQ16" s="23" t="e">
        <f>BP16+'20.04'!BQ16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215</v>
      </c>
      <c r="D17" s="31" t="e">
        <f t="shared" si="0"/>
        <v>#REF!</v>
      </c>
      <c r="E17" s="32">
        <v>754</v>
      </c>
      <c r="F17" s="22">
        <v>150</v>
      </c>
      <c r="G17" s="23" t="e">
        <f>F17+'20.04'!G17</f>
        <v>#REF!</v>
      </c>
      <c r="H17" s="33">
        <v>9</v>
      </c>
      <c r="I17" s="34">
        <v>0</v>
      </c>
      <c r="J17" s="23" t="e">
        <f>I17+'20.04'!J17</f>
        <v>#REF!</v>
      </c>
      <c r="K17" s="33">
        <v>5</v>
      </c>
      <c r="L17" s="22">
        <v>0</v>
      </c>
      <c r="M17" s="23" t="e">
        <f>L17+'20.04'!M17</f>
        <v>#REF!</v>
      </c>
      <c r="N17" s="33">
        <v>768</v>
      </c>
      <c r="O17" s="22">
        <v>0</v>
      </c>
      <c r="P17" s="23" t="e">
        <f>O17+'20.04'!P17</f>
        <v>#REF!</v>
      </c>
      <c r="Q17" s="33">
        <v>624</v>
      </c>
      <c r="R17" s="22">
        <v>0</v>
      </c>
      <c r="S17" s="23" t="e">
        <f>R17+'20.04'!S17</f>
        <v>#REF!</v>
      </c>
      <c r="T17" s="33">
        <v>742</v>
      </c>
      <c r="U17" s="22">
        <v>0</v>
      </c>
      <c r="V17" s="23" t="e">
        <f>U17+'20.04'!V17</f>
        <v>#REF!</v>
      </c>
      <c r="W17" s="33">
        <v>54</v>
      </c>
      <c r="X17" s="22">
        <v>46</v>
      </c>
      <c r="Y17" s="23" t="e">
        <f>X17+'20.04'!Y17</f>
        <v>#REF!</v>
      </c>
      <c r="Z17" s="33">
        <v>66</v>
      </c>
      <c r="AA17" s="22">
        <v>0</v>
      </c>
      <c r="AB17" s="23" t="e">
        <f>AA17+'20.04'!AB17</f>
        <v>#REF!</v>
      </c>
      <c r="AC17" s="33">
        <v>2580</v>
      </c>
      <c r="AD17" s="22">
        <v>19</v>
      </c>
      <c r="AE17" s="23" t="e">
        <f>AD17+'20.04'!AE17</f>
        <v>#REF!</v>
      </c>
      <c r="AF17" s="19">
        <f t="shared" si="1"/>
        <v>54650</v>
      </c>
      <c r="AG17" s="20" t="e">
        <f t="shared" si="1"/>
        <v>#REF!</v>
      </c>
      <c r="AH17" s="24">
        <v>7500</v>
      </c>
      <c r="AI17" s="23" t="e">
        <f>AH17+'20.04'!AI17</f>
        <v>#REF!</v>
      </c>
      <c r="AJ17" s="24">
        <v>9850</v>
      </c>
      <c r="AK17" s="23" t="e">
        <f>AJ17+'20.04'!AK17</f>
        <v>#REF!</v>
      </c>
      <c r="AL17" s="22">
        <v>26500</v>
      </c>
      <c r="AM17" s="23" t="e">
        <f>AL17+'20.04'!AM17</f>
        <v>#REF!</v>
      </c>
      <c r="AN17" s="22">
        <v>10800</v>
      </c>
      <c r="AO17" s="23" t="e">
        <f>AN17+'20.04'!AO17</f>
        <v>#REF!</v>
      </c>
      <c r="AP17" s="28" t="s">
        <v>52</v>
      </c>
      <c r="AQ17" s="19">
        <f t="shared" si="2"/>
        <v>16</v>
      </c>
      <c r="AR17" s="20" t="e">
        <f t="shared" si="2"/>
        <v>#REF!</v>
      </c>
      <c r="AS17" s="34">
        <v>1</v>
      </c>
      <c r="AT17" s="23" t="e">
        <f>AS17+'20.04'!AT17</f>
        <v>#REF!</v>
      </c>
      <c r="AU17" s="34">
        <v>1</v>
      </c>
      <c r="AV17" s="23" t="e">
        <f>AU17+'20.04'!AV17</f>
        <v>#REF!</v>
      </c>
      <c r="AW17" s="34">
        <v>0</v>
      </c>
      <c r="AX17" s="23" t="e">
        <f>AW17+'20.04'!AX17</f>
        <v>#REF!</v>
      </c>
      <c r="AY17" s="34">
        <v>0</v>
      </c>
      <c r="AZ17" s="23" t="e">
        <f>AY17+'20.04'!AZ17</f>
        <v>#REF!</v>
      </c>
      <c r="BA17" s="34">
        <v>14</v>
      </c>
      <c r="BB17" s="23" t="e">
        <f>BA17+'20.04'!BB17</f>
        <v>#REF!</v>
      </c>
      <c r="BC17" s="19">
        <f t="shared" si="3"/>
        <v>1602</v>
      </c>
      <c r="BD17" s="20" t="e">
        <f t="shared" si="3"/>
        <v>#REF!</v>
      </c>
      <c r="BE17" s="22">
        <v>38</v>
      </c>
      <c r="BF17" s="23" t="e">
        <f>BE17+'20.04'!BF17</f>
        <v>#REF!</v>
      </c>
      <c r="BG17" s="34">
        <v>4</v>
      </c>
      <c r="BH17" s="23" t="e">
        <f>BG17+'20.04'!BH17</f>
        <v>#REF!</v>
      </c>
      <c r="BI17" s="22">
        <v>1400</v>
      </c>
      <c r="BJ17" s="23" t="e">
        <f>BI17+'20.04'!BJ17</f>
        <v>#REF!</v>
      </c>
      <c r="BK17" s="22">
        <v>160</v>
      </c>
      <c r="BL17" s="23" t="e">
        <f>BK17+'20.04'!BL17</f>
        <v>#REF!</v>
      </c>
      <c r="BM17" s="22">
        <v>0</v>
      </c>
      <c r="BN17" s="23" t="e">
        <f>BM17+'20.04'!BN17</f>
        <v>#REF!</v>
      </c>
      <c r="BO17" s="36">
        <v>8022</v>
      </c>
      <c r="BP17" s="37">
        <v>10</v>
      </c>
      <c r="BQ17" s="23" t="e">
        <f>BP17+'20.04'!BQ17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522</v>
      </c>
      <c r="D18" s="20" t="e">
        <f t="shared" si="0"/>
        <v>#REF!</v>
      </c>
      <c r="E18" s="21">
        <v>1063</v>
      </c>
      <c r="F18" s="22">
        <v>309</v>
      </c>
      <c r="G18" s="23" t="e">
        <f>F18+'20.04'!G18</f>
        <v>#REF!</v>
      </c>
      <c r="H18" s="21">
        <v>19</v>
      </c>
      <c r="I18" s="22">
        <v>0</v>
      </c>
      <c r="J18" s="23" t="e">
        <f>I18+'20.04'!J18</f>
        <v>#REF!</v>
      </c>
      <c r="K18" s="21">
        <v>8</v>
      </c>
      <c r="L18" s="22">
        <v>0</v>
      </c>
      <c r="M18" s="23" t="e">
        <f>L18+'20.04'!M18</f>
        <v>#REF!</v>
      </c>
      <c r="N18" s="21">
        <v>1331</v>
      </c>
      <c r="O18" s="22">
        <v>0</v>
      </c>
      <c r="P18" s="23" t="e">
        <f>O18+'20.04'!P18</f>
        <v>#REF!</v>
      </c>
      <c r="Q18" s="21">
        <v>777</v>
      </c>
      <c r="R18" s="22">
        <v>0</v>
      </c>
      <c r="S18" s="23" t="e">
        <f>R18+'20.04'!S18</f>
        <v>#REF!</v>
      </c>
      <c r="T18" s="21">
        <v>318</v>
      </c>
      <c r="U18" s="22">
        <v>0</v>
      </c>
      <c r="V18" s="23" t="e">
        <f>U18+'20.04'!V18</f>
        <v>#REF!</v>
      </c>
      <c r="W18" s="21">
        <v>60</v>
      </c>
      <c r="X18" s="22">
        <v>213</v>
      </c>
      <c r="Y18" s="23" t="e">
        <f>X18+'20.04'!Y18</f>
        <v>#REF!</v>
      </c>
      <c r="Z18" s="21">
        <v>72</v>
      </c>
      <c r="AA18" s="22">
        <v>0</v>
      </c>
      <c r="AB18" s="23" t="e">
        <f>AA18+'20.04'!AB18</f>
        <v>#REF!</v>
      </c>
      <c r="AC18" s="21">
        <v>143</v>
      </c>
      <c r="AD18" s="22">
        <v>0</v>
      </c>
      <c r="AE18" s="23" t="e">
        <f>AD18+'20.04'!AE18</f>
        <v>#REF!</v>
      </c>
      <c r="AF18" s="19">
        <f t="shared" si="1"/>
        <v>325240</v>
      </c>
      <c r="AG18" s="20" t="e">
        <f t="shared" si="1"/>
        <v>#REF!</v>
      </c>
      <c r="AH18" s="24">
        <v>538</v>
      </c>
      <c r="AI18" s="23" t="e">
        <f>AH18+'20.04'!AI18</f>
        <v>#REF!</v>
      </c>
      <c r="AJ18" s="24">
        <v>4584</v>
      </c>
      <c r="AK18" s="23" t="e">
        <f>AJ18+'20.04'!AK18</f>
        <v>#REF!</v>
      </c>
      <c r="AL18" s="22">
        <v>5145</v>
      </c>
      <c r="AM18" s="23" t="e">
        <f>AL18+'20.04'!AM18</f>
        <v>#REF!</v>
      </c>
      <c r="AN18" s="22">
        <v>314973</v>
      </c>
      <c r="AO18" s="23" t="e">
        <f>AN18+'20.04'!AO18</f>
        <v>#REF!</v>
      </c>
      <c r="AP18" s="17" t="s">
        <v>53</v>
      </c>
      <c r="AQ18" s="19">
        <f>AS18+AU18+AW18+AY18+BA18</f>
        <v>5</v>
      </c>
      <c r="AR18" s="20" t="e">
        <f t="shared" si="2"/>
        <v>#REF!</v>
      </c>
      <c r="AS18" s="22">
        <v>0</v>
      </c>
      <c r="AT18" s="23" t="e">
        <f>AS18+'20.04'!AT18</f>
        <v>#REF!</v>
      </c>
      <c r="AU18" s="22">
        <v>0</v>
      </c>
      <c r="AV18" s="23" t="e">
        <f>AU18+'20.04'!AV18</f>
        <v>#REF!</v>
      </c>
      <c r="AW18" s="22">
        <v>0</v>
      </c>
      <c r="AX18" s="23" t="e">
        <f>AW18+'20.04'!AX18</f>
        <v>#REF!</v>
      </c>
      <c r="AY18" s="22">
        <v>0</v>
      </c>
      <c r="AZ18" s="23" t="e">
        <f>AY18+'20.04'!AZ18</f>
        <v>#REF!</v>
      </c>
      <c r="BA18" s="22">
        <v>5</v>
      </c>
      <c r="BB18" s="23" t="e">
        <f>BA18+'20.04'!BB18</f>
        <v>#REF!</v>
      </c>
      <c r="BC18" s="19">
        <f t="shared" si="3"/>
        <v>2969</v>
      </c>
      <c r="BD18" s="20" t="e">
        <f>BF18+BH18+BJ18+BL18+BN18</f>
        <v>#REF!</v>
      </c>
      <c r="BE18" s="22">
        <v>1</v>
      </c>
      <c r="BF18" s="23" t="e">
        <f>BE18+'20.04'!BF18</f>
        <v>#REF!</v>
      </c>
      <c r="BG18" s="22">
        <v>0</v>
      </c>
      <c r="BH18" s="23" t="e">
        <f>BG18+'20.04'!BH18</f>
        <v>#REF!</v>
      </c>
      <c r="BI18" s="22">
        <v>2854</v>
      </c>
      <c r="BJ18" s="23" t="e">
        <f>BI18+'20.04'!BJ18</f>
        <v>#REF!</v>
      </c>
      <c r="BK18" s="22">
        <v>114</v>
      </c>
      <c r="BL18" s="23" t="e">
        <f>BK18+'20.04'!BL18</f>
        <v>#REF!</v>
      </c>
      <c r="BM18" s="22">
        <v>0</v>
      </c>
      <c r="BN18" s="23" t="e">
        <f>BM18+'20.04'!BN18</f>
        <v>#REF!</v>
      </c>
      <c r="BO18" s="36">
        <v>442</v>
      </c>
      <c r="BP18" s="37">
        <v>0</v>
      </c>
      <c r="BQ18" s="23" t="e">
        <f>BP18+'20.04'!BQ18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30</v>
      </c>
      <c r="D19" s="31" t="e">
        <f t="shared" si="0"/>
        <v>#REF!</v>
      </c>
      <c r="E19" s="33">
        <v>221</v>
      </c>
      <c r="F19" s="22">
        <v>15</v>
      </c>
      <c r="G19" s="23" t="e">
        <f>F19+'20.04'!G19</f>
        <v>#REF!</v>
      </c>
      <c r="H19" s="33">
        <v>5</v>
      </c>
      <c r="I19" s="34">
        <v>0</v>
      </c>
      <c r="J19" s="23" t="e">
        <f>I19+'20.04'!J19</f>
        <v>#REF!</v>
      </c>
      <c r="K19" s="33">
        <v>4</v>
      </c>
      <c r="L19" s="22">
        <v>0</v>
      </c>
      <c r="M19" s="23" t="e">
        <f>L19+'20.04'!M19</f>
        <v>#REF!</v>
      </c>
      <c r="N19" s="33">
        <v>313</v>
      </c>
      <c r="O19" s="22">
        <v>0</v>
      </c>
      <c r="P19" s="23" t="e">
        <f>O19+'20.04'!P19</f>
        <v>#REF!</v>
      </c>
      <c r="Q19" s="33">
        <v>203</v>
      </c>
      <c r="R19" s="22">
        <v>0</v>
      </c>
      <c r="S19" s="23" t="e">
        <f>R19+'20.04'!S19</f>
        <v>#REF!</v>
      </c>
      <c r="T19" s="33">
        <v>241</v>
      </c>
      <c r="U19" s="22">
        <v>0</v>
      </c>
      <c r="V19" s="23" t="e">
        <f>U19+'20.04'!V19</f>
        <v>#REF!</v>
      </c>
      <c r="W19" s="33">
        <v>14</v>
      </c>
      <c r="X19" s="22">
        <v>15</v>
      </c>
      <c r="Y19" s="23" t="e">
        <f>X19+'20.04'!Y19</f>
        <v>#REF!</v>
      </c>
      <c r="Z19" s="33">
        <v>7</v>
      </c>
      <c r="AA19" s="22">
        <v>0</v>
      </c>
      <c r="AB19" s="23" t="e">
        <f>AA19+'20.04'!AB19</f>
        <v>#REF!</v>
      </c>
      <c r="AC19" s="33">
        <v>32</v>
      </c>
      <c r="AD19" s="22">
        <v>0</v>
      </c>
      <c r="AE19" s="23" t="e">
        <f>AD19+'20.04'!AE19</f>
        <v>#REF!</v>
      </c>
      <c r="AF19" s="19">
        <f t="shared" si="1"/>
        <v>3150</v>
      </c>
      <c r="AG19" s="20" t="e">
        <f t="shared" si="1"/>
        <v>#REF!</v>
      </c>
      <c r="AH19" s="24">
        <v>525</v>
      </c>
      <c r="AI19" s="23" t="e">
        <f>AH19+'20.04'!AI19</f>
        <v>#REF!</v>
      </c>
      <c r="AJ19" s="24">
        <v>525</v>
      </c>
      <c r="AK19" s="23" t="e">
        <f>AJ19+'20.04'!AK19</f>
        <v>#REF!</v>
      </c>
      <c r="AL19" s="22">
        <v>1050</v>
      </c>
      <c r="AM19" s="23" t="e">
        <f>AL19+'20.04'!AM19</f>
        <v>#REF!</v>
      </c>
      <c r="AN19" s="22">
        <v>1050</v>
      </c>
      <c r="AO19" s="23" t="e">
        <f>AN19+'20.04'!AO19</f>
        <v>#REF!</v>
      </c>
      <c r="AP19" s="28" t="s">
        <v>54</v>
      </c>
      <c r="AQ19" s="19">
        <f t="shared" ref="AQ19:AQ22" si="4">AS19+AU19+AW19+AY19+BA19</f>
        <v>0</v>
      </c>
      <c r="AR19" s="20" t="e">
        <f t="shared" si="2"/>
        <v>#REF!</v>
      </c>
      <c r="AS19" s="34">
        <v>0</v>
      </c>
      <c r="AT19" s="23" t="e">
        <f>AS19+'20.04'!AT19</f>
        <v>#REF!</v>
      </c>
      <c r="AU19" s="34">
        <v>0</v>
      </c>
      <c r="AV19" s="23" t="e">
        <f>AU19+'20.04'!AV19</f>
        <v>#REF!</v>
      </c>
      <c r="AW19" s="34">
        <v>0</v>
      </c>
      <c r="AX19" s="23" t="e">
        <f>AW19+'20.04'!AX19</f>
        <v>#REF!</v>
      </c>
      <c r="AY19" s="34">
        <v>0</v>
      </c>
      <c r="AZ19" s="23" t="e">
        <f>AY19+'20.04'!AZ19</f>
        <v>#REF!</v>
      </c>
      <c r="BA19" s="34">
        <v>0</v>
      </c>
      <c r="BB19" s="23" t="e">
        <f>BA19+'20.04'!BB19</f>
        <v>#REF!</v>
      </c>
      <c r="BC19" s="19">
        <f t="shared" si="3"/>
        <v>1018</v>
      </c>
      <c r="BD19" s="20" t="e">
        <f t="shared" si="3"/>
        <v>#REF!</v>
      </c>
      <c r="BE19" s="22">
        <v>18</v>
      </c>
      <c r="BF19" s="23" t="e">
        <f>BE19+'20.04'!BF19</f>
        <v>#REF!</v>
      </c>
      <c r="BG19" s="34">
        <v>0</v>
      </c>
      <c r="BH19" s="23" t="e">
        <f>BG19+'20.04'!BH19</f>
        <v>#REF!</v>
      </c>
      <c r="BI19" s="22">
        <v>900</v>
      </c>
      <c r="BJ19" s="23" t="e">
        <f>BI19+'20.04'!BJ19</f>
        <v>#REF!</v>
      </c>
      <c r="BK19" s="22">
        <v>100</v>
      </c>
      <c r="BL19" s="23" t="e">
        <f>BK19+'20.04'!BL19</f>
        <v>#REF!</v>
      </c>
      <c r="BM19" s="22">
        <v>0</v>
      </c>
      <c r="BN19" s="23" t="e">
        <f>BM19+'20.04'!BN19</f>
        <v>#REF!</v>
      </c>
      <c r="BO19" s="36">
        <v>2898</v>
      </c>
      <c r="BP19" s="37">
        <v>0</v>
      </c>
      <c r="BQ19" s="23" t="e">
        <f>BP19+'20.04'!BQ19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416</v>
      </c>
      <c r="D20" s="31" t="e">
        <f t="shared" si="0"/>
        <v>#REF!</v>
      </c>
      <c r="E20" s="32">
        <v>723</v>
      </c>
      <c r="F20" s="22">
        <v>246</v>
      </c>
      <c r="G20" s="23" t="e">
        <f>F20+'20.04'!G20</f>
        <v>#REF!</v>
      </c>
      <c r="H20" s="33">
        <v>5</v>
      </c>
      <c r="I20" s="34">
        <v>1</v>
      </c>
      <c r="J20" s="23" t="e">
        <f>I20+'20.04'!J20</f>
        <v>#REF!</v>
      </c>
      <c r="K20" s="33">
        <v>3</v>
      </c>
      <c r="L20" s="22">
        <v>0</v>
      </c>
      <c r="M20" s="23" t="e">
        <f>L20+'20.04'!M20</f>
        <v>#REF!</v>
      </c>
      <c r="N20" s="33">
        <v>975</v>
      </c>
      <c r="O20" s="22">
        <v>86</v>
      </c>
      <c r="P20" s="23" t="e">
        <f>O20+'20.04'!P20</f>
        <v>#REF!</v>
      </c>
      <c r="Q20" s="61">
        <v>1862</v>
      </c>
      <c r="R20" s="22">
        <v>1</v>
      </c>
      <c r="S20" s="23" t="e">
        <f>R20+'20.04'!S20</f>
        <v>#REF!</v>
      </c>
      <c r="T20" s="33">
        <v>35</v>
      </c>
      <c r="U20" s="22">
        <v>1</v>
      </c>
      <c r="V20" s="23" t="e">
        <f>U20+'20.04'!V20</f>
        <v>#REF!</v>
      </c>
      <c r="W20" s="33">
        <v>64</v>
      </c>
      <c r="X20" s="22">
        <v>6</v>
      </c>
      <c r="Y20" s="23" t="e">
        <f>X20+'20.04'!Y20</f>
        <v>#REF!</v>
      </c>
      <c r="Z20" s="33">
        <v>15</v>
      </c>
      <c r="AA20" s="22">
        <v>1</v>
      </c>
      <c r="AB20" s="23" t="e">
        <f>AA20+'20.04'!AB20</f>
        <v>#REF!</v>
      </c>
      <c r="AC20" s="33">
        <v>1546</v>
      </c>
      <c r="AD20" s="22">
        <v>74</v>
      </c>
      <c r="AE20" s="23" t="e">
        <f>AD20+'20.04'!AE20</f>
        <v>#REF!</v>
      </c>
      <c r="AF20" s="19">
        <f t="shared" si="1"/>
        <v>23835</v>
      </c>
      <c r="AG20" s="20" t="e">
        <f t="shared" si="1"/>
        <v>#REF!</v>
      </c>
      <c r="AH20" s="24">
        <v>12170</v>
      </c>
      <c r="AI20" s="23" t="e">
        <f>AH20+'20.04'!AI20</f>
        <v>#REF!</v>
      </c>
      <c r="AJ20" s="24">
        <v>11265</v>
      </c>
      <c r="AK20" s="23" t="e">
        <f>AJ20+'20.04'!AK20</f>
        <v>#REF!</v>
      </c>
      <c r="AL20" s="22">
        <v>200</v>
      </c>
      <c r="AM20" s="23" t="e">
        <f>AL20+'20.04'!AM20</f>
        <v>#REF!</v>
      </c>
      <c r="AN20" s="22">
        <v>200</v>
      </c>
      <c r="AO20" s="23" t="e">
        <f>AN20+'20.04'!AO20</f>
        <v>#REF!</v>
      </c>
      <c r="AP20" s="28" t="s">
        <v>55</v>
      </c>
      <c r="AQ20" s="19">
        <f t="shared" si="4"/>
        <v>217</v>
      </c>
      <c r="AR20" s="20" t="e">
        <f t="shared" si="2"/>
        <v>#REF!</v>
      </c>
      <c r="AS20" s="34">
        <v>1</v>
      </c>
      <c r="AT20" s="23" t="e">
        <f>AS20+'20.04'!AT20</f>
        <v>#REF!</v>
      </c>
      <c r="AU20" s="34">
        <v>0</v>
      </c>
      <c r="AV20" s="23" t="e">
        <f>AU20+'20.04'!AV20</f>
        <v>#REF!</v>
      </c>
      <c r="AW20" s="34">
        <v>0</v>
      </c>
      <c r="AX20" s="23" t="e">
        <f>AW20+'20.04'!AX20</f>
        <v>#REF!</v>
      </c>
      <c r="AY20" s="34">
        <v>0</v>
      </c>
      <c r="AZ20" s="23" t="e">
        <f>AY20+'20.04'!AZ20</f>
        <v>#REF!</v>
      </c>
      <c r="BA20" s="34">
        <v>216</v>
      </c>
      <c r="BB20" s="23" t="e">
        <f>BA20+'20.04'!BB20</f>
        <v>#REF!</v>
      </c>
      <c r="BC20" s="19">
        <f t="shared" si="3"/>
        <v>5292</v>
      </c>
      <c r="BD20" s="20" t="e">
        <f t="shared" si="3"/>
        <v>#REF!</v>
      </c>
      <c r="BE20" s="22">
        <v>402</v>
      </c>
      <c r="BF20" s="23" t="e">
        <f>BE20+'20.04'!BF20</f>
        <v>#REF!</v>
      </c>
      <c r="BG20" s="34">
        <v>0</v>
      </c>
      <c r="BH20" s="23" t="e">
        <f>BG20+'20.04'!BH20</f>
        <v>#REF!</v>
      </c>
      <c r="BI20" s="22">
        <v>2470</v>
      </c>
      <c r="BJ20" s="23" t="e">
        <f>BI20+'20.04'!BJ20</f>
        <v>#REF!</v>
      </c>
      <c r="BK20" s="22">
        <v>2420</v>
      </c>
      <c r="BL20" s="23" t="e">
        <f>BK20+'20.04'!BL20</f>
        <v>#REF!</v>
      </c>
      <c r="BM20" s="22">
        <v>0</v>
      </c>
      <c r="BN20" s="23" t="e">
        <f>BM20+'20.04'!BN20</f>
        <v>#REF!</v>
      </c>
      <c r="BO20" s="36">
        <v>5854</v>
      </c>
      <c r="BP20" s="37">
        <v>0</v>
      </c>
      <c r="BQ20" s="23" t="e">
        <f>BP20+'20.04'!BQ20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238</v>
      </c>
      <c r="D21" s="31" t="e">
        <f t="shared" si="0"/>
        <v>#REF!</v>
      </c>
      <c r="E21" s="32">
        <v>1017</v>
      </c>
      <c r="F21" s="22">
        <v>180</v>
      </c>
      <c r="G21" s="23" t="e">
        <f>F21+'20.04'!G21</f>
        <v>#REF!</v>
      </c>
      <c r="H21" s="33">
        <v>8</v>
      </c>
      <c r="I21" s="34">
        <v>4</v>
      </c>
      <c r="J21" s="23" t="e">
        <f>I21+'20.04'!J21</f>
        <v>#REF!</v>
      </c>
      <c r="K21" s="33">
        <v>4</v>
      </c>
      <c r="L21" s="22">
        <v>0</v>
      </c>
      <c r="M21" s="23" t="e">
        <f>L21+'20.04'!M21</f>
        <v>#REF!</v>
      </c>
      <c r="N21" s="33">
        <v>963</v>
      </c>
      <c r="O21" s="22">
        <v>2</v>
      </c>
      <c r="P21" s="23" t="e">
        <f>O21+'20.04'!P21</f>
        <v>#REF!</v>
      </c>
      <c r="Q21" s="33">
        <v>912</v>
      </c>
      <c r="R21" s="22">
        <v>0</v>
      </c>
      <c r="S21" s="23" t="e">
        <f>R21+'20.04'!S21</f>
        <v>#REF!</v>
      </c>
      <c r="T21" s="33">
        <v>199</v>
      </c>
      <c r="U21" s="22">
        <v>2</v>
      </c>
      <c r="V21" s="23" t="e">
        <f>U21+'20.04'!V21</f>
        <v>#REF!</v>
      </c>
      <c r="W21" s="33">
        <v>101</v>
      </c>
      <c r="X21" s="22">
        <v>50</v>
      </c>
      <c r="Y21" s="23" t="e">
        <f>X21+'20.04'!Y21</f>
        <v>#REF!</v>
      </c>
      <c r="Z21" s="33">
        <v>42</v>
      </c>
      <c r="AA21" s="22">
        <v>0</v>
      </c>
      <c r="AB21" s="23" t="e">
        <f>AA21+'20.04'!AB21</f>
        <v>#REF!</v>
      </c>
      <c r="AC21" s="33">
        <v>20</v>
      </c>
      <c r="AD21" s="22">
        <v>0</v>
      </c>
      <c r="AE21" s="23" t="e">
        <f>AD21+'20.04'!AE21</f>
        <v>#REF!</v>
      </c>
      <c r="AF21" s="19">
        <f t="shared" si="1"/>
        <v>321000</v>
      </c>
      <c r="AG21" s="20" t="e">
        <f t="shared" si="1"/>
        <v>#REF!</v>
      </c>
      <c r="AH21" s="24">
        <v>2000</v>
      </c>
      <c r="AI21" s="23" t="e">
        <f>AH21+'20.04'!AI21</f>
        <v>#REF!</v>
      </c>
      <c r="AJ21" s="24">
        <v>178000</v>
      </c>
      <c r="AK21" s="23" t="e">
        <f>AJ21+'20.04'!AK21</f>
        <v>#REF!</v>
      </c>
      <c r="AL21" s="22">
        <v>1000</v>
      </c>
      <c r="AM21" s="23" t="e">
        <f>AL21+'20.04'!AM21</f>
        <v>#REF!</v>
      </c>
      <c r="AN21" s="22">
        <v>140000</v>
      </c>
      <c r="AO21" s="23" t="e">
        <f>AN21+'20.04'!AO21</f>
        <v>#REF!</v>
      </c>
      <c r="AP21" s="28" t="s">
        <v>58</v>
      </c>
      <c r="AQ21" s="19">
        <f t="shared" si="4"/>
        <v>6</v>
      </c>
      <c r="AR21" s="20" t="e">
        <f t="shared" si="2"/>
        <v>#REF!</v>
      </c>
      <c r="AS21" s="34">
        <v>1</v>
      </c>
      <c r="AT21" s="23" t="e">
        <f>AS21+'20.04'!AT21</f>
        <v>#REF!</v>
      </c>
      <c r="AU21" s="34">
        <v>2</v>
      </c>
      <c r="AV21" s="23" t="e">
        <f>AU21+'20.04'!AV21</f>
        <v>#REF!</v>
      </c>
      <c r="AW21" s="34">
        <v>0</v>
      </c>
      <c r="AX21" s="23" t="e">
        <f>AW21+'20.04'!AX21</f>
        <v>#REF!</v>
      </c>
      <c r="AY21" s="34">
        <v>0</v>
      </c>
      <c r="AZ21" s="23" t="e">
        <f>AY21+'20.04'!AZ21</f>
        <v>#REF!</v>
      </c>
      <c r="BA21" s="34">
        <v>3</v>
      </c>
      <c r="BB21" s="23" t="e">
        <f>BA21+'20.04'!BB21</f>
        <v>#REF!</v>
      </c>
      <c r="BC21" s="19">
        <f t="shared" si="3"/>
        <v>7055</v>
      </c>
      <c r="BD21" s="20" t="e">
        <f t="shared" si="3"/>
        <v>#REF!</v>
      </c>
      <c r="BE21" s="22">
        <v>55</v>
      </c>
      <c r="BF21" s="23" t="e">
        <f>BE21+'20.04'!BF21</f>
        <v>#REF!</v>
      </c>
      <c r="BG21" s="34">
        <v>0</v>
      </c>
      <c r="BH21" s="23" t="e">
        <f>BG21+'20.04'!BH21</f>
        <v>#REF!</v>
      </c>
      <c r="BI21" s="22">
        <v>7000</v>
      </c>
      <c r="BJ21" s="23" t="e">
        <f>BI21+'20.04'!BJ21</f>
        <v>#REF!</v>
      </c>
      <c r="BK21" s="22">
        <v>0</v>
      </c>
      <c r="BL21" s="23" t="e">
        <f>BK21+'20.04'!BL21</f>
        <v>#REF!</v>
      </c>
      <c r="BM21" s="22">
        <v>0</v>
      </c>
      <c r="BN21" s="23" t="e">
        <f>BM21+'20.04'!BN21</f>
        <v>#REF!</v>
      </c>
      <c r="BO21" s="36">
        <v>68</v>
      </c>
      <c r="BP21" s="37">
        <v>0</v>
      </c>
      <c r="BQ21" s="23" t="e">
        <f>BP21+'20.04'!BQ21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1986</v>
      </c>
      <c r="D22" s="31" t="e">
        <f t="shared" si="0"/>
        <v>#REF!</v>
      </c>
      <c r="E22" s="32">
        <v>509</v>
      </c>
      <c r="F22" s="22">
        <v>354</v>
      </c>
      <c r="G22" s="23" t="e">
        <f>F22+'20.04'!G22</f>
        <v>#REF!</v>
      </c>
      <c r="H22" s="33">
        <v>8</v>
      </c>
      <c r="I22" s="34">
        <v>8</v>
      </c>
      <c r="J22" s="23" t="e">
        <f>I22+'20.04'!J22</f>
        <v>#REF!</v>
      </c>
      <c r="K22" s="33">
        <v>21</v>
      </c>
      <c r="L22" s="22">
        <v>0</v>
      </c>
      <c r="M22" s="23" t="e">
        <f>L22+'20.04'!M22</f>
        <v>#REF!</v>
      </c>
      <c r="N22" s="33">
        <v>560</v>
      </c>
      <c r="O22" s="22">
        <v>30</v>
      </c>
      <c r="P22" s="23" t="e">
        <f>O22+'20.04'!P22</f>
        <v>#REF!</v>
      </c>
      <c r="Q22" s="33">
        <v>375</v>
      </c>
      <c r="R22" s="22">
        <v>30</v>
      </c>
      <c r="S22" s="23" t="e">
        <f>R22+'20.04'!S22</f>
        <v>#REF!</v>
      </c>
      <c r="T22" s="33">
        <v>165</v>
      </c>
      <c r="U22" s="22">
        <v>33</v>
      </c>
      <c r="V22" s="23" t="e">
        <f>U22+'20.04'!V22</f>
        <v>#REF!</v>
      </c>
      <c r="W22" s="33">
        <v>28</v>
      </c>
      <c r="X22" s="22">
        <v>47</v>
      </c>
      <c r="Y22" s="23" t="e">
        <f>X22+'20.04'!Y22</f>
        <v>#REF!</v>
      </c>
      <c r="Z22" s="33">
        <v>9</v>
      </c>
      <c r="AA22" s="22">
        <v>0</v>
      </c>
      <c r="AB22" s="23" t="e">
        <f>AA22+'20.04'!AB22</f>
        <v>#REF!</v>
      </c>
      <c r="AC22" s="33">
        <v>112</v>
      </c>
      <c r="AD22" s="22">
        <v>1484</v>
      </c>
      <c r="AE22" s="23" t="e">
        <f>AD22+'20.04'!AE22</f>
        <v>#REF!</v>
      </c>
      <c r="AF22" s="19">
        <f t="shared" si="1"/>
        <v>40138</v>
      </c>
      <c r="AG22" s="20" t="e">
        <f t="shared" si="1"/>
        <v>#REF!</v>
      </c>
      <c r="AH22" s="24">
        <v>650</v>
      </c>
      <c r="AI22" s="23" t="e">
        <f>AH22+'20.04'!AI22</f>
        <v>#REF!</v>
      </c>
      <c r="AJ22" s="24">
        <v>8000</v>
      </c>
      <c r="AK22" s="23" t="e">
        <f>AJ22+'20.04'!AK22</f>
        <v>#REF!</v>
      </c>
      <c r="AL22" s="22">
        <v>488</v>
      </c>
      <c r="AM22" s="23" t="e">
        <f>AL22+'20.04'!AM22</f>
        <v>#REF!</v>
      </c>
      <c r="AN22" s="22">
        <v>31000</v>
      </c>
      <c r="AO22" s="23" t="e">
        <f>AN22+'20.04'!AO22</f>
        <v>#REF!</v>
      </c>
      <c r="AP22" s="28" t="s">
        <v>59</v>
      </c>
      <c r="AQ22" s="19">
        <f t="shared" si="4"/>
        <v>1855</v>
      </c>
      <c r="AR22" s="20" t="e">
        <f t="shared" si="2"/>
        <v>#REF!</v>
      </c>
      <c r="AS22" s="34">
        <v>0</v>
      </c>
      <c r="AT22" s="23" t="e">
        <f>AS22+'20.04'!AT22</f>
        <v>#REF!</v>
      </c>
      <c r="AU22" s="34">
        <v>0</v>
      </c>
      <c r="AV22" s="23" t="e">
        <f>AU22+'20.04'!AV22</f>
        <v>#REF!</v>
      </c>
      <c r="AW22" s="34">
        <v>0</v>
      </c>
      <c r="AX22" s="23" t="e">
        <f>AW22+'20.04'!AX22</f>
        <v>#REF!</v>
      </c>
      <c r="AY22" s="34">
        <v>0</v>
      </c>
      <c r="AZ22" s="23" t="e">
        <f>AY22+'20.04'!AZ22</f>
        <v>#REF!</v>
      </c>
      <c r="BA22" s="34">
        <v>1855</v>
      </c>
      <c r="BB22" s="23" t="e">
        <f>BA22+'20.04'!BB22</f>
        <v>#REF!</v>
      </c>
      <c r="BC22" s="19">
        <f t="shared" si="3"/>
        <v>7970</v>
      </c>
      <c r="BD22" s="20" t="e">
        <f t="shared" si="3"/>
        <v>#REF!</v>
      </c>
      <c r="BE22" s="22">
        <v>6</v>
      </c>
      <c r="BF22" s="23" t="e">
        <f>BE22+'20.04'!BF22</f>
        <v>#REF!</v>
      </c>
      <c r="BG22" s="34">
        <v>2</v>
      </c>
      <c r="BH22" s="23" t="e">
        <f>BG22+'20.04'!BH22</f>
        <v>#REF!</v>
      </c>
      <c r="BI22" s="22">
        <v>7952</v>
      </c>
      <c r="BJ22" s="23" t="e">
        <f>BI22+'20.04'!BJ22</f>
        <v>#REF!</v>
      </c>
      <c r="BK22" s="22">
        <v>10</v>
      </c>
      <c r="BL22" s="23" t="e">
        <f>BK22+'20.04'!BL22</f>
        <v>#REF!</v>
      </c>
      <c r="BM22" s="22">
        <v>0</v>
      </c>
      <c r="BN22" s="23" t="e">
        <f>BM22+'20.04'!BN22</f>
        <v>#REF!</v>
      </c>
      <c r="BO22" s="36">
        <v>26</v>
      </c>
      <c r="BP22" s="37">
        <v>1</v>
      </c>
      <c r="BQ22" s="23" t="e">
        <f>BP22+'20.04'!BQ22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4432</v>
      </c>
      <c r="D23" s="65" t="e">
        <f t="shared" si="0"/>
        <v>#REF!</v>
      </c>
      <c r="E23" s="66">
        <f>+E18+E19+E22+E17+E16+E15+E14+E13+E12+E11+E10+E9+E8</f>
        <v>7282</v>
      </c>
      <c r="F23" s="67">
        <f>SUM(F8:F22)</f>
        <v>1718</v>
      </c>
      <c r="G23" s="68" t="e">
        <f>SUM(G8:G22)</f>
        <v>#REF!</v>
      </c>
      <c r="H23" s="66">
        <f>+H18+H19+H22+H17+H16+H15+H14+H13+H12+H11+H10+H9+H8</f>
        <v>271</v>
      </c>
      <c r="I23" s="67">
        <f>SUM(I8:I22)</f>
        <v>25</v>
      </c>
      <c r="J23" s="68" t="e">
        <f>SUM(J8:J22)</f>
        <v>#REF!</v>
      </c>
      <c r="K23" s="66">
        <f>+K18+K19+K22+K17+K16+K15+K14+K13+K12+K11+K10+K9+K8</f>
        <v>163</v>
      </c>
      <c r="L23" s="67">
        <f>SUM(L8:L22)</f>
        <v>0</v>
      </c>
      <c r="M23" s="68" t="e">
        <f>SUM(M8:M22)</f>
        <v>#REF!</v>
      </c>
      <c r="N23" s="66">
        <f>+N18+N19+N22+N17+N16+N15+N14+N13+N12+N11+N10+N9+N8</f>
        <v>8607</v>
      </c>
      <c r="O23" s="67">
        <f>SUM(O8:O22)</f>
        <v>180</v>
      </c>
      <c r="P23" s="68" t="e">
        <f>SUM(P8:P22)</f>
        <v>#REF!</v>
      </c>
      <c r="Q23" s="66">
        <f>+Q18+Q19+Q22+Q17+Q16+Q15+Q14+Q13+Q12+Q11+Q10+Q9+Q8</f>
        <v>7474</v>
      </c>
      <c r="R23" s="67">
        <f>SUM(R8:R22)</f>
        <v>39</v>
      </c>
      <c r="S23" s="68" t="e">
        <f>SUM(S8:S22)</f>
        <v>#REF!</v>
      </c>
      <c r="T23" s="66">
        <f>+T18+T19+T22+T17+T16+T15+T14+T13+T12+T11+T10+T9+T8</f>
        <v>4115</v>
      </c>
      <c r="U23" s="67">
        <f>SUM(U8:U22)</f>
        <v>39</v>
      </c>
      <c r="V23" s="68" t="e">
        <f>SUM(V8:V22)</f>
        <v>#REF!</v>
      </c>
      <c r="W23" s="66">
        <f>+W18+W19+W22+W17+W16+W15+W14+W13+W12+W11+W10+W9+W8</f>
        <v>604</v>
      </c>
      <c r="X23" s="67">
        <f>SUM(X8:X22)</f>
        <v>636</v>
      </c>
      <c r="Y23" s="68" t="e">
        <f>SUM(Y8:Y22)</f>
        <v>#REF!</v>
      </c>
      <c r="Z23" s="66">
        <f>+Z18+Z19+Z22+Z17+Z16+Z15+Z14+Z13+Z12+Z11+Z10+Z9+Z8</f>
        <v>1629</v>
      </c>
      <c r="AA23" s="67">
        <f>SUM(AA8:AA22)</f>
        <v>3</v>
      </c>
      <c r="AB23" s="68" t="e">
        <f>SUM(AB8:AB22)</f>
        <v>#REF!</v>
      </c>
      <c r="AC23" s="66">
        <f>+AC18+AC19+AC22+AC17+AC16+AC15+AC14+AC13+AC12+AC11+AC10+AC9+AC8</f>
        <v>64846</v>
      </c>
      <c r="AD23" s="67">
        <f t="shared" ref="AD23:AO23" si="5">SUM(AD8:AD22)</f>
        <v>1792</v>
      </c>
      <c r="AE23" s="68" t="e">
        <f t="shared" si="5"/>
        <v>#REF!</v>
      </c>
      <c r="AF23" s="64">
        <f t="shared" si="5"/>
        <v>2622398</v>
      </c>
      <c r="AG23" s="64" t="e">
        <f t="shared" si="5"/>
        <v>#REF!</v>
      </c>
      <c r="AH23" s="67">
        <f t="shared" si="5"/>
        <v>36154</v>
      </c>
      <c r="AI23" s="68" t="e">
        <f t="shared" si="5"/>
        <v>#REF!</v>
      </c>
      <c r="AJ23" s="67">
        <f t="shared" si="5"/>
        <v>247590</v>
      </c>
      <c r="AK23" s="68" t="e">
        <f t="shared" si="5"/>
        <v>#REF!</v>
      </c>
      <c r="AL23" s="67">
        <f t="shared" si="5"/>
        <v>776423</v>
      </c>
      <c r="AM23" s="68" t="e">
        <f t="shared" si="5"/>
        <v>#REF!</v>
      </c>
      <c r="AN23" s="67">
        <f t="shared" si="5"/>
        <v>1562231</v>
      </c>
      <c r="AO23" s="68" t="e">
        <f t="shared" si="5"/>
        <v>#REF!</v>
      </c>
      <c r="AP23" s="62" t="s">
        <v>12</v>
      </c>
      <c r="AQ23" s="64">
        <f t="shared" ref="AQ23:BP23" si="6">SUM(AQ8:AQ22)</f>
        <v>2268</v>
      </c>
      <c r="AR23" s="64" t="e">
        <f t="shared" si="6"/>
        <v>#REF!</v>
      </c>
      <c r="AS23" s="67">
        <f t="shared" si="6"/>
        <v>7</v>
      </c>
      <c r="AT23" s="68" t="e">
        <f t="shared" si="6"/>
        <v>#REF!</v>
      </c>
      <c r="AU23" s="67">
        <f t="shared" si="6"/>
        <v>8</v>
      </c>
      <c r="AV23" s="68" t="e">
        <f t="shared" si="6"/>
        <v>#REF!</v>
      </c>
      <c r="AW23" s="67">
        <f t="shared" si="6"/>
        <v>0</v>
      </c>
      <c r="AX23" s="68" t="e">
        <f t="shared" si="6"/>
        <v>#REF!</v>
      </c>
      <c r="AY23" s="67">
        <f t="shared" si="6"/>
        <v>0</v>
      </c>
      <c r="AZ23" s="68" t="e">
        <f t="shared" si="6"/>
        <v>#REF!</v>
      </c>
      <c r="BA23" s="67">
        <f t="shared" si="6"/>
        <v>2253</v>
      </c>
      <c r="BB23" s="68" t="e">
        <f t="shared" si="6"/>
        <v>#REF!</v>
      </c>
      <c r="BC23" s="64">
        <f t="shared" si="6"/>
        <v>44761</v>
      </c>
      <c r="BD23" s="64" t="e">
        <f t="shared" si="6"/>
        <v>#REF!</v>
      </c>
      <c r="BE23" s="67">
        <f t="shared" si="6"/>
        <v>1990</v>
      </c>
      <c r="BF23" s="68" t="e">
        <f t="shared" si="6"/>
        <v>#REF!</v>
      </c>
      <c r="BG23" s="67">
        <f t="shared" si="6"/>
        <v>34</v>
      </c>
      <c r="BH23" s="68" t="e">
        <f t="shared" si="6"/>
        <v>#REF!</v>
      </c>
      <c r="BI23" s="67">
        <f t="shared" si="6"/>
        <v>37795</v>
      </c>
      <c r="BJ23" s="68" t="e">
        <f t="shared" si="6"/>
        <v>#REF!</v>
      </c>
      <c r="BK23" s="67">
        <f t="shared" si="6"/>
        <v>4942</v>
      </c>
      <c r="BL23" s="68" t="e">
        <f t="shared" si="6"/>
        <v>#REF!</v>
      </c>
      <c r="BM23" s="67">
        <f t="shared" si="6"/>
        <v>0</v>
      </c>
      <c r="BN23" s="68" t="e">
        <f t="shared" si="6"/>
        <v>#REF!</v>
      </c>
      <c r="BO23" s="69">
        <f t="shared" si="6"/>
        <v>37684</v>
      </c>
      <c r="BP23" s="70">
        <f t="shared" si="6"/>
        <v>19</v>
      </c>
      <c r="BQ23" s="23">
        <f>BP23+'21.04'!BP23</f>
        <v>38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BU23"/>
  <sheetViews>
    <sheetView zoomScale="115" zoomScaleNormal="115" workbookViewId="0">
      <pane xSplit="4" ySplit="8" topLeftCell="AE18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7.7109375" customWidth="1"/>
    <col min="5" max="28" width="6.28515625" customWidth="1"/>
    <col min="29" max="29" width="7.7109375" customWidth="1"/>
    <col min="30" max="30" width="6.28515625" customWidth="1"/>
    <col min="31" max="31" width="9.5703125" customWidth="1"/>
    <col min="32" max="32" width="10.5703125" customWidth="1"/>
    <col min="33" max="33" width="14.7109375" customWidth="1"/>
    <col min="34" max="34" width="7.5703125" customWidth="1"/>
    <col min="35" max="35" width="10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3</v>
      </c>
      <c r="D9" s="31" t="e">
        <f t="shared" si="2"/>
        <v>#REF!</v>
      </c>
      <c r="E9" s="32">
        <v>452</v>
      </c>
      <c r="F9" s="22">
        <v>2</v>
      </c>
      <c r="G9" s="23" t="e">
        <f>F9+'21.04'!G9</f>
        <v>#REF!</v>
      </c>
      <c r="H9" s="33">
        <v>12</v>
      </c>
      <c r="I9" s="34">
        <v>1</v>
      </c>
      <c r="J9" s="23" t="e">
        <f>I9+'21.04'!J9</f>
        <v>#REF!</v>
      </c>
      <c r="K9" s="33">
        <v>2</v>
      </c>
      <c r="L9" s="22">
        <v>0</v>
      </c>
      <c r="M9" s="23" t="e">
        <f>L9+'21.04'!M9</f>
        <v>#REF!</v>
      </c>
      <c r="N9" s="33">
        <v>735</v>
      </c>
      <c r="O9" s="22">
        <v>0</v>
      </c>
      <c r="P9" s="23" t="e">
        <f>O9+'21.04'!P9</f>
        <v>#REF!</v>
      </c>
      <c r="Q9" s="33">
        <v>502</v>
      </c>
      <c r="R9" s="22">
        <v>0</v>
      </c>
      <c r="S9" s="23" t="e">
        <f>R9+'21.04'!S9</f>
        <v>#REF!</v>
      </c>
      <c r="T9" s="33">
        <v>197</v>
      </c>
      <c r="U9" s="22">
        <v>0</v>
      </c>
      <c r="V9" s="23" t="e">
        <f>U9+'21.04'!V9</f>
        <v>#REF!</v>
      </c>
      <c r="W9" s="33">
        <v>47</v>
      </c>
      <c r="X9" s="22">
        <v>0</v>
      </c>
      <c r="Y9" s="23" t="e">
        <f>X9+'21.04'!Y9</f>
        <v>#REF!</v>
      </c>
      <c r="Z9" s="33">
        <v>34</v>
      </c>
      <c r="AA9" s="22">
        <v>0</v>
      </c>
      <c r="AB9" s="23" t="e">
        <f>AA9+'21.04'!AB9</f>
        <v>#REF!</v>
      </c>
      <c r="AC9" s="33">
        <v>1860</v>
      </c>
      <c r="AD9" s="22">
        <v>0</v>
      </c>
      <c r="AE9" s="23" t="e">
        <f>AD9+'21.04'!AE9</f>
        <v>#REF!</v>
      </c>
      <c r="AF9" s="19">
        <f t="shared" si="3"/>
        <v>7166</v>
      </c>
      <c r="AG9" s="20" t="e">
        <f t="shared" si="4"/>
        <v>#REF!</v>
      </c>
      <c r="AH9" s="24">
        <v>68</v>
      </c>
      <c r="AI9" s="23" t="e">
        <f>AH9+'21.04'!AI9</f>
        <v>#REF!</v>
      </c>
      <c r="AJ9" s="24">
        <v>298</v>
      </c>
      <c r="AK9" s="23" t="e">
        <f>AJ9+'21.04'!AK9</f>
        <v>#REF!</v>
      </c>
      <c r="AL9" s="22">
        <v>2550</v>
      </c>
      <c r="AM9" s="23" t="e">
        <f>AL9+'21.04'!AM9</f>
        <v>#REF!</v>
      </c>
      <c r="AN9" s="22">
        <v>4250</v>
      </c>
      <c r="AO9" s="23" t="e">
        <f>AN9+'21.04'!AO9</f>
        <v>#REF!</v>
      </c>
      <c r="AP9" s="28" t="s">
        <v>43</v>
      </c>
      <c r="AQ9" s="19">
        <f t="shared" si="6"/>
        <v>57</v>
      </c>
      <c r="AR9" s="20" t="e">
        <f t="shared" si="7"/>
        <v>#REF!</v>
      </c>
      <c r="AS9" s="34">
        <v>1</v>
      </c>
      <c r="AT9" s="23" t="e">
        <f>AS9+'21.04'!AT9</f>
        <v>#REF!</v>
      </c>
      <c r="AU9" s="34">
        <v>1</v>
      </c>
      <c r="AV9" s="23" t="e">
        <f>AU9+'21.04'!AV9</f>
        <v>#REF!</v>
      </c>
      <c r="AW9" s="34">
        <v>1</v>
      </c>
      <c r="AX9" s="23" t="e">
        <f>AW9+'21.04'!AX9</f>
        <v>#REF!</v>
      </c>
      <c r="AY9" s="34">
        <v>0</v>
      </c>
      <c r="AZ9" s="23" t="e">
        <f>AY9+'21.04'!AZ9</f>
        <v>#REF!</v>
      </c>
      <c r="BA9" s="34">
        <v>54</v>
      </c>
      <c r="BB9" s="23" t="e">
        <f>BA9+'21.04'!BB9</f>
        <v>#REF!</v>
      </c>
      <c r="BC9" s="19">
        <f t="shared" si="9"/>
        <v>401</v>
      </c>
      <c r="BD9" s="20" t="e">
        <f t="shared" si="10"/>
        <v>#REF!</v>
      </c>
      <c r="BE9" s="22">
        <v>1</v>
      </c>
      <c r="BF9" s="23" t="e">
        <f>BE9+'21.04'!BF9</f>
        <v>#REF!</v>
      </c>
      <c r="BG9" s="34">
        <v>0</v>
      </c>
      <c r="BH9" s="23" t="e">
        <f>BG9+'21.04'!BH9</f>
        <v>#REF!</v>
      </c>
      <c r="BI9" s="22">
        <v>400</v>
      </c>
      <c r="BJ9" s="23" t="e">
        <f>BI9+'21.04'!BJ9</f>
        <v>#REF!</v>
      </c>
      <c r="BK9" s="22">
        <v>0</v>
      </c>
      <c r="BL9" s="23" t="e">
        <f>BK9+'21.04'!BL9</f>
        <v>#REF!</v>
      </c>
      <c r="BM9" s="22">
        <v>0</v>
      </c>
      <c r="BN9" s="23" t="e">
        <f>BM9+'21.04'!BN9</f>
        <v>#REF!</v>
      </c>
      <c r="BO9" s="36">
        <v>14</v>
      </c>
      <c r="BP9" s="37">
        <v>0</v>
      </c>
      <c r="BQ9" s="23" t="e">
        <f>BP9+'21.04'!BQ9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120</v>
      </c>
      <c r="D10" s="31" t="e">
        <f t="shared" si="2"/>
        <v>#REF!</v>
      </c>
      <c r="E10" s="32">
        <v>585</v>
      </c>
      <c r="F10" s="22">
        <v>33</v>
      </c>
      <c r="G10" s="23" t="e">
        <f>F10+'21.04'!G10</f>
        <v>#REF!</v>
      </c>
      <c r="H10" s="33">
        <v>93</v>
      </c>
      <c r="I10" s="34">
        <v>6</v>
      </c>
      <c r="J10" s="23" t="e">
        <f>I10+'21.04'!J10</f>
        <v>#REF!</v>
      </c>
      <c r="K10" s="33">
        <v>34</v>
      </c>
      <c r="L10" s="22">
        <v>2</v>
      </c>
      <c r="M10" s="23" t="e">
        <f>L10+'21.04'!M10</f>
        <v>#REF!</v>
      </c>
      <c r="N10" s="33">
        <v>352</v>
      </c>
      <c r="O10" s="22">
        <v>20</v>
      </c>
      <c r="P10" s="23" t="e">
        <f>O10+'21.04'!P10</f>
        <v>#REF!</v>
      </c>
      <c r="Q10" s="33">
        <v>549</v>
      </c>
      <c r="R10" s="22">
        <v>16</v>
      </c>
      <c r="S10" s="23" t="e">
        <f>R10+'21.04'!S10</f>
        <v>#REF!</v>
      </c>
      <c r="T10" s="33">
        <v>198</v>
      </c>
      <c r="U10" s="22">
        <v>6</v>
      </c>
      <c r="V10" s="23" t="e">
        <f>U10+'21.04'!V10</f>
        <v>#REF!</v>
      </c>
      <c r="W10" s="38">
        <v>55</v>
      </c>
      <c r="X10" s="22">
        <v>1</v>
      </c>
      <c r="Y10" s="23" t="e">
        <f>X10+'21.04'!Y10</f>
        <v>#REF!</v>
      </c>
      <c r="Z10" s="38">
        <v>71</v>
      </c>
      <c r="AA10" s="22">
        <v>1</v>
      </c>
      <c r="AB10" s="23" t="e">
        <f>AA10+'21.04'!AB10</f>
        <v>#REF!</v>
      </c>
      <c r="AC10" s="38">
        <v>1690</v>
      </c>
      <c r="AD10" s="22">
        <v>35</v>
      </c>
      <c r="AE10" s="23" t="e">
        <f>AD10+'21.04'!AE10</f>
        <v>#REF!</v>
      </c>
      <c r="AF10" s="19">
        <f t="shared" si="3"/>
        <v>121696</v>
      </c>
      <c r="AG10" s="20" t="e">
        <f t="shared" si="4"/>
        <v>#REF!</v>
      </c>
      <c r="AH10" s="24">
        <v>1106</v>
      </c>
      <c r="AI10" s="23" t="e">
        <f>AH10+'21.04'!AI10</f>
        <v>#REF!</v>
      </c>
      <c r="AJ10" s="24">
        <v>4484</v>
      </c>
      <c r="AK10" s="23" t="e">
        <f>AJ10+'21.04'!AK10</f>
        <v>#REF!</v>
      </c>
      <c r="AL10" s="22">
        <v>15523</v>
      </c>
      <c r="AM10" s="23" t="e">
        <f>AL10+'21.04'!AM10</f>
        <v>#REF!</v>
      </c>
      <c r="AN10" s="22">
        <v>100583</v>
      </c>
      <c r="AO10" s="23" t="e">
        <f>AN10+'21.04'!AO10</f>
        <v>#REF!</v>
      </c>
      <c r="AP10" s="28" t="s">
        <v>44</v>
      </c>
      <c r="AQ10" s="19">
        <f t="shared" si="6"/>
        <v>7</v>
      </c>
      <c r="AR10" s="20" t="e">
        <f t="shared" si="7"/>
        <v>#REF!</v>
      </c>
      <c r="AS10" s="34">
        <v>0</v>
      </c>
      <c r="AT10" s="23" t="e">
        <f>AS10+'21.04'!AT10</f>
        <v>#REF!</v>
      </c>
      <c r="AU10" s="34">
        <v>0</v>
      </c>
      <c r="AV10" s="23" t="e">
        <f>AU10+'21.04'!AV10</f>
        <v>#REF!</v>
      </c>
      <c r="AW10" s="34">
        <v>0</v>
      </c>
      <c r="AX10" s="23" t="e">
        <f>AW10+'21.04'!AX10</f>
        <v>#REF!</v>
      </c>
      <c r="AY10" s="34">
        <v>0</v>
      </c>
      <c r="AZ10" s="23" t="e">
        <f>AY10+'21.04'!AZ10</f>
        <v>#REF!</v>
      </c>
      <c r="BA10" s="34">
        <v>7</v>
      </c>
      <c r="BB10" s="23" t="e">
        <f>BA10+'21.04'!BB10</f>
        <v>#REF!</v>
      </c>
      <c r="BC10" s="19">
        <f t="shared" si="9"/>
        <v>4467</v>
      </c>
      <c r="BD10" s="20" t="e">
        <f t="shared" si="10"/>
        <v>#REF!</v>
      </c>
      <c r="BE10" s="22">
        <v>604</v>
      </c>
      <c r="BF10" s="23" t="e">
        <f>BE10+'21.04'!BF10</f>
        <v>#REF!</v>
      </c>
      <c r="BG10" s="34">
        <v>2</v>
      </c>
      <c r="BH10" s="23" t="e">
        <f>BG10+'21.04'!BH10</f>
        <v>#REF!</v>
      </c>
      <c r="BI10" s="22">
        <v>2821</v>
      </c>
      <c r="BJ10" s="23" t="e">
        <f>BI10+'21.04'!BJ10</f>
        <v>#REF!</v>
      </c>
      <c r="BK10" s="22">
        <v>1040</v>
      </c>
      <c r="BL10" s="23" t="e">
        <f>BK10+'21.04'!BL10</f>
        <v>#REF!</v>
      </c>
      <c r="BM10" s="22">
        <v>0</v>
      </c>
      <c r="BN10" s="23" t="e">
        <f>BM10+'21.04'!BN10</f>
        <v>#REF!</v>
      </c>
      <c r="BO10" s="36">
        <v>32</v>
      </c>
      <c r="BP10" s="37">
        <v>4</v>
      </c>
      <c r="BQ10" s="23" t="e">
        <f>BP10+'21.04'!BQ10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43</v>
      </c>
      <c r="D11" s="31" t="e">
        <f t="shared" si="2"/>
        <v>#REF!</v>
      </c>
      <c r="E11" s="32">
        <v>883</v>
      </c>
      <c r="F11" s="22">
        <v>18</v>
      </c>
      <c r="G11" s="23" t="e">
        <f>F11+'21.04'!G11</f>
        <v>#REF!</v>
      </c>
      <c r="H11" s="33">
        <v>16</v>
      </c>
      <c r="I11" s="34">
        <v>0</v>
      </c>
      <c r="J11" s="23" t="e">
        <f>I11+'21.04'!J11</f>
        <v>#REF!</v>
      </c>
      <c r="K11" s="33">
        <v>3</v>
      </c>
      <c r="L11" s="22">
        <v>0</v>
      </c>
      <c r="M11" s="23" t="e">
        <f>L11+'21.04'!M11</f>
        <v>#REF!</v>
      </c>
      <c r="N11" s="33">
        <v>875</v>
      </c>
      <c r="O11" s="22">
        <v>0</v>
      </c>
      <c r="P11" s="23" t="e">
        <f>O11+'21.04'!P11</f>
        <v>#REF!</v>
      </c>
      <c r="Q11" s="33">
        <v>2424</v>
      </c>
      <c r="R11" s="22">
        <v>0</v>
      </c>
      <c r="S11" s="23" t="e">
        <f>R11+'21.04'!S11</f>
        <v>#REF!</v>
      </c>
      <c r="T11" s="33">
        <v>69</v>
      </c>
      <c r="U11" s="22">
        <v>0</v>
      </c>
      <c r="V11" s="23" t="e">
        <f>U11+'21.04'!V11</f>
        <v>#REF!</v>
      </c>
      <c r="W11" s="38">
        <v>133</v>
      </c>
      <c r="X11" s="22">
        <v>24</v>
      </c>
      <c r="Y11" s="23" t="e">
        <f>X11+'21.04'!Y11</f>
        <v>#REF!</v>
      </c>
      <c r="Z11" s="38">
        <v>1116</v>
      </c>
      <c r="AA11" s="22">
        <v>0</v>
      </c>
      <c r="AB11" s="23" t="e">
        <f>AA11+'21.04'!AB11</f>
        <v>#REF!</v>
      </c>
      <c r="AC11" s="38">
        <v>9862</v>
      </c>
      <c r="AD11" s="22">
        <v>1</v>
      </c>
      <c r="AE11" s="23" t="e">
        <f>AD11+'21.04'!AE11</f>
        <v>#REF!</v>
      </c>
      <c r="AF11" s="19">
        <f t="shared" si="3"/>
        <v>81200</v>
      </c>
      <c r="AG11" s="20" t="e">
        <f t="shared" si="4"/>
        <v>#REF!</v>
      </c>
      <c r="AH11" s="24">
        <v>3000</v>
      </c>
      <c r="AI11" s="23" t="e">
        <f>AH11+'21.04'!AI11</f>
        <v>#REF!</v>
      </c>
      <c r="AJ11" s="24">
        <v>5200</v>
      </c>
      <c r="AK11" s="23" t="e">
        <f>AJ11+'21.04'!AK11</f>
        <v>#REF!</v>
      </c>
      <c r="AL11" s="22">
        <v>25000</v>
      </c>
      <c r="AM11" s="23" t="e">
        <f>AL11+'21.04'!AM11</f>
        <v>#REF!</v>
      </c>
      <c r="AN11" s="22">
        <v>48000</v>
      </c>
      <c r="AO11" s="23" t="e">
        <f>AN11+'21.04'!AO11</f>
        <v>#REF!</v>
      </c>
      <c r="AP11" s="28" t="s">
        <v>45</v>
      </c>
      <c r="AQ11" s="19">
        <f t="shared" si="6"/>
        <v>7</v>
      </c>
      <c r="AR11" s="20" t="e">
        <f t="shared" si="7"/>
        <v>#REF!</v>
      </c>
      <c r="AS11" s="34">
        <v>0</v>
      </c>
      <c r="AT11" s="23" t="e">
        <f>AS11+'21.04'!AT11</f>
        <v>#REF!</v>
      </c>
      <c r="AU11" s="34">
        <v>0</v>
      </c>
      <c r="AV11" s="23" t="e">
        <f>AU11+'21.04'!AV11</f>
        <v>#REF!</v>
      </c>
      <c r="AW11" s="34">
        <v>0</v>
      </c>
      <c r="AX11" s="23" t="e">
        <f>AW11+'21.04'!AX11</f>
        <v>#REF!</v>
      </c>
      <c r="AY11" s="34">
        <v>0</v>
      </c>
      <c r="AZ11" s="23" t="e">
        <f>AY11+'21.04'!AZ11</f>
        <v>#REF!</v>
      </c>
      <c r="BA11" s="34">
        <v>7</v>
      </c>
      <c r="BB11" s="23" t="e">
        <f>BA11+'21.04'!BB11</f>
        <v>#REF!</v>
      </c>
      <c r="BC11" s="19">
        <f t="shared" si="9"/>
        <v>2247</v>
      </c>
      <c r="BD11" s="20" t="e">
        <f t="shared" si="10"/>
        <v>#REF!</v>
      </c>
      <c r="BE11" s="22">
        <v>6</v>
      </c>
      <c r="BF11" s="23" t="e">
        <f>BE11+'21.04'!BF11</f>
        <v>#REF!</v>
      </c>
      <c r="BG11" s="34">
        <v>1</v>
      </c>
      <c r="BH11" s="23" t="e">
        <f>BG11+'21.04'!BH11</f>
        <v>#REF!</v>
      </c>
      <c r="BI11" s="22">
        <v>2200</v>
      </c>
      <c r="BJ11" s="23" t="e">
        <f>BI11+'21.04'!BJ11</f>
        <v>#REF!</v>
      </c>
      <c r="BK11" s="22">
        <v>40</v>
      </c>
      <c r="BL11" s="23" t="e">
        <f>BK11+'21.04'!BL11</f>
        <v>#REF!</v>
      </c>
      <c r="BM11" s="22">
        <v>0</v>
      </c>
      <c r="BN11" s="23" t="e">
        <f>BM11+'21.04'!BN11</f>
        <v>#REF!</v>
      </c>
      <c r="BO11" s="36">
        <v>11506</v>
      </c>
      <c r="BP11" s="37">
        <v>2</v>
      </c>
      <c r="BQ11" s="23" t="e">
        <f>BP11+'21.04'!BQ11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216</v>
      </c>
      <c r="D12" s="31" t="e">
        <f t="shared" si="2"/>
        <v>#REF!</v>
      </c>
      <c r="E12" s="32">
        <v>909</v>
      </c>
      <c r="F12" s="22">
        <v>61</v>
      </c>
      <c r="G12" s="23" t="e">
        <f>F12+'21.04'!G12</f>
        <v>#REF!</v>
      </c>
      <c r="H12" s="33">
        <v>80</v>
      </c>
      <c r="I12" s="34">
        <v>5</v>
      </c>
      <c r="J12" s="23" t="e">
        <f>I12+'21.04'!J12</f>
        <v>#REF!</v>
      </c>
      <c r="K12" s="33">
        <v>5</v>
      </c>
      <c r="L12" s="22">
        <v>0</v>
      </c>
      <c r="M12" s="23" t="e">
        <f>L12+'21.04'!M12</f>
        <v>#REF!</v>
      </c>
      <c r="N12" s="33">
        <v>820</v>
      </c>
      <c r="O12" s="22">
        <v>52</v>
      </c>
      <c r="P12" s="23" t="e">
        <f>O12+'21.04'!P12</f>
        <v>#REF!</v>
      </c>
      <c r="Q12" s="33">
        <v>549</v>
      </c>
      <c r="R12" s="22">
        <v>0</v>
      </c>
      <c r="S12" s="23" t="e">
        <f>R12+'21.04'!S12</f>
        <v>#REF!</v>
      </c>
      <c r="T12" s="33">
        <v>992</v>
      </c>
      <c r="U12" s="22">
        <v>0</v>
      </c>
      <c r="V12" s="23" t="e">
        <f>U12+'21.04'!V12</f>
        <v>#REF!</v>
      </c>
      <c r="W12" s="33">
        <v>38</v>
      </c>
      <c r="X12" s="22">
        <v>98</v>
      </c>
      <c r="Y12" s="23" t="e">
        <f>X12+'21.04'!Y12</f>
        <v>#REF!</v>
      </c>
      <c r="Z12" s="33">
        <v>68</v>
      </c>
      <c r="AA12" s="22">
        <v>0</v>
      </c>
      <c r="AB12" s="23" t="e">
        <f>AA12+'21.04'!AB12</f>
        <v>#REF!</v>
      </c>
      <c r="AC12" s="33">
        <v>26703</v>
      </c>
      <c r="AD12" s="22">
        <v>0</v>
      </c>
      <c r="AE12" s="23" t="e">
        <f>AD12+'21.04'!AE12</f>
        <v>#REF!</v>
      </c>
      <c r="AF12" s="19">
        <f t="shared" si="3"/>
        <v>35500</v>
      </c>
      <c r="AG12" s="20" t="e">
        <f t="shared" si="4"/>
        <v>#REF!</v>
      </c>
      <c r="AH12" s="24">
        <v>7600</v>
      </c>
      <c r="AI12" s="23" t="e">
        <f>AH12+'21.04'!AI12</f>
        <v>#REF!</v>
      </c>
      <c r="AJ12" s="24">
        <v>9800</v>
      </c>
      <c r="AK12" s="23" t="e">
        <f>AJ12+'21.04'!AK12</f>
        <v>#REF!</v>
      </c>
      <c r="AL12" s="22">
        <v>9050</v>
      </c>
      <c r="AM12" s="23" t="e">
        <f>AL12+'21.04'!AM12</f>
        <v>#REF!</v>
      </c>
      <c r="AN12" s="22">
        <v>9050</v>
      </c>
      <c r="AO12" s="23" t="e">
        <f>AN12+'21.04'!AO12</f>
        <v>#REF!</v>
      </c>
      <c r="AP12" s="28" t="s">
        <v>46</v>
      </c>
      <c r="AQ12" s="19">
        <f t="shared" si="6"/>
        <v>3</v>
      </c>
      <c r="AR12" s="20" t="e">
        <f t="shared" si="7"/>
        <v>#REF!</v>
      </c>
      <c r="AS12" s="34">
        <v>0</v>
      </c>
      <c r="AT12" s="23" t="e">
        <f>AS12+'21.04'!AT12</f>
        <v>#REF!</v>
      </c>
      <c r="AU12" s="34">
        <v>0</v>
      </c>
      <c r="AV12" s="23" t="e">
        <f>AU12+'21.04'!AV12</f>
        <v>#REF!</v>
      </c>
      <c r="AW12" s="34">
        <v>0</v>
      </c>
      <c r="AX12" s="23" t="e">
        <f>AW12+'21.04'!AX12</f>
        <v>#REF!</v>
      </c>
      <c r="AY12" s="34">
        <v>0</v>
      </c>
      <c r="AZ12" s="23" t="e">
        <f>AY12+'21.04'!AZ12</f>
        <v>#REF!</v>
      </c>
      <c r="BA12" s="34">
        <v>3</v>
      </c>
      <c r="BB12" s="23" t="e">
        <f>BA12+'21.04'!BB12</f>
        <v>#REF!</v>
      </c>
      <c r="BC12" s="19">
        <f t="shared" si="9"/>
        <v>3623</v>
      </c>
      <c r="BD12" s="20" t="e">
        <f t="shared" si="10"/>
        <v>#REF!</v>
      </c>
      <c r="BE12" s="22">
        <v>262</v>
      </c>
      <c r="BF12" s="23" t="e">
        <f>BE12+'21.04'!BF12</f>
        <v>#REF!</v>
      </c>
      <c r="BG12" s="34">
        <v>11</v>
      </c>
      <c r="BH12" s="23" t="e">
        <f>BG12+'21.04'!BH12</f>
        <v>#REF!</v>
      </c>
      <c r="BI12" s="22">
        <v>3100</v>
      </c>
      <c r="BJ12" s="23" t="e">
        <f>BI12+'21.04'!BJ12</f>
        <v>#REF!</v>
      </c>
      <c r="BK12" s="22">
        <v>250</v>
      </c>
      <c r="BL12" s="23" t="e">
        <f>BK12+'21.04'!BL12</f>
        <v>#REF!</v>
      </c>
      <c r="BM12" s="22">
        <v>0</v>
      </c>
      <c r="BN12" s="23" t="e">
        <f>BM12+'21.04'!BN12</f>
        <v>#REF!</v>
      </c>
      <c r="BO12" s="36"/>
      <c r="BP12" s="37">
        <v>2</v>
      </c>
      <c r="BQ12" s="23" t="e">
        <f>BP12+'21.04'!BQ12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5</v>
      </c>
      <c r="D13" s="31" t="e">
        <f t="shared" si="2"/>
        <v>#REF!</v>
      </c>
      <c r="E13" s="32">
        <v>516</v>
      </c>
      <c r="F13" s="22">
        <v>2</v>
      </c>
      <c r="G13" s="23" t="e">
        <f>F13+'21.04'!G13</f>
        <v>#REF!</v>
      </c>
      <c r="H13" s="33">
        <v>10</v>
      </c>
      <c r="I13" s="34">
        <v>1</v>
      </c>
      <c r="J13" s="23" t="e">
        <f>I13+'21.04'!J13</f>
        <v>#REF!</v>
      </c>
      <c r="K13" s="33">
        <v>38</v>
      </c>
      <c r="L13" s="22">
        <v>0</v>
      </c>
      <c r="M13" s="23" t="e">
        <f>L13+'21.04'!M13</f>
        <v>#REF!</v>
      </c>
      <c r="N13" s="33">
        <v>581</v>
      </c>
      <c r="O13" s="22">
        <v>0</v>
      </c>
      <c r="P13" s="23" t="e">
        <f>O13+'21.04'!P13</f>
        <v>#REF!</v>
      </c>
      <c r="Q13" s="33">
        <v>525</v>
      </c>
      <c r="R13" s="22">
        <v>0</v>
      </c>
      <c r="S13" s="23" t="e">
        <f>R13+'21.04'!S13</f>
        <v>#REF!</v>
      </c>
      <c r="T13" s="33">
        <v>263</v>
      </c>
      <c r="U13" s="22">
        <v>0</v>
      </c>
      <c r="V13" s="23" t="e">
        <f>U13+'21.04'!V13</f>
        <v>#REF!</v>
      </c>
      <c r="W13" s="33">
        <v>43</v>
      </c>
      <c r="X13" s="22">
        <v>0</v>
      </c>
      <c r="Y13" s="23" t="e">
        <f>X13+'21.04'!Y13</f>
        <v>#REF!</v>
      </c>
      <c r="Z13" s="33">
        <v>17</v>
      </c>
      <c r="AA13" s="22">
        <v>0</v>
      </c>
      <c r="AB13" s="23" t="e">
        <f>AA13+'21.04'!AB13</f>
        <v>#REF!</v>
      </c>
      <c r="AC13" s="33">
        <v>51</v>
      </c>
      <c r="AD13" s="22">
        <v>2</v>
      </c>
      <c r="AE13" s="23" t="e">
        <f>AD13+'21.04'!AE13</f>
        <v>#REF!</v>
      </c>
      <c r="AF13" s="19">
        <f t="shared" si="3"/>
        <v>215000</v>
      </c>
      <c r="AG13" s="20" t="e">
        <f t="shared" si="4"/>
        <v>#REF!</v>
      </c>
      <c r="AH13" s="24">
        <v>2000</v>
      </c>
      <c r="AI13" s="23" t="e">
        <f>AH13+'21.04'!AI13</f>
        <v>#REF!</v>
      </c>
      <c r="AJ13" s="24">
        <v>13000</v>
      </c>
      <c r="AK13" s="23" t="e">
        <f>AJ13+'21.04'!AK13</f>
        <v>#REF!</v>
      </c>
      <c r="AL13" s="22">
        <v>20000</v>
      </c>
      <c r="AM13" s="23" t="e">
        <f>AL13+'21.04'!AM13</f>
        <v>#REF!</v>
      </c>
      <c r="AN13" s="22">
        <v>180000</v>
      </c>
      <c r="AO13" s="23" t="e">
        <f>AN13+'21.04'!AO13</f>
        <v>#REF!</v>
      </c>
      <c r="AP13" s="28" t="s">
        <v>47</v>
      </c>
      <c r="AQ13" s="19">
        <f t="shared" si="6"/>
        <v>14</v>
      </c>
      <c r="AR13" s="20" t="e">
        <f t="shared" si="7"/>
        <v>#REF!</v>
      </c>
      <c r="AS13" s="34">
        <v>2</v>
      </c>
      <c r="AT13" s="23" t="e">
        <f>AS13+'21.04'!AT13</f>
        <v>#REF!</v>
      </c>
      <c r="AU13" s="34">
        <v>2</v>
      </c>
      <c r="AV13" s="23" t="e">
        <f>AU13+'21.04'!AV13</f>
        <v>#REF!</v>
      </c>
      <c r="AW13" s="34">
        <v>0</v>
      </c>
      <c r="AX13" s="23" t="e">
        <f>AW13+'21.04'!AX13</f>
        <v>#REF!</v>
      </c>
      <c r="AY13" s="34">
        <v>0</v>
      </c>
      <c r="AZ13" s="23" t="e">
        <f>AY13+'21.04'!AZ13</f>
        <v>#REF!</v>
      </c>
      <c r="BA13" s="34">
        <v>10</v>
      </c>
      <c r="BB13" s="23" t="e">
        <f>BA13+'21.04'!BB13</f>
        <v>#REF!</v>
      </c>
      <c r="BC13" s="19">
        <f t="shared" si="9"/>
        <v>5578</v>
      </c>
      <c r="BD13" s="20" t="e">
        <f t="shared" si="10"/>
        <v>#REF!</v>
      </c>
      <c r="BE13" s="22">
        <v>516</v>
      </c>
      <c r="BF13" s="23" t="e">
        <f>BE13+'21.04'!BF13</f>
        <v>#REF!</v>
      </c>
      <c r="BG13" s="34">
        <v>12</v>
      </c>
      <c r="BH13" s="23" t="e">
        <f>BG13+'21.04'!BH13</f>
        <v>#REF!</v>
      </c>
      <c r="BI13" s="22">
        <v>5000</v>
      </c>
      <c r="BJ13" s="23" t="e">
        <f>BI13+'21.04'!BJ13</f>
        <v>#REF!</v>
      </c>
      <c r="BK13" s="22">
        <v>50</v>
      </c>
      <c r="BL13" s="23" t="e">
        <f>BK13+'21.04'!BL13</f>
        <v>#REF!</v>
      </c>
      <c r="BM13" s="22">
        <v>0</v>
      </c>
      <c r="BN13" s="23" t="e">
        <f>BM13+'21.04'!BN13</f>
        <v>#REF!</v>
      </c>
      <c r="BO13" s="36"/>
      <c r="BP13" s="37">
        <v>0</v>
      </c>
      <c r="BQ13" s="23" t="e">
        <f>BP13+'21.04'!BQ13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0</v>
      </c>
      <c r="D14" s="42" t="e">
        <f t="shared" si="2"/>
        <v>#REF!</v>
      </c>
      <c r="E14" s="43">
        <v>304</v>
      </c>
      <c r="F14" s="22"/>
      <c r="G14" s="23" t="e">
        <f>F14+'21.04'!G14</f>
        <v>#REF!</v>
      </c>
      <c r="H14" s="44">
        <v>5</v>
      </c>
      <c r="I14" s="45"/>
      <c r="J14" s="23" t="e">
        <f>I14+'21.04'!J14</f>
        <v>#REF!</v>
      </c>
      <c r="K14" s="44">
        <v>34</v>
      </c>
      <c r="L14" s="22"/>
      <c r="M14" s="23" t="e">
        <f>L14+'21.04'!M14</f>
        <v>#REF!</v>
      </c>
      <c r="N14" s="44">
        <v>583</v>
      </c>
      <c r="O14" s="22"/>
      <c r="P14" s="23" t="e">
        <f>O14+'21.04'!P14</f>
        <v>#REF!</v>
      </c>
      <c r="Q14" s="44">
        <v>254</v>
      </c>
      <c r="R14" s="22"/>
      <c r="S14" s="23" t="e">
        <f>R14+'21.04'!S14</f>
        <v>#REF!</v>
      </c>
      <c r="T14" s="44">
        <v>196</v>
      </c>
      <c r="U14" s="22"/>
      <c r="V14" s="23" t="e">
        <f>U14+'21.04'!V14</f>
        <v>#REF!</v>
      </c>
      <c r="W14" s="44">
        <v>30</v>
      </c>
      <c r="X14" s="22"/>
      <c r="Y14" s="23" t="e">
        <f>X14+'21.04'!Y14</f>
        <v>#REF!</v>
      </c>
      <c r="Z14" s="44">
        <v>10</v>
      </c>
      <c r="AA14" s="22"/>
      <c r="AB14" s="23" t="e">
        <f>AA14+'21.04'!AB14</f>
        <v>#REF!</v>
      </c>
      <c r="AC14" s="44">
        <v>2500</v>
      </c>
      <c r="AD14" s="22"/>
      <c r="AE14" s="23" t="e">
        <f>AD14+'21.04'!AE14</f>
        <v>#REF!</v>
      </c>
      <c r="AF14" s="19">
        <f t="shared" si="3"/>
        <v>0</v>
      </c>
      <c r="AG14" s="20" t="e">
        <f t="shared" si="4"/>
        <v>#REF!</v>
      </c>
      <c r="AH14" s="24"/>
      <c r="AI14" s="23" t="e">
        <f>AH14+'21.04'!AI14</f>
        <v>#REF!</v>
      </c>
      <c r="AJ14" s="24"/>
      <c r="AK14" s="23" t="e">
        <f>AJ14+'21.04'!AK14</f>
        <v>#REF!</v>
      </c>
      <c r="AL14" s="22"/>
      <c r="AM14" s="23" t="e">
        <f>AL14+'21.04'!AM14</f>
        <v>#REF!</v>
      </c>
      <c r="AN14" s="22"/>
      <c r="AO14" s="23" t="e">
        <f>AN14+'21.04'!AO14</f>
        <v>#REF!</v>
      </c>
      <c r="AP14" s="39" t="s">
        <v>48</v>
      </c>
      <c r="AQ14" s="19">
        <f t="shared" si="6"/>
        <v>0</v>
      </c>
      <c r="AR14" s="20" t="e">
        <f t="shared" si="7"/>
        <v>#REF!</v>
      </c>
      <c r="AS14" s="45"/>
      <c r="AT14" s="23" t="e">
        <f>AS14+'21.04'!AT14</f>
        <v>#REF!</v>
      </c>
      <c r="AU14" s="45"/>
      <c r="AV14" s="23" t="e">
        <f>AU14+'21.04'!AV14</f>
        <v>#REF!</v>
      </c>
      <c r="AW14" s="45"/>
      <c r="AX14" s="23" t="e">
        <f>AW14+'21.04'!AX14</f>
        <v>#REF!</v>
      </c>
      <c r="AY14" s="45"/>
      <c r="AZ14" s="23" t="e">
        <f>AY14+'21.04'!AZ14</f>
        <v>#REF!</v>
      </c>
      <c r="BA14" s="45"/>
      <c r="BB14" s="23" t="e">
        <f>BA14+'21.04'!BB14</f>
        <v>#REF!</v>
      </c>
      <c r="BC14" s="19">
        <f t="shared" si="9"/>
        <v>0</v>
      </c>
      <c r="BD14" s="20" t="e">
        <f t="shared" si="10"/>
        <v>#REF!</v>
      </c>
      <c r="BE14" s="22"/>
      <c r="BF14" s="23" t="e">
        <f>BE14+'21.04'!BF14</f>
        <v>#REF!</v>
      </c>
      <c r="BG14" s="45"/>
      <c r="BH14" s="23" t="e">
        <f>BG14+'21.04'!BH14</f>
        <v>#REF!</v>
      </c>
      <c r="BI14" s="22"/>
      <c r="BJ14" s="23" t="e">
        <f>BI14+'21.04'!BJ14</f>
        <v>#REF!</v>
      </c>
      <c r="BK14" s="22"/>
      <c r="BL14" s="23" t="e">
        <f>BK14+'21.04'!BL14</f>
        <v>#REF!</v>
      </c>
      <c r="BM14" s="22"/>
      <c r="BN14" s="23" t="e">
        <f>BM14+'21.04'!BN14</f>
        <v>#REF!</v>
      </c>
      <c r="BO14" s="48">
        <v>2</v>
      </c>
      <c r="BP14" s="49"/>
      <c r="BQ14" s="23" t="e">
        <f>BP14+'21.04'!BQ14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493</v>
      </c>
      <c r="D15" s="53" t="e">
        <f t="shared" si="2"/>
        <v>#REF!</v>
      </c>
      <c r="E15" s="54">
        <v>776</v>
      </c>
      <c r="F15" s="55">
        <v>349</v>
      </c>
      <c r="G15" s="23" t="e">
        <f>F15+'21.04'!G15</f>
        <v>#REF!</v>
      </c>
      <c r="H15" s="56">
        <v>9</v>
      </c>
      <c r="I15" s="57">
        <v>0</v>
      </c>
      <c r="J15" s="23" t="e">
        <f>I15+'21.04'!J15</f>
        <v>#REF!</v>
      </c>
      <c r="K15" s="56">
        <v>6</v>
      </c>
      <c r="L15" s="55">
        <v>0</v>
      </c>
      <c r="M15" s="23" t="e">
        <f>L15+'21.04'!M15</f>
        <v>#REF!</v>
      </c>
      <c r="N15" s="56">
        <v>1305</v>
      </c>
      <c r="O15" s="55">
        <v>0</v>
      </c>
      <c r="P15" s="23" t="e">
        <f>O15+'21.04'!P15</f>
        <v>#REF!</v>
      </c>
      <c r="Q15" s="56">
        <v>447</v>
      </c>
      <c r="R15" s="55">
        <v>0</v>
      </c>
      <c r="S15" s="23" t="e">
        <f>R15+'21.04'!S15</f>
        <v>#REF!</v>
      </c>
      <c r="T15" s="56">
        <v>337</v>
      </c>
      <c r="U15" s="55">
        <v>0</v>
      </c>
      <c r="V15" s="23" t="e">
        <f>U15+'21.04'!V15</f>
        <v>#REF!</v>
      </c>
      <c r="W15" s="56">
        <v>78</v>
      </c>
      <c r="X15" s="55">
        <v>129</v>
      </c>
      <c r="Y15" s="23" t="e">
        <f>X15+'21.04'!Y15</f>
        <v>#REF!</v>
      </c>
      <c r="Z15" s="56">
        <v>141</v>
      </c>
      <c r="AA15" s="55">
        <v>0</v>
      </c>
      <c r="AB15" s="23" t="e">
        <f>AA15+'21.04'!AB15</f>
        <v>#REF!</v>
      </c>
      <c r="AC15" s="56">
        <v>798</v>
      </c>
      <c r="AD15" s="55">
        <v>15</v>
      </c>
      <c r="AE15" s="23" t="e">
        <f>AD15+'21.04'!AE15</f>
        <v>#REF!</v>
      </c>
      <c r="AF15" s="58">
        <f t="shared" si="3"/>
        <v>1299316</v>
      </c>
      <c r="AG15" s="59" t="e">
        <f t="shared" si="4"/>
        <v>#REF!</v>
      </c>
      <c r="AH15" s="60">
        <v>1026</v>
      </c>
      <c r="AI15" s="23" t="e">
        <f>AH15+'21.04'!AI15</f>
        <v>#REF!</v>
      </c>
      <c r="AJ15" s="60">
        <v>3306</v>
      </c>
      <c r="AK15" s="23" t="e">
        <f>AJ15+'21.04'!AK15</f>
        <v>#REF!</v>
      </c>
      <c r="AL15" s="55">
        <v>294984</v>
      </c>
      <c r="AM15" s="23" t="e">
        <f>AL15+'21.04'!AM15</f>
        <v>#REF!</v>
      </c>
      <c r="AN15" s="55">
        <v>1000000</v>
      </c>
      <c r="AO15" s="23" t="e">
        <f>AN15+'21.04'!AO15</f>
        <v>#REF!</v>
      </c>
      <c r="AP15" s="50" t="s">
        <v>49</v>
      </c>
      <c r="AQ15" s="58">
        <f t="shared" si="6"/>
        <v>3</v>
      </c>
      <c r="AR15" s="59" t="e">
        <f t="shared" si="7"/>
        <v>#REF!</v>
      </c>
      <c r="AS15" s="57">
        <v>0</v>
      </c>
      <c r="AT15" s="23" t="e">
        <f>AS15+'21.04'!AT15</f>
        <v>#REF!</v>
      </c>
      <c r="AU15" s="57">
        <v>0</v>
      </c>
      <c r="AV15" s="23" t="e">
        <f>AU15+'21.04'!AV15</f>
        <v>#REF!</v>
      </c>
      <c r="AW15" s="57">
        <v>0</v>
      </c>
      <c r="AX15" s="23" t="e">
        <f>AW15+'21.04'!AX15</f>
        <v>#REF!</v>
      </c>
      <c r="AY15" s="57">
        <v>0</v>
      </c>
      <c r="AZ15" s="23" t="e">
        <f>AY15+'21.04'!AZ15</f>
        <v>#REF!</v>
      </c>
      <c r="BA15" s="57">
        <v>3</v>
      </c>
      <c r="BB15" s="23" t="e">
        <f>BA15+'21.04'!BB15</f>
        <v>#REF!</v>
      </c>
      <c r="BC15" s="58">
        <f t="shared" si="9"/>
        <v>1278</v>
      </c>
      <c r="BD15" s="59" t="e">
        <f t="shared" si="10"/>
        <v>#REF!</v>
      </c>
      <c r="BE15" s="55">
        <v>76</v>
      </c>
      <c r="BF15" s="23" t="e">
        <f>BE15+'21.04'!BF15</f>
        <v>#REF!</v>
      </c>
      <c r="BG15" s="57">
        <v>2</v>
      </c>
      <c r="BH15" s="23" t="e">
        <f>BG15+'21.04'!BH15</f>
        <v>#REF!</v>
      </c>
      <c r="BI15" s="55">
        <v>600</v>
      </c>
      <c r="BJ15" s="23" t="e">
        <f>BI15+'21.04'!BJ15</f>
        <v>#REF!</v>
      </c>
      <c r="BK15" s="55">
        <v>600</v>
      </c>
      <c r="BL15" s="23" t="e">
        <f>BK15+'21.04'!BL15</f>
        <v>#REF!</v>
      </c>
      <c r="BM15" s="55">
        <v>0</v>
      </c>
      <c r="BN15" s="23" t="e">
        <f>BM15+'21.04'!BN15</f>
        <v>#REF!</v>
      </c>
      <c r="BO15" s="36">
        <v>6274</v>
      </c>
      <c r="BP15" s="37">
        <v>3</v>
      </c>
      <c r="BQ15" s="23" t="e">
        <f>BP15+'21.04'!BQ15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0</v>
      </c>
      <c r="D16" s="31" t="e">
        <f t="shared" si="2"/>
        <v>#REF!</v>
      </c>
      <c r="E16" s="32">
        <v>310</v>
      </c>
      <c r="F16" s="22"/>
      <c r="G16" s="23" t="e">
        <f>F16+'21.04'!G16</f>
        <v>#REF!</v>
      </c>
      <c r="H16" s="33">
        <v>5</v>
      </c>
      <c r="I16" s="34"/>
      <c r="J16" s="23" t="e">
        <f>I16+'21.04'!J16</f>
        <v>#REF!</v>
      </c>
      <c r="K16" s="33">
        <v>3</v>
      </c>
      <c r="L16" s="22"/>
      <c r="M16" s="23" t="e">
        <f>L16+'21.04'!M16</f>
        <v>#REF!</v>
      </c>
      <c r="N16" s="33">
        <v>384</v>
      </c>
      <c r="O16" s="22"/>
      <c r="P16" s="23" t="e">
        <f>O16+'21.04'!P16</f>
        <v>#REF!</v>
      </c>
      <c r="Q16" s="33">
        <v>245</v>
      </c>
      <c r="R16" s="22"/>
      <c r="S16" s="23" t="e">
        <f>R16+'21.04'!S16</f>
        <v>#REF!</v>
      </c>
      <c r="T16" s="33">
        <v>397</v>
      </c>
      <c r="U16" s="22"/>
      <c r="V16" s="23" t="e">
        <f>U16+'21.04'!V16</f>
        <v>#REF!</v>
      </c>
      <c r="W16" s="33">
        <v>24</v>
      </c>
      <c r="X16" s="22"/>
      <c r="Y16" s="23" t="e">
        <f>X16+'21.04'!Y16</f>
        <v>#REF!</v>
      </c>
      <c r="Z16" s="33">
        <v>18</v>
      </c>
      <c r="AA16" s="22"/>
      <c r="AB16" s="23" t="e">
        <f>AA16+'21.04'!AB16</f>
        <v>#REF!</v>
      </c>
      <c r="AC16" s="33">
        <v>18515</v>
      </c>
      <c r="AD16" s="22"/>
      <c r="AE16" s="23" t="e">
        <f>AD16+'21.04'!AE16</f>
        <v>#REF!</v>
      </c>
      <c r="AF16" s="19">
        <f t="shared" si="3"/>
        <v>0</v>
      </c>
      <c r="AG16" s="20" t="e">
        <f t="shared" si="4"/>
        <v>#REF!</v>
      </c>
      <c r="AH16" s="24"/>
      <c r="AI16" s="23" t="e">
        <f>AH16+'21.04'!AI16</f>
        <v>#REF!</v>
      </c>
      <c r="AJ16" s="24"/>
      <c r="AK16" s="23" t="e">
        <f>AJ16+'21.04'!AK16</f>
        <v>#REF!</v>
      </c>
      <c r="AL16" s="22"/>
      <c r="AM16" s="23" t="e">
        <f>AL16+'21.04'!AM16</f>
        <v>#REF!</v>
      </c>
      <c r="AN16" s="22"/>
      <c r="AO16" s="23" t="e">
        <f>AN16+'21.04'!AO16</f>
        <v>#REF!</v>
      </c>
      <c r="AP16" s="28" t="s">
        <v>51</v>
      </c>
      <c r="AQ16" s="19">
        <f t="shared" si="6"/>
        <v>0</v>
      </c>
      <c r="AR16" s="20" t="e">
        <f t="shared" si="7"/>
        <v>#REF!</v>
      </c>
      <c r="AS16" s="34"/>
      <c r="AT16" s="23" t="e">
        <f>AS16+'21.04'!AT16</f>
        <v>#REF!</v>
      </c>
      <c r="AU16" s="34"/>
      <c r="AV16" s="23" t="e">
        <f>AU16+'21.04'!AV16</f>
        <v>#REF!</v>
      </c>
      <c r="AW16" s="34"/>
      <c r="AX16" s="23" t="e">
        <f>AW16+'21.04'!AX16</f>
        <v>#REF!</v>
      </c>
      <c r="AY16" s="34"/>
      <c r="AZ16" s="23" t="e">
        <f>AY16+'21.04'!AZ16</f>
        <v>#REF!</v>
      </c>
      <c r="BA16" s="34"/>
      <c r="BB16" s="23" t="e">
        <f>BA16+'21.04'!BB16</f>
        <v>#REF!</v>
      </c>
      <c r="BC16" s="19">
        <f t="shared" si="9"/>
        <v>0</v>
      </c>
      <c r="BD16" s="20" t="e">
        <f t="shared" si="10"/>
        <v>#REF!</v>
      </c>
      <c r="BE16" s="22"/>
      <c r="BF16" s="23" t="e">
        <f>BE16+'21.04'!BF16</f>
        <v>#REF!</v>
      </c>
      <c r="BG16" s="34"/>
      <c r="BH16" s="23" t="e">
        <f>BG16+'21.04'!BH16</f>
        <v>#REF!</v>
      </c>
      <c r="BI16" s="22"/>
      <c r="BJ16" s="23" t="e">
        <f>BI16+'21.04'!BJ16</f>
        <v>#REF!</v>
      </c>
      <c r="BK16" s="22"/>
      <c r="BL16" s="23" t="e">
        <f>BK16+'21.04'!BL16</f>
        <v>#REF!</v>
      </c>
      <c r="BM16" s="22"/>
      <c r="BN16" s="23" t="e">
        <f>BM16+'21.04'!BN16</f>
        <v>#REF!</v>
      </c>
      <c r="BO16" s="36">
        <v>2546</v>
      </c>
      <c r="BP16" s="37"/>
      <c r="BQ16" s="23" t="e">
        <f>BP16+'21.04'!BQ16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228</v>
      </c>
      <c r="D17" s="31" t="e">
        <f t="shared" si="2"/>
        <v>#REF!</v>
      </c>
      <c r="E17" s="32">
        <v>754</v>
      </c>
      <c r="F17" s="22">
        <v>160</v>
      </c>
      <c r="G17" s="23" t="e">
        <f>F17+'21.04'!G17</f>
        <v>#REF!</v>
      </c>
      <c r="H17" s="33">
        <v>9</v>
      </c>
      <c r="I17" s="34">
        <v>0</v>
      </c>
      <c r="J17" s="23" t="e">
        <f>I17+'21.04'!J17</f>
        <v>#REF!</v>
      </c>
      <c r="K17" s="33">
        <v>5</v>
      </c>
      <c r="L17" s="22">
        <v>0</v>
      </c>
      <c r="M17" s="23" t="e">
        <f>L17+'21.04'!M17</f>
        <v>#REF!</v>
      </c>
      <c r="N17" s="33">
        <v>768</v>
      </c>
      <c r="O17" s="22">
        <v>0</v>
      </c>
      <c r="P17" s="23" t="e">
        <f>O17+'21.04'!P17</f>
        <v>#REF!</v>
      </c>
      <c r="Q17" s="33">
        <v>624</v>
      </c>
      <c r="R17" s="22">
        <v>0</v>
      </c>
      <c r="S17" s="23" t="e">
        <f>R17+'21.04'!S17</f>
        <v>#REF!</v>
      </c>
      <c r="T17" s="33">
        <v>742</v>
      </c>
      <c r="U17" s="22">
        <v>0</v>
      </c>
      <c r="V17" s="23" t="e">
        <f>U17+'21.04'!V17</f>
        <v>#REF!</v>
      </c>
      <c r="W17" s="33">
        <v>54</v>
      </c>
      <c r="X17" s="22">
        <v>49</v>
      </c>
      <c r="Y17" s="23" t="e">
        <f>X17+'21.04'!Y17</f>
        <v>#REF!</v>
      </c>
      <c r="Z17" s="33">
        <v>66</v>
      </c>
      <c r="AA17" s="22">
        <v>0</v>
      </c>
      <c r="AB17" s="23" t="e">
        <f>AA17+'21.04'!AB17</f>
        <v>#REF!</v>
      </c>
      <c r="AC17" s="33">
        <v>2580</v>
      </c>
      <c r="AD17" s="22">
        <v>19</v>
      </c>
      <c r="AE17" s="23" t="e">
        <f>AD17+'21.04'!AE17</f>
        <v>#REF!</v>
      </c>
      <c r="AF17" s="19">
        <f t="shared" si="3"/>
        <v>55600</v>
      </c>
      <c r="AG17" s="20" t="e">
        <f t="shared" si="4"/>
        <v>#REF!</v>
      </c>
      <c r="AH17" s="24">
        <v>8500</v>
      </c>
      <c r="AI17" s="23" t="e">
        <f>AH17+'21.04'!AI17</f>
        <v>#REF!</v>
      </c>
      <c r="AJ17" s="24">
        <v>9800</v>
      </c>
      <c r="AK17" s="23" t="e">
        <f>AJ17+'21.04'!AK17</f>
        <v>#REF!</v>
      </c>
      <c r="AL17" s="22">
        <v>26500</v>
      </c>
      <c r="AM17" s="23" t="e">
        <f>AL17+'21.04'!AM17</f>
        <v>#REF!</v>
      </c>
      <c r="AN17" s="22">
        <v>10800</v>
      </c>
      <c r="AO17" s="23" t="e">
        <f>AN17+'21.04'!AO17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AS17+'21.04'!AT17</f>
        <v>#REF!</v>
      </c>
      <c r="AU17" s="34">
        <v>1</v>
      </c>
      <c r="AV17" s="23" t="e">
        <f>AU17+'21.04'!AV17</f>
        <v>#REF!</v>
      </c>
      <c r="AW17" s="34">
        <v>0</v>
      </c>
      <c r="AX17" s="23" t="e">
        <f>AW17+'21.04'!AX17</f>
        <v>#REF!</v>
      </c>
      <c r="AY17" s="34">
        <v>0</v>
      </c>
      <c r="AZ17" s="23" t="e">
        <f>AY17+'21.04'!AZ17</f>
        <v>#REF!</v>
      </c>
      <c r="BA17" s="34">
        <v>14</v>
      </c>
      <c r="BB17" s="23" t="e">
        <f>BA17+'21.04'!BB17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BE17+'21.04'!BF17</f>
        <v>#REF!</v>
      </c>
      <c r="BG17" s="34">
        <v>4</v>
      </c>
      <c r="BH17" s="23" t="e">
        <f>BG17+'21.04'!BH17</f>
        <v>#REF!</v>
      </c>
      <c r="BI17" s="22">
        <v>1400</v>
      </c>
      <c r="BJ17" s="23" t="e">
        <f>BI17+'21.04'!BJ17</f>
        <v>#REF!</v>
      </c>
      <c r="BK17" s="22">
        <v>160</v>
      </c>
      <c r="BL17" s="23" t="e">
        <f>BK17+'21.04'!BL17</f>
        <v>#REF!</v>
      </c>
      <c r="BM17" s="22">
        <v>0</v>
      </c>
      <c r="BN17" s="23" t="e">
        <f>BM17+'21.04'!BN17</f>
        <v>#REF!</v>
      </c>
      <c r="BO17" s="36">
        <v>8022</v>
      </c>
      <c r="BP17" s="37">
        <v>7</v>
      </c>
      <c r="BQ17" s="23" t="e">
        <f>BP17+'21.04'!BQ17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542</v>
      </c>
      <c r="D18" s="20" t="e">
        <f t="shared" si="2"/>
        <v>#REF!</v>
      </c>
      <c r="E18" s="21">
        <v>1063</v>
      </c>
      <c r="F18" s="22">
        <v>314</v>
      </c>
      <c r="G18" s="23" t="e">
        <f>F18+'21.04'!G18</f>
        <v>#REF!</v>
      </c>
      <c r="H18" s="21">
        <v>19</v>
      </c>
      <c r="I18" s="22">
        <v>0</v>
      </c>
      <c r="J18" s="23" t="e">
        <f>I18+'21.04'!J18</f>
        <v>#REF!</v>
      </c>
      <c r="K18" s="21">
        <v>8</v>
      </c>
      <c r="L18" s="22">
        <v>0</v>
      </c>
      <c r="M18" s="23" t="e">
        <f>L18+'21.04'!M18</f>
        <v>#REF!</v>
      </c>
      <c r="N18" s="21">
        <v>1331</v>
      </c>
      <c r="O18" s="22">
        <v>0</v>
      </c>
      <c r="P18" s="23" t="e">
        <f>O18+'21.04'!P18</f>
        <v>#REF!</v>
      </c>
      <c r="Q18" s="21">
        <v>777</v>
      </c>
      <c r="R18" s="22">
        <v>0</v>
      </c>
      <c r="S18" s="23" t="e">
        <f>R18+'21.04'!S18</f>
        <v>#REF!</v>
      </c>
      <c r="T18" s="21">
        <v>318</v>
      </c>
      <c r="U18" s="22">
        <v>0</v>
      </c>
      <c r="V18" s="23" t="e">
        <f>U18+'21.04'!V18</f>
        <v>#REF!</v>
      </c>
      <c r="W18" s="21">
        <v>60</v>
      </c>
      <c r="X18" s="22">
        <v>228</v>
      </c>
      <c r="Y18" s="23" t="e">
        <f>X18+'21.04'!Y18</f>
        <v>#REF!</v>
      </c>
      <c r="Z18" s="21">
        <v>72</v>
      </c>
      <c r="AA18" s="22">
        <v>0</v>
      </c>
      <c r="AB18" s="23" t="e">
        <f>AA18+'21.04'!AB18</f>
        <v>#REF!</v>
      </c>
      <c r="AC18" s="21">
        <v>143</v>
      </c>
      <c r="AD18" s="22">
        <v>0</v>
      </c>
      <c r="AE18" s="23" t="e">
        <f>AD18+'21.04'!AE18</f>
        <v>#REF!</v>
      </c>
      <c r="AF18" s="19">
        <f t="shared" si="3"/>
        <v>347601</v>
      </c>
      <c r="AG18" s="20" t="e">
        <f t="shared" si="4"/>
        <v>#REF!</v>
      </c>
      <c r="AH18" s="24">
        <v>592</v>
      </c>
      <c r="AI18" s="23" t="e">
        <f>AH18+'21.04'!AI18</f>
        <v>#REF!</v>
      </c>
      <c r="AJ18" s="24">
        <v>4826</v>
      </c>
      <c r="AK18" s="23" t="e">
        <f>AJ18+'21.04'!AK18</f>
        <v>#REF!</v>
      </c>
      <c r="AL18" s="22">
        <v>5271</v>
      </c>
      <c r="AM18" s="23" t="e">
        <f>AL18+'21.04'!AM18</f>
        <v>#REF!</v>
      </c>
      <c r="AN18" s="22">
        <v>336912</v>
      </c>
      <c r="AO18" s="23" t="e">
        <f>AN18+'21.04'!AO18</f>
        <v>#REF!</v>
      </c>
      <c r="AP18" s="17" t="s">
        <v>53</v>
      </c>
      <c r="AQ18" s="19">
        <f t="shared" si="6"/>
        <v>9</v>
      </c>
      <c r="AR18" s="20" t="e">
        <f t="shared" si="7"/>
        <v>#REF!</v>
      </c>
      <c r="AS18" s="22">
        <v>1</v>
      </c>
      <c r="AT18" s="23" t="e">
        <f>AS18+'21.04'!AT18</f>
        <v>#REF!</v>
      </c>
      <c r="AU18" s="22">
        <v>0</v>
      </c>
      <c r="AV18" s="23" t="e">
        <f>AU18+'21.04'!AV18</f>
        <v>#REF!</v>
      </c>
      <c r="AW18" s="22">
        <v>0</v>
      </c>
      <c r="AX18" s="23" t="e">
        <f>AW18+'21.04'!AX18</f>
        <v>#REF!</v>
      </c>
      <c r="AY18" s="22">
        <v>0</v>
      </c>
      <c r="AZ18" s="23" t="e">
        <f>AY18+'21.04'!AZ18</f>
        <v>#REF!</v>
      </c>
      <c r="BA18" s="22">
        <v>8</v>
      </c>
      <c r="BB18" s="23" t="e">
        <f>BA18+'21.04'!BB18</f>
        <v>#REF!</v>
      </c>
      <c r="BC18" s="19">
        <f t="shared" si="9"/>
        <v>3022</v>
      </c>
      <c r="BD18" s="20" t="e">
        <f t="shared" si="10"/>
        <v>#REF!</v>
      </c>
      <c r="BE18" s="22">
        <v>1</v>
      </c>
      <c r="BF18" s="23" t="e">
        <f>BE18+'21.04'!BF18</f>
        <v>#REF!</v>
      </c>
      <c r="BG18" s="22">
        <v>0</v>
      </c>
      <c r="BH18" s="23" t="e">
        <f>BG18+'21.04'!BH18</f>
        <v>#REF!</v>
      </c>
      <c r="BI18" s="22">
        <v>2897</v>
      </c>
      <c r="BJ18" s="23" t="e">
        <f>BI18+'21.04'!BJ18</f>
        <v>#REF!</v>
      </c>
      <c r="BK18" s="22">
        <v>124</v>
      </c>
      <c r="BL18" s="23" t="e">
        <f>BK18+'21.04'!BL18</f>
        <v>#REF!</v>
      </c>
      <c r="BM18" s="22">
        <v>0</v>
      </c>
      <c r="BN18" s="23" t="e">
        <f>BM18+'21.04'!BN18</f>
        <v>#REF!</v>
      </c>
      <c r="BO18" s="36">
        <v>442</v>
      </c>
      <c r="BP18" s="37">
        <v>0</v>
      </c>
      <c r="BQ18" s="23" t="e">
        <f>BP18+'21.04'!BQ18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47</v>
      </c>
      <c r="D19" s="31" t="e">
        <f t="shared" si="2"/>
        <v>#REF!</v>
      </c>
      <c r="E19" s="33">
        <v>221</v>
      </c>
      <c r="F19" s="22">
        <v>14</v>
      </c>
      <c r="G19" s="23" t="e">
        <f>F19+'21.04'!G19</f>
        <v>#REF!</v>
      </c>
      <c r="H19" s="33">
        <v>5</v>
      </c>
      <c r="I19" s="34">
        <v>0</v>
      </c>
      <c r="J19" s="23" t="e">
        <f>I19+'21.04'!J19</f>
        <v>#REF!</v>
      </c>
      <c r="K19" s="33">
        <v>4</v>
      </c>
      <c r="L19" s="22">
        <v>0</v>
      </c>
      <c r="M19" s="23" t="e">
        <f>L19+'21.04'!M19</f>
        <v>#REF!</v>
      </c>
      <c r="N19" s="33">
        <v>313</v>
      </c>
      <c r="O19" s="22">
        <v>0</v>
      </c>
      <c r="P19" s="23" t="e">
        <f>O19+'21.04'!P19</f>
        <v>#REF!</v>
      </c>
      <c r="Q19" s="33">
        <v>203</v>
      </c>
      <c r="R19" s="22">
        <v>0</v>
      </c>
      <c r="S19" s="23" t="e">
        <f>R19+'21.04'!S19</f>
        <v>#REF!</v>
      </c>
      <c r="T19" s="33">
        <v>241</v>
      </c>
      <c r="U19" s="22">
        <v>0</v>
      </c>
      <c r="V19" s="23" t="e">
        <f>U19+'21.04'!V19</f>
        <v>#REF!</v>
      </c>
      <c r="W19" s="33">
        <v>14</v>
      </c>
      <c r="X19" s="22">
        <v>17</v>
      </c>
      <c r="Y19" s="23" t="e">
        <f>X19+'21.04'!Y19</f>
        <v>#REF!</v>
      </c>
      <c r="Z19" s="33">
        <v>7</v>
      </c>
      <c r="AA19" s="22">
        <v>0</v>
      </c>
      <c r="AB19" s="23" t="e">
        <f>AA19+'21.04'!AB19</f>
        <v>#REF!</v>
      </c>
      <c r="AC19" s="33">
        <v>32</v>
      </c>
      <c r="AD19" s="22">
        <v>16</v>
      </c>
      <c r="AE19" s="23" t="e">
        <f>AD19+'21.04'!AE19</f>
        <v>#REF!</v>
      </c>
      <c r="AF19" s="19">
        <f t="shared" si="3"/>
        <v>3900</v>
      </c>
      <c r="AG19" s="20" t="e">
        <f t="shared" si="4"/>
        <v>#REF!</v>
      </c>
      <c r="AH19" s="24">
        <v>600</v>
      </c>
      <c r="AI19" s="23" t="e">
        <f>AH19+'21.04'!AI19</f>
        <v>#REF!</v>
      </c>
      <c r="AJ19" s="24">
        <v>600</v>
      </c>
      <c r="AK19" s="23" t="e">
        <f>AJ19+'21.04'!AK19</f>
        <v>#REF!</v>
      </c>
      <c r="AL19" s="22">
        <v>1350</v>
      </c>
      <c r="AM19" s="23" t="e">
        <f>AL19+'21.04'!AM19</f>
        <v>#REF!</v>
      </c>
      <c r="AN19" s="22">
        <v>1350</v>
      </c>
      <c r="AO19" s="23" t="e">
        <f>AN19+'21.04'!AO19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AS19+'21.04'!AT19</f>
        <v>#REF!</v>
      </c>
      <c r="AU19" s="34">
        <v>0</v>
      </c>
      <c r="AV19" s="23" t="e">
        <f>AU19+'21.04'!AV19</f>
        <v>#REF!</v>
      </c>
      <c r="AW19" s="34">
        <v>0</v>
      </c>
      <c r="AX19" s="23" t="e">
        <f>AW19+'21.04'!AX19</f>
        <v>#REF!</v>
      </c>
      <c r="AY19" s="34">
        <v>0</v>
      </c>
      <c r="AZ19" s="23" t="e">
        <f>AY19+'21.04'!AZ19</f>
        <v>#REF!</v>
      </c>
      <c r="BA19" s="34">
        <v>0</v>
      </c>
      <c r="BB19" s="23" t="e">
        <f>BA19+'21.04'!BB19</f>
        <v>#REF!</v>
      </c>
      <c r="BC19" s="19">
        <f t="shared" si="9"/>
        <v>1222</v>
      </c>
      <c r="BD19" s="20" t="e">
        <f t="shared" si="10"/>
        <v>#REF!</v>
      </c>
      <c r="BE19" s="22">
        <v>16</v>
      </c>
      <c r="BF19" s="23" t="e">
        <f>BE19+'21.04'!BF19</f>
        <v>#REF!</v>
      </c>
      <c r="BG19" s="34">
        <v>0</v>
      </c>
      <c r="BH19" s="23" t="e">
        <f>BG19+'21.04'!BH19</f>
        <v>#REF!</v>
      </c>
      <c r="BI19" s="22">
        <v>1100</v>
      </c>
      <c r="BJ19" s="23" t="e">
        <f>BI19+'21.04'!BJ19</f>
        <v>#REF!</v>
      </c>
      <c r="BK19" s="22">
        <v>100</v>
      </c>
      <c r="BL19" s="23" t="e">
        <f>BK19+'21.04'!BL19</f>
        <v>#REF!</v>
      </c>
      <c r="BM19" s="22">
        <v>6</v>
      </c>
      <c r="BN19" s="23" t="e">
        <f>BM19+'21.04'!BN19</f>
        <v>#REF!</v>
      </c>
      <c r="BO19" s="36">
        <v>2898</v>
      </c>
      <c r="BP19" s="37">
        <v>0</v>
      </c>
      <c r="BQ19" s="23" t="e">
        <f>BP19+'21.04'!BQ19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456</v>
      </c>
      <c r="D20" s="31" t="e">
        <f t="shared" si="2"/>
        <v>#REF!</v>
      </c>
      <c r="E20" s="32">
        <v>723</v>
      </c>
      <c r="F20" s="22">
        <v>262</v>
      </c>
      <c r="G20" s="23" t="e">
        <f>F20+'21.04'!G20</f>
        <v>#REF!</v>
      </c>
      <c r="H20" s="33">
        <v>5</v>
      </c>
      <c r="I20" s="34">
        <v>1</v>
      </c>
      <c r="J20" s="23" t="e">
        <f>I20+'21.04'!J20</f>
        <v>#REF!</v>
      </c>
      <c r="K20" s="33">
        <v>3</v>
      </c>
      <c r="L20" s="22">
        <v>0</v>
      </c>
      <c r="M20" s="23" t="e">
        <f>L20+'21.04'!M20</f>
        <v>#REF!</v>
      </c>
      <c r="N20" s="33">
        <v>975</v>
      </c>
      <c r="O20" s="22">
        <v>102</v>
      </c>
      <c r="P20" s="23" t="e">
        <f>O20+'21.04'!P20</f>
        <v>#REF!</v>
      </c>
      <c r="Q20" s="61">
        <v>1862</v>
      </c>
      <c r="R20" s="22">
        <v>1</v>
      </c>
      <c r="S20" s="23" t="e">
        <f>R20+'21.04'!S20</f>
        <v>#REF!</v>
      </c>
      <c r="T20" s="33">
        <v>35</v>
      </c>
      <c r="U20" s="22">
        <v>1</v>
      </c>
      <c r="V20" s="23" t="e">
        <f>U20+'21.04'!V20</f>
        <v>#REF!</v>
      </c>
      <c r="W20" s="33">
        <v>64</v>
      </c>
      <c r="X20" s="22">
        <v>5</v>
      </c>
      <c r="Y20" s="23" t="e">
        <f>X20+'21.04'!Y20</f>
        <v>#REF!</v>
      </c>
      <c r="Z20" s="33">
        <v>15</v>
      </c>
      <c r="AA20" s="22">
        <v>1</v>
      </c>
      <c r="AB20" s="23" t="e">
        <f>AA20+'21.04'!AB20</f>
        <v>#REF!</v>
      </c>
      <c r="AC20" s="33">
        <v>1546</v>
      </c>
      <c r="AD20" s="22">
        <v>83</v>
      </c>
      <c r="AE20" s="23" t="e">
        <f>AD20+'21.04'!AE20</f>
        <v>#REF!</v>
      </c>
      <c r="AF20" s="19">
        <f t="shared" si="3"/>
        <v>25625</v>
      </c>
      <c r="AG20" s="20" t="e">
        <f t="shared" si="4"/>
        <v>#REF!</v>
      </c>
      <c r="AH20" s="24">
        <v>12520</v>
      </c>
      <c r="AI20" s="23" t="e">
        <f>AH20+'21.04'!AI20</f>
        <v>#REF!</v>
      </c>
      <c r="AJ20" s="24">
        <v>12705</v>
      </c>
      <c r="AK20" s="23" t="e">
        <f>AJ20+'21.04'!AK20</f>
        <v>#REF!</v>
      </c>
      <c r="AL20" s="22">
        <v>250</v>
      </c>
      <c r="AM20" s="23" t="e">
        <f>AL20+'21.04'!AM20</f>
        <v>#REF!</v>
      </c>
      <c r="AN20" s="22">
        <v>150</v>
      </c>
      <c r="AO20" s="23" t="e">
        <f>AN20+'21.04'!AO20</f>
        <v>#REF!</v>
      </c>
      <c r="AP20" s="28" t="s">
        <v>55</v>
      </c>
      <c r="AQ20" s="19">
        <f t="shared" si="6"/>
        <v>239</v>
      </c>
      <c r="AR20" s="20" t="e">
        <f t="shared" si="7"/>
        <v>#REF!</v>
      </c>
      <c r="AS20" s="34">
        <v>1</v>
      </c>
      <c r="AT20" s="23" t="e">
        <f>AS20+'21.04'!AT20</f>
        <v>#REF!</v>
      </c>
      <c r="AU20" s="34">
        <v>0</v>
      </c>
      <c r="AV20" s="23" t="e">
        <f>AU20+'21.04'!AV20</f>
        <v>#REF!</v>
      </c>
      <c r="AW20" s="34">
        <v>0</v>
      </c>
      <c r="AX20" s="23" t="e">
        <f>AW20+'21.04'!AX20</f>
        <v>#REF!</v>
      </c>
      <c r="AY20" s="34">
        <v>0</v>
      </c>
      <c r="AZ20" s="23" t="e">
        <f>AY20+'21.04'!AZ20</f>
        <v>#REF!</v>
      </c>
      <c r="BA20" s="34">
        <v>238</v>
      </c>
      <c r="BB20" s="23" t="e">
        <f>BA20+'21.04'!BB20</f>
        <v>#REF!</v>
      </c>
      <c r="BC20" s="19">
        <f t="shared" si="9"/>
        <v>5317</v>
      </c>
      <c r="BD20" s="20" t="e">
        <f t="shared" si="10"/>
        <v>#REF!</v>
      </c>
      <c r="BE20" s="22">
        <v>442</v>
      </c>
      <c r="BF20" s="23" t="e">
        <f>BE20+'21.04'!BF20</f>
        <v>#REF!</v>
      </c>
      <c r="BG20" s="34">
        <v>0</v>
      </c>
      <c r="BH20" s="23" t="e">
        <f>BG20+'21.04'!BH20</f>
        <v>#REF!</v>
      </c>
      <c r="BI20" s="22">
        <v>2450</v>
      </c>
      <c r="BJ20" s="23" t="e">
        <f>BI20+'21.04'!BJ20</f>
        <v>#REF!</v>
      </c>
      <c r="BK20" s="22">
        <v>2425</v>
      </c>
      <c r="BL20" s="23" t="e">
        <f>BK20+'21.04'!BL20</f>
        <v>#REF!</v>
      </c>
      <c r="BM20" s="22">
        <v>0</v>
      </c>
      <c r="BN20" s="23" t="e">
        <f>BM20+'21.04'!BN20</f>
        <v>#REF!</v>
      </c>
      <c r="BO20" s="36">
        <v>5854</v>
      </c>
      <c r="BP20" s="37">
        <v>0</v>
      </c>
      <c r="BQ20" s="23" t="e">
        <f>BP20+'21.04'!BQ20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193</v>
      </c>
      <c r="D21" s="31" t="e">
        <f t="shared" si="2"/>
        <v>#REF!</v>
      </c>
      <c r="E21" s="32">
        <v>1017</v>
      </c>
      <c r="F21" s="22">
        <v>165</v>
      </c>
      <c r="G21" s="23" t="e">
        <f>F21+'21.04'!G21</f>
        <v>#REF!</v>
      </c>
      <c r="H21" s="33">
        <v>8</v>
      </c>
      <c r="I21" s="34">
        <v>0</v>
      </c>
      <c r="J21" s="23" t="e">
        <f>I21+'21.04'!J21</f>
        <v>#REF!</v>
      </c>
      <c r="K21" s="33">
        <v>4</v>
      </c>
      <c r="L21" s="22">
        <v>0</v>
      </c>
      <c r="M21" s="23" t="e">
        <f>L21+'21.04'!M21</f>
        <v>#REF!</v>
      </c>
      <c r="N21" s="33">
        <v>963</v>
      </c>
      <c r="O21" s="22">
        <v>0</v>
      </c>
      <c r="P21" s="23" t="e">
        <f>O21+'21.04'!P21</f>
        <v>#REF!</v>
      </c>
      <c r="Q21" s="33">
        <v>912</v>
      </c>
      <c r="R21" s="22">
        <v>0</v>
      </c>
      <c r="S21" s="23" t="e">
        <f>R21+'21.04'!S21</f>
        <v>#REF!</v>
      </c>
      <c r="T21" s="33">
        <v>199</v>
      </c>
      <c r="U21" s="22">
        <v>3</v>
      </c>
      <c r="V21" s="23" t="e">
        <f>U21+'21.04'!V21</f>
        <v>#REF!</v>
      </c>
      <c r="W21" s="33">
        <v>101</v>
      </c>
      <c r="X21" s="22">
        <v>20</v>
      </c>
      <c r="Y21" s="23" t="e">
        <f>X21+'21.04'!Y21</f>
        <v>#REF!</v>
      </c>
      <c r="Z21" s="33">
        <v>42</v>
      </c>
      <c r="AA21" s="22">
        <v>0</v>
      </c>
      <c r="AB21" s="23" t="e">
        <f>AA21+'21.04'!AB21</f>
        <v>#REF!</v>
      </c>
      <c r="AC21" s="33">
        <v>20</v>
      </c>
      <c r="AD21" s="22">
        <v>5</v>
      </c>
      <c r="AE21" s="23" t="e">
        <f>AD21+'21.04'!AE21</f>
        <v>#REF!</v>
      </c>
      <c r="AF21" s="19">
        <f t="shared" si="3"/>
        <v>2281800</v>
      </c>
      <c r="AG21" s="20" t="e">
        <f t="shared" si="4"/>
        <v>#REF!</v>
      </c>
      <c r="AH21" s="24">
        <v>3000</v>
      </c>
      <c r="AI21" s="23" t="e">
        <f>AH21+'21.04'!AI21</f>
        <v>#REF!</v>
      </c>
      <c r="AJ21" s="24">
        <v>277000</v>
      </c>
      <c r="AK21" s="23" t="e">
        <f>AJ21+'21.04'!AK21</f>
        <v>#REF!</v>
      </c>
      <c r="AL21" s="22">
        <v>2000</v>
      </c>
      <c r="AM21" s="23" t="e">
        <f>AL21+'21.04'!AM21</f>
        <v>#REF!</v>
      </c>
      <c r="AN21" s="22">
        <v>1999800</v>
      </c>
      <c r="AO21" s="23" t="e">
        <f>AN21+'21.04'!AO21</f>
        <v>#REF!</v>
      </c>
      <c r="AP21" s="28" t="s">
        <v>58</v>
      </c>
      <c r="AQ21" s="19">
        <f t="shared" si="6"/>
        <v>8</v>
      </c>
      <c r="AR21" s="20" t="e">
        <f t="shared" si="7"/>
        <v>#REF!</v>
      </c>
      <c r="AS21" s="34">
        <v>0</v>
      </c>
      <c r="AT21" s="23" t="e">
        <f>AS21+'21.04'!AT21</f>
        <v>#REF!</v>
      </c>
      <c r="AU21" s="34">
        <v>4</v>
      </c>
      <c r="AV21" s="23" t="e">
        <f>AU21+'21.04'!AV21</f>
        <v>#REF!</v>
      </c>
      <c r="AW21" s="34">
        <v>0</v>
      </c>
      <c r="AX21" s="23" t="e">
        <f>AW21+'21.04'!AX21</f>
        <v>#REF!</v>
      </c>
      <c r="AY21" s="34">
        <v>0</v>
      </c>
      <c r="AZ21" s="23" t="e">
        <f>AY21+'21.04'!AZ21</f>
        <v>#REF!</v>
      </c>
      <c r="BA21" s="34">
        <v>4</v>
      </c>
      <c r="BB21" s="23" t="e">
        <f>BA21+'21.04'!BB21</f>
        <v>#REF!</v>
      </c>
      <c r="BC21" s="19">
        <f t="shared" si="9"/>
        <v>10075</v>
      </c>
      <c r="BD21" s="20" t="e">
        <f t="shared" si="10"/>
        <v>#REF!</v>
      </c>
      <c r="BE21" s="22">
        <v>75</v>
      </c>
      <c r="BF21" s="23" t="e">
        <f>BE21+'21.04'!BF21</f>
        <v>#REF!</v>
      </c>
      <c r="BG21" s="34">
        <v>0</v>
      </c>
      <c r="BH21" s="23" t="e">
        <f>BG21+'21.04'!BH21</f>
        <v>#REF!</v>
      </c>
      <c r="BI21" s="22">
        <v>10000</v>
      </c>
      <c r="BJ21" s="23" t="e">
        <f>BI21+'21.04'!BJ21</f>
        <v>#REF!</v>
      </c>
      <c r="BK21" s="22">
        <v>0</v>
      </c>
      <c r="BL21" s="23" t="e">
        <f>BK21+'21.04'!BL21</f>
        <v>#REF!</v>
      </c>
      <c r="BM21" s="22">
        <v>0</v>
      </c>
      <c r="BN21" s="23" t="e">
        <f>BM21+'21.04'!BN21</f>
        <v>#REF!</v>
      </c>
      <c r="BO21" s="36">
        <v>68</v>
      </c>
      <c r="BP21" s="37">
        <v>2</v>
      </c>
      <c r="BQ21" s="23" t="e">
        <f>BP21+'21.04'!BQ21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1701</v>
      </c>
      <c r="D22" s="31" t="e">
        <f t="shared" si="2"/>
        <v>#REF!</v>
      </c>
      <c r="E22" s="32">
        <v>509</v>
      </c>
      <c r="F22" s="22">
        <v>299</v>
      </c>
      <c r="G22" s="23" t="e">
        <f>F22+'21.04'!G22</f>
        <v>#REF!</v>
      </c>
      <c r="H22" s="33">
        <v>8</v>
      </c>
      <c r="I22" s="34">
        <v>9</v>
      </c>
      <c r="J22" s="23" t="e">
        <f>I22+'21.04'!J22</f>
        <v>#REF!</v>
      </c>
      <c r="K22" s="33">
        <v>21</v>
      </c>
      <c r="L22" s="22">
        <v>0</v>
      </c>
      <c r="M22" s="23" t="e">
        <f>L22+'21.04'!M22</f>
        <v>#REF!</v>
      </c>
      <c r="N22" s="33">
        <v>560</v>
      </c>
      <c r="O22" s="22">
        <v>15</v>
      </c>
      <c r="P22" s="23" t="e">
        <f>O22+'21.04'!P22</f>
        <v>#REF!</v>
      </c>
      <c r="Q22" s="33">
        <v>375</v>
      </c>
      <c r="R22" s="22">
        <v>15</v>
      </c>
      <c r="S22" s="23" t="e">
        <f>R22+'21.04'!S22</f>
        <v>#REF!</v>
      </c>
      <c r="T22" s="33">
        <v>165</v>
      </c>
      <c r="U22" s="22">
        <v>21</v>
      </c>
      <c r="V22" s="23" t="e">
        <f>U22+'21.04'!V22</f>
        <v>#REF!</v>
      </c>
      <c r="W22" s="33">
        <v>28</v>
      </c>
      <c r="X22" s="22">
        <v>73</v>
      </c>
      <c r="Y22" s="23" t="e">
        <f>X22+'21.04'!Y22</f>
        <v>#REF!</v>
      </c>
      <c r="Z22" s="33">
        <v>9</v>
      </c>
      <c r="AA22" s="22">
        <v>0</v>
      </c>
      <c r="AB22" s="23" t="e">
        <f>AA22+'21.04'!AB22</f>
        <v>#REF!</v>
      </c>
      <c r="AC22" s="33">
        <v>112</v>
      </c>
      <c r="AD22" s="22">
        <v>1269</v>
      </c>
      <c r="AE22" s="23" t="e">
        <f>AD22+'21.04'!AE22</f>
        <v>#REF!</v>
      </c>
      <c r="AF22" s="19">
        <f t="shared" si="3"/>
        <v>661106</v>
      </c>
      <c r="AG22" s="20" t="e">
        <f t="shared" si="4"/>
        <v>#REF!</v>
      </c>
      <c r="AH22" s="24">
        <v>895</v>
      </c>
      <c r="AI22" s="23" t="e">
        <f>AH22+'21.04'!AI22</f>
        <v>#REF!</v>
      </c>
      <c r="AJ22" s="24">
        <v>6000</v>
      </c>
      <c r="AK22" s="23" t="e">
        <f>AJ22+'21.04'!AK22</f>
        <v>#REF!</v>
      </c>
      <c r="AL22" s="22">
        <v>211</v>
      </c>
      <c r="AM22" s="23" t="e">
        <f>AL22+'21.04'!AM22</f>
        <v>#REF!</v>
      </c>
      <c r="AN22" s="22">
        <v>654000</v>
      </c>
      <c r="AO22" s="23" t="e">
        <f>AN22+'21.04'!AO22</f>
        <v>#REF!</v>
      </c>
      <c r="AP22" s="28" t="s">
        <v>59</v>
      </c>
      <c r="AQ22" s="19">
        <f t="shared" si="6"/>
        <v>6</v>
      </c>
      <c r="AR22" s="20" t="e">
        <f t="shared" si="7"/>
        <v>#REF!</v>
      </c>
      <c r="AS22" s="34">
        <v>0</v>
      </c>
      <c r="AT22" s="23" t="e">
        <f>AS22+'21.04'!AT22</f>
        <v>#REF!</v>
      </c>
      <c r="AU22" s="34">
        <v>0</v>
      </c>
      <c r="AV22" s="23" t="e">
        <f>AU22+'21.04'!AV22</f>
        <v>#REF!</v>
      </c>
      <c r="AW22" s="34">
        <v>0</v>
      </c>
      <c r="AX22" s="23" t="e">
        <f>AW22+'21.04'!AX22</f>
        <v>#REF!</v>
      </c>
      <c r="AY22" s="34">
        <v>0</v>
      </c>
      <c r="AZ22" s="23" t="e">
        <f>AY22+'21.04'!AZ22</f>
        <v>#REF!</v>
      </c>
      <c r="BA22" s="34">
        <v>6</v>
      </c>
      <c r="BB22" s="23" t="e">
        <f>BA22+'21.04'!BB22</f>
        <v>#REF!</v>
      </c>
      <c r="BC22" s="19">
        <f t="shared" si="9"/>
        <v>7476</v>
      </c>
      <c r="BD22" s="20" t="e">
        <f t="shared" si="10"/>
        <v>#REF!</v>
      </c>
      <c r="BE22" s="22">
        <v>1665</v>
      </c>
      <c r="BF22" s="23" t="e">
        <f>BE22+'21.04'!BF22</f>
        <v>#REF!</v>
      </c>
      <c r="BG22" s="34">
        <v>2</v>
      </c>
      <c r="BH22" s="23" t="e">
        <f>BG22+'21.04'!BH22</f>
        <v>#REF!</v>
      </c>
      <c r="BI22" s="22">
        <v>5800</v>
      </c>
      <c r="BJ22" s="23" t="e">
        <f>BI22+'21.04'!BJ22</f>
        <v>#REF!</v>
      </c>
      <c r="BK22" s="22">
        <v>9</v>
      </c>
      <c r="BL22" s="23" t="e">
        <f>BK22+'21.04'!BL22</f>
        <v>#REF!</v>
      </c>
      <c r="BM22" s="22">
        <v>0</v>
      </c>
      <c r="BN22" s="23" t="e">
        <f>BM22+'21.04'!BN22</f>
        <v>#REF!</v>
      </c>
      <c r="BO22" s="36">
        <v>26</v>
      </c>
      <c r="BP22" s="37">
        <v>2</v>
      </c>
      <c r="BQ22" s="23" t="e">
        <f>BP22+'21.04'!BQ22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4047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1679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23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2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189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32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31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644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2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1445</v>
      </c>
      <c r="AE23" s="68" t="e">
        <f t="shared" si="16"/>
        <v>#REF!</v>
      </c>
      <c r="AF23" s="64">
        <f t="shared" si="16"/>
        <v>5135510</v>
      </c>
      <c r="AG23" s="64" t="e">
        <f t="shared" si="16"/>
        <v>#REF!</v>
      </c>
      <c r="AH23" s="67">
        <f t="shared" si="16"/>
        <v>40907</v>
      </c>
      <c r="AI23" s="68" t="e">
        <f t="shared" si="16"/>
        <v>#REF!</v>
      </c>
      <c r="AJ23" s="67">
        <f t="shared" si="16"/>
        <v>347019</v>
      </c>
      <c r="AK23" s="68" t="e">
        <f t="shared" si="16"/>
        <v>#REF!</v>
      </c>
      <c r="AL23" s="67">
        <f t="shared" si="16"/>
        <v>402689</v>
      </c>
      <c r="AM23" s="68" t="e">
        <f t="shared" si="16"/>
        <v>#REF!</v>
      </c>
      <c r="AN23" s="67">
        <f t="shared" si="16"/>
        <v>4344895</v>
      </c>
      <c r="AO23" s="68" t="e">
        <f t="shared" si="16"/>
        <v>#REF!</v>
      </c>
      <c r="AP23" s="62" t="s">
        <v>12</v>
      </c>
      <c r="AQ23" s="64">
        <f t="shared" ref="AQ23:BP23" si="17">SUM(AQ8:AQ22)</f>
        <v>369</v>
      </c>
      <c r="AR23" s="64" t="e">
        <f t="shared" si="17"/>
        <v>#REF!</v>
      </c>
      <c r="AS23" s="67">
        <f t="shared" si="17"/>
        <v>6</v>
      </c>
      <c r="AT23" s="68" t="e">
        <f t="shared" si="17"/>
        <v>#REF!</v>
      </c>
      <c r="AU23" s="67">
        <f t="shared" si="17"/>
        <v>8</v>
      </c>
      <c r="AV23" s="68" t="e">
        <f t="shared" si="17"/>
        <v>#REF!</v>
      </c>
      <c r="AW23" s="67">
        <f t="shared" si="17"/>
        <v>1</v>
      </c>
      <c r="AX23" s="68" t="e">
        <f t="shared" si="17"/>
        <v>#REF!</v>
      </c>
      <c r="AY23" s="67">
        <f t="shared" si="17"/>
        <v>0</v>
      </c>
      <c r="AZ23" s="68" t="e">
        <f t="shared" si="17"/>
        <v>#REF!</v>
      </c>
      <c r="BA23" s="67">
        <f t="shared" si="17"/>
        <v>354</v>
      </c>
      <c r="BB23" s="68" t="e">
        <f t="shared" si="17"/>
        <v>#REF!</v>
      </c>
      <c r="BC23" s="64">
        <f t="shared" si="17"/>
        <v>46308</v>
      </c>
      <c r="BD23" s="64" t="e">
        <f t="shared" si="17"/>
        <v>#REF!</v>
      </c>
      <c r="BE23" s="67">
        <f t="shared" si="17"/>
        <v>3702</v>
      </c>
      <c r="BF23" s="68" t="e">
        <f t="shared" si="17"/>
        <v>#REF!</v>
      </c>
      <c r="BG23" s="67">
        <f t="shared" si="17"/>
        <v>34</v>
      </c>
      <c r="BH23" s="68" t="e">
        <f t="shared" si="17"/>
        <v>#REF!</v>
      </c>
      <c r="BI23" s="67">
        <f t="shared" si="17"/>
        <v>37768</v>
      </c>
      <c r="BJ23" s="68" t="e">
        <f t="shared" si="17"/>
        <v>#REF!</v>
      </c>
      <c r="BK23" s="67">
        <f t="shared" si="17"/>
        <v>4798</v>
      </c>
      <c r="BL23" s="68" t="e">
        <f t="shared" si="17"/>
        <v>#REF!</v>
      </c>
      <c r="BM23" s="67">
        <f t="shared" si="17"/>
        <v>6</v>
      </c>
      <c r="BN23" s="68" t="e">
        <f t="shared" si="17"/>
        <v>#REF!</v>
      </c>
      <c r="BO23" s="69">
        <f t="shared" si="17"/>
        <v>37684</v>
      </c>
      <c r="BP23" s="70">
        <f t="shared" si="17"/>
        <v>22</v>
      </c>
      <c r="BQ23" s="23">
        <f>BP23+'20.04'!BP23</f>
        <v>48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BU23"/>
  <sheetViews>
    <sheetView zoomScale="115" zoomScaleNormal="115" workbookViewId="0">
      <pane xSplit="4" ySplit="8" topLeftCell="AV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2</v>
      </c>
      <c r="D9" s="31" t="e">
        <f t="shared" si="2"/>
        <v>#REF!</v>
      </c>
      <c r="E9" s="32">
        <v>452</v>
      </c>
      <c r="F9" s="22">
        <v>1</v>
      </c>
      <c r="G9" s="23" t="e">
        <f>F9+'22.04 '!G9</f>
        <v>#REF!</v>
      </c>
      <c r="H9" s="33">
        <v>12</v>
      </c>
      <c r="I9" s="34">
        <v>1</v>
      </c>
      <c r="J9" s="23" t="e">
        <f>I9+'22.04 '!J9</f>
        <v>#REF!</v>
      </c>
      <c r="K9" s="33">
        <v>2</v>
      </c>
      <c r="L9" s="22">
        <v>0</v>
      </c>
      <c r="M9" s="23" t="e">
        <f>L9+'22.04 '!M9</f>
        <v>#REF!</v>
      </c>
      <c r="N9" s="33">
        <v>735</v>
      </c>
      <c r="O9" s="22">
        <v>0</v>
      </c>
      <c r="P9" s="23" t="e">
        <f>O9+'22.04 '!P9</f>
        <v>#REF!</v>
      </c>
      <c r="Q9" s="33">
        <v>502</v>
      </c>
      <c r="R9" s="22">
        <v>0</v>
      </c>
      <c r="S9" s="23" t="e">
        <f>R9+'22.04 '!S9</f>
        <v>#REF!</v>
      </c>
      <c r="T9" s="33">
        <v>197</v>
      </c>
      <c r="U9" s="22">
        <v>0</v>
      </c>
      <c r="V9" s="23" t="e">
        <f>U9+'22.04 '!V9</f>
        <v>#REF!</v>
      </c>
      <c r="W9" s="33">
        <v>47</v>
      </c>
      <c r="X9" s="22">
        <v>0</v>
      </c>
      <c r="Y9" s="23" t="e">
        <f>X9+'22.04 '!Y9</f>
        <v>#REF!</v>
      </c>
      <c r="Z9" s="33">
        <v>34</v>
      </c>
      <c r="AA9" s="22">
        <v>0</v>
      </c>
      <c r="AB9" s="23" t="e">
        <f>AA9+'22.04 '!AB9</f>
        <v>#REF!</v>
      </c>
      <c r="AC9" s="33">
        <v>1860</v>
      </c>
      <c r="AD9" s="22">
        <v>0</v>
      </c>
      <c r="AE9" s="23" t="e">
        <f>AD9+'22.04 '!AE9</f>
        <v>#REF!</v>
      </c>
      <c r="AF9" s="19">
        <f t="shared" si="3"/>
        <v>6860</v>
      </c>
      <c r="AG9" s="20" t="e">
        <f t="shared" si="4"/>
        <v>#REF!</v>
      </c>
      <c r="AH9" s="24">
        <v>180</v>
      </c>
      <c r="AI9" s="23" t="e">
        <f>AH9+'22.04 '!AI9</f>
        <v>#REF!</v>
      </c>
      <c r="AJ9" s="24">
        <v>280</v>
      </c>
      <c r="AK9" s="23" t="e">
        <f>AJ9+'22.04 '!AK9</f>
        <v>#REF!</v>
      </c>
      <c r="AL9" s="22">
        <v>2600</v>
      </c>
      <c r="AM9" s="23" t="e">
        <f>AL9+'22.04 '!AM9</f>
        <v>#REF!</v>
      </c>
      <c r="AN9" s="22">
        <v>3800</v>
      </c>
      <c r="AO9" s="23" t="e">
        <f>AN9+'22.04 '!AO9</f>
        <v>#REF!</v>
      </c>
      <c r="AP9" s="28" t="s">
        <v>43</v>
      </c>
      <c r="AQ9" s="19">
        <f t="shared" si="6"/>
        <v>36</v>
      </c>
      <c r="AR9" s="20" t="e">
        <f t="shared" si="7"/>
        <v>#REF!</v>
      </c>
      <c r="AS9" s="34">
        <v>1</v>
      </c>
      <c r="AT9" s="23" t="e">
        <f>AS9+'22.04 '!AT9</f>
        <v>#REF!</v>
      </c>
      <c r="AU9" s="34">
        <v>1</v>
      </c>
      <c r="AV9" s="23" t="e">
        <f>AU9+'22.04 '!AV9</f>
        <v>#REF!</v>
      </c>
      <c r="AW9" s="34">
        <v>0</v>
      </c>
      <c r="AX9" s="23" t="e">
        <f>AW9+'22.04 '!AX9</f>
        <v>#REF!</v>
      </c>
      <c r="AY9" s="34">
        <v>0</v>
      </c>
      <c r="AZ9" s="23" t="e">
        <f>AY9+'22.04 '!AZ9</f>
        <v>#REF!</v>
      </c>
      <c r="BA9" s="34">
        <v>34</v>
      </c>
      <c r="BB9" s="23" t="e">
        <f>BA9+'22.04 '!BB9</f>
        <v>#REF!</v>
      </c>
      <c r="BC9" s="19">
        <f t="shared" si="9"/>
        <v>421</v>
      </c>
      <c r="BD9" s="20" t="e">
        <f t="shared" si="10"/>
        <v>#REF!</v>
      </c>
      <c r="BE9" s="22">
        <v>1</v>
      </c>
      <c r="BF9" s="23" t="e">
        <f>BE9+'22.04 '!BF9</f>
        <v>#REF!</v>
      </c>
      <c r="BG9" s="34">
        <v>0</v>
      </c>
      <c r="BH9" s="23" t="e">
        <f>BG9+'22.04 '!BH9</f>
        <v>#REF!</v>
      </c>
      <c r="BI9" s="22">
        <v>420</v>
      </c>
      <c r="BJ9" s="23" t="e">
        <f>BI9+'22.04 '!BJ9</f>
        <v>#REF!</v>
      </c>
      <c r="BK9" s="22">
        <v>0</v>
      </c>
      <c r="BL9" s="23" t="e">
        <f>BK9+'22.04 '!BL9</f>
        <v>#REF!</v>
      </c>
      <c r="BM9" s="22">
        <v>0</v>
      </c>
      <c r="BN9" s="23" t="e">
        <f>BM9+'22.04 '!BN9</f>
        <v>#REF!</v>
      </c>
      <c r="BO9" s="36">
        <v>14</v>
      </c>
      <c r="BP9" s="37">
        <v>0</v>
      </c>
      <c r="BQ9" s="23" t="e">
        <f>BP9+'22.04 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0</v>
      </c>
      <c r="D10" s="31" t="e">
        <f t="shared" si="2"/>
        <v>#REF!</v>
      </c>
      <c r="E10" s="32">
        <v>585</v>
      </c>
      <c r="F10" s="22">
        <v>0</v>
      </c>
      <c r="G10" s="23" t="e">
        <f>F10+'22.04 '!G10</f>
        <v>#REF!</v>
      </c>
      <c r="H10" s="33">
        <v>93</v>
      </c>
      <c r="I10" s="34">
        <v>0</v>
      </c>
      <c r="J10" s="23" t="e">
        <f>I10+'22.04 '!J10</f>
        <v>#REF!</v>
      </c>
      <c r="K10" s="33">
        <v>34</v>
      </c>
      <c r="L10" s="22">
        <v>0</v>
      </c>
      <c r="M10" s="23" t="e">
        <f>L10+'22.04 '!M10</f>
        <v>#REF!</v>
      </c>
      <c r="N10" s="33">
        <v>352</v>
      </c>
      <c r="O10" s="22">
        <v>0</v>
      </c>
      <c r="P10" s="23" t="e">
        <f>O10+'22.04 '!P10</f>
        <v>#REF!</v>
      </c>
      <c r="Q10" s="33">
        <v>549</v>
      </c>
      <c r="R10" s="22">
        <v>0</v>
      </c>
      <c r="S10" s="23" t="e">
        <f>R10+'22.04 '!S10</f>
        <v>#REF!</v>
      </c>
      <c r="T10" s="33">
        <v>198</v>
      </c>
      <c r="U10" s="22">
        <v>0</v>
      </c>
      <c r="V10" s="23" t="e">
        <f>U10+'22.04 '!V10</f>
        <v>#REF!</v>
      </c>
      <c r="W10" s="38">
        <v>55</v>
      </c>
      <c r="X10" s="22">
        <v>0</v>
      </c>
      <c r="Y10" s="23" t="e">
        <f>X10+'22.04 '!Y10</f>
        <v>#REF!</v>
      </c>
      <c r="Z10" s="38">
        <v>71</v>
      </c>
      <c r="AA10" s="22">
        <v>0</v>
      </c>
      <c r="AB10" s="23" t="e">
        <f>AA10+'22.04 '!AB10</f>
        <v>#REF!</v>
      </c>
      <c r="AC10" s="38">
        <v>1690</v>
      </c>
      <c r="AD10" s="22">
        <v>0</v>
      </c>
      <c r="AE10" s="23" t="e">
        <f>AD10+'22.04 '!AE10</f>
        <v>#REF!</v>
      </c>
      <c r="AF10" s="19">
        <f t="shared" si="3"/>
        <v>0</v>
      </c>
      <c r="AG10" s="20" t="e">
        <f t="shared" si="4"/>
        <v>#REF!</v>
      </c>
      <c r="AH10" s="24">
        <v>0</v>
      </c>
      <c r="AI10" s="23" t="e">
        <f>AH10+'22.04 '!AI10</f>
        <v>#REF!</v>
      </c>
      <c r="AJ10" s="24">
        <v>0</v>
      </c>
      <c r="AK10" s="23" t="e">
        <f>AJ10+'22.04 '!AK10</f>
        <v>#REF!</v>
      </c>
      <c r="AL10" s="22">
        <v>0</v>
      </c>
      <c r="AM10" s="23" t="e">
        <f>AL10+'22.04 '!AM10</f>
        <v>#REF!</v>
      </c>
      <c r="AN10" s="22">
        <v>0</v>
      </c>
      <c r="AO10" s="23" t="e">
        <f>AN10+'22.04 '!AO10</f>
        <v>#REF!</v>
      </c>
      <c r="AP10" s="28" t="s">
        <v>44</v>
      </c>
      <c r="AQ10" s="19">
        <f t="shared" si="6"/>
        <v>0</v>
      </c>
      <c r="AR10" s="20" t="e">
        <f t="shared" si="7"/>
        <v>#REF!</v>
      </c>
      <c r="AS10" s="34">
        <v>0</v>
      </c>
      <c r="AT10" s="23" t="e">
        <f>AS10+'22.04 '!AT10</f>
        <v>#REF!</v>
      </c>
      <c r="AU10" s="34">
        <v>0</v>
      </c>
      <c r="AV10" s="23" t="e">
        <f>AU10+'22.04 '!AV10</f>
        <v>#REF!</v>
      </c>
      <c r="AW10" s="34">
        <v>0</v>
      </c>
      <c r="AX10" s="23" t="e">
        <f>AW10+'22.04 '!AX10</f>
        <v>#REF!</v>
      </c>
      <c r="AY10" s="34">
        <v>0</v>
      </c>
      <c r="AZ10" s="23" t="e">
        <f>AY10+'22.04 '!AZ10</f>
        <v>#REF!</v>
      </c>
      <c r="BA10" s="34">
        <v>0</v>
      </c>
      <c r="BB10" s="23" t="e">
        <f>BA10+'22.04 '!BB10</f>
        <v>#REF!</v>
      </c>
      <c r="BC10" s="19">
        <f t="shared" si="9"/>
        <v>2</v>
      </c>
      <c r="BD10" s="20" t="e">
        <f t="shared" si="10"/>
        <v>#REF!</v>
      </c>
      <c r="BE10" s="22">
        <v>0</v>
      </c>
      <c r="BF10" s="23" t="e">
        <f>BE10+'22.04 '!BF10</f>
        <v>#REF!</v>
      </c>
      <c r="BG10" s="34">
        <v>2</v>
      </c>
      <c r="BH10" s="23" t="e">
        <f>BG10+'22.04 '!BH10</f>
        <v>#REF!</v>
      </c>
      <c r="BI10" s="22">
        <v>0</v>
      </c>
      <c r="BJ10" s="23" t="e">
        <f>BI10+'22.04 '!BJ10</f>
        <v>#REF!</v>
      </c>
      <c r="BK10" s="22">
        <v>0</v>
      </c>
      <c r="BL10" s="23" t="e">
        <f>BK10+'22.04 '!BL10</f>
        <v>#REF!</v>
      </c>
      <c r="BM10" s="22">
        <v>0</v>
      </c>
      <c r="BN10" s="23" t="e">
        <f>BM10+'22.04 '!BN10</f>
        <v>#REF!</v>
      </c>
      <c r="BO10" s="36">
        <v>32</v>
      </c>
      <c r="BP10" s="37">
        <v>4</v>
      </c>
      <c r="BQ10" s="23" t="e">
        <f>BP10+'22.04 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56</v>
      </c>
      <c r="D11" s="31" t="e">
        <f t="shared" si="2"/>
        <v>#REF!</v>
      </c>
      <c r="E11" s="32">
        <v>883</v>
      </c>
      <c r="F11" s="22">
        <v>22</v>
      </c>
      <c r="G11" s="23" t="e">
        <f>F11+'22.04 '!G11</f>
        <v>#REF!</v>
      </c>
      <c r="H11" s="33">
        <v>16</v>
      </c>
      <c r="I11" s="34">
        <v>0</v>
      </c>
      <c r="J11" s="23" t="e">
        <f>I11+'22.04 '!J11</f>
        <v>#REF!</v>
      </c>
      <c r="K11" s="33">
        <v>3</v>
      </c>
      <c r="L11" s="22">
        <v>0</v>
      </c>
      <c r="M11" s="23" t="e">
        <f>L11+'22.04 '!M11</f>
        <v>#REF!</v>
      </c>
      <c r="N11" s="33">
        <v>875</v>
      </c>
      <c r="O11" s="22">
        <v>0</v>
      </c>
      <c r="P11" s="23" t="e">
        <f>O11+'22.04 '!P11</f>
        <v>#REF!</v>
      </c>
      <c r="Q11" s="33">
        <v>2424</v>
      </c>
      <c r="R11" s="22">
        <v>0</v>
      </c>
      <c r="S11" s="23" t="e">
        <f>R11+'22.04 '!S11</f>
        <v>#REF!</v>
      </c>
      <c r="T11" s="33">
        <v>69</v>
      </c>
      <c r="U11" s="22">
        <v>0</v>
      </c>
      <c r="V11" s="23" t="e">
        <f>U11+'22.04 '!V11</f>
        <v>#REF!</v>
      </c>
      <c r="W11" s="38">
        <v>133</v>
      </c>
      <c r="X11" s="22">
        <v>31</v>
      </c>
      <c r="Y11" s="23" t="e">
        <f>X11+'22.04 '!Y11</f>
        <v>#REF!</v>
      </c>
      <c r="Z11" s="38">
        <v>1116</v>
      </c>
      <c r="AA11" s="22">
        <v>0</v>
      </c>
      <c r="AB11" s="23" t="e">
        <f>AA11+'22.04 '!AB11</f>
        <v>#REF!</v>
      </c>
      <c r="AC11" s="38">
        <v>9862</v>
      </c>
      <c r="AD11" s="22">
        <v>3</v>
      </c>
      <c r="AE11" s="23" t="e">
        <f>AD11+'22.04 '!AE11</f>
        <v>#REF!</v>
      </c>
      <c r="AF11" s="19">
        <f t="shared" si="3"/>
        <v>81800</v>
      </c>
      <c r="AG11" s="20" t="e">
        <f t="shared" si="4"/>
        <v>#REF!</v>
      </c>
      <c r="AH11" s="24">
        <v>2900</v>
      </c>
      <c r="AI11" s="23" t="e">
        <f>AH11+'22.04 '!AI11</f>
        <v>#REF!</v>
      </c>
      <c r="AJ11" s="24">
        <v>6900</v>
      </c>
      <c r="AK11" s="23" t="e">
        <f>AJ11+'22.04 '!AK11</f>
        <v>#REF!</v>
      </c>
      <c r="AL11" s="22">
        <v>14000</v>
      </c>
      <c r="AM11" s="23" t="e">
        <f>AL11+'22.04 '!AM11</f>
        <v>#REF!</v>
      </c>
      <c r="AN11" s="22">
        <v>58000</v>
      </c>
      <c r="AO11" s="23" t="e">
        <f>AN11+'22.04 '!AO11</f>
        <v>#REF!</v>
      </c>
      <c r="AP11" s="28" t="s">
        <v>45</v>
      </c>
      <c r="AQ11" s="19">
        <f t="shared" si="6"/>
        <v>6</v>
      </c>
      <c r="AR11" s="20" t="e">
        <f t="shared" si="7"/>
        <v>#REF!</v>
      </c>
      <c r="AS11" s="34">
        <v>0</v>
      </c>
      <c r="AT11" s="23" t="e">
        <f>AS11+'22.04 '!AT11</f>
        <v>#REF!</v>
      </c>
      <c r="AU11" s="34">
        <v>0</v>
      </c>
      <c r="AV11" s="23" t="e">
        <f>AU11+'22.04 '!AV11</f>
        <v>#REF!</v>
      </c>
      <c r="AW11" s="34">
        <v>0</v>
      </c>
      <c r="AX11" s="23" t="e">
        <f>AW11+'22.04 '!AX11</f>
        <v>#REF!</v>
      </c>
      <c r="AY11" s="34">
        <v>0</v>
      </c>
      <c r="AZ11" s="23" t="e">
        <f>AY11+'22.04 '!AZ11</f>
        <v>#REF!</v>
      </c>
      <c r="BA11" s="34">
        <v>6</v>
      </c>
      <c r="BB11" s="23" t="e">
        <f>BA11+'22.04 '!BB11</f>
        <v>#REF!</v>
      </c>
      <c r="BC11" s="19">
        <f t="shared" si="9"/>
        <v>3177</v>
      </c>
      <c r="BD11" s="20" t="e">
        <f t="shared" si="10"/>
        <v>#REF!</v>
      </c>
      <c r="BE11" s="22">
        <v>6</v>
      </c>
      <c r="BF11" s="23" t="e">
        <f>BE11+'22.04 '!BF11</f>
        <v>#REF!</v>
      </c>
      <c r="BG11" s="34">
        <v>1</v>
      </c>
      <c r="BH11" s="23" t="e">
        <f>BG11+'22.04 '!BH11</f>
        <v>#REF!</v>
      </c>
      <c r="BI11" s="22">
        <v>3100</v>
      </c>
      <c r="BJ11" s="23" t="e">
        <f>BI11+'22.04 '!BJ11</f>
        <v>#REF!</v>
      </c>
      <c r="BK11" s="22">
        <v>70</v>
      </c>
      <c r="BL11" s="23" t="e">
        <f>BK11+'22.04 '!BL11</f>
        <v>#REF!</v>
      </c>
      <c r="BM11" s="22">
        <v>0</v>
      </c>
      <c r="BN11" s="23" t="e">
        <f>BM11+'22.04 '!BN11</f>
        <v>#REF!</v>
      </c>
      <c r="BO11" s="36">
        <v>11506</v>
      </c>
      <c r="BP11" s="37">
        <v>3</v>
      </c>
      <c r="BQ11" s="23" t="e">
        <f>BP11+'22.04 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164</v>
      </c>
      <c r="D12" s="31" t="e">
        <f t="shared" si="2"/>
        <v>#REF!</v>
      </c>
      <c r="E12" s="32">
        <v>909</v>
      </c>
      <c r="F12" s="22">
        <v>75</v>
      </c>
      <c r="G12" s="23" t="e">
        <f>F12+'22.04 '!G12</f>
        <v>#REF!</v>
      </c>
      <c r="H12" s="33">
        <v>80</v>
      </c>
      <c r="I12" s="34">
        <v>3</v>
      </c>
      <c r="J12" s="23" t="e">
        <f>I12+'22.04 '!J12</f>
        <v>#REF!</v>
      </c>
      <c r="K12" s="33">
        <v>5</v>
      </c>
      <c r="L12" s="22">
        <v>0</v>
      </c>
      <c r="M12" s="23" t="e">
        <f>L12+'22.04 '!M12</f>
        <v>#REF!</v>
      </c>
      <c r="N12" s="33">
        <v>820</v>
      </c>
      <c r="O12" s="22">
        <v>0</v>
      </c>
      <c r="P12" s="23" t="e">
        <f>O12+'22.04 '!P12</f>
        <v>#REF!</v>
      </c>
      <c r="Q12" s="33">
        <v>549</v>
      </c>
      <c r="R12" s="22">
        <v>0</v>
      </c>
      <c r="S12" s="23" t="e">
        <f>R12+'22.04 '!S12</f>
        <v>#REF!</v>
      </c>
      <c r="T12" s="33">
        <v>992</v>
      </c>
      <c r="U12" s="22">
        <v>0</v>
      </c>
      <c r="V12" s="23" t="e">
        <f>U12+'22.04 '!V12</f>
        <v>#REF!</v>
      </c>
      <c r="W12" s="33">
        <v>38</v>
      </c>
      <c r="X12" s="22">
        <v>86</v>
      </c>
      <c r="Y12" s="23" t="e">
        <f>X12+'22.04 '!Y12</f>
        <v>#REF!</v>
      </c>
      <c r="Z12" s="33">
        <v>68</v>
      </c>
      <c r="AA12" s="22">
        <v>0</v>
      </c>
      <c r="AB12" s="23" t="e">
        <f>AA12+'22.04 '!AB12</f>
        <v>#REF!</v>
      </c>
      <c r="AC12" s="33">
        <v>26703</v>
      </c>
      <c r="AD12" s="22">
        <v>0</v>
      </c>
      <c r="AE12" s="23" t="e">
        <f>AD12+'22.04 '!AE12</f>
        <v>#REF!</v>
      </c>
      <c r="AF12" s="19">
        <f t="shared" si="3"/>
        <v>36500</v>
      </c>
      <c r="AG12" s="20" t="e">
        <f t="shared" si="4"/>
        <v>#REF!</v>
      </c>
      <c r="AH12" s="24">
        <v>6700</v>
      </c>
      <c r="AI12" s="23" t="e">
        <f>AH12+'22.04 '!AI12</f>
        <v>#REF!</v>
      </c>
      <c r="AJ12" s="24">
        <v>12200</v>
      </c>
      <c r="AK12" s="23" t="e">
        <f>AJ12+'22.04 '!AK12</f>
        <v>#REF!</v>
      </c>
      <c r="AL12" s="22">
        <v>8800</v>
      </c>
      <c r="AM12" s="23" t="e">
        <f>AL12+'22.04 '!AM12</f>
        <v>#REF!</v>
      </c>
      <c r="AN12" s="22">
        <v>8800</v>
      </c>
      <c r="AO12" s="23" t="e">
        <f>AN12+'22.04 '!AO12</f>
        <v>#REF!</v>
      </c>
      <c r="AP12" s="28" t="s">
        <v>46</v>
      </c>
      <c r="AQ12" s="19">
        <f t="shared" si="6"/>
        <v>0</v>
      </c>
      <c r="AR12" s="20" t="e">
        <f t="shared" si="7"/>
        <v>#REF!</v>
      </c>
      <c r="AS12" s="34">
        <v>0</v>
      </c>
      <c r="AT12" s="23" t="e">
        <f>AS12+'22.04 '!AT12</f>
        <v>#REF!</v>
      </c>
      <c r="AU12" s="34">
        <v>0</v>
      </c>
      <c r="AV12" s="23" t="e">
        <f>AU12+'22.04 '!AV12</f>
        <v>#REF!</v>
      </c>
      <c r="AW12" s="34">
        <v>0</v>
      </c>
      <c r="AX12" s="23" t="e">
        <f>AW12+'22.04 '!AX12</f>
        <v>#REF!</v>
      </c>
      <c r="AY12" s="34">
        <v>0</v>
      </c>
      <c r="AZ12" s="23" t="e">
        <f>AY12+'22.04 '!AZ12</f>
        <v>#REF!</v>
      </c>
      <c r="BA12" s="34">
        <v>0</v>
      </c>
      <c r="BB12" s="23" t="e">
        <f>BA12+'22.04 '!BB12</f>
        <v>#REF!</v>
      </c>
      <c r="BC12" s="19">
        <f t="shared" si="9"/>
        <v>4081</v>
      </c>
      <c r="BD12" s="20" t="e">
        <f t="shared" si="10"/>
        <v>#REF!</v>
      </c>
      <c r="BE12" s="22">
        <v>268</v>
      </c>
      <c r="BF12" s="23" t="e">
        <f>BE12+'22.04 '!BF12</f>
        <v>#REF!</v>
      </c>
      <c r="BG12" s="34">
        <v>13</v>
      </c>
      <c r="BH12" s="23" t="e">
        <f>BG12+'22.04 '!BH12</f>
        <v>#REF!</v>
      </c>
      <c r="BI12" s="22">
        <v>3500</v>
      </c>
      <c r="BJ12" s="23" t="e">
        <f>BI12+'22.04 '!BJ12</f>
        <v>#REF!</v>
      </c>
      <c r="BK12" s="22">
        <v>300</v>
      </c>
      <c r="BL12" s="23" t="e">
        <f>BK12+'22.04 '!BL12</f>
        <v>#REF!</v>
      </c>
      <c r="BM12" s="22">
        <v>0</v>
      </c>
      <c r="BN12" s="23" t="e">
        <f>BM12+'22.04 '!BN12</f>
        <v>#REF!</v>
      </c>
      <c r="BO12" s="36"/>
      <c r="BP12" s="37">
        <v>1</v>
      </c>
      <c r="BQ12" s="23" t="e">
        <f>BP12+'22.04 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4</v>
      </c>
      <c r="D13" s="31" t="e">
        <f t="shared" si="2"/>
        <v>#REF!</v>
      </c>
      <c r="E13" s="32">
        <v>516</v>
      </c>
      <c r="F13" s="22">
        <v>2</v>
      </c>
      <c r="G13" s="23" t="e">
        <f>F13+'22.04 '!G13</f>
        <v>#REF!</v>
      </c>
      <c r="H13" s="33">
        <v>10</v>
      </c>
      <c r="I13" s="34">
        <v>1</v>
      </c>
      <c r="J13" s="23" t="e">
        <f>I13+'22.04 '!J13</f>
        <v>#REF!</v>
      </c>
      <c r="K13" s="33">
        <v>38</v>
      </c>
      <c r="L13" s="22">
        <v>0</v>
      </c>
      <c r="M13" s="23" t="e">
        <f>L13+'22.04 '!M13</f>
        <v>#REF!</v>
      </c>
      <c r="N13" s="33">
        <v>581</v>
      </c>
      <c r="O13" s="22">
        <v>0</v>
      </c>
      <c r="P13" s="23" t="e">
        <f>O13+'22.04 '!P13</f>
        <v>#REF!</v>
      </c>
      <c r="Q13" s="33">
        <v>525</v>
      </c>
      <c r="R13" s="22">
        <v>0</v>
      </c>
      <c r="S13" s="23" t="e">
        <f>R13+'22.04 '!S13</f>
        <v>#REF!</v>
      </c>
      <c r="T13" s="33">
        <v>263</v>
      </c>
      <c r="U13" s="22">
        <v>0</v>
      </c>
      <c r="V13" s="23" t="e">
        <f>U13+'22.04 '!V13</f>
        <v>#REF!</v>
      </c>
      <c r="W13" s="33">
        <v>43</v>
      </c>
      <c r="X13" s="22">
        <v>0</v>
      </c>
      <c r="Y13" s="23" t="e">
        <f>X13+'22.04 '!Y13</f>
        <v>#REF!</v>
      </c>
      <c r="Z13" s="33">
        <v>17</v>
      </c>
      <c r="AA13" s="22">
        <v>0</v>
      </c>
      <c r="AB13" s="23" t="e">
        <f>AA13+'22.04 '!AB13</f>
        <v>#REF!</v>
      </c>
      <c r="AC13" s="33">
        <v>51</v>
      </c>
      <c r="AD13" s="22">
        <v>1</v>
      </c>
      <c r="AE13" s="23" t="e">
        <f>AD13+'22.04 '!AE13</f>
        <v>#REF!</v>
      </c>
      <c r="AF13" s="19">
        <f t="shared" si="3"/>
        <v>237000</v>
      </c>
      <c r="AG13" s="20" t="e">
        <f t="shared" si="4"/>
        <v>#REF!</v>
      </c>
      <c r="AH13" s="24">
        <v>3000</v>
      </c>
      <c r="AI13" s="23" t="e">
        <f>AH13+'22.04 '!AI13</f>
        <v>#REF!</v>
      </c>
      <c r="AJ13" s="24">
        <v>14000</v>
      </c>
      <c r="AK13" s="23" t="e">
        <f>AJ13+'22.04 '!AK13</f>
        <v>#REF!</v>
      </c>
      <c r="AL13" s="22">
        <v>20000</v>
      </c>
      <c r="AM13" s="23" t="e">
        <f>AL13+'22.04 '!AM13</f>
        <v>#REF!</v>
      </c>
      <c r="AN13" s="22">
        <v>200000</v>
      </c>
      <c r="AO13" s="23" t="e">
        <f>AN13+'22.04 '!AO13</f>
        <v>#REF!</v>
      </c>
      <c r="AP13" s="28" t="s">
        <v>47</v>
      </c>
      <c r="AQ13" s="19">
        <f t="shared" si="6"/>
        <v>50</v>
      </c>
      <c r="AR13" s="20" t="e">
        <f t="shared" si="7"/>
        <v>#REF!</v>
      </c>
      <c r="AS13" s="34">
        <v>0</v>
      </c>
      <c r="AT13" s="23" t="e">
        <f>AS13+'22.04 '!AT13</f>
        <v>#REF!</v>
      </c>
      <c r="AU13" s="34">
        <v>0</v>
      </c>
      <c r="AV13" s="23" t="e">
        <f>AU13+'22.04 '!AV13</f>
        <v>#REF!</v>
      </c>
      <c r="AW13" s="34">
        <v>0</v>
      </c>
      <c r="AX13" s="23" t="e">
        <f>AW13+'22.04 '!AX13</f>
        <v>#REF!</v>
      </c>
      <c r="AY13" s="34">
        <v>0</v>
      </c>
      <c r="AZ13" s="23" t="e">
        <f>AY13+'22.04 '!AZ13</f>
        <v>#REF!</v>
      </c>
      <c r="BA13" s="34">
        <v>50</v>
      </c>
      <c r="BB13" s="23" t="e">
        <f>BA13+'22.04 '!BB13</f>
        <v>#REF!</v>
      </c>
      <c r="BC13" s="19">
        <f t="shared" si="9"/>
        <v>7601</v>
      </c>
      <c r="BD13" s="20" t="e">
        <f t="shared" si="10"/>
        <v>#REF!</v>
      </c>
      <c r="BE13" s="22">
        <v>516</v>
      </c>
      <c r="BF13" s="23" t="e">
        <f>BE13+'22.04 '!BF13</f>
        <v>#REF!</v>
      </c>
      <c r="BG13" s="34">
        <v>15</v>
      </c>
      <c r="BH13" s="23" t="e">
        <f>BG13+'22.04 '!BH13</f>
        <v>#REF!</v>
      </c>
      <c r="BI13" s="22">
        <v>7000</v>
      </c>
      <c r="BJ13" s="23" t="e">
        <f>BI13+'22.04 '!BJ13</f>
        <v>#REF!</v>
      </c>
      <c r="BK13" s="22">
        <v>70</v>
      </c>
      <c r="BL13" s="23" t="e">
        <f>BK13+'22.04 '!BL13</f>
        <v>#REF!</v>
      </c>
      <c r="BM13" s="22">
        <v>0</v>
      </c>
      <c r="BN13" s="23" t="e">
        <f>BM13+'22.04 '!BN13</f>
        <v>#REF!</v>
      </c>
      <c r="BO13" s="36"/>
      <c r="BP13" s="37">
        <v>0</v>
      </c>
      <c r="BQ13" s="23" t="e">
        <f>BP13+'22.04 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0</v>
      </c>
      <c r="D14" s="42" t="e">
        <f t="shared" si="2"/>
        <v>#REF!</v>
      </c>
      <c r="E14" s="43">
        <v>304</v>
      </c>
      <c r="F14" s="22"/>
      <c r="G14" s="23" t="e">
        <f>F14+'22.04 '!G14</f>
        <v>#REF!</v>
      </c>
      <c r="H14" s="44">
        <v>5</v>
      </c>
      <c r="I14" s="45"/>
      <c r="J14" s="23" t="e">
        <f>I14+'22.04 '!J14</f>
        <v>#REF!</v>
      </c>
      <c r="K14" s="44">
        <v>34</v>
      </c>
      <c r="L14" s="22"/>
      <c r="M14" s="23" t="e">
        <f>L14+'22.04 '!M14</f>
        <v>#REF!</v>
      </c>
      <c r="N14" s="44">
        <v>583</v>
      </c>
      <c r="O14" s="22"/>
      <c r="P14" s="23" t="e">
        <f>O14+'22.04 '!P14</f>
        <v>#REF!</v>
      </c>
      <c r="Q14" s="44">
        <v>254</v>
      </c>
      <c r="R14" s="22"/>
      <c r="S14" s="23" t="e">
        <f>R14+'22.04 '!S14</f>
        <v>#REF!</v>
      </c>
      <c r="T14" s="44">
        <v>196</v>
      </c>
      <c r="U14" s="22"/>
      <c r="V14" s="23" t="e">
        <f>U14+'22.04 '!V14</f>
        <v>#REF!</v>
      </c>
      <c r="W14" s="44">
        <v>30</v>
      </c>
      <c r="X14" s="22"/>
      <c r="Y14" s="23" t="e">
        <f>X14+'22.04 '!Y14</f>
        <v>#REF!</v>
      </c>
      <c r="Z14" s="44">
        <v>10</v>
      </c>
      <c r="AA14" s="22"/>
      <c r="AB14" s="23" t="e">
        <f>AA14+'22.04 '!AB14</f>
        <v>#REF!</v>
      </c>
      <c r="AC14" s="44">
        <v>2500</v>
      </c>
      <c r="AD14" s="22"/>
      <c r="AE14" s="23" t="e">
        <f>AD14+'22.04 '!AE14</f>
        <v>#REF!</v>
      </c>
      <c r="AF14" s="19">
        <f t="shared" si="3"/>
        <v>0</v>
      </c>
      <c r="AG14" s="20" t="e">
        <f t="shared" si="4"/>
        <v>#REF!</v>
      </c>
      <c r="AH14" s="24"/>
      <c r="AI14" s="23" t="e">
        <f>AH14+'22.04 '!AI14</f>
        <v>#REF!</v>
      </c>
      <c r="AJ14" s="24"/>
      <c r="AK14" s="23" t="e">
        <f>AJ14+'22.04 '!AK14</f>
        <v>#REF!</v>
      </c>
      <c r="AL14" s="22"/>
      <c r="AM14" s="23" t="e">
        <f>AL14+'22.04 '!AM14</f>
        <v>#REF!</v>
      </c>
      <c r="AN14" s="22"/>
      <c r="AO14" s="23" t="e">
        <f>AN14+'22.04 '!AO14</f>
        <v>#REF!</v>
      </c>
      <c r="AP14" s="39" t="s">
        <v>48</v>
      </c>
      <c r="AQ14" s="19">
        <f t="shared" si="6"/>
        <v>0</v>
      </c>
      <c r="AR14" s="20" t="e">
        <f t="shared" si="7"/>
        <v>#REF!</v>
      </c>
      <c r="AS14" s="45"/>
      <c r="AT14" s="23" t="e">
        <f>AS14+'22.04 '!AT14</f>
        <v>#REF!</v>
      </c>
      <c r="AU14" s="45"/>
      <c r="AV14" s="23" t="e">
        <f>AU14+'22.04 '!AV14</f>
        <v>#REF!</v>
      </c>
      <c r="AW14" s="45"/>
      <c r="AX14" s="23" t="e">
        <f>AW14+'22.04 '!AX14</f>
        <v>#REF!</v>
      </c>
      <c r="AY14" s="45"/>
      <c r="AZ14" s="23" t="e">
        <f>AY14+'22.04 '!AZ14</f>
        <v>#REF!</v>
      </c>
      <c r="BA14" s="45"/>
      <c r="BB14" s="23" t="e">
        <f>BA14+'22.04 '!BB14</f>
        <v>#REF!</v>
      </c>
      <c r="BC14" s="19">
        <f t="shared" si="9"/>
        <v>0</v>
      </c>
      <c r="BD14" s="20" t="e">
        <f t="shared" si="10"/>
        <v>#REF!</v>
      </c>
      <c r="BE14" s="22"/>
      <c r="BF14" s="23" t="e">
        <f>BE14+'22.04 '!BF14</f>
        <v>#REF!</v>
      </c>
      <c r="BG14" s="45"/>
      <c r="BH14" s="23" t="e">
        <f>BG14+'22.04 '!BH14</f>
        <v>#REF!</v>
      </c>
      <c r="BI14" s="22"/>
      <c r="BJ14" s="23" t="e">
        <f>BI14+'22.04 '!BJ14</f>
        <v>#REF!</v>
      </c>
      <c r="BK14" s="22"/>
      <c r="BL14" s="23" t="e">
        <f>BK14+'22.04 '!BL14</f>
        <v>#REF!</v>
      </c>
      <c r="BM14" s="22"/>
      <c r="BN14" s="23" t="e">
        <f>BM14+'22.04 '!BN14</f>
        <v>#REF!</v>
      </c>
      <c r="BO14" s="48">
        <v>2</v>
      </c>
      <c r="BP14" s="49"/>
      <c r="BQ14" s="23" t="e">
        <f>BP14+'22.04 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514</v>
      </c>
      <c r="D15" s="53" t="e">
        <f t="shared" si="2"/>
        <v>#REF!</v>
      </c>
      <c r="E15" s="54">
        <v>776</v>
      </c>
      <c r="F15" s="55">
        <v>362</v>
      </c>
      <c r="G15" s="23" t="e">
        <f>F15+'22.04 '!G15</f>
        <v>#REF!</v>
      </c>
      <c r="H15" s="56">
        <v>9</v>
      </c>
      <c r="I15" s="57">
        <v>0</v>
      </c>
      <c r="J15" s="23" t="e">
        <f>I15+'22.04 '!J15</f>
        <v>#REF!</v>
      </c>
      <c r="K15" s="56">
        <v>6</v>
      </c>
      <c r="L15" s="55">
        <v>0</v>
      </c>
      <c r="M15" s="23" t="e">
        <f>L15+'22.04 '!M15</f>
        <v>#REF!</v>
      </c>
      <c r="N15" s="56">
        <v>1305</v>
      </c>
      <c r="O15" s="55">
        <v>0</v>
      </c>
      <c r="P15" s="23" t="e">
        <f>O15+'22.04 '!P15</f>
        <v>#REF!</v>
      </c>
      <c r="Q15" s="56">
        <v>447</v>
      </c>
      <c r="R15" s="55">
        <v>0</v>
      </c>
      <c r="S15" s="23" t="e">
        <f>R15+'22.04 '!S15</f>
        <v>#REF!</v>
      </c>
      <c r="T15" s="56">
        <v>337</v>
      </c>
      <c r="U15" s="55">
        <v>0</v>
      </c>
      <c r="V15" s="23" t="e">
        <f>U15+'22.04 '!V15</f>
        <v>#REF!</v>
      </c>
      <c r="W15" s="56">
        <v>78</v>
      </c>
      <c r="X15" s="55">
        <v>134</v>
      </c>
      <c r="Y15" s="23" t="e">
        <f>X15+'22.04 '!Y15</f>
        <v>#REF!</v>
      </c>
      <c r="Z15" s="56">
        <v>141</v>
      </c>
      <c r="AA15" s="55">
        <v>0</v>
      </c>
      <c r="AB15" s="23" t="e">
        <f>AA15+'22.04 '!AB15</f>
        <v>#REF!</v>
      </c>
      <c r="AC15" s="56">
        <v>798</v>
      </c>
      <c r="AD15" s="55">
        <v>18</v>
      </c>
      <c r="AE15" s="23" t="e">
        <f>AD15+'22.04 '!AE15</f>
        <v>#REF!</v>
      </c>
      <c r="AF15" s="58">
        <f t="shared" si="3"/>
        <v>1351511</v>
      </c>
      <c r="AG15" s="59" t="e">
        <f t="shared" si="4"/>
        <v>#REF!</v>
      </c>
      <c r="AH15" s="60">
        <v>1129</v>
      </c>
      <c r="AI15" s="23" t="e">
        <f>AH15+'22.04 '!AI15</f>
        <v>#REF!</v>
      </c>
      <c r="AJ15" s="60">
        <v>3657</v>
      </c>
      <c r="AK15" s="23" t="e">
        <f>AJ15+'22.04 '!AK15</f>
        <v>#REF!</v>
      </c>
      <c r="AL15" s="55">
        <v>346725</v>
      </c>
      <c r="AM15" s="23" t="e">
        <f>AL15+'22.04 '!AM15</f>
        <v>#REF!</v>
      </c>
      <c r="AN15" s="55">
        <v>1000000</v>
      </c>
      <c r="AO15" s="23" t="e">
        <f>AN15+'22.04 '!AO15</f>
        <v>#REF!</v>
      </c>
      <c r="AP15" s="50" t="s">
        <v>49</v>
      </c>
      <c r="AQ15" s="58">
        <f t="shared" si="6"/>
        <v>4</v>
      </c>
      <c r="AR15" s="59" t="e">
        <f t="shared" si="7"/>
        <v>#REF!</v>
      </c>
      <c r="AS15" s="57">
        <v>0</v>
      </c>
      <c r="AT15" s="23" t="e">
        <f>AS15+'22.04 '!AT15</f>
        <v>#REF!</v>
      </c>
      <c r="AU15" s="57">
        <v>0</v>
      </c>
      <c r="AV15" s="23" t="e">
        <f>AU15+'22.04 '!AV15</f>
        <v>#REF!</v>
      </c>
      <c r="AW15" s="57">
        <v>0</v>
      </c>
      <c r="AX15" s="23" t="e">
        <f>AW15+'22.04 '!AX15</f>
        <v>#REF!</v>
      </c>
      <c r="AY15" s="57">
        <v>0</v>
      </c>
      <c r="AZ15" s="23" t="e">
        <f>AY15+'22.04 '!AZ15</f>
        <v>#REF!</v>
      </c>
      <c r="BA15" s="57">
        <v>4</v>
      </c>
      <c r="BB15" s="23" t="e">
        <f>BA15+'22.04 '!BB15</f>
        <v>#REF!</v>
      </c>
      <c r="BC15" s="58">
        <f t="shared" si="9"/>
        <v>1378</v>
      </c>
      <c r="BD15" s="59" t="e">
        <f t="shared" si="10"/>
        <v>#REF!</v>
      </c>
      <c r="BE15" s="55">
        <v>74</v>
      </c>
      <c r="BF15" s="23" t="e">
        <f>BE15+'22.04 '!BF15</f>
        <v>#REF!</v>
      </c>
      <c r="BG15" s="57">
        <v>4</v>
      </c>
      <c r="BH15" s="23" t="e">
        <f>BG15+'22.04 '!BH15</f>
        <v>#REF!</v>
      </c>
      <c r="BI15" s="55">
        <v>650</v>
      </c>
      <c r="BJ15" s="23" t="e">
        <f>BI15+'22.04 '!BJ15</f>
        <v>#REF!</v>
      </c>
      <c r="BK15" s="55">
        <v>650</v>
      </c>
      <c r="BL15" s="23" t="e">
        <f>BK15+'22.04 '!BL15</f>
        <v>#REF!</v>
      </c>
      <c r="BM15" s="55">
        <v>0</v>
      </c>
      <c r="BN15" s="23" t="e">
        <f>BM15+'22.04 '!BN15</f>
        <v>#REF!</v>
      </c>
      <c r="BO15" s="36">
        <v>6274</v>
      </c>
      <c r="BP15" s="37">
        <v>3</v>
      </c>
      <c r="BQ15" s="23" t="e">
        <f>BP15+'22.04 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0</v>
      </c>
      <c r="D16" s="31" t="e">
        <f t="shared" si="2"/>
        <v>#REF!</v>
      </c>
      <c r="E16" s="32">
        <v>310</v>
      </c>
      <c r="F16" s="22"/>
      <c r="G16" s="23" t="e">
        <f>F16+'22.04 '!G16</f>
        <v>#REF!</v>
      </c>
      <c r="H16" s="33">
        <v>5</v>
      </c>
      <c r="I16" s="34"/>
      <c r="J16" s="23" t="e">
        <f>I16+'22.04 '!J16</f>
        <v>#REF!</v>
      </c>
      <c r="K16" s="33">
        <v>3</v>
      </c>
      <c r="L16" s="22"/>
      <c r="M16" s="23" t="e">
        <f>L16+'22.04 '!M16</f>
        <v>#REF!</v>
      </c>
      <c r="N16" s="33">
        <v>384</v>
      </c>
      <c r="O16" s="22"/>
      <c r="P16" s="23" t="e">
        <f>O16+'22.04 '!P16</f>
        <v>#REF!</v>
      </c>
      <c r="Q16" s="33">
        <v>245</v>
      </c>
      <c r="R16" s="22"/>
      <c r="S16" s="23" t="e">
        <f>R16+'22.04 '!S16</f>
        <v>#REF!</v>
      </c>
      <c r="T16" s="33">
        <v>397</v>
      </c>
      <c r="U16" s="22"/>
      <c r="V16" s="23" t="e">
        <f>U16+'22.04 '!V16</f>
        <v>#REF!</v>
      </c>
      <c r="W16" s="33">
        <v>24</v>
      </c>
      <c r="X16" s="22"/>
      <c r="Y16" s="23" t="e">
        <f>X16+'22.04 '!Y16</f>
        <v>#REF!</v>
      </c>
      <c r="Z16" s="33">
        <v>18</v>
      </c>
      <c r="AA16" s="22"/>
      <c r="AB16" s="23" t="e">
        <f>AA16+'22.04 '!AB16</f>
        <v>#REF!</v>
      </c>
      <c r="AC16" s="33">
        <v>18515</v>
      </c>
      <c r="AD16" s="22"/>
      <c r="AE16" s="23" t="e">
        <f>AD16+'22.04 '!AE16</f>
        <v>#REF!</v>
      </c>
      <c r="AF16" s="19">
        <f t="shared" si="3"/>
        <v>0</v>
      </c>
      <c r="AG16" s="20" t="e">
        <f t="shared" si="4"/>
        <v>#REF!</v>
      </c>
      <c r="AH16" s="24"/>
      <c r="AI16" s="23" t="e">
        <f>AH16+'22.04 '!AI16</f>
        <v>#REF!</v>
      </c>
      <c r="AJ16" s="24"/>
      <c r="AK16" s="23" t="e">
        <f>AJ16+'22.04 '!AK16</f>
        <v>#REF!</v>
      </c>
      <c r="AL16" s="22"/>
      <c r="AM16" s="23" t="e">
        <f>AL16+'22.04 '!AM16</f>
        <v>#REF!</v>
      </c>
      <c r="AN16" s="22"/>
      <c r="AO16" s="23" t="e">
        <f>AN16+'22.04 '!AO16</f>
        <v>#REF!</v>
      </c>
      <c r="AP16" s="28" t="s">
        <v>51</v>
      </c>
      <c r="AQ16" s="19">
        <f t="shared" si="6"/>
        <v>0</v>
      </c>
      <c r="AR16" s="20" t="e">
        <f t="shared" si="7"/>
        <v>#REF!</v>
      </c>
      <c r="AS16" s="34"/>
      <c r="AT16" s="23" t="e">
        <f>AS16+'22.04 '!AT16</f>
        <v>#REF!</v>
      </c>
      <c r="AU16" s="34"/>
      <c r="AV16" s="23" t="e">
        <f>AU16+'22.04 '!AV16</f>
        <v>#REF!</v>
      </c>
      <c r="AW16" s="34"/>
      <c r="AX16" s="23" t="e">
        <f>AW16+'22.04 '!AX16</f>
        <v>#REF!</v>
      </c>
      <c r="AY16" s="34"/>
      <c r="AZ16" s="23" t="e">
        <f>AY16+'22.04 '!AZ16</f>
        <v>#REF!</v>
      </c>
      <c r="BA16" s="34"/>
      <c r="BB16" s="23" t="e">
        <f>BA16+'22.04 '!BB16</f>
        <v>#REF!</v>
      </c>
      <c r="BC16" s="19">
        <f t="shared" si="9"/>
        <v>0</v>
      </c>
      <c r="BD16" s="20" t="e">
        <f t="shared" si="10"/>
        <v>#REF!</v>
      </c>
      <c r="BE16" s="22"/>
      <c r="BF16" s="23" t="e">
        <f>BE16+'22.04 '!BF16</f>
        <v>#REF!</v>
      </c>
      <c r="BG16" s="34"/>
      <c r="BH16" s="23" t="e">
        <f>BG16+'22.04 '!BH16</f>
        <v>#REF!</v>
      </c>
      <c r="BI16" s="22"/>
      <c r="BJ16" s="23" t="e">
        <f>BI16+'22.04 '!BJ16</f>
        <v>#REF!</v>
      </c>
      <c r="BK16" s="22"/>
      <c r="BL16" s="23" t="e">
        <f>BK16+'22.04 '!BL16</f>
        <v>#REF!</v>
      </c>
      <c r="BM16" s="22"/>
      <c r="BN16" s="23" t="e">
        <f>BM16+'22.04 '!BN16</f>
        <v>#REF!</v>
      </c>
      <c r="BO16" s="36">
        <v>2546</v>
      </c>
      <c r="BP16" s="37"/>
      <c r="BQ16" s="23" t="e">
        <f>BP16+'22.04 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230</v>
      </c>
      <c r="D17" s="31" t="e">
        <f t="shared" si="2"/>
        <v>#REF!</v>
      </c>
      <c r="E17" s="32">
        <v>754</v>
      </c>
      <c r="F17" s="22">
        <v>160</v>
      </c>
      <c r="G17" s="23" t="e">
        <f>F17+'22.04 '!G17</f>
        <v>#REF!</v>
      </c>
      <c r="H17" s="33">
        <v>9</v>
      </c>
      <c r="I17" s="34">
        <v>0</v>
      </c>
      <c r="J17" s="23" t="e">
        <f>I17+'22.04 '!J17</f>
        <v>#REF!</v>
      </c>
      <c r="K17" s="33">
        <v>5</v>
      </c>
      <c r="L17" s="22">
        <v>0</v>
      </c>
      <c r="M17" s="23" t="e">
        <f>L17+'22.04 '!M17</f>
        <v>#REF!</v>
      </c>
      <c r="N17" s="33">
        <v>768</v>
      </c>
      <c r="O17" s="22">
        <v>0</v>
      </c>
      <c r="P17" s="23" t="e">
        <f>O17+'22.04 '!P17</f>
        <v>#REF!</v>
      </c>
      <c r="Q17" s="33">
        <v>624</v>
      </c>
      <c r="R17" s="22">
        <v>0</v>
      </c>
      <c r="S17" s="23" t="e">
        <f>R17+'22.04 '!S17</f>
        <v>#REF!</v>
      </c>
      <c r="T17" s="33">
        <v>742</v>
      </c>
      <c r="U17" s="22">
        <v>0</v>
      </c>
      <c r="V17" s="23" t="e">
        <f>U17+'22.04 '!V17</f>
        <v>#REF!</v>
      </c>
      <c r="W17" s="33">
        <v>54</v>
      </c>
      <c r="X17" s="22">
        <v>50</v>
      </c>
      <c r="Y17" s="23" t="e">
        <f>X17+'22.04 '!Y17</f>
        <v>#REF!</v>
      </c>
      <c r="Z17" s="33">
        <v>66</v>
      </c>
      <c r="AA17" s="22">
        <v>0</v>
      </c>
      <c r="AB17" s="23" t="e">
        <f>AA17+'22.04 '!AB17</f>
        <v>#REF!</v>
      </c>
      <c r="AC17" s="33">
        <v>2580</v>
      </c>
      <c r="AD17" s="22">
        <v>20</v>
      </c>
      <c r="AE17" s="23" t="e">
        <f>AD17+'22.04 '!AE17</f>
        <v>#REF!</v>
      </c>
      <c r="AF17" s="19">
        <f t="shared" si="3"/>
        <v>54600</v>
      </c>
      <c r="AG17" s="20" t="e">
        <f t="shared" si="4"/>
        <v>#REF!</v>
      </c>
      <c r="AH17" s="24">
        <v>8000</v>
      </c>
      <c r="AI17" s="23" t="e">
        <f>AH17+'22.04 '!AI17</f>
        <v>#REF!</v>
      </c>
      <c r="AJ17" s="24">
        <v>9800</v>
      </c>
      <c r="AK17" s="23" t="e">
        <f>AJ17+'22.04 '!AK17</f>
        <v>#REF!</v>
      </c>
      <c r="AL17" s="22">
        <v>26000</v>
      </c>
      <c r="AM17" s="23" t="e">
        <f>AL17+'22.04 '!AM17</f>
        <v>#REF!</v>
      </c>
      <c r="AN17" s="22">
        <v>10800</v>
      </c>
      <c r="AO17" s="23" t="e">
        <f>AN17+'22.04 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AS17+'22.04 '!AT17</f>
        <v>#REF!</v>
      </c>
      <c r="AU17" s="34">
        <v>1</v>
      </c>
      <c r="AV17" s="23" t="e">
        <f>AU17+'22.04 '!AV17</f>
        <v>#REF!</v>
      </c>
      <c r="AW17" s="34">
        <v>0</v>
      </c>
      <c r="AX17" s="23" t="e">
        <f>AW17+'22.04 '!AX17</f>
        <v>#REF!</v>
      </c>
      <c r="AY17" s="34">
        <v>0</v>
      </c>
      <c r="AZ17" s="23" t="e">
        <f>AY17+'22.04 '!AZ17</f>
        <v>#REF!</v>
      </c>
      <c r="BA17" s="34">
        <v>14</v>
      </c>
      <c r="BB17" s="23" t="e">
        <f>BA17+'22.04 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BE17+'22.04 '!BF17</f>
        <v>#REF!</v>
      </c>
      <c r="BG17" s="34">
        <v>4</v>
      </c>
      <c r="BH17" s="23" t="e">
        <f>BG17+'22.04 '!BH17</f>
        <v>#REF!</v>
      </c>
      <c r="BI17" s="22">
        <v>1400</v>
      </c>
      <c r="BJ17" s="23" t="e">
        <f>BI17+'22.04 '!BJ17</f>
        <v>#REF!</v>
      </c>
      <c r="BK17" s="22">
        <v>160</v>
      </c>
      <c r="BL17" s="23" t="e">
        <f>BK17+'22.04 '!BL17</f>
        <v>#REF!</v>
      </c>
      <c r="BM17" s="22">
        <v>0</v>
      </c>
      <c r="BN17" s="23" t="e">
        <f>BM17+'22.04 '!BN17</f>
        <v>#REF!</v>
      </c>
      <c r="BO17" s="36">
        <v>8022</v>
      </c>
      <c r="BP17" s="37">
        <v>7</v>
      </c>
      <c r="BQ17" s="23" t="e">
        <f>BP17+'22.04 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576</v>
      </c>
      <c r="D18" s="20" t="e">
        <f t="shared" si="2"/>
        <v>#REF!</v>
      </c>
      <c r="E18" s="21">
        <v>1063</v>
      </c>
      <c r="F18" s="22">
        <v>342</v>
      </c>
      <c r="G18" s="23" t="e">
        <f>F18+'22.04 '!G18</f>
        <v>#REF!</v>
      </c>
      <c r="H18" s="21">
        <v>19</v>
      </c>
      <c r="I18" s="22">
        <v>0</v>
      </c>
      <c r="J18" s="23" t="e">
        <f>I18+'22.04 '!J18</f>
        <v>#REF!</v>
      </c>
      <c r="K18" s="21">
        <v>8</v>
      </c>
      <c r="L18" s="22">
        <v>0</v>
      </c>
      <c r="M18" s="23" t="e">
        <f>L18+'22.04 '!M18</f>
        <v>#REF!</v>
      </c>
      <c r="N18" s="21">
        <v>1331</v>
      </c>
      <c r="O18" s="22">
        <v>0</v>
      </c>
      <c r="P18" s="23" t="e">
        <f>O18+'22.04 '!P18</f>
        <v>#REF!</v>
      </c>
      <c r="Q18" s="21">
        <v>777</v>
      </c>
      <c r="R18" s="22">
        <v>0</v>
      </c>
      <c r="S18" s="23" t="e">
        <f>R18+'22.04 '!S18</f>
        <v>#REF!</v>
      </c>
      <c r="T18" s="21">
        <v>318</v>
      </c>
      <c r="U18" s="22">
        <v>0</v>
      </c>
      <c r="V18" s="23" t="e">
        <f>U18+'22.04 '!V18</f>
        <v>#REF!</v>
      </c>
      <c r="W18" s="21">
        <v>60</v>
      </c>
      <c r="X18" s="22">
        <v>234</v>
      </c>
      <c r="Y18" s="23" t="e">
        <f>X18+'22.04 '!Y18</f>
        <v>#REF!</v>
      </c>
      <c r="Z18" s="21">
        <v>72</v>
      </c>
      <c r="AA18" s="22">
        <v>0</v>
      </c>
      <c r="AB18" s="23" t="e">
        <f>AA18+'22.04 '!AB18</f>
        <v>#REF!</v>
      </c>
      <c r="AC18" s="21">
        <v>143</v>
      </c>
      <c r="AD18" s="22">
        <v>0</v>
      </c>
      <c r="AE18" s="23" t="e">
        <f>AD18+'22.04 '!AE18</f>
        <v>#REF!</v>
      </c>
      <c r="AF18" s="19">
        <f t="shared" si="3"/>
        <v>357028</v>
      </c>
      <c r="AG18" s="20" t="e">
        <f t="shared" si="4"/>
        <v>#REF!</v>
      </c>
      <c r="AH18" s="24">
        <v>687</v>
      </c>
      <c r="AI18" s="23" t="e">
        <f>AH18+'22.04 '!AI18</f>
        <v>#REF!</v>
      </c>
      <c r="AJ18" s="24">
        <v>5065</v>
      </c>
      <c r="AK18" s="23" t="e">
        <f>AJ18+'22.04 '!AK18</f>
        <v>#REF!</v>
      </c>
      <c r="AL18" s="22">
        <v>5517</v>
      </c>
      <c r="AM18" s="23" t="e">
        <f>AL18+'22.04 '!AM18</f>
        <v>#REF!</v>
      </c>
      <c r="AN18" s="22">
        <v>345759</v>
      </c>
      <c r="AO18" s="23" t="e">
        <f>AN18+'22.04 '!AO18</f>
        <v>#REF!</v>
      </c>
      <c r="AP18" s="17" t="s">
        <v>53</v>
      </c>
      <c r="AQ18" s="19">
        <f t="shared" si="6"/>
        <v>9</v>
      </c>
      <c r="AR18" s="20" t="e">
        <f t="shared" si="7"/>
        <v>#REF!</v>
      </c>
      <c r="AS18" s="22">
        <v>0</v>
      </c>
      <c r="AT18" s="23" t="e">
        <f>AS18+'22.04 '!AT18</f>
        <v>#REF!</v>
      </c>
      <c r="AU18" s="22">
        <v>0</v>
      </c>
      <c r="AV18" s="23" t="e">
        <f>AU18+'22.04 '!AV18</f>
        <v>#REF!</v>
      </c>
      <c r="AW18" s="22">
        <v>0</v>
      </c>
      <c r="AX18" s="23" t="e">
        <f>AW18+'22.04 '!AX18</f>
        <v>#REF!</v>
      </c>
      <c r="AY18" s="22">
        <v>0</v>
      </c>
      <c r="AZ18" s="23" t="e">
        <f>AY18+'22.04 '!AZ18</f>
        <v>#REF!</v>
      </c>
      <c r="BA18" s="22">
        <v>9</v>
      </c>
      <c r="BB18" s="23" t="e">
        <f>BA18+'22.04 '!BB18</f>
        <v>#REF!</v>
      </c>
      <c r="BC18" s="19">
        <f t="shared" si="9"/>
        <v>3089</v>
      </c>
      <c r="BD18" s="20" t="e">
        <f t="shared" si="10"/>
        <v>#REF!</v>
      </c>
      <c r="BE18" s="22">
        <v>3</v>
      </c>
      <c r="BF18" s="23" t="e">
        <f>BE18+'22.04 '!BF18</f>
        <v>#REF!</v>
      </c>
      <c r="BG18" s="22">
        <v>0</v>
      </c>
      <c r="BH18" s="23" t="e">
        <f>BG18+'22.04 '!BH18</f>
        <v>#REF!</v>
      </c>
      <c r="BI18" s="22">
        <v>2948</v>
      </c>
      <c r="BJ18" s="23" t="e">
        <f>BI18+'22.04 '!BJ18</f>
        <v>#REF!</v>
      </c>
      <c r="BK18" s="22">
        <v>138</v>
      </c>
      <c r="BL18" s="23" t="e">
        <f>BK18+'22.04 '!BL18</f>
        <v>#REF!</v>
      </c>
      <c r="BM18" s="22">
        <v>0</v>
      </c>
      <c r="BN18" s="23" t="e">
        <f>BM18+'22.04 '!BN18</f>
        <v>#REF!</v>
      </c>
      <c r="BO18" s="36">
        <v>442</v>
      </c>
      <c r="BP18" s="37">
        <v>0</v>
      </c>
      <c r="BQ18" s="23" t="e">
        <f>BP18+'22.04 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452</v>
      </c>
      <c r="D19" s="31" t="e">
        <f t="shared" si="2"/>
        <v>#REF!</v>
      </c>
      <c r="E19" s="33">
        <v>221</v>
      </c>
      <c r="F19" s="22">
        <v>15</v>
      </c>
      <c r="G19" s="23" t="e">
        <f>F19+'22.04 '!G19</f>
        <v>#REF!</v>
      </c>
      <c r="H19" s="33">
        <v>5</v>
      </c>
      <c r="I19" s="34">
        <v>0</v>
      </c>
      <c r="J19" s="23" t="e">
        <f>I19+'22.04 '!J19</f>
        <v>#REF!</v>
      </c>
      <c r="K19" s="33">
        <v>4</v>
      </c>
      <c r="L19" s="22">
        <v>0</v>
      </c>
      <c r="M19" s="23" t="e">
        <f>L19+'22.04 '!M19</f>
        <v>#REF!</v>
      </c>
      <c r="N19" s="33">
        <v>313</v>
      </c>
      <c r="O19" s="22">
        <v>0</v>
      </c>
      <c r="P19" s="23" t="e">
        <f>O19+'22.04 '!P19</f>
        <v>#REF!</v>
      </c>
      <c r="Q19" s="33">
        <v>203</v>
      </c>
      <c r="R19" s="22">
        <v>0</v>
      </c>
      <c r="S19" s="23" t="e">
        <f>R19+'22.04 '!S19</f>
        <v>#REF!</v>
      </c>
      <c r="T19" s="33">
        <v>241</v>
      </c>
      <c r="U19" s="22">
        <v>0</v>
      </c>
      <c r="V19" s="23" t="e">
        <f>U19+'22.04 '!V19</f>
        <v>#REF!</v>
      </c>
      <c r="W19" s="33">
        <v>14</v>
      </c>
      <c r="X19" s="22">
        <v>19</v>
      </c>
      <c r="Y19" s="23" t="e">
        <f>X19+'22.04 '!Y19</f>
        <v>#REF!</v>
      </c>
      <c r="Z19" s="33">
        <v>7</v>
      </c>
      <c r="AA19" s="22">
        <v>0</v>
      </c>
      <c r="AB19" s="23" t="e">
        <f>AA19+'22.04 '!AB19</f>
        <v>#REF!</v>
      </c>
      <c r="AC19" s="33">
        <v>32</v>
      </c>
      <c r="AD19" s="22">
        <v>418</v>
      </c>
      <c r="AE19" s="23" t="e">
        <f>AD19+'22.04 '!AE19</f>
        <v>#REF!</v>
      </c>
      <c r="AF19" s="19">
        <f t="shared" si="3"/>
        <v>4100</v>
      </c>
      <c r="AG19" s="20" t="e">
        <f t="shared" si="4"/>
        <v>#REF!</v>
      </c>
      <c r="AH19" s="24">
        <v>800</v>
      </c>
      <c r="AI19" s="23" t="e">
        <f>AH19+'22.04 '!AI19</f>
        <v>#REF!</v>
      </c>
      <c r="AJ19" s="24">
        <v>800</v>
      </c>
      <c r="AK19" s="23" t="e">
        <f>AJ19+'22.04 '!AK19</f>
        <v>#REF!</v>
      </c>
      <c r="AL19" s="22">
        <v>1250</v>
      </c>
      <c r="AM19" s="23" t="e">
        <f>AL19+'22.04 '!AM19</f>
        <v>#REF!</v>
      </c>
      <c r="AN19" s="22">
        <v>1250</v>
      </c>
      <c r="AO19" s="23" t="e">
        <f>AN19+'22.04 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AS19+'22.04 '!AT19</f>
        <v>#REF!</v>
      </c>
      <c r="AU19" s="34">
        <v>0</v>
      </c>
      <c r="AV19" s="23" t="e">
        <f>AU19+'22.04 '!AV19</f>
        <v>#REF!</v>
      </c>
      <c r="AW19" s="34">
        <v>0</v>
      </c>
      <c r="AX19" s="23" t="e">
        <f>AW19+'22.04 '!AX19</f>
        <v>#REF!</v>
      </c>
      <c r="AY19" s="34">
        <v>0</v>
      </c>
      <c r="AZ19" s="23" t="e">
        <f>AY19+'22.04 '!AZ19</f>
        <v>#REF!</v>
      </c>
      <c r="BA19" s="34">
        <v>0</v>
      </c>
      <c r="BB19" s="23" t="e">
        <f>BA19+'22.04 '!BB19</f>
        <v>#REF!</v>
      </c>
      <c r="BC19" s="19">
        <f t="shared" si="9"/>
        <v>1520</v>
      </c>
      <c r="BD19" s="20" t="e">
        <f t="shared" si="10"/>
        <v>#REF!</v>
      </c>
      <c r="BE19" s="22">
        <v>15</v>
      </c>
      <c r="BF19" s="23" t="e">
        <f>BE19+'22.04 '!BF19</f>
        <v>#REF!</v>
      </c>
      <c r="BG19" s="34">
        <v>0</v>
      </c>
      <c r="BH19" s="23" t="e">
        <f>BG19+'22.04 '!BH19</f>
        <v>#REF!</v>
      </c>
      <c r="BI19" s="22">
        <v>1300</v>
      </c>
      <c r="BJ19" s="23" t="e">
        <f>BI19+'22.04 '!BJ19</f>
        <v>#REF!</v>
      </c>
      <c r="BK19" s="22">
        <v>200</v>
      </c>
      <c r="BL19" s="23" t="e">
        <f>BK19+'22.04 '!BL19</f>
        <v>#REF!</v>
      </c>
      <c r="BM19" s="22">
        <v>5</v>
      </c>
      <c r="BN19" s="23" t="e">
        <f>BM19+'22.04 '!BN19</f>
        <v>#REF!</v>
      </c>
      <c r="BO19" s="36">
        <v>2898</v>
      </c>
      <c r="BP19" s="37">
        <v>0</v>
      </c>
      <c r="BQ19" s="23" t="e">
        <f>BP19+'22.04 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410</v>
      </c>
      <c r="D20" s="31" t="e">
        <f t="shared" si="2"/>
        <v>#REF!</v>
      </c>
      <c r="E20" s="32">
        <v>723</v>
      </c>
      <c r="F20" s="22">
        <v>251</v>
      </c>
      <c r="G20" s="23" t="e">
        <f>F20+'22.04 '!G20</f>
        <v>#REF!</v>
      </c>
      <c r="H20" s="33">
        <v>5</v>
      </c>
      <c r="I20" s="34">
        <v>1</v>
      </c>
      <c r="J20" s="23" t="e">
        <f>I20+'22.04 '!J20</f>
        <v>#REF!</v>
      </c>
      <c r="K20" s="33">
        <v>3</v>
      </c>
      <c r="L20" s="22">
        <v>0</v>
      </c>
      <c r="M20" s="23" t="e">
        <f>L20+'22.04 '!M20</f>
        <v>#REF!</v>
      </c>
      <c r="N20" s="33">
        <v>975</v>
      </c>
      <c r="O20" s="22">
        <v>78</v>
      </c>
      <c r="P20" s="23" t="e">
        <f>O20+'22.04 '!P20</f>
        <v>#REF!</v>
      </c>
      <c r="Q20" s="61">
        <v>1862</v>
      </c>
      <c r="R20" s="22">
        <v>1</v>
      </c>
      <c r="S20" s="23" t="e">
        <f>R20+'22.04 '!S20</f>
        <v>#REF!</v>
      </c>
      <c r="T20" s="33">
        <v>35</v>
      </c>
      <c r="U20" s="22">
        <v>1</v>
      </c>
      <c r="V20" s="23" t="e">
        <f>U20+'22.04 '!V20</f>
        <v>#REF!</v>
      </c>
      <c r="W20" s="33">
        <v>64</v>
      </c>
      <c r="X20" s="22">
        <v>5</v>
      </c>
      <c r="Y20" s="23" t="e">
        <f>X20+'22.04 '!Y20</f>
        <v>#REF!</v>
      </c>
      <c r="Z20" s="33">
        <v>15</v>
      </c>
      <c r="AA20" s="22">
        <v>1</v>
      </c>
      <c r="AB20" s="23" t="e">
        <f>AA20+'22.04 '!AB20</f>
        <v>#REF!</v>
      </c>
      <c r="AC20" s="33">
        <v>1546</v>
      </c>
      <c r="AD20" s="22">
        <v>72</v>
      </c>
      <c r="AE20" s="23" t="e">
        <f>AD20+'22.04 '!AE20</f>
        <v>#REF!</v>
      </c>
      <c r="AF20" s="19">
        <f t="shared" si="3"/>
        <v>26430</v>
      </c>
      <c r="AG20" s="20" t="e">
        <f t="shared" si="4"/>
        <v>#REF!</v>
      </c>
      <c r="AH20" s="24">
        <v>12270</v>
      </c>
      <c r="AI20" s="23" t="e">
        <f>AH20+'22.04 '!AI20</f>
        <v>#REF!</v>
      </c>
      <c r="AJ20" s="24">
        <v>13360</v>
      </c>
      <c r="AK20" s="23" t="e">
        <f>AJ20+'22.04 '!AK20</f>
        <v>#REF!</v>
      </c>
      <c r="AL20" s="22">
        <v>350</v>
      </c>
      <c r="AM20" s="23" t="e">
        <f>AL20+'22.04 '!AM20</f>
        <v>#REF!</v>
      </c>
      <c r="AN20" s="22">
        <v>450</v>
      </c>
      <c r="AO20" s="23" t="e">
        <f>AN20+'22.04 '!AO20</f>
        <v>#REF!</v>
      </c>
      <c r="AP20" s="28" t="s">
        <v>55</v>
      </c>
      <c r="AQ20" s="19">
        <f t="shared" si="6"/>
        <v>221</v>
      </c>
      <c r="AR20" s="20" t="e">
        <f t="shared" si="7"/>
        <v>#REF!</v>
      </c>
      <c r="AS20" s="34">
        <v>1</v>
      </c>
      <c r="AT20" s="23" t="e">
        <f>AS20+'22.04 '!AT20</f>
        <v>#REF!</v>
      </c>
      <c r="AU20" s="34">
        <v>0</v>
      </c>
      <c r="AV20" s="23" t="e">
        <f>AU20+'22.04 '!AV20</f>
        <v>#REF!</v>
      </c>
      <c r="AW20" s="34">
        <v>0</v>
      </c>
      <c r="AX20" s="23" t="e">
        <f>AW20+'22.04 '!AX20</f>
        <v>#REF!</v>
      </c>
      <c r="AY20" s="34">
        <v>0</v>
      </c>
      <c r="AZ20" s="23" t="e">
        <f>AY20+'22.04 '!AZ20</f>
        <v>#REF!</v>
      </c>
      <c r="BA20" s="34">
        <v>220</v>
      </c>
      <c r="BB20" s="23" t="e">
        <f>BA20+'22.04 '!BB20</f>
        <v>#REF!</v>
      </c>
      <c r="BC20" s="19">
        <f t="shared" si="9"/>
        <v>5807</v>
      </c>
      <c r="BD20" s="20" t="e">
        <f t="shared" si="10"/>
        <v>#REF!</v>
      </c>
      <c r="BE20" s="22">
        <v>702</v>
      </c>
      <c r="BF20" s="23" t="e">
        <f>BE20+'22.04 '!BF20</f>
        <v>#REF!</v>
      </c>
      <c r="BG20" s="34">
        <v>0</v>
      </c>
      <c r="BH20" s="23" t="e">
        <f>BG20+'22.04 '!BH20</f>
        <v>#REF!</v>
      </c>
      <c r="BI20" s="22">
        <v>2580</v>
      </c>
      <c r="BJ20" s="23" t="e">
        <f>BI20+'22.04 '!BJ20</f>
        <v>#REF!</v>
      </c>
      <c r="BK20" s="22">
        <v>2525</v>
      </c>
      <c r="BL20" s="23" t="e">
        <f>BK20+'22.04 '!BL20</f>
        <v>#REF!</v>
      </c>
      <c r="BM20" s="22">
        <v>0</v>
      </c>
      <c r="BN20" s="23" t="e">
        <f>BM20+'22.04 '!BN20</f>
        <v>#REF!</v>
      </c>
      <c r="BO20" s="36">
        <v>5854</v>
      </c>
      <c r="BP20" s="37">
        <v>0</v>
      </c>
      <c r="BQ20" s="23" t="e">
        <f>BP20+'22.04 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254</v>
      </c>
      <c r="D21" s="31" t="e">
        <f t="shared" si="2"/>
        <v>#REF!</v>
      </c>
      <c r="E21" s="32">
        <v>1017</v>
      </c>
      <c r="F21" s="22">
        <v>200</v>
      </c>
      <c r="G21" s="23" t="e">
        <f>F21+'22.04 '!G21</f>
        <v>#REF!</v>
      </c>
      <c r="H21" s="33">
        <v>8</v>
      </c>
      <c r="I21" s="34">
        <v>1</v>
      </c>
      <c r="J21" s="23" t="e">
        <f>I21+'22.04 '!J21</f>
        <v>#REF!</v>
      </c>
      <c r="K21" s="33">
        <v>4</v>
      </c>
      <c r="L21" s="22">
        <v>0</v>
      </c>
      <c r="M21" s="23" t="e">
        <f>L21+'22.04 '!M21</f>
        <v>#REF!</v>
      </c>
      <c r="N21" s="33">
        <v>963</v>
      </c>
      <c r="O21" s="22">
        <v>1</v>
      </c>
      <c r="P21" s="23" t="e">
        <f>O21+'22.04 '!P21</f>
        <v>#REF!</v>
      </c>
      <c r="Q21" s="33">
        <v>912</v>
      </c>
      <c r="R21" s="22">
        <v>0</v>
      </c>
      <c r="S21" s="23" t="e">
        <f>R21+'22.04 '!S21</f>
        <v>#REF!</v>
      </c>
      <c r="T21" s="33">
        <v>199</v>
      </c>
      <c r="U21" s="22">
        <v>2</v>
      </c>
      <c r="V21" s="23" t="e">
        <f>U21+'22.04 '!V21</f>
        <v>#REF!</v>
      </c>
      <c r="W21" s="33">
        <v>101</v>
      </c>
      <c r="X21" s="22">
        <v>50</v>
      </c>
      <c r="Y21" s="23" t="e">
        <f>X21+'22.04 '!Y21</f>
        <v>#REF!</v>
      </c>
      <c r="Z21" s="33">
        <v>42</v>
      </c>
      <c r="AA21" s="22">
        <v>0</v>
      </c>
      <c r="AB21" s="23" t="e">
        <f>AA21+'22.04 '!AB21</f>
        <v>#REF!</v>
      </c>
      <c r="AC21" s="33">
        <v>20</v>
      </c>
      <c r="AD21" s="22">
        <v>0</v>
      </c>
      <c r="AE21" s="23" t="e">
        <f>AD21+'22.04 '!AE21</f>
        <v>#REF!</v>
      </c>
      <c r="AF21" s="19">
        <f t="shared" si="3"/>
        <v>1150000</v>
      </c>
      <c r="AG21" s="20" t="e">
        <f t="shared" si="4"/>
        <v>#REF!</v>
      </c>
      <c r="AH21" s="24">
        <v>3000</v>
      </c>
      <c r="AI21" s="23" t="e">
        <f>AH21+'22.04 '!AI21</f>
        <v>#REF!</v>
      </c>
      <c r="AJ21" s="24">
        <v>147000</v>
      </c>
      <c r="AK21" s="23" t="e">
        <f>AJ21+'22.04 '!AK21</f>
        <v>#REF!</v>
      </c>
      <c r="AL21" s="22">
        <v>2000</v>
      </c>
      <c r="AM21" s="23" t="e">
        <f>AL21+'22.04 '!AM21</f>
        <v>#REF!</v>
      </c>
      <c r="AN21" s="22">
        <v>998000</v>
      </c>
      <c r="AO21" s="23" t="e">
        <f>AN21+'22.04 '!AO21</f>
        <v>#REF!</v>
      </c>
      <c r="AP21" s="28" t="s">
        <v>58</v>
      </c>
      <c r="AQ21" s="19">
        <f t="shared" si="6"/>
        <v>8</v>
      </c>
      <c r="AR21" s="20" t="e">
        <f t="shared" si="7"/>
        <v>#REF!</v>
      </c>
      <c r="AS21" s="34">
        <v>0</v>
      </c>
      <c r="AT21" s="23" t="e">
        <f>AS21+'22.04 '!AT21</f>
        <v>#REF!</v>
      </c>
      <c r="AU21" s="34">
        <v>2</v>
      </c>
      <c r="AV21" s="23" t="e">
        <f>AU21+'22.04 '!AV21</f>
        <v>#REF!</v>
      </c>
      <c r="AW21" s="34">
        <v>1</v>
      </c>
      <c r="AX21" s="23" t="e">
        <f>AW21+'22.04 '!AX21</f>
        <v>#REF!</v>
      </c>
      <c r="AY21" s="34">
        <v>0</v>
      </c>
      <c r="AZ21" s="23" t="e">
        <f>AY21+'22.04 '!AZ21</f>
        <v>#REF!</v>
      </c>
      <c r="BA21" s="34">
        <v>5</v>
      </c>
      <c r="BB21" s="23" t="e">
        <f>BA21+'22.04 '!BB21</f>
        <v>#REF!</v>
      </c>
      <c r="BC21" s="19">
        <f t="shared" si="9"/>
        <v>7100</v>
      </c>
      <c r="BD21" s="20" t="e">
        <f t="shared" si="10"/>
        <v>#REF!</v>
      </c>
      <c r="BE21" s="22">
        <v>100</v>
      </c>
      <c r="BF21" s="23" t="e">
        <f>BE21+'22.04 '!BF21</f>
        <v>#REF!</v>
      </c>
      <c r="BG21" s="34">
        <v>0</v>
      </c>
      <c r="BH21" s="23" t="e">
        <f>BG21+'22.04 '!BH21</f>
        <v>#REF!</v>
      </c>
      <c r="BI21" s="22">
        <v>7000</v>
      </c>
      <c r="BJ21" s="23" t="e">
        <f>BI21+'22.04 '!BJ21</f>
        <v>#REF!</v>
      </c>
      <c r="BK21" s="22">
        <v>0</v>
      </c>
      <c r="BL21" s="23" t="e">
        <f>BK21+'22.04 '!BL21</f>
        <v>#REF!</v>
      </c>
      <c r="BM21" s="22">
        <v>0</v>
      </c>
      <c r="BN21" s="23" t="e">
        <f>BM21+'22.04 '!BN21</f>
        <v>#REF!</v>
      </c>
      <c r="BO21" s="36">
        <v>68</v>
      </c>
      <c r="BP21" s="37">
        <v>1</v>
      </c>
      <c r="BQ21" s="23" t="e">
        <f>BP21+'22.04 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1780</v>
      </c>
      <c r="D22" s="31" t="e">
        <f t="shared" si="2"/>
        <v>#REF!</v>
      </c>
      <c r="E22" s="32">
        <v>509</v>
      </c>
      <c r="F22" s="22">
        <v>305</v>
      </c>
      <c r="G22" s="23" t="e">
        <f>F22+'22.04 '!G22</f>
        <v>#REF!</v>
      </c>
      <c r="H22" s="33">
        <v>8</v>
      </c>
      <c r="I22" s="34">
        <v>8</v>
      </c>
      <c r="J22" s="23" t="e">
        <f>I22+'22.04 '!J22</f>
        <v>#REF!</v>
      </c>
      <c r="K22" s="33">
        <v>21</v>
      </c>
      <c r="L22" s="22">
        <v>0</v>
      </c>
      <c r="M22" s="23" t="e">
        <f>L22+'22.04 '!M22</f>
        <v>#REF!</v>
      </c>
      <c r="N22" s="33">
        <v>560</v>
      </c>
      <c r="O22" s="22">
        <v>20</v>
      </c>
      <c r="P22" s="23" t="e">
        <f>O22+'22.04 '!P22</f>
        <v>#REF!</v>
      </c>
      <c r="Q22" s="33">
        <v>375</v>
      </c>
      <c r="R22" s="22">
        <v>20</v>
      </c>
      <c r="S22" s="23" t="e">
        <f>R22+'22.04 '!S22</f>
        <v>#REF!</v>
      </c>
      <c r="T22" s="33">
        <v>165</v>
      </c>
      <c r="U22" s="22">
        <v>27</v>
      </c>
      <c r="V22" s="23" t="e">
        <f>U22+'22.04 '!V22</f>
        <v>#REF!</v>
      </c>
      <c r="W22" s="33">
        <v>28</v>
      </c>
      <c r="X22" s="22">
        <v>106</v>
      </c>
      <c r="Y22" s="23" t="e">
        <f>X22+'22.04 '!Y22</f>
        <v>#REF!</v>
      </c>
      <c r="Z22" s="33">
        <v>9</v>
      </c>
      <c r="AA22" s="22">
        <v>0</v>
      </c>
      <c r="AB22" s="23" t="e">
        <f>AA22+'22.04 '!AB22</f>
        <v>#REF!</v>
      </c>
      <c r="AC22" s="33">
        <v>112</v>
      </c>
      <c r="AD22" s="22">
        <v>1294</v>
      </c>
      <c r="AE22" s="23" t="e">
        <f>AD22+'22.04 '!AE22</f>
        <v>#REF!</v>
      </c>
      <c r="AF22" s="19">
        <f t="shared" si="3"/>
        <v>45897</v>
      </c>
      <c r="AG22" s="20" t="e">
        <f t="shared" si="4"/>
        <v>#REF!</v>
      </c>
      <c r="AH22" s="24">
        <v>1345</v>
      </c>
      <c r="AI22" s="23" t="e">
        <f>AH22+'22.04 '!AI22</f>
        <v>#REF!</v>
      </c>
      <c r="AJ22" s="24">
        <v>8000</v>
      </c>
      <c r="AK22" s="23" t="e">
        <f>AJ22+'22.04 '!AK22</f>
        <v>#REF!</v>
      </c>
      <c r="AL22" s="22">
        <v>552</v>
      </c>
      <c r="AM22" s="23" t="e">
        <f>AL22+'22.04 '!AM22</f>
        <v>#REF!</v>
      </c>
      <c r="AN22" s="22">
        <v>36000</v>
      </c>
      <c r="AO22" s="23" t="e">
        <f>AN22+'22.04 '!AO22</f>
        <v>#REF!</v>
      </c>
      <c r="AP22" s="28" t="s">
        <v>59</v>
      </c>
      <c r="AQ22" s="19">
        <f t="shared" si="6"/>
        <v>1855</v>
      </c>
      <c r="AR22" s="20" t="e">
        <f t="shared" si="7"/>
        <v>#REF!</v>
      </c>
      <c r="AS22" s="34">
        <v>0</v>
      </c>
      <c r="AT22" s="23" t="e">
        <f>AS22+'22.04 '!AT22</f>
        <v>#REF!</v>
      </c>
      <c r="AU22" s="34">
        <v>0</v>
      </c>
      <c r="AV22" s="23" t="e">
        <f>AU22+'22.04 '!AV22</f>
        <v>#REF!</v>
      </c>
      <c r="AW22" s="34">
        <v>0</v>
      </c>
      <c r="AX22" s="23" t="e">
        <f>AW22+'22.04 '!AX22</f>
        <v>#REF!</v>
      </c>
      <c r="AY22" s="34">
        <v>0</v>
      </c>
      <c r="AZ22" s="23" t="e">
        <f>AY22+'22.04 '!AZ22</f>
        <v>#REF!</v>
      </c>
      <c r="BA22" s="34">
        <v>1855</v>
      </c>
      <c r="BB22" s="23" t="e">
        <f>BA22+'22.04 '!BB22</f>
        <v>#REF!</v>
      </c>
      <c r="BC22" s="19">
        <f t="shared" si="9"/>
        <v>8470</v>
      </c>
      <c r="BD22" s="20" t="e">
        <f t="shared" si="10"/>
        <v>#REF!</v>
      </c>
      <c r="BE22" s="22">
        <v>6</v>
      </c>
      <c r="BF22" s="23" t="e">
        <f>BE22+'22.04 '!BF22</f>
        <v>#REF!</v>
      </c>
      <c r="BG22" s="34">
        <v>2</v>
      </c>
      <c r="BH22" s="23" t="e">
        <f>BG22+'22.04 '!BH22</f>
        <v>#REF!</v>
      </c>
      <c r="BI22" s="22">
        <v>8450</v>
      </c>
      <c r="BJ22" s="23" t="e">
        <f>BI22+'22.04 '!BJ22</f>
        <v>#REF!</v>
      </c>
      <c r="BK22" s="22">
        <v>12</v>
      </c>
      <c r="BL22" s="23" t="e">
        <f>BK22+'22.04 '!BL22</f>
        <v>#REF!</v>
      </c>
      <c r="BM22" s="22">
        <v>0</v>
      </c>
      <c r="BN22" s="23" t="e">
        <f>BM22+'22.04 '!BN22</f>
        <v>#REF!</v>
      </c>
      <c r="BO22" s="36">
        <v>26</v>
      </c>
      <c r="BP22" s="37">
        <v>2</v>
      </c>
      <c r="BQ22" s="23" t="e">
        <f>BP22+'22.04 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4442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1735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15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0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99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21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30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715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1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1826</v>
      </c>
      <c r="AE23" s="68" t="e">
        <f t="shared" si="16"/>
        <v>#REF!</v>
      </c>
      <c r="AF23" s="64">
        <f t="shared" si="16"/>
        <v>3351726</v>
      </c>
      <c r="AG23" s="64" t="e">
        <f t="shared" si="16"/>
        <v>#REF!</v>
      </c>
      <c r="AH23" s="67">
        <f t="shared" si="16"/>
        <v>40011</v>
      </c>
      <c r="AI23" s="68" t="e">
        <f t="shared" si="16"/>
        <v>#REF!</v>
      </c>
      <c r="AJ23" s="67">
        <f t="shared" si="16"/>
        <v>221062</v>
      </c>
      <c r="AK23" s="68" t="e">
        <f t="shared" si="16"/>
        <v>#REF!</v>
      </c>
      <c r="AL23" s="67">
        <f t="shared" si="16"/>
        <v>427794</v>
      </c>
      <c r="AM23" s="68" t="e">
        <f t="shared" si="16"/>
        <v>#REF!</v>
      </c>
      <c r="AN23" s="67">
        <f t="shared" si="16"/>
        <v>2662859</v>
      </c>
      <c r="AO23" s="68" t="e">
        <f t="shared" si="16"/>
        <v>#REF!</v>
      </c>
      <c r="AP23" s="62" t="s">
        <v>12</v>
      </c>
      <c r="AQ23" s="64">
        <f t="shared" ref="AQ23:BP23" si="17">SUM(AQ8:AQ22)</f>
        <v>2205</v>
      </c>
      <c r="AR23" s="64" t="e">
        <f t="shared" si="17"/>
        <v>#REF!</v>
      </c>
      <c r="AS23" s="67">
        <f t="shared" si="17"/>
        <v>3</v>
      </c>
      <c r="AT23" s="68" t="e">
        <f t="shared" si="17"/>
        <v>#REF!</v>
      </c>
      <c r="AU23" s="67">
        <f t="shared" si="17"/>
        <v>4</v>
      </c>
      <c r="AV23" s="68" t="e">
        <f t="shared" si="17"/>
        <v>#REF!</v>
      </c>
      <c r="AW23" s="67">
        <f t="shared" si="17"/>
        <v>1</v>
      </c>
      <c r="AX23" s="68" t="e">
        <f t="shared" si="17"/>
        <v>#REF!</v>
      </c>
      <c r="AY23" s="67">
        <f t="shared" si="17"/>
        <v>0</v>
      </c>
      <c r="AZ23" s="68" t="e">
        <f t="shared" si="17"/>
        <v>#REF!</v>
      </c>
      <c r="BA23" s="67">
        <f t="shared" si="17"/>
        <v>2197</v>
      </c>
      <c r="BB23" s="68" t="e">
        <f t="shared" si="17"/>
        <v>#REF!</v>
      </c>
      <c r="BC23" s="64">
        <f t="shared" si="17"/>
        <v>44248</v>
      </c>
      <c r="BD23" s="64" t="e">
        <f t="shared" si="17"/>
        <v>#REF!</v>
      </c>
      <c r="BE23" s="67">
        <f t="shared" si="17"/>
        <v>1729</v>
      </c>
      <c r="BF23" s="68" t="e">
        <f t="shared" si="17"/>
        <v>#REF!</v>
      </c>
      <c r="BG23" s="67">
        <f t="shared" si="17"/>
        <v>41</v>
      </c>
      <c r="BH23" s="68" t="e">
        <f t="shared" si="17"/>
        <v>#REF!</v>
      </c>
      <c r="BI23" s="67">
        <f t="shared" si="17"/>
        <v>38348</v>
      </c>
      <c r="BJ23" s="68" t="e">
        <f t="shared" si="17"/>
        <v>#REF!</v>
      </c>
      <c r="BK23" s="67">
        <f t="shared" si="17"/>
        <v>4125</v>
      </c>
      <c r="BL23" s="68" t="e">
        <f t="shared" si="17"/>
        <v>#REF!</v>
      </c>
      <c r="BM23" s="67">
        <f t="shared" si="17"/>
        <v>5</v>
      </c>
      <c r="BN23" s="68" t="e">
        <f t="shared" si="17"/>
        <v>#REF!</v>
      </c>
      <c r="BO23" s="69">
        <f t="shared" si="17"/>
        <v>37684</v>
      </c>
      <c r="BP23" s="70">
        <f t="shared" si="17"/>
        <v>21</v>
      </c>
      <c r="BQ23" s="23">
        <f>BP23+'20.04'!BP23</f>
        <v>47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BU23"/>
  <sheetViews>
    <sheetView zoomScale="130" zoomScaleNormal="130" workbookViewId="0">
      <pane xSplit="4" ySplit="8" topLeftCell="E21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.7109375" customWidth="1"/>
    <col min="5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2</v>
      </c>
      <c r="D9" s="31" t="e">
        <f t="shared" si="2"/>
        <v>#REF!</v>
      </c>
      <c r="E9" s="32">
        <v>452</v>
      </c>
      <c r="F9" s="22">
        <v>1</v>
      </c>
      <c r="G9" s="23" t="e">
        <f>F9+'23.04 '!G9</f>
        <v>#REF!</v>
      </c>
      <c r="H9" s="33">
        <v>12</v>
      </c>
      <c r="I9" s="34">
        <v>1</v>
      </c>
      <c r="J9" s="23" t="e">
        <f>I9+'23.04 '!J9</f>
        <v>#REF!</v>
      </c>
      <c r="K9" s="33">
        <v>2</v>
      </c>
      <c r="L9" s="22">
        <v>0</v>
      </c>
      <c r="M9" s="23" t="e">
        <f>L9+'23.04 '!M9</f>
        <v>#REF!</v>
      </c>
      <c r="N9" s="33">
        <v>735</v>
      </c>
      <c r="O9" s="22">
        <v>0</v>
      </c>
      <c r="P9" s="23" t="e">
        <f>O9+'23.04 '!P9</f>
        <v>#REF!</v>
      </c>
      <c r="Q9" s="33">
        <v>502</v>
      </c>
      <c r="R9" s="22">
        <v>0</v>
      </c>
      <c r="S9" s="23" t="e">
        <f>R9+'23.04 '!S9</f>
        <v>#REF!</v>
      </c>
      <c r="T9" s="33">
        <v>197</v>
      </c>
      <c r="U9" s="22">
        <v>0</v>
      </c>
      <c r="V9" s="23" t="e">
        <f>U9+'23.04 '!V9</f>
        <v>#REF!</v>
      </c>
      <c r="W9" s="33">
        <v>47</v>
      </c>
      <c r="X9" s="22">
        <v>0</v>
      </c>
      <c r="Y9" s="23" t="e">
        <f>X9+'23.04 '!Y9</f>
        <v>#REF!</v>
      </c>
      <c r="Z9" s="33">
        <v>34</v>
      </c>
      <c r="AA9" s="22">
        <v>0</v>
      </c>
      <c r="AB9" s="23" t="e">
        <f>AA9+'23.04 '!AB9</f>
        <v>#REF!</v>
      </c>
      <c r="AC9" s="33">
        <v>1860</v>
      </c>
      <c r="AD9" s="22">
        <v>0</v>
      </c>
      <c r="AE9" s="23" t="e">
        <f>AD9+'23.04 '!AE9</f>
        <v>#REF!</v>
      </c>
      <c r="AF9" s="19">
        <f t="shared" si="3"/>
        <v>7720</v>
      </c>
      <c r="AG9" s="20" t="e">
        <f t="shared" si="4"/>
        <v>#REF!</v>
      </c>
      <c r="AH9" s="24">
        <v>160</v>
      </c>
      <c r="AI9" s="23" t="e">
        <f>AH9+'23.04 '!AI9</f>
        <v>#REF!</v>
      </c>
      <c r="AJ9" s="24">
        <v>360</v>
      </c>
      <c r="AK9" s="23" t="e">
        <f>AJ9+'23.04 '!AK9</f>
        <v>#REF!</v>
      </c>
      <c r="AL9" s="22">
        <v>2600</v>
      </c>
      <c r="AM9" s="23" t="e">
        <f>AL9+'23.04 '!AM9</f>
        <v>#REF!</v>
      </c>
      <c r="AN9" s="22">
        <v>4600</v>
      </c>
      <c r="AO9" s="23" t="e">
        <f>AN9+'23.04 '!AO9</f>
        <v>#REF!</v>
      </c>
      <c r="AP9" s="28" t="s">
        <v>43</v>
      </c>
      <c r="AQ9" s="19">
        <f t="shared" si="6"/>
        <v>39</v>
      </c>
      <c r="AR9" s="20" t="e">
        <f t="shared" si="7"/>
        <v>#REF!</v>
      </c>
      <c r="AS9" s="34">
        <v>1</v>
      </c>
      <c r="AT9" s="23" t="e">
        <f>AS9+'23.04 '!AT9</f>
        <v>#REF!</v>
      </c>
      <c r="AU9" s="34">
        <v>1</v>
      </c>
      <c r="AV9" s="23" t="e">
        <f>AU9+'23.04 '!AV9</f>
        <v>#REF!</v>
      </c>
      <c r="AW9" s="34">
        <v>0</v>
      </c>
      <c r="AX9" s="23" t="e">
        <f>AW9+'23.04 '!AX9</f>
        <v>#REF!</v>
      </c>
      <c r="AY9" s="34">
        <v>0</v>
      </c>
      <c r="AZ9" s="23" t="e">
        <f>AY9+'23.04 '!AZ9</f>
        <v>#REF!</v>
      </c>
      <c r="BA9" s="34">
        <v>37</v>
      </c>
      <c r="BB9" s="23" t="e">
        <f>BA9+'23.04 '!BB9</f>
        <v>#REF!</v>
      </c>
      <c r="BC9" s="19">
        <f t="shared" si="9"/>
        <v>521</v>
      </c>
      <c r="BD9" s="20" t="e">
        <f t="shared" si="10"/>
        <v>#REF!</v>
      </c>
      <c r="BE9" s="22">
        <v>1</v>
      </c>
      <c r="BF9" s="23" t="e">
        <f>BE9+'23.04 '!BF9</f>
        <v>#REF!</v>
      </c>
      <c r="BG9" s="34">
        <v>0</v>
      </c>
      <c r="BH9" s="23" t="e">
        <f>BG9+'23.04 '!BH9</f>
        <v>#REF!</v>
      </c>
      <c r="BI9" s="22">
        <v>520</v>
      </c>
      <c r="BJ9" s="23" t="e">
        <f>BI9+'23.04 '!BJ9</f>
        <v>#REF!</v>
      </c>
      <c r="BK9" s="22">
        <v>0</v>
      </c>
      <c r="BL9" s="23" t="e">
        <f>BK9+'23.04 '!BL9</f>
        <v>#REF!</v>
      </c>
      <c r="BM9" s="22">
        <v>0</v>
      </c>
      <c r="BN9" s="23" t="e">
        <f>BM9+'23.04 '!BN9</f>
        <v>#REF!</v>
      </c>
      <c r="BO9" s="36">
        <v>14</v>
      </c>
      <c r="BP9" s="37">
        <v>0</v>
      </c>
      <c r="BQ9" s="23" t="e">
        <f>BP9+'23.04 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152</v>
      </c>
      <c r="D10" s="31" t="e">
        <f t="shared" si="2"/>
        <v>#REF!</v>
      </c>
      <c r="E10" s="32">
        <v>585</v>
      </c>
      <c r="F10" s="22">
        <v>17</v>
      </c>
      <c r="G10" s="23" t="e">
        <f>F10+'23.04 '!G10</f>
        <v>#REF!</v>
      </c>
      <c r="H10" s="33">
        <v>93</v>
      </c>
      <c r="I10" s="34">
        <v>5</v>
      </c>
      <c r="J10" s="23" t="e">
        <f>I10+'23.04 '!J10</f>
        <v>#REF!</v>
      </c>
      <c r="K10" s="33">
        <v>34</v>
      </c>
      <c r="L10" s="22">
        <v>3</v>
      </c>
      <c r="M10" s="23" t="e">
        <f>L10+'23.04 '!M10</f>
        <v>#REF!</v>
      </c>
      <c r="N10" s="33">
        <v>352</v>
      </c>
      <c r="O10" s="22">
        <v>17</v>
      </c>
      <c r="P10" s="23" t="e">
        <f>O10+'23.04 '!P10</f>
        <v>#REF!</v>
      </c>
      <c r="Q10" s="33">
        <v>549</v>
      </c>
      <c r="R10" s="22">
        <v>4</v>
      </c>
      <c r="S10" s="23" t="e">
        <f>R10+'23.04 '!S10</f>
        <v>#REF!</v>
      </c>
      <c r="T10" s="33">
        <v>198</v>
      </c>
      <c r="U10" s="22">
        <v>6</v>
      </c>
      <c r="V10" s="23" t="e">
        <f>U10+'23.04 '!V10</f>
        <v>#REF!</v>
      </c>
      <c r="W10" s="38">
        <v>55</v>
      </c>
      <c r="X10" s="22">
        <v>0</v>
      </c>
      <c r="Y10" s="23" t="e">
        <f>X10+'23.04 '!Y10</f>
        <v>#REF!</v>
      </c>
      <c r="Z10" s="38">
        <v>71</v>
      </c>
      <c r="AA10" s="22">
        <v>4</v>
      </c>
      <c r="AB10" s="23" t="e">
        <f>AA10+'23.04 '!AB10</f>
        <v>#REF!</v>
      </c>
      <c r="AC10" s="38">
        <v>1690</v>
      </c>
      <c r="AD10" s="22">
        <v>96</v>
      </c>
      <c r="AE10" s="23" t="e">
        <f>AD10+'23.04 '!AE10</f>
        <v>#REF!</v>
      </c>
      <c r="AF10" s="19">
        <f t="shared" si="3"/>
        <v>119308</v>
      </c>
      <c r="AG10" s="20" t="e">
        <f t="shared" si="4"/>
        <v>#REF!</v>
      </c>
      <c r="AH10" s="24">
        <v>1305</v>
      </c>
      <c r="AI10" s="23" t="e">
        <f>AH10+'23.04 '!AI10</f>
        <v>#REF!</v>
      </c>
      <c r="AJ10" s="24">
        <v>6006</v>
      </c>
      <c r="AK10" s="23" t="e">
        <f>AJ10+'23.04 '!AK10</f>
        <v>#REF!</v>
      </c>
      <c r="AL10" s="22">
        <v>12328</v>
      </c>
      <c r="AM10" s="23" t="e">
        <f>AL10+'23.04 '!AM10</f>
        <v>#REF!</v>
      </c>
      <c r="AN10" s="22">
        <v>99669</v>
      </c>
      <c r="AO10" s="23" t="e">
        <f>AN10+'23.04 '!AO10</f>
        <v>#REF!</v>
      </c>
      <c r="AP10" s="28" t="s">
        <v>44</v>
      </c>
      <c r="AQ10" s="19">
        <f t="shared" si="6"/>
        <v>11</v>
      </c>
      <c r="AR10" s="20" t="e">
        <f t="shared" si="7"/>
        <v>#REF!</v>
      </c>
      <c r="AS10" s="34">
        <v>0</v>
      </c>
      <c r="AT10" s="23" t="e">
        <f>AS10+'23.04 '!AT10</f>
        <v>#REF!</v>
      </c>
      <c r="AU10" s="34">
        <v>0</v>
      </c>
      <c r="AV10" s="23" t="e">
        <f>AU10+'23.04 '!AV10</f>
        <v>#REF!</v>
      </c>
      <c r="AW10" s="34">
        <v>0</v>
      </c>
      <c r="AX10" s="23" t="e">
        <f>AW10+'23.04 '!AX10</f>
        <v>#REF!</v>
      </c>
      <c r="AY10" s="34">
        <v>0</v>
      </c>
      <c r="AZ10" s="23" t="e">
        <f>AY10+'23.04 '!AZ10</f>
        <v>#REF!</v>
      </c>
      <c r="BA10" s="34">
        <v>11</v>
      </c>
      <c r="BB10" s="23" t="e">
        <f>BA10+'23.04 '!BB10</f>
        <v>#REF!</v>
      </c>
      <c r="BC10" s="19">
        <f t="shared" si="9"/>
        <v>4930</v>
      </c>
      <c r="BD10" s="20" t="e">
        <f t="shared" si="10"/>
        <v>#REF!</v>
      </c>
      <c r="BE10" s="22">
        <v>594</v>
      </c>
      <c r="BF10" s="23" t="e">
        <f>BE10+'23.04 '!BF10</f>
        <v>#REF!</v>
      </c>
      <c r="BG10" s="34">
        <v>1</v>
      </c>
      <c r="BH10" s="23" t="e">
        <f>BG10+'23.04 '!BH10</f>
        <v>#REF!</v>
      </c>
      <c r="BI10" s="22">
        <v>2966</v>
      </c>
      <c r="BJ10" s="23" t="e">
        <f>BI10+'23.04 '!BJ10</f>
        <v>#REF!</v>
      </c>
      <c r="BK10" s="22">
        <v>1369</v>
      </c>
      <c r="BL10" s="23" t="e">
        <f>BK10+'23.04 '!BL10</f>
        <v>#REF!</v>
      </c>
      <c r="BM10" s="22">
        <v>0</v>
      </c>
      <c r="BN10" s="23" t="e">
        <f>BM10+'23.04 '!BN10</f>
        <v>#REF!</v>
      </c>
      <c r="BO10" s="36">
        <v>32</v>
      </c>
      <c r="BP10" s="37">
        <v>0</v>
      </c>
      <c r="BQ10" s="23" t="e">
        <f>BP10+'23.04 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51</v>
      </c>
      <c r="D11" s="31" t="e">
        <f t="shared" si="2"/>
        <v>#REF!</v>
      </c>
      <c r="E11" s="32">
        <v>883</v>
      </c>
      <c r="F11" s="22">
        <v>19</v>
      </c>
      <c r="G11" s="23" t="e">
        <f>F11+'23.04 '!G11</f>
        <v>#REF!</v>
      </c>
      <c r="H11" s="33">
        <v>16</v>
      </c>
      <c r="I11" s="34">
        <v>0</v>
      </c>
      <c r="J11" s="23" t="e">
        <f>I11+'23.04 '!J11</f>
        <v>#REF!</v>
      </c>
      <c r="K11" s="33">
        <v>3</v>
      </c>
      <c r="L11" s="22">
        <v>0</v>
      </c>
      <c r="M11" s="23" t="e">
        <f>L11+'23.04 '!M11</f>
        <v>#REF!</v>
      </c>
      <c r="N11" s="33">
        <v>875</v>
      </c>
      <c r="O11" s="22">
        <v>0</v>
      </c>
      <c r="P11" s="23" t="e">
        <f>O11+'23.04 '!P11</f>
        <v>#REF!</v>
      </c>
      <c r="Q11" s="33">
        <v>2424</v>
      </c>
      <c r="R11" s="22">
        <v>0</v>
      </c>
      <c r="S11" s="23" t="e">
        <f>R11+'23.04 '!S11</f>
        <v>#REF!</v>
      </c>
      <c r="T11" s="33">
        <v>69</v>
      </c>
      <c r="U11" s="22">
        <v>0</v>
      </c>
      <c r="V11" s="23" t="e">
        <f>U11+'23.04 '!V11</f>
        <v>#REF!</v>
      </c>
      <c r="W11" s="38">
        <v>133</v>
      </c>
      <c r="X11" s="22">
        <v>30</v>
      </c>
      <c r="Y11" s="23" t="e">
        <f>X11+'23.04 '!Y11</f>
        <v>#REF!</v>
      </c>
      <c r="Z11" s="38">
        <v>1116</v>
      </c>
      <c r="AA11" s="22">
        <v>0</v>
      </c>
      <c r="AB11" s="23" t="e">
        <f>AA11+'23.04 '!AB11</f>
        <v>#REF!</v>
      </c>
      <c r="AC11" s="38">
        <v>9862</v>
      </c>
      <c r="AD11" s="22">
        <v>2</v>
      </c>
      <c r="AE11" s="23" t="e">
        <f>AD11+'23.04 '!AE11</f>
        <v>#REF!</v>
      </c>
      <c r="AF11" s="19">
        <f t="shared" si="3"/>
        <v>73900</v>
      </c>
      <c r="AG11" s="20" t="e">
        <f t="shared" si="4"/>
        <v>#REF!</v>
      </c>
      <c r="AH11" s="24">
        <v>2700</v>
      </c>
      <c r="AI11" s="23" t="e">
        <f>AH11+'23.04 '!AI11</f>
        <v>#REF!</v>
      </c>
      <c r="AJ11" s="24">
        <v>6200</v>
      </c>
      <c r="AK11" s="23" t="e">
        <f>AJ11+'23.04 '!AK11</f>
        <v>#REF!</v>
      </c>
      <c r="AL11" s="22">
        <v>13000</v>
      </c>
      <c r="AM11" s="23" t="e">
        <f>AL11+'23.04 '!AM11</f>
        <v>#REF!</v>
      </c>
      <c r="AN11" s="22">
        <v>52000</v>
      </c>
      <c r="AO11" s="23" t="e">
        <f>AN11+'23.04 '!AO11</f>
        <v>#REF!</v>
      </c>
      <c r="AP11" s="28" t="s">
        <v>45</v>
      </c>
      <c r="AQ11" s="19">
        <f t="shared" si="6"/>
        <v>5</v>
      </c>
      <c r="AR11" s="20" t="e">
        <f t="shared" si="7"/>
        <v>#REF!</v>
      </c>
      <c r="AS11" s="34">
        <v>0</v>
      </c>
      <c r="AT11" s="23" t="e">
        <f>AS11+'23.04 '!AT11</f>
        <v>#REF!</v>
      </c>
      <c r="AU11" s="34">
        <v>0</v>
      </c>
      <c r="AV11" s="23" t="e">
        <f>AU11+'23.04 '!AV11</f>
        <v>#REF!</v>
      </c>
      <c r="AW11" s="34">
        <v>0</v>
      </c>
      <c r="AX11" s="23" t="e">
        <f>AW11+'23.04 '!AX11</f>
        <v>#REF!</v>
      </c>
      <c r="AY11" s="34">
        <v>0</v>
      </c>
      <c r="AZ11" s="23" t="e">
        <f>AY11+'23.04 '!AZ11</f>
        <v>#REF!</v>
      </c>
      <c r="BA11" s="34">
        <v>5</v>
      </c>
      <c r="BB11" s="23" t="e">
        <f>BA11+'23.04 '!BB11</f>
        <v>#REF!</v>
      </c>
      <c r="BC11" s="19">
        <f t="shared" si="9"/>
        <v>2870</v>
      </c>
      <c r="BD11" s="20" t="e">
        <f t="shared" si="10"/>
        <v>#REF!</v>
      </c>
      <c r="BE11" s="22">
        <v>4</v>
      </c>
      <c r="BF11" s="23" t="e">
        <f>BE11+'23.04 '!BF11</f>
        <v>#REF!</v>
      </c>
      <c r="BG11" s="34">
        <v>1</v>
      </c>
      <c r="BH11" s="23" t="e">
        <f>BG11+'23.04 '!BH11</f>
        <v>#REF!</v>
      </c>
      <c r="BI11" s="22">
        <v>2800</v>
      </c>
      <c r="BJ11" s="23" t="e">
        <f>BI11+'23.04 '!BJ11</f>
        <v>#REF!</v>
      </c>
      <c r="BK11" s="22">
        <v>65</v>
      </c>
      <c r="BL11" s="23" t="e">
        <f>BK11+'23.04 '!BL11</f>
        <v>#REF!</v>
      </c>
      <c r="BM11" s="22">
        <v>0</v>
      </c>
      <c r="BN11" s="23" t="e">
        <f>BM11+'23.04 '!BN11</f>
        <v>#REF!</v>
      </c>
      <c r="BO11" s="36">
        <v>11506</v>
      </c>
      <c r="BP11" s="37">
        <v>4</v>
      </c>
      <c r="BQ11" s="23" t="e">
        <f>BP11+'23.04 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201</v>
      </c>
      <c r="D12" s="31" t="e">
        <f t="shared" si="2"/>
        <v>#REF!</v>
      </c>
      <c r="E12" s="32">
        <v>909</v>
      </c>
      <c r="F12" s="22">
        <v>50</v>
      </c>
      <c r="G12" s="23" t="e">
        <f>F12+'23.04 '!G12</f>
        <v>#REF!</v>
      </c>
      <c r="H12" s="33">
        <v>80</v>
      </c>
      <c r="I12" s="34">
        <v>3</v>
      </c>
      <c r="J12" s="23" t="e">
        <f>I12+'23.04 '!J12</f>
        <v>#REF!</v>
      </c>
      <c r="K12" s="33">
        <v>5</v>
      </c>
      <c r="L12" s="22">
        <v>0</v>
      </c>
      <c r="M12" s="23" t="e">
        <f>L12+'23.04 '!M12</f>
        <v>#REF!</v>
      </c>
      <c r="N12" s="33">
        <v>820</v>
      </c>
      <c r="O12" s="22">
        <v>18</v>
      </c>
      <c r="P12" s="23" t="e">
        <f>O12+'23.04 '!P12</f>
        <v>#REF!</v>
      </c>
      <c r="Q12" s="33">
        <v>549</v>
      </c>
      <c r="R12" s="22">
        <v>0</v>
      </c>
      <c r="S12" s="23" t="e">
        <f>R12+'23.04 '!S12</f>
        <v>#REF!</v>
      </c>
      <c r="T12" s="33">
        <v>992</v>
      </c>
      <c r="U12" s="22">
        <v>0</v>
      </c>
      <c r="V12" s="23" t="e">
        <f>U12+'23.04 '!V12</f>
        <v>#REF!</v>
      </c>
      <c r="W12" s="33">
        <v>38</v>
      </c>
      <c r="X12" s="22">
        <v>130</v>
      </c>
      <c r="Y12" s="23" t="e">
        <f>X12+'23.04 '!Y12</f>
        <v>#REF!</v>
      </c>
      <c r="Z12" s="33">
        <v>68</v>
      </c>
      <c r="AA12" s="22">
        <v>0</v>
      </c>
      <c r="AB12" s="23" t="e">
        <f>AA12+'23.04 '!AB12</f>
        <v>#REF!</v>
      </c>
      <c r="AC12" s="33">
        <v>26703</v>
      </c>
      <c r="AD12" s="22">
        <v>0</v>
      </c>
      <c r="AE12" s="23" t="e">
        <f>AD12+'23.04 '!AE12</f>
        <v>#REF!</v>
      </c>
      <c r="AF12" s="19">
        <f t="shared" si="3"/>
        <v>27205</v>
      </c>
      <c r="AG12" s="20" t="e">
        <f t="shared" si="4"/>
        <v>#REF!</v>
      </c>
      <c r="AH12" s="24">
        <v>6000</v>
      </c>
      <c r="AI12" s="23" t="e">
        <f>AH12+'23.04 '!AI12</f>
        <v>#REF!</v>
      </c>
      <c r="AJ12" s="24">
        <v>9600</v>
      </c>
      <c r="AK12" s="23" t="e">
        <f>AJ12+'23.04 '!AK12</f>
        <v>#REF!</v>
      </c>
      <c r="AL12" s="22">
        <v>6000</v>
      </c>
      <c r="AM12" s="23" t="e">
        <f>AL12+'23.04 '!AM12</f>
        <v>#REF!</v>
      </c>
      <c r="AN12" s="22">
        <v>5605</v>
      </c>
      <c r="AO12" s="23" t="e">
        <f>AN12+'23.04 '!AO12</f>
        <v>#REF!</v>
      </c>
      <c r="AP12" s="28" t="s">
        <v>46</v>
      </c>
      <c r="AQ12" s="19">
        <f t="shared" si="6"/>
        <v>32</v>
      </c>
      <c r="AR12" s="20" t="e">
        <f t="shared" si="7"/>
        <v>#REF!</v>
      </c>
      <c r="AS12" s="34">
        <v>0</v>
      </c>
      <c r="AT12" s="23" t="e">
        <f>AS12+'23.04 '!AT12</f>
        <v>#REF!</v>
      </c>
      <c r="AU12" s="34">
        <v>0</v>
      </c>
      <c r="AV12" s="23" t="e">
        <f>AU12+'23.04 '!AV12</f>
        <v>#REF!</v>
      </c>
      <c r="AW12" s="34">
        <v>0</v>
      </c>
      <c r="AX12" s="23" t="e">
        <f>AW12+'23.04 '!AX12</f>
        <v>#REF!</v>
      </c>
      <c r="AY12" s="34">
        <v>0</v>
      </c>
      <c r="AZ12" s="23" t="e">
        <f>AY12+'23.04 '!AZ12</f>
        <v>#REF!</v>
      </c>
      <c r="BA12" s="34">
        <v>32</v>
      </c>
      <c r="BB12" s="23" t="e">
        <f>BA12+'23.04 '!BB12</f>
        <v>#REF!</v>
      </c>
      <c r="BC12" s="19">
        <f t="shared" si="9"/>
        <v>3261</v>
      </c>
      <c r="BD12" s="20" t="e">
        <f t="shared" si="10"/>
        <v>#REF!</v>
      </c>
      <c r="BE12" s="22">
        <v>96</v>
      </c>
      <c r="BF12" s="23" t="e">
        <f>BE12+'23.04 '!BF12</f>
        <v>#REF!</v>
      </c>
      <c r="BG12" s="34">
        <v>15</v>
      </c>
      <c r="BH12" s="23" t="e">
        <f>BG12+'23.04 '!BH12</f>
        <v>#REF!</v>
      </c>
      <c r="BI12" s="22">
        <v>2700</v>
      </c>
      <c r="BJ12" s="23" t="e">
        <f>BI12+'23.04 '!BJ12</f>
        <v>#REF!</v>
      </c>
      <c r="BK12" s="22">
        <v>450</v>
      </c>
      <c r="BL12" s="23" t="e">
        <f>BK12+'23.04 '!BL12</f>
        <v>#REF!</v>
      </c>
      <c r="BM12" s="22">
        <v>0</v>
      </c>
      <c r="BN12" s="23" t="e">
        <f>BM12+'23.04 '!BN12</f>
        <v>#REF!</v>
      </c>
      <c r="BO12" s="36"/>
      <c r="BP12" s="37">
        <v>3</v>
      </c>
      <c r="BQ12" s="23" t="e">
        <f>BP12+'23.04 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108</v>
      </c>
      <c r="D13" s="31" t="e">
        <f t="shared" si="2"/>
        <v>#REF!</v>
      </c>
      <c r="E13" s="32">
        <v>516</v>
      </c>
      <c r="F13" s="22">
        <v>1</v>
      </c>
      <c r="G13" s="23" t="e">
        <f>F13+'23.04 '!G13</f>
        <v>#REF!</v>
      </c>
      <c r="H13" s="33">
        <v>10</v>
      </c>
      <c r="I13" s="34">
        <v>1</v>
      </c>
      <c r="J13" s="23" t="e">
        <f>I13+'23.04 '!J13</f>
        <v>#REF!</v>
      </c>
      <c r="K13" s="33">
        <v>38</v>
      </c>
      <c r="L13" s="22">
        <v>0</v>
      </c>
      <c r="M13" s="23" t="e">
        <f>L13+'23.04 '!M13</f>
        <v>#REF!</v>
      </c>
      <c r="N13" s="33">
        <v>581</v>
      </c>
      <c r="O13" s="22">
        <v>0</v>
      </c>
      <c r="P13" s="23" t="e">
        <f>O13+'23.04 '!P13</f>
        <v>#REF!</v>
      </c>
      <c r="Q13" s="33">
        <v>525</v>
      </c>
      <c r="R13" s="22">
        <v>0</v>
      </c>
      <c r="S13" s="23" t="e">
        <f>R13+'23.04 '!S13</f>
        <v>#REF!</v>
      </c>
      <c r="T13" s="33">
        <v>263</v>
      </c>
      <c r="U13" s="22">
        <v>0</v>
      </c>
      <c r="V13" s="23" t="e">
        <f>U13+'23.04 '!V13</f>
        <v>#REF!</v>
      </c>
      <c r="W13" s="33">
        <v>43</v>
      </c>
      <c r="X13" s="22">
        <v>0</v>
      </c>
      <c r="Y13" s="23" t="e">
        <f>X13+'23.04 '!Y13</f>
        <v>#REF!</v>
      </c>
      <c r="Z13" s="33">
        <v>17</v>
      </c>
      <c r="AA13" s="22">
        <v>0</v>
      </c>
      <c r="AB13" s="23" t="e">
        <f>AA13+'23.04 '!AB13</f>
        <v>#REF!</v>
      </c>
      <c r="AC13" s="33">
        <v>51</v>
      </c>
      <c r="AD13" s="22">
        <v>106</v>
      </c>
      <c r="AE13" s="23" t="e">
        <f>AD13+'23.04 '!AE13</f>
        <v>#REF!</v>
      </c>
      <c r="AF13" s="19">
        <f t="shared" si="3"/>
        <v>352300</v>
      </c>
      <c r="AG13" s="20" t="e">
        <f t="shared" si="4"/>
        <v>#REF!</v>
      </c>
      <c r="AH13" s="24">
        <v>4000</v>
      </c>
      <c r="AI13" s="23" t="e">
        <f>AH13+'23.04 '!AI13</f>
        <v>#REF!</v>
      </c>
      <c r="AJ13" s="24">
        <v>38300</v>
      </c>
      <c r="AK13" s="23" t="e">
        <f>AJ13+'23.04 '!AK13</f>
        <v>#REF!</v>
      </c>
      <c r="AL13" s="22">
        <v>20000</v>
      </c>
      <c r="AM13" s="23" t="e">
        <f>AL13+'23.04 '!AM13</f>
        <v>#REF!</v>
      </c>
      <c r="AN13" s="22">
        <v>290000</v>
      </c>
      <c r="AO13" s="23" t="e">
        <f>AN13+'23.04 '!AO13</f>
        <v>#REF!</v>
      </c>
      <c r="AP13" s="28" t="s">
        <v>47</v>
      </c>
      <c r="AQ13" s="19">
        <f t="shared" si="6"/>
        <v>51</v>
      </c>
      <c r="AR13" s="20" t="e">
        <f t="shared" si="7"/>
        <v>#REF!</v>
      </c>
      <c r="AS13" s="34">
        <v>1</v>
      </c>
      <c r="AT13" s="23" t="e">
        <f>AS13+'23.04 '!AT13</f>
        <v>#REF!</v>
      </c>
      <c r="AU13" s="34">
        <v>0</v>
      </c>
      <c r="AV13" s="23" t="e">
        <f>AU13+'23.04 '!AV13</f>
        <v>#REF!</v>
      </c>
      <c r="AW13" s="34">
        <v>0</v>
      </c>
      <c r="AX13" s="23" t="e">
        <f>AW13+'23.04 '!AX13</f>
        <v>#REF!</v>
      </c>
      <c r="AY13" s="34">
        <v>0</v>
      </c>
      <c r="AZ13" s="23" t="e">
        <f>AY13+'23.04 '!AZ13</f>
        <v>#REF!</v>
      </c>
      <c r="BA13" s="34">
        <v>50</v>
      </c>
      <c r="BB13" s="23" t="e">
        <f>BA13+'23.04 '!BB13</f>
        <v>#REF!</v>
      </c>
      <c r="BC13" s="19">
        <f t="shared" si="9"/>
        <v>25737</v>
      </c>
      <c r="BD13" s="20" t="e">
        <f t="shared" si="10"/>
        <v>#REF!</v>
      </c>
      <c r="BE13" s="22">
        <v>516</v>
      </c>
      <c r="BF13" s="23" t="e">
        <f>BE13+'23.04 '!BF13</f>
        <v>#REF!</v>
      </c>
      <c r="BG13" s="34">
        <v>21</v>
      </c>
      <c r="BH13" s="23" t="e">
        <f>BG13+'23.04 '!BH13</f>
        <v>#REF!</v>
      </c>
      <c r="BI13" s="22">
        <v>25000</v>
      </c>
      <c r="BJ13" s="23" t="e">
        <f>BI13+'23.04 '!BJ13</f>
        <v>#REF!</v>
      </c>
      <c r="BK13" s="22">
        <v>200</v>
      </c>
      <c r="BL13" s="23" t="e">
        <f>BK13+'23.04 '!BL13</f>
        <v>#REF!</v>
      </c>
      <c r="BM13" s="22">
        <v>0</v>
      </c>
      <c r="BN13" s="23" t="e">
        <f>BM13+'23.04 '!BN13</f>
        <v>#REF!</v>
      </c>
      <c r="BO13" s="36"/>
      <c r="BP13" s="37">
        <v>0</v>
      </c>
      <c r="BQ13" s="23" t="e">
        <f>BP13+'23.04 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0</v>
      </c>
      <c r="D14" s="42" t="e">
        <f t="shared" si="2"/>
        <v>#REF!</v>
      </c>
      <c r="E14" s="43">
        <v>304</v>
      </c>
      <c r="F14" s="22"/>
      <c r="G14" s="23" t="e">
        <f>F14+'23.04 '!G14</f>
        <v>#REF!</v>
      </c>
      <c r="H14" s="44">
        <v>5</v>
      </c>
      <c r="I14" s="45"/>
      <c r="J14" s="23" t="e">
        <f>I14+'23.04 '!J14</f>
        <v>#REF!</v>
      </c>
      <c r="K14" s="44">
        <v>34</v>
      </c>
      <c r="L14" s="22"/>
      <c r="M14" s="23" t="e">
        <f>L14+'23.04 '!M14</f>
        <v>#REF!</v>
      </c>
      <c r="N14" s="44">
        <v>583</v>
      </c>
      <c r="O14" s="22"/>
      <c r="P14" s="23" t="e">
        <f>O14+'23.04 '!P14</f>
        <v>#REF!</v>
      </c>
      <c r="Q14" s="44">
        <v>254</v>
      </c>
      <c r="R14" s="22"/>
      <c r="S14" s="23" t="e">
        <f>R14+'23.04 '!S14</f>
        <v>#REF!</v>
      </c>
      <c r="T14" s="44">
        <v>196</v>
      </c>
      <c r="U14" s="22"/>
      <c r="V14" s="23" t="e">
        <f>U14+'23.04 '!V14</f>
        <v>#REF!</v>
      </c>
      <c r="W14" s="44">
        <v>30</v>
      </c>
      <c r="X14" s="22"/>
      <c r="Y14" s="23" t="e">
        <f>X14+'23.04 '!Y14</f>
        <v>#REF!</v>
      </c>
      <c r="Z14" s="44">
        <v>10</v>
      </c>
      <c r="AA14" s="22"/>
      <c r="AB14" s="23" t="e">
        <f>AA14+'23.04 '!AB14</f>
        <v>#REF!</v>
      </c>
      <c r="AC14" s="44">
        <v>2500</v>
      </c>
      <c r="AD14" s="22"/>
      <c r="AE14" s="23" t="e">
        <f>AD14+'23.04 '!AE14</f>
        <v>#REF!</v>
      </c>
      <c r="AF14" s="19">
        <f t="shared" si="3"/>
        <v>0</v>
      </c>
      <c r="AG14" s="20" t="e">
        <f t="shared" si="4"/>
        <v>#REF!</v>
      </c>
      <c r="AH14" s="24"/>
      <c r="AI14" s="23" t="e">
        <f>AH14+'23.04 '!AI14</f>
        <v>#REF!</v>
      </c>
      <c r="AJ14" s="24"/>
      <c r="AK14" s="23" t="e">
        <f>AJ14+'23.04 '!AK14</f>
        <v>#REF!</v>
      </c>
      <c r="AL14" s="22"/>
      <c r="AM14" s="23" t="e">
        <f>AL14+'23.04 '!AM14</f>
        <v>#REF!</v>
      </c>
      <c r="AN14" s="22"/>
      <c r="AO14" s="23" t="e">
        <f>AN14+'23.04 '!AO14</f>
        <v>#REF!</v>
      </c>
      <c r="AP14" s="39" t="s">
        <v>48</v>
      </c>
      <c r="AQ14" s="19">
        <f t="shared" si="6"/>
        <v>0</v>
      </c>
      <c r="AR14" s="20" t="e">
        <f t="shared" si="7"/>
        <v>#REF!</v>
      </c>
      <c r="AS14" s="45"/>
      <c r="AT14" s="23" t="e">
        <f>AS14+'23.04 '!AT14</f>
        <v>#REF!</v>
      </c>
      <c r="AU14" s="45"/>
      <c r="AV14" s="23" t="e">
        <f>AU14+'23.04 '!AV14</f>
        <v>#REF!</v>
      </c>
      <c r="AW14" s="45"/>
      <c r="AX14" s="23" t="e">
        <f>AW14+'23.04 '!AX14</f>
        <v>#REF!</v>
      </c>
      <c r="AY14" s="45"/>
      <c r="AZ14" s="23" t="e">
        <f>AY14+'23.04 '!AZ14</f>
        <v>#REF!</v>
      </c>
      <c r="BA14" s="45"/>
      <c r="BB14" s="23" t="e">
        <f>BA14+'23.04 '!BB14</f>
        <v>#REF!</v>
      </c>
      <c r="BC14" s="19">
        <f t="shared" si="9"/>
        <v>0</v>
      </c>
      <c r="BD14" s="20" t="e">
        <f t="shared" si="10"/>
        <v>#REF!</v>
      </c>
      <c r="BE14" s="22"/>
      <c r="BF14" s="23" t="e">
        <f>BE14+'23.04 '!BF14</f>
        <v>#REF!</v>
      </c>
      <c r="BG14" s="45"/>
      <c r="BH14" s="23" t="e">
        <f>BG14+'23.04 '!BH14</f>
        <v>#REF!</v>
      </c>
      <c r="BI14" s="22"/>
      <c r="BJ14" s="23" t="e">
        <f>BI14+'23.04 '!BJ14</f>
        <v>#REF!</v>
      </c>
      <c r="BK14" s="22"/>
      <c r="BL14" s="23" t="e">
        <f>BK14+'23.04 '!BL14</f>
        <v>#REF!</v>
      </c>
      <c r="BM14" s="22"/>
      <c r="BN14" s="23" t="e">
        <f>BM14+'23.04 '!BN14</f>
        <v>#REF!</v>
      </c>
      <c r="BO14" s="48">
        <v>2</v>
      </c>
      <c r="BP14" s="49"/>
      <c r="BQ14" s="23" t="e">
        <f>BP14+'23.04 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443</v>
      </c>
      <c r="D15" s="53" t="e">
        <f t="shared" si="2"/>
        <v>#REF!</v>
      </c>
      <c r="E15" s="54">
        <v>776</v>
      </c>
      <c r="F15" s="55">
        <v>316</v>
      </c>
      <c r="G15" s="23" t="e">
        <f>F15+'23.04 '!G15</f>
        <v>#REF!</v>
      </c>
      <c r="H15" s="56">
        <v>9</v>
      </c>
      <c r="I15" s="57">
        <v>0</v>
      </c>
      <c r="J15" s="23" t="e">
        <f>I15+'23.04 '!J15</f>
        <v>#REF!</v>
      </c>
      <c r="K15" s="56">
        <v>6</v>
      </c>
      <c r="L15" s="55">
        <v>0</v>
      </c>
      <c r="M15" s="23" t="e">
        <f>L15+'23.04 '!M15</f>
        <v>#REF!</v>
      </c>
      <c r="N15" s="56">
        <v>1305</v>
      </c>
      <c r="O15" s="55">
        <v>0</v>
      </c>
      <c r="P15" s="23" t="e">
        <f>O15+'23.04 '!P15</f>
        <v>#REF!</v>
      </c>
      <c r="Q15" s="56">
        <v>447</v>
      </c>
      <c r="R15" s="55">
        <v>0</v>
      </c>
      <c r="S15" s="23" t="e">
        <f>R15+'23.04 '!S15</f>
        <v>#REF!</v>
      </c>
      <c r="T15" s="56">
        <v>337</v>
      </c>
      <c r="U15" s="55">
        <v>0</v>
      </c>
      <c r="V15" s="23" t="e">
        <f>U15+'23.04 '!V15</f>
        <v>#REF!</v>
      </c>
      <c r="W15" s="56">
        <v>78</v>
      </c>
      <c r="X15" s="55">
        <v>113</v>
      </c>
      <c r="Y15" s="23" t="e">
        <f>X15+'23.04 '!Y15</f>
        <v>#REF!</v>
      </c>
      <c r="Z15" s="56">
        <v>141</v>
      </c>
      <c r="AA15" s="55">
        <v>0</v>
      </c>
      <c r="AB15" s="23" t="e">
        <f>AA15+'23.04 '!AB15</f>
        <v>#REF!</v>
      </c>
      <c r="AC15" s="56">
        <v>798</v>
      </c>
      <c r="AD15" s="55">
        <v>14</v>
      </c>
      <c r="AE15" s="23" t="e">
        <f>AD15+'23.04 '!AE15</f>
        <v>#REF!</v>
      </c>
      <c r="AF15" s="58">
        <f t="shared" si="3"/>
        <v>1247808</v>
      </c>
      <c r="AG15" s="59" t="e">
        <f t="shared" si="4"/>
        <v>#REF!</v>
      </c>
      <c r="AH15" s="60">
        <v>1104</v>
      </c>
      <c r="AI15" s="23" t="e">
        <f>AH15+'23.04 '!AI15</f>
        <v>#REF!</v>
      </c>
      <c r="AJ15" s="60">
        <v>3550</v>
      </c>
      <c r="AK15" s="23" t="e">
        <f>AJ15+'23.04 '!AK15</f>
        <v>#REF!</v>
      </c>
      <c r="AL15" s="55">
        <v>243154</v>
      </c>
      <c r="AM15" s="23" t="e">
        <f>AL15+'23.04 '!AM15</f>
        <v>#REF!</v>
      </c>
      <c r="AN15" s="55">
        <v>1000000</v>
      </c>
      <c r="AO15" s="23" t="e">
        <f>AN15+'23.04 '!AO15</f>
        <v>#REF!</v>
      </c>
      <c r="AP15" s="50" t="s">
        <v>49</v>
      </c>
      <c r="AQ15" s="58">
        <f t="shared" si="6"/>
        <v>4</v>
      </c>
      <c r="AR15" s="59" t="e">
        <f t="shared" si="7"/>
        <v>#REF!</v>
      </c>
      <c r="AS15" s="57">
        <v>0</v>
      </c>
      <c r="AT15" s="23" t="e">
        <f>AS15+'23.04 '!AT15</f>
        <v>#REF!</v>
      </c>
      <c r="AU15" s="57">
        <v>1</v>
      </c>
      <c r="AV15" s="23" t="e">
        <f>AU15+'23.04 '!AV15</f>
        <v>#REF!</v>
      </c>
      <c r="AW15" s="57">
        <v>0</v>
      </c>
      <c r="AX15" s="23" t="e">
        <f>AW15+'23.04 '!AX15</f>
        <v>#REF!</v>
      </c>
      <c r="AY15" s="57">
        <v>0</v>
      </c>
      <c r="AZ15" s="23" t="e">
        <f>AY15+'23.04 '!AZ15</f>
        <v>#REF!</v>
      </c>
      <c r="BA15" s="57">
        <v>3</v>
      </c>
      <c r="BB15" s="23" t="e">
        <f>BA15+'23.04 '!BB15</f>
        <v>#REF!</v>
      </c>
      <c r="BC15" s="58">
        <f t="shared" si="9"/>
        <v>1470</v>
      </c>
      <c r="BD15" s="59" t="e">
        <f t="shared" si="10"/>
        <v>#REF!</v>
      </c>
      <c r="BE15" s="55">
        <v>68</v>
      </c>
      <c r="BF15" s="23" t="e">
        <f>BE15+'23.04 '!BF15</f>
        <v>#REF!</v>
      </c>
      <c r="BG15" s="57">
        <v>2</v>
      </c>
      <c r="BH15" s="23" t="e">
        <f>BG15+'23.04 '!BH15</f>
        <v>#REF!</v>
      </c>
      <c r="BI15" s="55">
        <v>700</v>
      </c>
      <c r="BJ15" s="23" t="e">
        <f>BI15+'23.04 '!BJ15</f>
        <v>#REF!</v>
      </c>
      <c r="BK15" s="55">
        <v>700</v>
      </c>
      <c r="BL15" s="23" t="e">
        <f>BK15+'23.04 '!BL15</f>
        <v>#REF!</v>
      </c>
      <c r="BM15" s="55">
        <v>0</v>
      </c>
      <c r="BN15" s="23" t="e">
        <f>BM15+'23.04 '!BN15</f>
        <v>#REF!</v>
      </c>
      <c r="BO15" s="36">
        <v>6274</v>
      </c>
      <c r="BP15" s="37">
        <v>3</v>
      </c>
      <c r="BQ15" s="23" t="e">
        <f>BP15+'23.04 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0</v>
      </c>
      <c r="D16" s="31" t="e">
        <f t="shared" si="2"/>
        <v>#REF!</v>
      </c>
      <c r="E16" s="32">
        <v>310</v>
      </c>
      <c r="F16" s="22"/>
      <c r="G16" s="23" t="e">
        <f>F16+'23.04 '!G16</f>
        <v>#REF!</v>
      </c>
      <c r="H16" s="33">
        <v>5</v>
      </c>
      <c r="I16" s="34"/>
      <c r="J16" s="23" t="e">
        <f>I16+'23.04 '!J16</f>
        <v>#REF!</v>
      </c>
      <c r="K16" s="33">
        <v>3</v>
      </c>
      <c r="L16" s="22"/>
      <c r="M16" s="23" t="e">
        <f>L16+'23.04 '!M16</f>
        <v>#REF!</v>
      </c>
      <c r="N16" s="33">
        <v>384</v>
      </c>
      <c r="O16" s="22"/>
      <c r="P16" s="23" t="e">
        <f>O16+'23.04 '!P16</f>
        <v>#REF!</v>
      </c>
      <c r="Q16" s="33">
        <v>245</v>
      </c>
      <c r="R16" s="22"/>
      <c r="S16" s="23" t="e">
        <f>R16+'23.04 '!S16</f>
        <v>#REF!</v>
      </c>
      <c r="T16" s="33">
        <v>397</v>
      </c>
      <c r="U16" s="22"/>
      <c r="V16" s="23" t="e">
        <f>U16+'23.04 '!V16</f>
        <v>#REF!</v>
      </c>
      <c r="W16" s="33">
        <v>24</v>
      </c>
      <c r="X16" s="22"/>
      <c r="Y16" s="23" t="e">
        <f>X16+'23.04 '!Y16</f>
        <v>#REF!</v>
      </c>
      <c r="Z16" s="33">
        <v>18</v>
      </c>
      <c r="AA16" s="22"/>
      <c r="AB16" s="23" t="e">
        <f>AA16+'23.04 '!AB16</f>
        <v>#REF!</v>
      </c>
      <c r="AC16" s="33">
        <v>18515</v>
      </c>
      <c r="AD16" s="22"/>
      <c r="AE16" s="23" t="e">
        <f>AD16+'23.04 '!AE16</f>
        <v>#REF!</v>
      </c>
      <c r="AF16" s="19">
        <f t="shared" si="3"/>
        <v>0</v>
      </c>
      <c r="AG16" s="20" t="e">
        <f t="shared" si="4"/>
        <v>#REF!</v>
      </c>
      <c r="AH16" s="24"/>
      <c r="AI16" s="23" t="e">
        <f>AH16+'23.04 '!AI16</f>
        <v>#REF!</v>
      </c>
      <c r="AJ16" s="24"/>
      <c r="AK16" s="23" t="e">
        <f>AJ16+'23.04 '!AK16</f>
        <v>#REF!</v>
      </c>
      <c r="AL16" s="22"/>
      <c r="AM16" s="23" t="e">
        <f>AL16+'23.04 '!AM16</f>
        <v>#REF!</v>
      </c>
      <c r="AN16" s="22"/>
      <c r="AO16" s="23" t="e">
        <f>AN16+'23.04 '!AO16</f>
        <v>#REF!</v>
      </c>
      <c r="AP16" s="28" t="s">
        <v>51</v>
      </c>
      <c r="AQ16" s="19">
        <f t="shared" si="6"/>
        <v>0</v>
      </c>
      <c r="AR16" s="20" t="e">
        <f t="shared" si="7"/>
        <v>#REF!</v>
      </c>
      <c r="AS16" s="34"/>
      <c r="AT16" s="23" t="e">
        <f>AS16+'23.04 '!AT16</f>
        <v>#REF!</v>
      </c>
      <c r="AU16" s="34"/>
      <c r="AV16" s="23" t="e">
        <f>AU16+'23.04 '!AV16</f>
        <v>#REF!</v>
      </c>
      <c r="AW16" s="34"/>
      <c r="AX16" s="23" t="e">
        <f>AW16+'23.04 '!AX16</f>
        <v>#REF!</v>
      </c>
      <c r="AY16" s="34"/>
      <c r="AZ16" s="23" t="e">
        <f>AY16+'23.04 '!AZ16</f>
        <v>#REF!</v>
      </c>
      <c r="BA16" s="34"/>
      <c r="BB16" s="23" t="e">
        <f>BA16+'23.04 '!BB16</f>
        <v>#REF!</v>
      </c>
      <c r="BC16" s="19">
        <f t="shared" si="9"/>
        <v>0</v>
      </c>
      <c r="BD16" s="20" t="e">
        <f t="shared" si="10"/>
        <v>#REF!</v>
      </c>
      <c r="BE16" s="22"/>
      <c r="BF16" s="23" t="e">
        <f>BE16+'23.04 '!BF16</f>
        <v>#REF!</v>
      </c>
      <c r="BG16" s="34"/>
      <c r="BH16" s="23" t="e">
        <f>BG16+'23.04 '!BH16</f>
        <v>#REF!</v>
      </c>
      <c r="BI16" s="22"/>
      <c r="BJ16" s="23" t="e">
        <f>BI16+'23.04 '!BJ16</f>
        <v>#REF!</v>
      </c>
      <c r="BK16" s="22"/>
      <c r="BL16" s="23" t="e">
        <f>BK16+'23.04 '!BL16</f>
        <v>#REF!</v>
      </c>
      <c r="BM16" s="22"/>
      <c r="BN16" s="23" t="e">
        <f>BM16+'23.04 '!BN16</f>
        <v>#REF!</v>
      </c>
      <c r="BO16" s="36">
        <v>2546</v>
      </c>
      <c r="BP16" s="37"/>
      <c r="BQ16" s="23" t="e">
        <f>BP16+'23.04 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250</v>
      </c>
      <c r="D17" s="31" t="e">
        <f t="shared" si="2"/>
        <v>#REF!</v>
      </c>
      <c r="E17" s="32">
        <v>754</v>
      </c>
      <c r="F17" s="22">
        <v>170</v>
      </c>
      <c r="G17" s="23" t="e">
        <f>F17+'23.04 '!G17</f>
        <v>#REF!</v>
      </c>
      <c r="H17" s="33">
        <v>9</v>
      </c>
      <c r="I17" s="34">
        <v>0</v>
      </c>
      <c r="J17" s="23" t="e">
        <f>I17+'23.04 '!J17</f>
        <v>#REF!</v>
      </c>
      <c r="K17" s="33">
        <v>5</v>
      </c>
      <c r="L17" s="22">
        <v>0</v>
      </c>
      <c r="M17" s="23" t="e">
        <f>L17+'23.04 '!M17</f>
        <v>#REF!</v>
      </c>
      <c r="N17" s="33">
        <v>768</v>
      </c>
      <c r="O17" s="22">
        <v>0</v>
      </c>
      <c r="P17" s="23" t="e">
        <f>O17+'23.04 '!P17</f>
        <v>#REF!</v>
      </c>
      <c r="Q17" s="33">
        <v>624</v>
      </c>
      <c r="R17" s="22">
        <v>0</v>
      </c>
      <c r="S17" s="23" t="e">
        <f>R17+'23.04 '!S17</f>
        <v>#REF!</v>
      </c>
      <c r="T17" s="33">
        <v>742</v>
      </c>
      <c r="U17" s="22">
        <v>0</v>
      </c>
      <c r="V17" s="23" t="e">
        <f>U17+'23.04 '!V17</f>
        <v>#REF!</v>
      </c>
      <c r="W17" s="33">
        <v>54</v>
      </c>
      <c r="X17" s="22">
        <v>60</v>
      </c>
      <c r="Y17" s="23" t="e">
        <f>X17+'23.04 '!Y17</f>
        <v>#REF!</v>
      </c>
      <c r="Z17" s="33">
        <v>66</v>
      </c>
      <c r="AA17" s="22">
        <v>0</v>
      </c>
      <c r="AB17" s="23" t="e">
        <f>AA17+'23.04 '!AB17</f>
        <v>#REF!</v>
      </c>
      <c r="AC17" s="33">
        <v>2580</v>
      </c>
      <c r="AD17" s="22">
        <v>20</v>
      </c>
      <c r="AE17" s="23" t="e">
        <f>AD17+'23.04 '!AE17</f>
        <v>#REF!</v>
      </c>
      <c r="AF17" s="19">
        <f t="shared" si="3"/>
        <v>54600</v>
      </c>
      <c r="AG17" s="20" t="e">
        <f t="shared" si="4"/>
        <v>#REF!</v>
      </c>
      <c r="AH17" s="24">
        <v>8000</v>
      </c>
      <c r="AI17" s="23" t="e">
        <f>AH17+'23.04 '!AI17</f>
        <v>#REF!</v>
      </c>
      <c r="AJ17" s="24">
        <v>9800</v>
      </c>
      <c r="AK17" s="23" t="e">
        <f>AJ17+'23.04 '!AK17</f>
        <v>#REF!</v>
      </c>
      <c r="AL17" s="22">
        <v>26000</v>
      </c>
      <c r="AM17" s="23" t="e">
        <f>AL17+'23.04 '!AM17</f>
        <v>#REF!</v>
      </c>
      <c r="AN17" s="22">
        <v>10800</v>
      </c>
      <c r="AO17" s="23" t="e">
        <f>AN17+'23.04 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AS17+'23.04 '!AT17</f>
        <v>#REF!</v>
      </c>
      <c r="AU17" s="34">
        <v>1</v>
      </c>
      <c r="AV17" s="23" t="e">
        <f>AU17+'23.04 '!AV17</f>
        <v>#REF!</v>
      </c>
      <c r="AW17" s="34">
        <v>0</v>
      </c>
      <c r="AX17" s="23" t="e">
        <f>AW17+'23.04 '!AX17</f>
        <v>#REF!</v>
      </c>
      <c r="AY17" s="34">
        <v>0</v>
      </c>
      <c r="AZ17" s="23" t="e">
        <f>AY17+'23.04 '!AZ17</f>
        <v>#REF!</v>
      </c>
      <c r="BA17" s="34">
        <v>14</v>
      </c>
      <c r="BB17" s="23" t="e">
        <f>BA17+'23.04 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BE17+'23.04 '!BF17</f>
        <v>#REF!</v>
      </c>
      <c r="BG17" s="34">
        <v>4</v>
      </c>
      <c r="BH17" s="23" t="e">
        <f>BG17+'23.04 '!BH17</f>
        <v>#REF!</v>
      </c>
      <c r="BI17" s="22">
        <v>1400</v>
      </c>
      <c r="BJ17" s="23" t="e">
        <f>BI17+'23.04 '!BJ17</f>
        <v>#REF!</v>
      </c>
      <c r="BK17" s="22">
        <v>160</v>
      </c>
      <c r="BL17" s="23" t="e">
        <f>BK17+'23.04 '!BL17</f>
        <v>#REF!</v>
      </c>
      <c r="BM17" s="22">
        <v>0</v>
      </c>
      <c r="BN17" s="23" t="e">
        <f>BM17+'23.04 '!BN17</f>
        <v>#REF!</v>
      </c>
      <c r="BO17" s="36">
        <v>8022</v>
      </c>
      <c r="BP17" s="37">
        <v>7</v>
      </c>
      <c r="BQ17" s="23" t="e">
        <f>BP17+'23.04 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589</v>
      </c>
      <c r="D18" s="20" t="e">
        <f t="shared" si="2"/>
        <v>#REF!</v>
      </c>
      <c r="E18" s="21">
        <v>1063</v>
      </c>
      <c r="F18" s="22">
        <v>351</v>
      </c>
      <c r="G18" s="23" t="e">
        <f>F18+'23.04 '!G18</f>
        <v>#REF!</v>
      </c>
      <c r="H18" s="21">
        <v>19</v>
      </c>
      <c r="I18" s="22">
        <v>0</v>
      </c>
      <c r="J18" s="23" t="e">
        <f>I18+'23.04 '!J18</f>
        <v>#REF!</v>
      </c>
      <c r="K18" s="21">
        <v>8</v>
      </c>
      <c r="L18" s="22">
        <v>0</v>
      </c>
      <c r="M18" s="23" t="e">
        <f>L18+'23.04 '!M18</f>
        <v>#REF!</v>
      </c>
      <c r="N18" s="21">
        <v>1331</v>
      </c>
      <c r="O18" s="22">
        <v>0</v>
      </c>
      <c r="P18" s="23" t="e">
        <f>O18+'23.04 '!P18</f>
        <v>#REF!</v>
      </c>
      <c r="Q18" s="21">
        <v>777</v>
      </c>
      <c r="R18" s="22">
        <v>0</v>
      </c>
      <c r="S18" s="23" t="e">
        <f>R18+'23.04 '!S18</f>
        <v>#REF!</v>
      </c>
      <c r="T18" s="21">
        <v>318</v>
      </c>
      <c r="U18" s="22">
        <v>0</v>
      </c>
      <c r="V18" s="23" t="e">
        <f>U18+'23.04 '!V18</f>
        <v>#REF!</v>
      </c>
      <c r="W18" s="21">
        <v>60</v>
      </c>
      <c r="X18" s="22">
        <v>238</v>
      </c>
      <c r="Y18" s="23" t="e">
        <f>X18+'23.04 '!Y18</f>
        <v>#REF!</v>
      </c>
      <c r="Z18" s="21">
        <v>72</v>
      </c>
      <c r="AA18" s="22">
        <v>0</v>
      </c>
      <c r="AB18" s="23" t="e">
        <f>AA18+'23.04 '!AB18</f>
        <v>#REF!</v>
      </c>
      <c r="AC18" s="21">
        <v>143</v>
      </c>
      <c r="AD18" s="22">
        <v>0</v>
      </c>
      <c r="AE18" s="23" t="e">
        <f>AD18+'23.04 '!AE18</f>
        <v>#REF!</v>
      </c>
      <c r="AF18" s="19">
        <f t="shared" si="3"/>
        <v>373165</v>
      </c>
      <c r="AG18" s="20" t="e">
        <f t="shared" si="4"/>
        <v>#REF!</v>
      </c>
      <c r="AH18" s="24">
        <v>715</v>
      </c>
      <c r="AI18" s="23" t="e">
        <f>AH18+'23.04 '!AI18</f>
        <v>#REF!</v>
      </c>
      <c r="AJ18" s="24">
        <v>5104</v>
      </c>
      <c r="AK18" s="23" t="e">
        <f>AJ18+'23.04 '!AK18</f>
        <v>#REF!</v>
      </c>
      <c r="AL18" s="22">
        <v>5627</v>
      </c>
      <c r="AM18" s="23" t="e">
        <f>AL18+'23.04 '!AM18</f>
        <v>#REF!</v>
      </c>
      <c r="AN18" s="22">
        <v>361719</v>
      </c>
      <c r="AO18" s="23" t="e">
        <f>AN18+'23.04 '!AO18</f>
        <v>#REF!</v>
      </c>
      <c r="AP18" s="17" t="s">
        <v>53</v>
      </c>
      <c r="AQ18" s="19">
        <f t="shared" si="6"/>
        <v>10</v>
      </c>
      <c r="AR18" s="20" t="e">
        <f t="shared" si="7"/>
        <v>#REF!</v>
      </c>
      <c r="AS18" s="22">
        <v>1</v>
      </c>
      <c r="AT18" s="23" t="e">
        <f>AS18+'23.04 '!AT18</f>
        <v>#REF!</v>
      </c>
      <c r="AU18" s="22">
        <v>0</v>
      </c>
      <c r="AV18" s="23" t="e">
        <f>AU18+'23.04 '!AV18</f>
        <v>#REF!</v>
      </c>
      <c r="AW18" s="22">
        <v>0</v>
      </c>
      <c r="AX18" s="23" t="e">
        <f>AW18+'23.04 '!AX18</f>
        <v>#REF!</v>
      </c>
      <c r="AY18" s="22">
        <v>0</v>
      </c>
      <c r="AZ18" s="23" t="e">
        <f>AY18+'23.04 '!AZ18</f>
        <v>#REF!</v>
      </c>
      <c r="BA18" s="22">
        <v>9</v>
      </c>
      <c r="BB18" s="23" t="e">
        <f>BA18+'23.04 '!BB18</f>
        <v>#REF!</v>
      </c>
      <c r="BC18" s="19">
        <f t="shared" si="9"/>
        <v>4270</v>
      </c>
      <c r="BD18" s="20" t="e">
        <f t="shared" si="10"/>
        <v>#REF!</v>
      </c>
      <c r="BE18" s="22">
        <v>3</v>
      </c>
      <c r="BF18" s="23" t="e">
        <f>BE18+'23.04 '!BF18</f>
        <v>#REF!</v>
      </c>
      <c r="BG18" s="22">
        <v>0</v>
      </c>
      <c r="BH18" s="23" t="e">
        <f>BG18+'23.04 '!BH18</f>
        <v>#REF!</v>
      </c>
      <c r="BI18" s="22">
        <v>3972</v>
      </c>
      <c r="BJ18" s="23" t="e">
        <f>BI18+'23.04 '!BJ18</f>
        <v>#REF!</v>
      </c>
      <c r="BK18" s="22">
        <v>295</v>
      </c>
      <c r="BL18" s="23" t="e">
        <f>BK18+'23.04 '!BL18</f>
        <v>#REF!</v>
      </c>
      <c r="BM18" s="22">
        <v>0</v>
      </c>
      <c r="BN18" s="23" t="e">
        <f>BM18+'23.04 '!BN18</f>
        <v>#REF!</v>
      </c>
      <c r="BO18" s="36">
        <v>442</v>
      </c>
      <c r="BP18" s="37">
        <v>0</v>
      </c>
      <c r="BQ18" s="23" t="e">
        <f>BP18+'23.04 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42</v>
      </c>
      <c r="D19" s="31" t="e">
        <f t="shared" si="2"/>
        <v>#REF!</v>
      </c>
      <c r="E19" s="33">
        <v>221</v>
      </c>
      <c r="F19" s="22">
        <v>17</v>
      </c>
      <c r="G19" s="23" t="e">
        <f>F19+'23.04 '!G19</f>
        <v>#REF!</v>
      </c>
      <c r="H19" s="33">
        <v>5</v>
      </c>
      <c r="I19" s="34">
        <v>0</v>
      </c>
      <c r="J19" s="23" t="e">
        <f>I19+'23.04 '!J19</f>
        <v>#REF!</v>
      </c>
      <c r="K19" s="33">
        <v>4</v>
      </c>
      <c r="L19" s="22">
        <v>0</v>
      </c>
      <c r="M19" s="23" t="e">
        <f>L19+'23.04 '!M19</f>
        <v>#REF!</v>
      </c>
      <c r="N19" s="33">
        <v>313</v>
      </c>
      <c r="O19" s="22">
        <v>0</v>
      </c>
      <c r="P19" s="23" t="e">
        <f>O19+'23.04 '!P19</f>
        <v>#REF!</v>
      </c>
      <c r="Q19" s="33">
        <v>203</v>
      </c>
      <c r="R19" s="22">
        <v>0</v>
      </c>
      <c r="S19" s="23" t="e">
        <f>R19+'23.04 '!S19</f>
        <v>#REF!</v>
      </c>
      <c r="T19" s="33">
        <v>241</v>
      </c>
      <c r="U19" s="22">
        <v>0</v>
      </c>
      <c r="V19" s="23" t="e">
        <f>U19+'23.04 '!V19</f>
        <v>#REF!</v>
      </c>
      <c r="W19" s="33">
        <v>14</v>
      </c>
      <c r="X19" s="22">
        <v>25</v>
      </c>
      <c r="Y19" s="23" t="e">
        <f>X19+'23.04 '!Y19</f>
        <v>#REF!</v>
      </c>
      <c r="Z19" s="33">
        <v>7</v>
      </c>
      <c r="AA19" s="22">
        <v>0</v>
      </c>
      <c r="AB19" s="23" t="e">
        <f>AA19+'23.04 '!AB19</f>
        <v>#REF!</v>
      </c>
      <c r="AC19" s="33">
        <v>32</v>
      </c>
      <c r="AD19" s="22">
        <v>0</v>
      </c>
      <c r="AE19" s="23" t="e">
        <f>AD19+'23.04 '!AE19</f>
        <v>#REF!</v>
      </c>
      <c r="AF19" s="19">
        <f t="shared" si="3"/>
        <v>3700</v>
      </c>
      <c r="AG19" s="20" t="e">
        <f t="shared" si="4"/>
        <v>#REF!</v>
      </c>
      <c r="AH19" s="24">
        <v>650</v>
      </c>
      <c r="AI19" s="23" t="e">
        <f>AH19+'23.04 '!AI19</f>
        <v>#REF!</v>
      </c>
      <c r="AJ19" s="24">
        <v>650</v>
      </c>
      <c r="AK19" s="23" t="e">
        <f>AJ19+'23.04 '!AK19</f>
        <v>#REF!</v>
      </c>
      <c r="AL19" s="22">
        <v>1200</v>
      </c>
      <c r="AM19" s="23" t="e">
        <f>AL19+'23.04 '!AM19</f>
        <v>#REF!</v>
      </c>
      <c r="AN19" s="22">
        <v>1200</v>
      </c>
      <c r="AO19" s="23" t="e">
        <f>AN19+'23.04 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AS19+'23.04 '!AT19</f>
        <v>#REF!</v>
      </c>
      <c r="AU19" s="34">
        <v>0</v>
      </c>
      <c r="AV19" s="23" t="e">
        <f>AU19+'23.04 '!AV19</f>
        <v>#REF!</v>
      </c>
      <c r="AW19" s="34">
        <v>0</v>
      </c>
      <c r="AX19" s="23" t="e">
        <f>AW19+'23.04 '!AX19</f>
        <v>#REF!</v>
      </c>
      <c r="AY19" s="34">
        <v>0</v>
      </c>
      <c r="AZ19" s="23" t="e">
        <f>AY19+'23.04 '!AZ19</f>
        <v>#REF!</v>
      </c>
      <c r="BA19" s="34">
        <v>0</v>
      </c>
      <c r="BB19" s="23" t="e">
        <f>BA19+'23.04 '!BB19</f>
        <v>#REF!</v>
      </c>
      <c r="BC19" s="19">
        <f t="shared" si="9"/>
        <v>1216</v>
      </c>
      <c r="BD19" s="20" t="e">
        <f t="shared" si="10"/>
        <v>#REF!</v>
      </c>
      <c r="BE19" s="22">
        <v>16</v>
      </c>
      <c r="BF19" s="23" t="e">
        <f>BE19+'23.04 '!BF19</f>
        <v>#REF!</v>
      </c>
      <c r="BG19" s="34">
        <v>0</v>
      </c>
      <c r="BH19" s="23" t="e">
        <f>BG19+'23.04 '!BH19</f>
        <v>#REF!</v>
      </c>
      <c r="BI19" s="22">
        <v>1000</v>
      </c>
      <c r="BJ19" s="23" t="e">
        <f>BI19+'23.04 '!BJ19</f>
        <v>#REF!</v>
      </c>
      <c r="BK19" s="22">
        <v>200</v>
      </c>
      <c r="BL19" s="23" t="e">
        <f>BK19+'23.04 '!BL19</f>
        <v>#REF!</v>
      </c>
      <c r="BM19" s="22">
        <v>0</v>
      </c>
      <c r="BN19" s="23" t="e">
        <f>BM19+'23.04 '!BN19</f>
        <v>#REF!</v>
      </c>
      <c r="BO19" s="36">
        <v>2898</v>
      </c>
      <c r="BP19" s="37">
        <v>0</v>
      </c>
      <c r="BQ19" s="23" t="e">
        <f>BP19+'23.04 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423</v>
      </c>
      <c r="D20" s="31" t="e">
        <f t="shared" si="2"/>
        <v>#REF!</v>
      </c>
      <c r="E20" s="32">
        <v>723</v>
      </c>
      <c r="F20" s="22">
        <v>256</v>
      </c>
      <c r="G20" s="23" t="e">
        <f>F20+'23.04 '!G20</f>
        <v>#REF!</v>
      </c>
      <c r="H20" s="33">
        <v>5</v>
      </c>
      <c r="I20" s="34">
        <v>1</v>
      </c>
      <c r="J20" s="23" t="e">
        <f>I20+'23.04 '!J20</f>
        <v>#REF!</v>
      </c>
      <c r="K20" s="33">
        <v>3</v>
      </c>
      <c r="L20" s="22">
        <v>0</v>
      </c>
      <c r="M20" s="23" t="e">
        <f>L20+'23.04 '!M20</f>
        <v>#REF!</v>
      </c>
      <c r="N20" s="33">
        <v>975</v>
      </c>
      <c r="O20" s="22">
        <v>83</v>
      </c>
      <c r="P20" s="23" t="e">
        <f>O20+'23.04 '!P20</f>
        <v>#REF!</v>
      </c>
      <c r="Q20" s="61">
        <v>1862</v>
      </c>
      <c r="R20" s="22">
        <v>1</v>
      </c>
      <c r="S20" s="23" t="e">
        <f>R20+'23.04 '!S20</f>
        <v>#REF!</v>
      </c>
      <c r="T20" s="33">
        <v>35</v>
      </c>
      <c r="U20" s="22">
        <v>1</v>
      </c>
      <c r="V20" s="23" t="e">
        <f>U20+'23.04 '!V20</f>
        <v>#REF!</v>
      </c>
      <c r="W20" s="33">
        <v>64</v>
      </c>
      <c r="X20" s="22">
        <v>2</v>
      </c>
      <c r="Y20" s="23" t="e">
        <f>X20+'23.04 '!Y20</f>
        <v>#REF!</v>
      </c>
      <c r="Z20" s="33">
        <v>15</v>
      </c>
      <c r="AA20" s="22">
        <v>1</v>
      </c>
      <c r="AB20" s="23" t="e">
        <f>AA20+'23.04 '!AB20</f>
        <v>#REF!</v>
      </c>
      <c r="AC20" s="33">
        <v>1546</v>
      </c>
      <c r="AD20" s="22">
        <v>78</v>
      </c>
      <c r="AE20" s="23" t="e">
        <f>AD20+'23.04 '!AE20</f>
        <v>#REF!</v>
      </c>
      <c r="AF20" s="19">
        <f t="shared" si="3"/>
        <v>27110</v>
      </c>
      <c r="AG20" s="20" t="e">
        <f t="shared" si="4"/>
        <v>#REF!</v>
      </c>
      <c r="AH20" s="24">
        <v>12430</v>
      </c>
      <c r="AI20" s="23" t="e">
        <f>AH20+'23.04 '!AI20</f>
        <v>#REF!</v>
      </c>
      <c r="AJ20" s="24">
        <v>13780</v>
      </c>
      <c r="AK20" s="23" t="e">
        <f>AJ20+'23.04 '!AK20</f>
        <v>#REF!</v>
      </c>
      <c r="AL20" s="22">
        <v>400</v>
      </c>
      <c r="AM20" s="23" t="e">
        <f>AL20+'23.04 '!AM20</f>
        <v>#REF!</v>
      </c>
      <c r="AN20" s="22">
        <v>500</v>
      </c>
      <c r="AO20" s="23" t="e">
        <f>AN20+'23.04 '!AO20</f>
        <v>#REF!</v>
      </c>
      <c r="AP20" s="28" t="s">
        <v>55</v>
      </c>
      <c r="AQ20" s="19">
        <f t="shared" si="6"/>
        <v>401</v>
      </c>
      <c r="AR20" s="20" t="e">
        <f t="shared" si="7"/>
        <v>#REF!</v>
      </c>
      <c r="AS20" s="34">
        <v>1</v>
      </c>
      <c r="AT20" s="23" t="e">
        <f>AS20+'23.04 '!AT20</f>
        <v>#REF!</v>
      </c>
      <c r="AU20" s="34">
        <v>0</v>
      </c>
      <c r="AV20" s="23" t="e">
        <f>AU20+'23.04 '!AV20</f>
        <v>#REF!</v>
      </c>
      <c r="AW20" s="34">
        <v>0</v>
      </c>
      <c r="AX20" s="23" t="e">
        <f>AW20+'23.04 '!AX20</f>
        <v>#REF!</v>
      </c>
      <c r="AY20" s="34">
        <v>0</v>
      </c>
      <c r="AZ20" s="23" t="e">
        <f>AY20+'23.04 '!AZ20</f>
        <v>#REF!</v>
      </c>
      <c r="BA20" s="34">
        <v>400</v>
      </c>
      <c r="BB20" s="23" t="e">
        <f>BA20+'23.04 '!BB20</f>
        <v>#REF!</v>
      </c>
      <c r="BC20" s="19">
        <f t="shared" si="9"/>
        <v>5212</v>
      </c>
      <c r="BD20" s="20" t="e">
        <f t="shared" si="10"/>
        <v>#REF!</v>
      </c>
      <c r="BE20" s="22">
        <v>2</v>
      </c>
      <c r="BF20" s="23" t="e">
        <f>BE20+'23.04 '!BF20</f>
        <v>#REF!</v>
      </c>
      <c r="BG20" s="34">
        <v>0</v>
      </c>
      <c r="BH20" s="23" t="e">
        <f>BG20+'23.04 '!BH20</f>
        <v>#REF!</v>
      </c>
      <c r="BI20" s="22">
        <v>2580</v>
      </c>
      <c r="BJ20" s="23" t="e">
        <f>BI20+'23.04 '!BJ20</f>
        <v>#REF!</v>
      </c>
      <c r="BK20" s="22">
        <v>2630</v>
      </c>
      <c r="BL20" s="23" t="e">
        <f>BK20+'23.04 '!BL20</f>
        <v>#REF!</v>
      </c>
      <c r="BM20" s="22">
        <v>0</v>
      </c>
      <c r="BN20" s="23" t="e">
        <f>BM20+'23.04 '!BN20</f>
        <v>#REF!</v>
      </c>
      <c r="BO20" s="36">
        <v>5854</v>
      </c>
      <c r="BP20" s="37">
        <v>0</v>
      </c>
      <c r="BQ20" s="23" t="e">
        <f>BP20+'23.04 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391</v>
      </c>
      <c r="D21" s="31" t="e">
        <f t="shared" si="2"/>
        <v>#REF!</v>
      </c>
      <c r="E21" s="32">
        <v>1017</v>
      </c>
      <c r="F21" s="22">
        <v>185</v>
      </c>
      <c r="G21" s="23" t="e">
        <f>F21+'23.04 '!G21</f>
        <v>#REF!</v>
      </c>
      <c r="H21" s="33">
        <v>8</v>
      </c>
      <c r="I21" s="34">
        <v>2</v>
      </c>
      <c r="J21" s="23" t="e">
        <f>I21+'23.04 '!J21</f>
        <v>#REF!</v>
      </c>
      <c r="K21" s="33">
        <v>4</v>
      </c>
      <c r="L21" s="22">
        <v>0</v>
      </c>
      <c r="M21" s="23" t="e">
        <f>L21+'23.04 '!M21</f>
        <v>#REF!</v>
      </c>
      <c r="N21" s="33">
        <v>963</v>
      </c>
      <c r="O21" s="22">
        <v>2</v>
      </c>
      <c r="P21" s="23" t="e">
        <f>O21+'23.04 '!P21</f>
        <v>#REF!</v>
      </c>
      <c r="Q21" s="33">
        <v>912</v>
      </c>
      <c r="R21" s="22">
        <v>0</v>
      </c>
      <c r="S21" s="23" t="e">
        <f>R21+'23.04 '!S21</f>
        <v>#REF!</v>
      </c>
      <c r="T21" s="33">
        <v>199</v>
      </c>
      <c r="U21" s="22">
        <v>1</v>
      </c>
      <c r="V21" s="23" t="e">
        <f>U21+'23.04 '!V21</f>
        <v>#REF!</v>
      </c>
      <c r="W21" s="33">
        <v>101</v>
      </c>
      <c r="X21" s="22">
        <v>0</v>
      </c>
      <c r="Y21" s="23" t="e">
        <f>X21+'23.04 '!Y21</f>
        <v>#REF!</v>
      </c>
      <c r="Z21" s="33">
        <v>42</v>
      </c>
      <c r="AA21" s="22">
        <v>0</v>
      </c>
      <c r="AB21" s="23" t="e">
        <f>AA21+'23.04 '!AB21</f>
        <v>#REF!</v>
      </c>
      <c r="AC21" s="33">
        <v>20</v>
      </c>
      <c r="AD21" s="22">
        <v>201</v>
      </c>
      <c r="AE21" s="23" t="e">
        <f>AD21+'23.04 '!AE21</f>
        <v>#REF!</v>
      </c>
      <c r="AF21" s="19">
        <f t="shared" si="3"/>
        <v>2050000</v>
      </c>
      <c r="AG21" s="20" t="e">
        <f t="shared" si="4"/>
        <v>#REF!</v>
      </c>
      <c r="AH21" s="24">
        <v>3000</v>
      </c>
      <c r="AI21" s="23" t="e">
        <f>AH21+'23.04 '!AI21</f>
        <v>#REF!</v>
      </c>
      <c r="AJ21" s="24">
        <v>247000</v>
      </c>
      <c r="AK21" s="23" t="e">
        <f>AJ21+'23.04 '!AK21</f>
        <v>#REF!</v>
      </c>
      <c r="AL21" s="22">
        <v>3000</v>
      </c>
      <c r="AM21" s="23" t="e">
        <f>AL21+'23.04 '!AM21</f>
        <v>#REF!</v>
      </c>
      <c r="AN21" s="22">
        <v>1797000</v>
      </c>
      <c r="AO21" s="23" t="e">
        <f>AN21+'23.04 '!AO21</f>
        <v>#REF!</v>
      </c>
      <c r="AP21" s="28" t="s">
        <v>58</v>
      </c>
      <c r="AQ21" s="19">
        <f t="shared" si="6"/>
        <v>7</v>
      </c>
      <c r="AR21" s="20" t="e">
        <f t="shared" si="7"/>
        <v>#REF!</v>
      </c>
      <c r="AS21" s="34">
        <v>0</v>
      </c>
      <c r="AT21" s="23" t="e">
        <f>AS21+'23.04 '!AT21</f>
        <v>#REF!</v>
      </c>
      <c r="AU21" s="34">
        <v>2</v>
      </c>
      <c r="AV21" s="23" t="e">
        <f>AU21+'23.04 '!AV21</f>
        <v>#REF!</v>
      </c>
      <c r="AW21" s="34">
        <v>0</v>
      </c>
      <c r="AX21" s="23" t="e">
        <f>AW21+'23.04 '!AX21</f>
        <v>#REF!</v>
      </c>
      <c r="AY21" s="34">
        <v>0</v>
      </c>
      <c r="AZ21" s="23" t="e">
        <f>AY21+'23.04 '!AZ21</f>
        <v>#REF!</v>
      </c>
      <c r="BA21" s="34">
        <v>5</v>
      </c>
      <c r="BB21" s="23" t="e">
        <f>BA21+'23.04 '!BB21</f>
        <v>#REF!</v>
      </c>
      <c r="BC21" s="19">
        <f t="shared" si="9"/>
        <v>10075</v>
      </c>
      <c r="BD21" s="20" t="e">
        <f t="shared" si="10"/>
        <v>#REF!</v>
      </c>
      <c r="BE21" s="22">
        <v>75</v>
      </c>
      <c r="BF21" s="23" t="e">
        <f>BE21+'23.04 '!BF21</f>
        <v>#REF!</v>
      </c>
      <c r="BG21" s="34">
        <v>0</v>
      </c>
      <c r="BH21" s="23" t="e">
        <f>BG21+'23.04 '!BH21</f>
        <v>#REF!</v>
      </c>
      <c r="BI21" s="22">
        <v>10000</v>
      </c>
      <c r="BJ21" s="23" t="e">
        <f>BI21+'23.04 '!BJ21</f>
        <v>#REF!</v>
      </c>
      <c r="BK21" s="22">
        <v>0</v>
      </c>
      <c r="BL21" s="23" t="e">
        <f>BK21+'23.04 '!BL21</f>
        <v>#REF!</v>
      </c>
      <c r="BM21" s="22">
        <v>0</v>
      </c>
      <c r="BN21" s="23" t="e">
        <f>BM21+'23.04 '!BN21</f>
        <v>#REF!</v>
      </c>
      <c r="BO21" s="36">
        <v>68</v>
      </c>
      <c r="BP21" s="37">
        <v>1</v>
      </c>
      <c r="BQ21" s="23" t="e">
        <f>BP21+'23.04 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2230</v>
      </c>
      <c r="D22" s="31" t="e">
        <f t="shared" si="2"/>
        <v>#REF!</v>
      </c>
      <c r="E22" s="32">
        <v>509</v>
      </c>
      <c r="F22" s="22">
        <v>451</v>
      </c>
      <c r="G22" s="23" t="e">
        <f>F22+'23.04 '!G22</f>
        <v>#REF!</v>
      </c>
      <c r="H22" s="33">
        <v>8</v>
      </c>
      <c r="I22" s="34">
        <v>6</v>
      </c>
      <c r="J22" s="23" t="e">
        <f>I22+'23.04 '!J22</f>
        <v>#REF!</v>
      </c>
      <c r="K22" s="33">
        <v>21</v>
      </c>
      <c r="L22" s="22">
        <v>0</v>
      </c>
      <c r="M22" s="23" t="e">
        <f>L22+'23.04 '!M22</f>
        <v>#REF!</v>
      </c>
      <c r="N22" s="33">
        <v>560</v>
      </c>
      <c r="O22" s="22">
        <v>25</v>
      </c>
      <c r="P22" s="23" t="e">
        <f>O22+'23.04 '!P22</f>
        <v>#REF!</v>
      </c>
      <c r="Q22" s="33">
        <v>375</v>
      </c>
      <c r="R22" s="22">
        <v>25</v>
      </c>
      <c r="S22" s="23" t="e">
        <f>R22+'23.04 '!S22</f>
        <v>#REF!</v>
      </c>
      <c r="T22" s="33">
        <v>165</v>
      </c>
      <c r="U22" s="22">
        <v>25</v>
      </c>
      <c r="V22" s="23" t="e">
        <f>U22+'23.04 '!V22</f>
        <v>#REF!</v>
      </c>
      <c r="W22" s="33">
        <v>28</v>
      </c>
      <c r="X22" s="22">
        <v>107</v>
      </c>
      <c r="Y22" s="23" t="e">
        <f>X22+'23.04 '!Y22</f>
        <v>#REF!</v>
      </c>
      <c r="Z22" s="33">
        <v>9</v>
      </c>
      <c r="AA22" s="22">
        <v>0</v>
      </c>
      <c r="AB22" s="23" t="e">
        <f>AA22+'23.04 '!AB22</f>
        <v>#REF!</v>
      </c>
      <c r="AC22" s="33">
        <v>112</v>
      </c>
      <c r="AD22" s="22">
        <v>1591</v>
      </c>
      <c r="AE22" s="23" t="e">
        <f>AD22+'23.04 '!AE22</f>
        <v>#REF!</v>
      </c>
      <c r="AF22" s="19">
        <f t="shared" si="3"/>
        <v>79511</v>
      </c>
      <c r="AG22" s="20" t="e">
        <f t="shared" si="4"/>
        <v>#REF!</v>
      </c>
      <c r="AH22" s="24">
        <v>1290</v>
      </c>
      <c r="AI22" s="23" t="e">
        <f>AH22+'23.04 '!AI22</f>
        <v>#REF!</v>
      </c>
      <c r="AJ22" s="24">
        <v>9000</v>
      </c>
      <c r="AK22" s="23" t="e">
        <f>AJ22+'23.04 '!AK22</f>
        <v>#REF!</v>
      </c>
      <c r="AL22" s="22">
        <v>4221</v>
      </c>
      <c r="AM22" s="23" t="e">
        <f>AL22+'23.04 '!AM22</f>
        <v>#REF!</v>
      </c>
      <c r="AN22" s="22">
        <v>65000</v>
      </c>
      <c r="AO22" s="23" t="e">
        <f>AN22+'23.04 '!AO22</f>
        <v>#REF!</v>
      </c>
      <c r="AP22" s="28" t="s">
        <v>59</v>
      </c>
      <c r="AQ22" s="19">
        <f t="shared" si="6"/>
        <v>1552</v>
      </c>
      <c r="AR22" s="20" t="e">
        <f t="shared" si="7"/>
        <v>#REF!</v>
      </c>
      <c r="AS22" s="34">
        <v>0</v>
      </c>
      <c r="AT22" s="23" t="e">
        <f>AS22+'23.04 '!AT22</f>
        <v>#REF!</v>
      </c>
      <c r="AU22" s="34">
        <v>0</v>
      </c>
      <c r="AV22" s="23" t="e">
        <f>AU22+'23.04 '!AV22</f>
        <v>#REF!</v>
      </c>
      <c r="AW22" s="34">
        <v>0</v>
      </c>
      <c r="AX22" s="23" t="e">
        <f>AW22+'23.04 '!AX22</f>
        <v>#REF!</v>
      </c>
      <c r="AY22" s="34">
        <v>0</v>
      </c>
      <c r="AZ22" s="23" t="e">
        <f>AY22+'23.04 '!AZ22</f>
        <v>#REF!</v>
      </c>
      <c r="BA22" s="34">
        <v>1552</v>
      </c>
      <c r="BB22" s="23" t="e">
        <f>BA22+'23.04 '!BB22</f>
        <v>#REF!</v>
      </c>
      <c r="BC22" s="19">
        <f t="shared" si="9"/>
        <v>9685</v>
      </c>
      <c r="BD22" s="20" t="e">
        <f t="shared" si="10"/>
        <v>#REF!</v>
      </c>
      <c r="BE22" s="22">
        <v>6</v>
      </c>
      <c r="BF22" s="23" t="e">
        <f>BE22+'23.04 '!BF22</f>
        <v>#REF!</v>
      </c>
      <c r="BG22" s="34">
        <v>4</v>
      </c>
      <c r="BH22" s="23" t="e">
        <f>BG22+'23.04 '!BH22</f>
        <v>#REF!</v>
      </c>
      <c r="BI22" s="22">
        <v>9664</v>
      </c>
      <c r="BJ22" s="23" t="e">
        <f>BI22+'23.04 '!BJ22</f>
        <v>#REF!</v>
      </c>
      <c r="BK22" s="22">
        <v>11</v>
      </c>
      <c r="BL22" s="23" t="e">
        <f>BK22+'23.04 '!BL22</f>
        <v>#REF!</v>
      </c>
      <c r="BM22" s="22">
        <v>0</v>
      </c>
      <c r="BN22" s="23" t="e">
        <f>BM22+'23.04 '!BN22</f>
        <v>#REF!</v>
      </c>
      <c r="BO22" s="36">
        <v>26</v>
      </c>
      <c r="BP22" s="37">
        <v>2</v>
      </c>
      <c r="BQ22" s="23" t="e">
        <f>BP22+'23.04 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4882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1834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19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3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145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30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33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705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5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2108</v>
      </c>
      <c r="AE23" s="68" t="e">
        <f t="shared" si="16"/>
        <v>#REF!</v>
      </c>
      <c r="AF23" s="64">
        <f t="shared" si="16"/>
        <v>4416327</v>
      </c>
      <c r="AG23" s="64" t="e">
        <f t="shared" si="16"/>
        <v>#REF!</v>
      </c>
      <c r="AH23" s="67">
        <f t="shared" si="16"/>
        <v>41354</v>
      </c>
      <c r="AI23" s="68" t="e">
        <f t="shared" si="16"/>
        <v>#REF!</v>
      </c>
      <c r="AJ23" s="67">
        <f t="shared" si="16"/>
        <v>349350</v>
      </c>
      <c r="AK23" s="68" t="e">
        <f t="shared" si="16"/>
        <v>#REF!</v>
      </c>
      <c r="AL23" s="67">
        <f t="shared" si="16"/>
        <v>337530</v>
      </c>
      <c r="AM23" s="68" t="e">
        <f t="shared" si="16"/>
        <v>#REF!</v>
      </c>
      <c r="AN23" s="67">
        <f t="shared" si="16"/>
        <v>3688093</v>
      </c>
      <c r="AO23" s="68" t="e">
        <f t="shared" si="16"/>
        <v>#REF!</v>
      </c>
      <c r="AP23" s="62" t="s">
        <v>12</v>
      </c>
      <c r="AQ23" s="64">
        <f t="shared" ref="AQ23:BP23" si="17">SUM(AQ8:AQ22)</f>
        <v>2128</v>
      </c>
      <c r="AR23" s="64" t="e">
        <f t="shared" si="17"/>
        <v>#REF!</v>
      </c>
      <c r="AS23" s="67">
        <f t="shared" si="17"/>
        <v>5</v>
      </c>
      <c r="AT23" s="68" t="e">
        <f t="shared" si="17"/>
        <v>#REF!</v>
      </c>
      <c r="AU23" s="67">
        <f t="shared" si="17"/>
        <v>5</v>
      </c>
      <c r="AV23" s="68" t="e">
        <f t="shared" si="17"/>
        <v>#REF!</v>
      </c>
      <c r="AW23" s="67">
        <f t="shared" si="17"/>
        <v>0</v>
      </c>
      <c r="AX23" s="68" t="e">
        <f t="shared" si="17"/>
        <v>#REF!</v>
      </c>
      <c r="AY23" s="67">
        <f t="shared" si="17"/>
        <v>0</v>
      </c>
      <c r="AZ23" s="68" t="e">
        <f t="shared" si="17"/>
        <v>#REF!</v>
      </c>
      <c r="BA23" s="67">
        <f t="shared" si="17"/>
        <v>2118</v>
      </c>
      <c r="BB23" s="68" t="e">
        <f t="shared" si="17"/>
        <v>#REF!</v>
      </c>
      <c r="BC23" s="64">
        <f t="shared" si="17"/>
        <v>70849</v>
      </c>
      <c r="BD23" s="64" t="e">
        <f t="shared" si="17"/>
        <v>#REF!</v>
      </c>
      <c r="BE23" s="67">
        <f t="shared" si="17"/>
        <v>1419</v>
      </c>
      <c r="BF23" s="68" t="e">
        <f t="shared" si="17"/>
        <v>#REF!</v>
      </c>
      <c r="BG23" s="67">
        <f t="shared" si="17"/>
        <v>48</v>
      </c>
      <c r="BH23" s="68" t="e">
        <f t="shared" si="17"/>
        <v>#REF!</v>
      </c>
      <c r="BI23" s="67">
        <f t="shared" si="17"/>
        <v>63302</v>
      </c>
      <c r="BJ23" s="68" t="e">
        <f t="shared" si="17"/>
        <v>#REF!</v>
      </c>
      <c r="BK23" s="67">
        <f t="shared" si="17"/>
        <v>6080</v>
      </c>
      <c r="BL23" s="68" t="e">
        <f t="shared" si="17"/>
        <v>#REF!</v>
      </c>
      <c r="BM23" s="67">
        <f t="shared" si="17"/>
        <v>0</v>
      </c>
      <c r="BN23" s="68" t="e">
        <f t="shared" si="17"/>
        <v>#REF!</v>
      </c>
      <c r="BO23" s="69">
        <f t="shared" si="17"/>
        <v>37684</v>
      </c>
      <c r="BP23" s="70">
        <f t="shared" si="17"/>
        <v>20</v>
      </c>
      <c r="BQ23" s="23">
        <f>BP23+'20.04'!BP23</f>
        <v>46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BU23"/>
  <sheetViews>
    <sheetView zoomScale="130" zoomScaleNormal="130" workbookViewId="0">
      <pane xSplit="4" ySplit="8" topLeftCell="E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0</v>
      </c>
      <c r="D9" s="31" t="e">
        <f t="shared" si="2"/>
        <v>#REF!</v>
      </c>
      <c r="E9" s="32">
        <v>452</v>
      </c>
      <c r="F9" s="22"/>
      <c r="G9" s="23" t="e">
        <f>F9+'24.04 '!G9</f>
        <v>#REF!</v>
      </c>
      <c r="H9" s="33">
        <v>12</v>
      </c>
      <c r="I9" s="34"/>
      <c r="J9" s="23" t="e">
        <f>I9+'24.04 '!J9</f>
        <v>#REF!</v>
      </c>
      <c r="K9" s="33">
        <v>2</v>
      </c>
      <c r="L9" s="22"/>
      <c r="M9" s="23" t="e">
        <f>L9+'24.04 '!M9</f>
        <v>#REF!</v>
      </c>
      <c r="N9" s="33">
        <v>735</v>
      </c>
      <c r="O9" s="22"/>
      <c r="P9" s="23" t="e">
        <f>O9+'24.04 '!P9</f>
        <v>#REF!</v>
      </c>
      <c r="Q9" s="33">
        <v>502</v>
      </c>
      <c r="R9" s="22"/>
      <c r="S9" s="23" t="e">
        <f>R9+'24.04 '!S9</f>
        <v>#REF!</v>
      </c>
      <c r="T9" s="33">
        <v>197</v>
      </c>
      <c r="U9" s="22"/>
      <c r="V9" s="23" t="e">
        <f>U9+'24.04 '!V9</f>
        <v>#REF!</v>
      </c>
      <c r="W9" s="33">
        <v>47</v>
      </c>
      <c r="X9" s="22"/>
      <c r="Y9" s="23" t="e">
        <f>X9+'24.04 '!Y9</f>
        <v>#REF!</v>
      </c>
      <c r="Z9" s="33">
        <v>34</v>
      </c>
      <c r="AA9" s="22"/>
      <c r="AB9" s="23" t="e">
        <f>AA9+'24.04 '!AB9</f>
        <v>#REF!</v>
      </c>
      <c r="AC9" s="33">
        <v>1860</v>
      </c>
      <c r="AD9" s="22"/>
      <c r="AE9" s="23" t="e">
        <f>AD9+'24.04 '!AE9</f>
        <v>#REF!</v>
      </c>
      <c r="AF9" s="19">
        <f t="shared" si="3"/>
        <v>0</v>
      </c>
      <c r="AG9" s="20" t="e">
        <f t="shared" si="4"/>
        <v>#REF!</v>
      </c>
      <c r="AH9" s="24"/>
      <c r="AI9" s="23" t="e">
        <f>AH9+'24.04 '!AI9</f>
        <v>#REF!</v>
      </c>
      <c r="AJ9" s="24"/>
      <c r="AK9" s="23" t="e">
        <f>AJ9+'24.04 '!AK9</f>
        <v>#REF!</v>
      </c>
      <c r="AL9" s="22"/>
      <c r="AM9" s="23" t="e">
        <f>AL9+'24.04 '!AM9</f>
        <v>#REF!</v>
      </c>
      <c r="AN9" s="22"/>
      <c r="AO9" s="23" t="e">
        <f>AN9+'24.04 '!AO9</f>
        <v>#REF!</v>
      </c>
      <c r="AP9" s="28" t="s">
        <v>43</v>
      </c>
      <c r="AQ9" s="19">
        <f t="shared" si="6"/>
        <v>0</v>
      </c>
      <c r="AR9" s="20" t="e">
        <f t="shared" si="7"/>
        <v>#REF!</v>
      </c>
      <c r="AS9" s="34"/>
      <c r="AT9" s="23" t="e">
        <f>AS9+'24.04 '!AT9</f>
        <v>#REF!</v>
      </c>
      <c r="AU9" s="34"/>
      <c r="AV9" s="23" t="e">
        <f>AU9+'24.04 '!AV9</f>
        <v>#REF!</v>
      </c>
      <c r="AW9" s="34"/>
      <c r="AX9" s="23" t="e">
        <f>AW9+'24.04 '!AX9</f>
        <v>#REF!</v>
      </c>
      <c r="AY9" s="34"/>
      <c r="AZ9" s="23" t="e">
        <f>AY9+'24.04 '!AZ9</f>
        <v>#REF!</v>
      </c>
      <c r="BA9" s="34"/>
      <c r="BB9" s="23" t="e">
        <f>BA9+'24.04 '!BB9</f>
        <v>#REF!</v>
      </c>
      <c r="BC9" s="19">
        <f t="shared" si="9"/>
        <v>0</v>
      </c>
      <c r="BD9" s="20" t="e">
        <f t="shared" si="10"/>
        <v>#REF!</v>
      </c>
      <c r="BE9" s="22"/>
      <c r="BF9" s="23" t="e">
        <f>BE9+'24.04 '!BF9</f>
        <v>#REF!</v>
      </c>
      <c r="BG9" s="34"/>
      <c r="BH9" s="23" t="e">
        <f>BG9+'24.04 '!BH9</f>
        <v>#REF!</v>
      </c>
      <c r="BI9" s="22"/>
      <c r="BJ9" s="23" t="e">
        <f>BI9+'24.04 '!BJ9</f>
        <v>#REF!</v>
      </c>
      <c r="BK9" s="22">
        <v>0</v>
      </c>
      <c r="BL9" s="23" t="e">
        <f>BK9+'24.04 '!BL9</f>
        <v>#REF!</v>
      </c>
      <c r="BM9" s="22">
        <v>0</v>
      </c>
      <c r="BN9" s="23" t="e">
        <f>BM9+'24.04 '!BN9</f>
        <v>#REF!</v>
      </c>
      <c r="BO9" s="36">
        <v>14</v>
      </c>
      <c r="BP9" s="37">
        <v>0</v>
      </c>
      <c r="BQ9" s="23" t="e">
        <f>BP9+'24.04 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117</v>
      </c>
      <c r="D10" s="31" t="e">
        <f t="shared" si="2"/>
        <v>#REF!</v>
      </c>
      <c r="E10" s="32">
        <v>585</v>
      </c>
      <c r="F10" s="22">
        <v>9</v>
      </c>
      <c r="G10" s="23" t="e">
        <f>F10+'24.04 '!G10</f>
        <v>#REF!</v>
      </c>
      <c r="H10" s="33">
        <v>93</v>
      </c>
      <c r="I10" s="34">
        <v>2</v>
      </c>
      <c r="J10" s="23" t="e">
        <f>I10+'24.04 '!J10</f>
        <v>#REF!</v>
      </c>
      <c r="K10" s="33">
        <v>34</v>
      </c>
      <c r="L10" s="22">
        <v>0</v>
      </c>
      <c r="M10" s="23" t="e">
        <f>L10+'24.04 '!M10</f>
        <v>#REF!</v>
      </c>
      <c r="N10" s="33">
        <v>352</v>
      </c>
      <c r="O10" s="22">
        <v>9</v>
      </c>
      <c r="P10" s="23" t="e">
        <f>O10+'24.04 '!P10</f>
        <v>#REF!</v>
      </c>
      <c r="Q10" s="33">
        <v>549</v>
      </c>
      <c r="R10" s="22">
        <v>0</v>
      </c>
      <c r="S10" s="23" t="e">
        <f>R10+'24.04 '!S10</f>
        <v>#REF!</v>
      </c>
      <c r="T10" s="33">
        <v>198</v>
      </c>
      <c r="U10" s="22">
        <v>1</v>
      </c>
      <c r="V10" s="23" t="e">
        <f>U10+'24.04 '!V10</f>
        <v>#REF!</v>
      </c>
      <c r="W10" s="38">
        <v>55</v>
      </c>
      <c r="X10" s="22">
        <v>8</v>
      </c>
      <c r="Y10" s="23" t="e">
        <f>X10+'24.04 '!Y10</f>
        <v>#REF!</v>
      </c>
      <c r="Z10" s="38">
        <v>71</v>
      </c>
      <c r="AA10" s="22">
        <v>4</v>
      </c>
      <c r="AB10" s="23" t="e">
        <f>AA10+'24.04 '!AB10</f>
        <v>#REF!</v>
      </c>
      <c r="AC10" s="38">
        <v>1690</v>
      </c>
      <c r="AD10" s="22">
        <v>84</v>
      </c>
      <c r="AE10" s="23" t="e">
        <f>AD10+'24.04 '!AE10</f>
        <v>#REF!</v>
      </c>
      <c r="AF10" s="19">
        <f t="shared" si="3"/>
        <v>95687</v>
      </c>
      <c r="AG10" s="20" t="e">
        <f t="shared" si="4"/>
        <v>#REF!</v>
      </c>
      <c r="AH10" s="24">
        <v>844</v>
      </c>
      <c r="AI10" s="23" t="e">
        <f>AH10+'24.04 '!AI10</f>
        <v>#REF!</v>
      </c>
      <c r="AJ10" s="24">
        <v>4105</v>
      </c>
      <c r="AK10" s="23" t="e">
        <f>AJ10+'24.04 '!AK10</f>
        <v>#REF!</v>
      </c>
      <c r="AL10" s="22">
        <v>10119</v>
      </c>
      <c r="AM10" s="23" t="e">
        <f>AL10+'24.04 '!AM10</f>
        <v>#REF!</v>
      </c>
      <c r="AN10" s="22">
        <v>80619</v>
      </c>
      <c r="AO10" s="23" t="e">
        <f>AN10+'24.04 '!AO10</f>
        <v>#REF!</v>
      </c>
      <c r="AP10" s="28" t="s">
        <v>44</v>
      </c>
      <c r="AQ10" s="19">
        <f t="shared" si="6"/>
        <v>3</v>
      </c>
      <c r="AR10" s="20" t="e">
        <f t="shared" si="7"/>
        <v>#REF!</v>
      </c>
      <c r="AS10" s="34">
        <v>0</v>
      </c>
      <c r="AT10" s="23" t="e">
        <f>AS10+'24.04 '!AT10</f>
        <v>#REF!</v>
      </c>
      <c r="AU10" s="34">
        <v>0</v>
      </c>
      <c r="AV10" s="23" t="e">
        <f>AU10+'24.04 '!AV10</f>
        <v>#REF!</v>
      </c>
      <c r="AW10" s="34">
        <v>0</v>
      </c>
      <c r="AX10" s="23" t="e">
        <f>AW10+'24.04 '!AX10</f>
        <v>#REF!</v>
      </c>
      <c r="AY10" s="34">
        <v>0</v>
      </c>
      <c r="AZ10" s="23" t="e">
        <f>AY10+'24.04 '!AZ10</f>
        <v>#REF!</v>
      </c>
      <c r="BA10" s="34">
        <v>3</v>
      </c>
      <c r="BB10" s="23" t="e">
        <f>BA10+'24.04 '!BB10</f>
        <v>#REF!</v>
      </c>
      <c r="BC10" s="19">
        <f t="shared" si="9"/>
        <v>4476</v>
      </c>
      <c r="BD10" s="20" t="e">
        <f t="shared" si="10"/>
        <v>#REF!</v>
      </c>
      <c r="BE10" s="22">
        <v>489</v>
      </c>
      <c r="BF10" s="23" t="e">
        <f>BE10+'24.04 '!BF10</f>
        <v>#REF!</v>
      </c>
      <c r="BG10" s="34">
        <v>1</v>
      </c>
      <c r="BH10" s="23" t="e">
        <f>BG10+'24.04 '!BH10</f>
        <v>#REF!</v>
      </c>
      <c r="BI10" s="22">
        <v>3163</v>
      </c>
      <c r="BJ10" s="23" t="e">
        <f>BI10+'24.04 '!BJ10</f>
        <v>#REF!</v>
      </c>
      <c r="BK10" s="22">
        <v>823</v>
      </c>
      <c r="BL10" s="23" t="e">
        <f>BK10+'24.04 '!BL10</f>
        <v>#REF!</v>
      </c>
      <c r="BM10" s="22">
        <v>0</v>
      </c>
      <c r="BN10" s="23" t="e">
        <f>BM10+'24.04 '!BN10</f>
        <v>#REF!</v>
      </c>
      <c r="BO10" s="36">
        <v>32</v>
      </c>
      <c r="BP10" s="37">
        <v>0</v>
      </c>
      <c r="BQ10" s="23" t="e">
        <f>BP10+'24.04 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56</v>
      </c>
      <c r="D11" s="31" t="e">
        <f t="shared" si="2"/>
        <v>#REF!</v>
      </c>
      <c r="E11" s="32">
        <v>883</v>
      </c>
      <c r="F11" s="22">
        <v>21</v>
      </c>
      <c r="G11" s="23" t="e">
        <f>F11+'24.04 '!G11</f>
        <v>#REF!</v>
      </c>
      <c r="H11" s="33">
        <v>16</v>
      </c>
      <c r="I11" s="34">
        <v>0</v>
      </c>
      <c r="J11" s="23" t="e">
        <f>I11+'24.04 '!J11</f>
        <v>#REF!</v>
      </c>
      <c r="K11" s="33">
        <v>3</v>
      </c>
      <c r="L11" s="22">
        <v>0</v>
      </c>
      <c r="M11" s="23" t="e">
        <f>L11+'24.04 '!M11</f>
        <v>#REF!</v>
      </c>
      <c r="N11" s="33">
        <v>875</v>
      </c>
      <c r="O11" s="22">
        <v>0</v>
      </c>
      <c r="P11" s="23" t="e">
        <f>O11+'24.04 '!P11</f>
        <v>#REF!</v>
      </c>
      <c r="Q11" s="33">
        <v>2424</v>
      </c>
      <c r="R11" s="22">
        <v>0</v>
      </c>
      <c r="S11" s="23" t="e">
        <f>R11+'24.04 '!S11</f>
        <v>#REF!</v>
      </c>
      <c r="T11" s="33">
        <v>69</v>
      </c>
      <c r="U11" s="22">
        <v>0</v>
      </c>
      <c r="V11" s="23" t="e">
        <f>U11+'24.04 '!V11</f>
        <v>#REF!</v>
      </c>
      <c r="W11" s="38">
        <v>133</v>
      </c>
      <c r="X11" s="22">
        <v>33</v>
      </c>
      <c r="Y11" s="23" t="e">
        <f>X11+'24.04 '!Y11</f>
        <v>#REF!</v>
      </c>
      <c r="Z11" s="38">
        <v>1116</v>
      </c>
      <c r="AA11" s="22">
        <v>0</v>
      </c>
      <c r="AB11" s="23" t="e">
        <f>AA11+'24.04 '!AB11</f>
        <v>#REF!</v>
      </c>
      <c r="AC11" s="38">
        <v>9862</v>
      </c>
      <c r="AD11" s="22">
        <v>2</v>
      </c>
      <c r="AE11" s="23" t="e">
        <f>AD11+'24.04 '!AE11</f>
        <v>#REF!</v>
      </c>
      <c r="AF11" s="19">
        <f t="shared" si="3"/>
        <v>82200</v>
      </c>
      <c r="AG11" s="20" t="e">
        <f t="shared" si="4"/>
        <v>#REF!</v>
      </c>
      <c r="AH11" s="24">
        <v>2900</v>
      </c>
      <c r="AI11" s="23" t="e">
        <f>AH11+'24.04 '!AI11</f>
        <v>#REF!</v>
      </c>
      <c r="AJ11" s="24">
        <v>7300</v>
      </c>
      <c r="AK11" s="23" t="e">
        <f>AJ11+'24.04 '!AK11</f>
        <v>#REF!</v>
      </c>
      <c r="AL11" s="22">
        <v>20000</v>
      </c>
      <c r="AM11" s="23" t="e">
        <f>AL11+'24.04 '!AM11</f>
        <v>#REF!</v>
      </c>
      <c r="AN11" s="22">
        <v>52000</v>
      </c>
      <c r="AO11" s="23" t="e">
        <f>AN11+'24.04 '!AO11</f>
        <v>#REF!</v>
      </c>
      <c r="AP11" s="28" t="s">
        <v>45</v>
      </c>
      <c r="AQ11" s="19">
        <f t="shared" si="6"/>
        <v>6</v>
      </c>
      <c r="AR11" s="20" t="e">
        <f t="shared" si="7"/>
        <v>#REF!</v>
      </c>
      <c r="AS11" s="34">
        <v>0</v>
      </c>
      <c r="AT11" s="23" t="e">
        <f>AS11+'24.04 '!AT11</f>
        <v>#REF!</v>
      </c>
      <c r="AU11" s="34">
        <v>0</v>
      </c>
      <c r="AV11" s="23" t="e">
        <f>AU11+'24.04 '!AV11</f>
        <v>#REF!</v>
      </c>
      <c r="AW11" s="34">
        <v>0</v>
      </c>
      <c r="AX11" s="23" t="e">
        <f>AW11+'24.04 '!AX11</f>
        <v>#REF!</v>
      </c>
      <c r="AY11" s="34">
        <v>0</v>
      </c>
      <c r="AZ11" s="23" t="e">
        <f>AY11+'24.04 '!AZ11</f>
        <v>#REF!</v>
      </c>
      <c r="BA11" s="34">
        <v>6</v>
      </c>
      <c r="BB11" s="23" t="e">
        <f>BA11+'24.04 '!BB11</f>
        <v>#REF!</v>
      </c>
      <c r="BC11" s="19">
        <f t="shared" si="9"/>
        <v>3178</v>
      </c>
      <c r="BD11" s="20" t="e">
        <f t="shared" si="10"/>
        <v>#REF!</v>
      </c>
      <c r="BE11" s="22">
        <v>5</v>
      </c>
      <c r="BF11" s="23" t="e">
        <f>BE11+'24.04 '!BF11</f>
        <v>#REF!</v>
      </c>
      <c r="BG11" s="34">
        <v>3</v>
      </c>
      <c r="BH11" s="23" t="e">
        <f>BG11+'24.04 '!BH11</f>
        <v>#REF!</v>
      </c>
      <c r="BI11" s="22">
        <v>3100</v>
      </c>
      <c r="BJ11" s="23" t="e">
        <f>BI11+'24.04 '!BJ11</f>
        <v>#REF!</v>
      </c>
      <c r="BK11" s="22">
        <v>70</v>
      </c>
      <c r="BL11" s="23" t="e">
        <f>BK11+'24.04 '!BL11</f>
        <v>#REF!</v>
      </c>
      <c r="BM11" s="22">
        <v>0</v>
      </c>
      <c r="BN11" s="23" t="e">
        <f>BM11+'24.04 '!BN11</f>
        <v>#REF!</v>
      </c>
      <c r="BO11" s="36">
        <v>11506</v>
      </c>
      <c r="BP11" s="37">
        <v>3</v>
      </c>
      <c r="BQ11" s="23" t="e">
        <f>BP11+'24.04 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220</v>
      </c>
      <c r="D12" s="31" t="e">
        <f t="shared" si="2"/>
        <v>#REF!</v>
      </c>
      <c r="E12" s="32">
        <v>909</v>
      </c>
      <c r="F12" s="22">
        <v>48</v>
      </c>
      <c r="G12" s="23" t="e">
        <f>F12+'24.04 '!G12</f>
        <v>#REF!</v>
      </c>
      <c r="H12" s="33">
        <v>80</v>
      </c>
      <c r="I12" s="34">
        <v>2</v>
      </c>
      <c r="J12" s="23" t="e">
        <f>I12+'24.04 '!J12</f>
        <v>#REF!</v>
      </c>
      <c r="K12" s="33">
        <v>5</v>
      </c>
      <c r="L12" s="22">
        <v>0</v>
      </c>
      <c r="M12" s="23" t="e">
        <f>L12+'24.04 '!M12</f>
        <v>#REF!</v>
      </c>
      <c r="N12" s="33">
        <v>820</v>
      </c>
      <c r="O12" s="22">
        <v>21</v>
      </c>
      <c r="P12" s="23" t="e">
        <f>O12+'24.04 '!P12</f>
        <v>#REF!</v>
      </c>
      <c r="Q12" s="33">
        <v>549</v>
      </c>
      <c r="R12" s="22">
        <v>0</v>
      </c>
      <c r="S12" s="23" t="e">
        <f>R12+'24.04 '!S12</f>
        <v>#REF!</v>
      </c>
      <c r="T12" s="33">
        <v>992</v>
      </c>
      <c r="U12" s="22">
        <v>0</v>
      </c>
      <c r="V12" s="23" t="e">
        <f>U12+'24.04 '!V12</f>
        <v>#REF!</v>
      </c>
      <c r="W12" s="33">
        <v>38</v>
      </c>
      <c r="X12" s="22">
        <v>120</v>
      </c>
      <c r="Y12" s="23" t="e">
        <f>X12+'24.04 '!Y12</f>
        <v>#REF!</v>
      </c>
      <c r="Z12" s="33">
        <v>68</v>
      </c>
      <c r="AA12" s="22">
        <v>0</v>
      </c>
      <c r="AB12" s="23" t="e">
        <f>AA12+'24.04 '!AB12</f>
        <v>#REF!</v>
      </c>
      <c r="AC12" s="33">
        <v>26703</v>
      </c>
      <c r="AD12" s="22">
        <v>29</v>
      </c>
      <c r="AE12" s="23" t="e">
        <f>AD12+'24.04 '!AE12</f>
        <v>#REF!</v>
      </c>
      <c r="AF12" s="19">
        <f t="shared" si="3"/>
        <v>34201</v>
      </c>
      <c r="AG12" s="20" t="e">
        <f t="shared" si="4"/>
        <v>#REF!</v>
      </c>
      <c r="AH12" s="24">
        <v>4200</v>
      </c>
      <c r="AI12" s="23" t="e">
        <f>AH12+'24.04 '!AI12</f>
        <v>#REF!</v>
      </c>
      <c r="AJ12" s="24">
        <v>11900</v>
      </c>
      <c r="AK12" s="23" t="e">
        <f>AJ12+'24.04 '!AK12</f>
        <v>#REF!</v>
      </c>
      <c r="AL12" s="22">
        <v>9000</v>
      </c>
      <c r="AM12" s="23" t="e">
        <f>AL12+'24.04 '!AM12</f>
        <v>#REF!</v>
      </c>
      <c r="AN12" s="22">
        <v>9101</v>
      </c>
      <c r="AO12" s="23" t="e">
        <f>AN12+'24.04 '!AO12</f>
        <v>#REF!</v>
      </c>
      <c r="AP12" s="28" t="s">
        <v>46</v>
      </c>
      <c r="AQ12" s="19">
        <f t="shared" si="6"/>
        <v>41</v>
      </c>
      <c r="AR12" s="20" t="e">
        <f t="shared" si="7"/>
        <v>#REF!</v>
      </c>
      <c r="AS12" s="34">
        <v>0</v>
      </c>
      <c r="AT12" s="23" t="e">
        <f>AS12+'24.04 '!AT12</f>
        <v>#REF!</v>
      </c>
      <c r="AU12" s="34">
        <v>0</v>
      </c>
      <c r="AV12" s="23" t="e">
        <f>AU12+'24.04 '!AV12</f>
        <v>#REF!</v>
      </c>
      <c r="AW12" s="34">
        <v>0</v>
      </c>
      <c r="AX12" s="23" t="e">
        <f>AW12+'24.04 '!AX12</f>
        <v>#REF!</v>
      </c>
      <c r="AY12" s="34">
        <v>0</v>
      </c>
      <c r="AZ12" s="23" t="e">
        <f>AY12+'24.04 '!AZ12</f>
        <v>#REF!</v>
      </c>
      <c r="BA12" s="34">
        <v>41</v>
      </c>
      <c r="BB12" s="23" t="e">
        <f>BA12+'24.04 '!BB12</f>
        <v>#REF!</v>
      </c>
      <c r="BC12" s="19">
        <f t="shared" si="9"/>
        <v>3020</v>
      </c>
      <c r="BD12" s="20" t="e">
        <f t="shared" si="10"/>
        <v>#REF!</v>
      </c>
      <c r="BE12" s="22">
        <v>111</v>
      </c>
      <c r="BF12" s="23" t="e">
        <f>BE12+'24.04 '!BF12</f>
        <v>#REF!</v>
      </c>
      <c r="BG12" s="34">
        <v>9</v>
      </c>
      <c r="BH12" s="23" t="e">
        <f>BG12+'24.04 '!BH12</f>
        <v>#REF!</v>
      </c>
      <c r="BI12" s="22">
        <v>2500</v>
      </c>
      <c r="BJ12" s="23" t="e">
        <f>BI12+'24.04 '!BJ12</f>
        <v>#REF!</v>
      </c>
      <c r="BK12" s="22">
        <v>400</v>
      </c>
      <c r="BL12" s="23" t="e">
        <f>BK12+'24.04 '!BL12</f>
        <v>#REF!</v>
      </c>
      <c r="BM12" s="22">
        <v>0</v>
      </c>
      <c r="BN12" s="23" t="e">
        <f>BM12+'24.04 '!BN12</f>
        <v>#REF!</v>
      </c>
      <c r="BO12" s="36"/>
      <c r="BP12" s="37">
        <v>2</v>
      </c>
      <c r="BQ12" s="23" t="e">
        <f>BP12+'24.04 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2</v>
      </c>
      <c r="D13" s="31" t="e">
        <f t="shared" si="2"/>
        <v>#REF!</v>
      </c>
      <c r="E13" s="32">
        <v>516</v>
      </c>
      <c r="F13" s="22">
        <v>1</v>
      </c>
      <c r="G13" s="23" t="e">
        <f>F13+'24.04 '!G13</f>
        <v>#REF!</v>
      </c>
      <c r="H13" s="33">
        <v>10</v>
      </c>
      <c r="I13" s="34">
        <v>1</v>
      </c>
      <c r="J13" s="23" t="e">
        <f>I13+'24.04 '!J13</f>
        <v>#REF!</v>
      </c>
      <c r="K13" s="33">
        <v>38</v>
      </c>
      <c r="L13" s="22">
        <v>0</v>
      </c>
      <c r="M13" s="23" t="e">
        <f>L13+'24.04 '!M13</f>
        <v>#REF!</v>
      </c>
      <c r="N13" s="33">
        <v>581</v>
      </c>
      <c r="O13" s="22">
        <v>0</v>
      </c>
      <c r="P13" s="23" t="e">
        <f>O13+'24.04 '!P13</f>
        <v>#REF!</v>
      </c>
      <c r="Q13" s="33">
        <v>525</v>
      </c>
      <c r="R13" s="22">
        <v>0</v>
      </c>
      <c r="S13" s="23" t="e">
        <f>R13+'24.04 '!S13</f>
        <v>#REF!</v>
      </c>
      <c r="T13" s="33">
        <v>263</v>
      </c>
      <c r="U13" s="22">
        <v>0</v>
      </c>
      <c r="V13" s="23" t="e">
        <f>U13+'24.04 '!V13</f>
        <v>#REF!</v>
      </c>
      <c r="W13" s="33">
        <v>43</v>
      </c>
      <c r="X13" s="22">
        <v>0</v>
      </c>
      <c r="Y13" s="23" t="e">
        <f>X13+'24.04 '!Y13</f>
        <v>#REF!</v>
      </c>
      <c r="Z13" s="33">
        <v>17</v>
      </c>
      <c r="AA13" s="22">
        <v>0</v>
      </c>
      <c r="AB13" s="23" t="e">
        <f>AA13+'24.04 '!AB13</f>
        <v>#REF!</v>
      </c>
      <c r="AC13" s="33">
        <v>51</v>
      </c>
      <c r="AD13" s="22">
        <v>0</v>
      </c>
      <c r="AE13" s="23" t="e">
        <f>AD13+'24.04 '!AE13</f>
        <v>#REF!</v>
      </c>
      <c r="AF13" s="19">
        <f t="shared" si="3"/>
        <v>277000</v>
      </c>
      <c r="AG13" s="20" t="e">
        <f t="shared" si="4"/>
        <v>#REF!</v>
      </c>
      <c r="AH13" s="24">
        <v>1000</v>
      </c>
      <c r="AI13" s="23" t="e">
        <f>AH13+'24.04 '!AI13</f>
        <v>#REF!</v>
      </c>
      <c r="AJ13" s="24">
        <v>6000</v>
      </c>
      <c r="AK13" s="23" t="e">
        <f>AJ13+'24.04 '!AK13</f>
        <v>#REF!</v>
      </c>
      <c r="AL13" s="22">
        <v>20000</v>
      </c>
      <c r="AM13" s="23" t="e">
        <f>AL13+'24.04 '!AM13</f>
        <v>#REF!</v>
      </c>
      <c r="AN13" s="22">
        <v>250000</v>
      </c>
      <c r="AO13" s="23" t="e">
        <f>AN13+'24.04 '!AO13</f>
        <v>#REF!</v>
      </c>
      <c r="AP13" s="28" t="s">
        <v>47</v>
      </c>
      <c r="AQ13" s="19">
        <f t="shared" si="6"/>
        <v>20</v>
      </c>
      <c r="AR13" s="20" t="e">
        <f t="shared" si="7"/>
        <v>#REF!</v>
      </c>
      <c r="AS13" s="34">
        <v>0</v>
      </c>
      <c r="AT13" s="23" t="e">
        <f>AS13+'24.04 '!AT13</f>
        <v>#REF!</v>
      </c>
      <c r="AU13" s="34">
        <v>0</v>
      </c>
      <c r="AV13" s="23" t="e">
        <f>AU13+'24.04 '!AV13</f>
        <v>#REF!</v>
      </c>
      <c r="AW13" s="34">
        <v>0</v>
      </c>
      <c r="AX13" s="23" t="e">
        <f>AW13+'24.04 '!AX13</f>
        <v>#REF!</v>
      </c>
      <c r="AY13" s="34">
        <v>0</v>
      </c>
      <c r="AZ13" s="23" t="e">
        <f>AY13+'24.04 '!AZ13</f>
        <v>#REF!</v>
      </c>
      <c r="BA13" s="34">
        <v>20</v>
      </c>
      <c r="BB13" s="23" t="e">
        <f>BA13+'24.04 '!BB13</f>
        <v>#REF!</v>
      </c>
      <c r="BC13" s="19">
        <f t="shared" si="9"/>
        <v>4080</v>
      </c>
      <c r="BD13" s="20" t="e">
        <f t="shared" si="10"/>
        <v>#REF!</v>
      </c>
      <c r="BE13" s="22">
        <v>20</v>
      </c>
      <c r="BF13" s="23" t="e">
        <f>BE13+'24.04 '!BF13</f>
        <v>#REF!</v>
      </c>
      <c r="BG13" s="34">
        <v>10</v>
      </c>
      <c r="BH13" s="23" t="e">
        <f>BG13+'24.04 '!BH13</f>
        <v>#REF!</v>
      </c>
      <c r="BI13" s="22">
        <v>4000</v>
      </c>
      <c r="BJ13" s="23" t="e">
        <f>BI13+'24.04 '!BJ13</f>
        <v>#REF!</v>
      </c>
      <c r="BK13" s="22">
        <v>50</v>
      </c>
      <c r="BL13" s="23" t="e">
        <f>BK13+'24.04 '!BL13</f>
        <v>#REF!</v>
      </c>
      <c r="BM13" s="22">
        <v>0</v>
      </c>
      <c r="BN13" s="23" t="e">
        <f>BM13+'24.04 '!BN13</f>
        <v>#REF!</v>
      </c>
      <c r="BO13" s="36"/>
      <c r="BP13" s="37">
        <v>0</v>
      </c>
      <c r="BQ13" s="23" t="e">
        <f>BP13+'24.04 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0</v>
      </c>
      <c r="D14" s="42" t="e">
        <f t="shared" si="2"/>
        <v>#REF!</v>
      </c>
      <c r="E14" s="43">
        <v>304</v>
      </c>
      <c r="F14" s="22"/>
      <c r="G14" s="23" t="e">
        <f>F14+'24.04 '!G14</f>
        <v>#REF!</v>
      </c>
      <c r="H14" s="44">
        <v>5</v>
      </c>
      <c r="I14" s="45"/>
      <c r="J14" s="23" t="e">
        <f>I14+'24.04 '!J14</f>
        <v>#REF!</v>
      </c>
      <c r="K14" s="44">
        <v>34</v>
      </c>
      <c r="L14" s="22"/>
      <c r="M14" s="23" t="e">
        <f>L14+'24.04 '!M14</f>
        <v>#REF!</v>
      </c>
      <c r="N14" s="44">
        <v>583</v>
      </c>
      <c r="O14" s="22"/>
      <c r="P14" s="23" t="e">
        <f>O14+'24.04 '!P14</f>
        <v>#REF!</v>
      </c>
      <c r="Q14" s="44">
        <v>254</v>
      </c>
      <c r="R14" s="22"/>
      <c r="S14" s="23" t="e">
        <f>R14+'24.04 '!S14</f>
        <v>#REF!</v>
      </c>
      <c r="T14" s="44">
        <v>196</v>
      </c>
      <c r="U14" s="22"/>
      <c r="V14" s="23" t="e">
        <f>U14+'24.04 '!V14</f>
        <v>#REF!</v>
      </c>
      <c r="W14" s="44">
        <v>30</v>
      </c>
      <c r="X14" s="22"/>
      <c r="Y14" s="23" t="e">
        <f>X14+'24.04 '!Y14</f>
        <v>#REF!</v>
      </c>
      <c r="Z14" s="44">
        <v>10</v>
      </c>
      <c r="AA14" s="22"/>
      <c r="AB14" s="23" t="e">
        <f>AA14+'24.04 '!AB14</f>
        <v>#REF!</v>
      </c>
      <c r="AC14" s="44">
        <v>2500</v>
      </c>
      <c r="AD14" s="22"/>
      <c r="AE14" s="23" t="e">
        <f>AD14+'24.04 '!AE14</f>
        <v>#REF!</v>
      </c>
      <c r="AF14" s="19">
        <f t="shared" si="3"/>
        <v>0</v>
      </c>
      <c r="AG14" s="20" t="e">
        <f t="shared" si="4"/>
        <v>#REF!</v>
      </c>
      <c r="AH14" s="24"/>
      <c r="AI14" s="23" t="e">
        <f>AH14+'24.04 '!AI14</f>
        <v>#REF!</v>
      </c>
      <c r="AJ14" s="24"/>
      <c r="AK14" s="23" t="e">
        <f>AJ14+'24.04 '!AK14</f>
        <v>#REF!</v>
      </c>
      <c r="AL14" s="22"/>
      <c r="AM14" s="23" t="e">
        <f>AL14+'24.04 '!AM14</f>
        <v>#REF!</v>
      </c>
      <c r="AN14" s="22"/>
      <c r="AO14" s="23" t="e">
        <f>AN14+'24.04 '!AO14</f>
        <v>#REF!</v>
      </c>
      <c r="AP14" s="39" t="s">
        <v>48</v>
      </c>
      <c r="AQ14" s="19">
        <f t="shared" si="6"/>
        <v>0</v>
      </c>
      <c r="AR14" s="20" t="e">
        <f t="shared" si="7"/>
        <v>#REF!</v>
      </c>
      <c r="AS14" s="45"/>
      <c r="AT14" s="23" t="e">
        <f>AS14+'24.04 '!AT14</f>
        <v>#REF!</v>
      </c>
      <c r="AU14" s="45"/>
      <c r="AV14" s="23" t="e">
        <f>AU14+'24.04 '!AV14</f>
        <v>#REF!</v>
      </c>
      <c r="AW14" s="45"/>
      <c r="AX14" s="23" t="e">
        <f>AW14+'24.04 '!AX14</f>
        <v>#REF!</v>
      </c>
      <c r="AY14" s="45"/>
      <c r="AZ14" s="23" t="e">
        <f>AY14+'24.04 '!AZ14</f>
        <v>#REF!</v>
      </c>
      <c r="BA14" s="45"/>
      <c r="BB14" s="23" t="e">
        <f>BA14+'24.04 '!BB14</f>
        <v>#REF!</v>
      </c>
      <c r="BC14" s="19">
        <f t="shared" si="9"/>
        <v>0</v>
      </c>
      <c r="BD14" s="20" t="e">
        <f t="shared" si="10"/>
        <v>#REF!</v>
      </c>
      <c r="BE14" s="22"/>
      <c r="BF14" s="23" t="e">
        <f>BE14+'24.04 '!BF14</f>
        <v>#REF!</v>
      </c>
      <c r="BG14" s="45"/>
      <c r="BH14" s="23" t="e">
        <f>BG14+'24.04 '!BH14</f>
        <v>#REF!</v>
      </c>
      <c r="BI14" s="22"/>
      <c r="BJ14" s="23" t="e">
        <f>BI14+'24.04 '!BJ14</f>
        <v>#REF!</v>
      </c>
      <c r="BK14" s="22"/>
      <c r="BL14" s="23" t="e">
        <f>BK14+'24.04 '!BL14</f>
        <v>#REF!</v>
      </c>
      <c r="BM14" s="22"/>
      <c r="BN14" s="23" t="e">
        <f>BM14+'24.04 '!BN14</f>
        <v>#REF!</v>
      </c>
      <c r="BO14" s="48">
        <v>2</v>
      </c>
      <c r="BP14" s="49"/>
      <c r="BQ14" s="23" t="e">
        <f>BP14+'24.04 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425</v>
      </c>
      <c r="D15" s="53" t="e">
        <f t="shared" si="2"/>
        <v>#REF!</v>
      </c>
      <c r="E15" s="54">
        <v>776</v>
      </c>
      <c r="F15" s="55">
        <v>296</v>
      </c>
      <c r="G15" s="23" t="e">
        <f>F15+'24.04 '!G15</f>
        <v>#REF!</v>
      </c>
      <c r="H15" s="56">
        <v>9</v>
      </c>
      <c r="I15" s="57">
        <v>0</v>
      </c>
      <c r="J15" s="23" t="e">
        <f>I15+'24.04 '!J15</f>
        <v>#REF!</v>
      </c>
      <c r="K15" s="56">
        <v>6</v>
      </c>
      <c r="L15" s="55">
        <v>0</v>
      </c>
      <c r="M15" s="23" t="e">
        <f>L15+'24.04 '!M15</f>
        <v>#REF!</v>
      </c>
      <c r="N15" s="56">
        <v>1305</v>
      </c>
      <c r="O15" s="55">
        <v>0</v>
      </c>
      <c r="P15" s="23" t="e">
        <f>O15+'24.04 '!P15</f>
        <v>#REF!</v>
      </c>
      <c r="Q15" s="56">
        <v>447</v>
      </c>
      <c r="R15" s="55">
        <v>0</v>
      </c>
      <c r="S15" s="23" t="e">
        <f>R15+'24.04 '!S15</f>
        <v>#REF!</v>
      </c>
      <c r="T15" s="56">
        <v>337</v>
      </c>
      <c r="U15" s="55">
        <v>0</v>
      </c>
      <c r="V15" s="23" t="e">
        <f>U15+'24.04 '!V15</f>
        <v>#REF!</v>
      </c>
      <c r="W15" s="56">
        <v>78</v>
      </c>
      <c r="X15" s="55">
        <v>0</v>
      </c>
      <c r="Y15" s="23" t="e">
        <f>X15+'24.04 '!Y15</f>
        <v>#REF!</v>
      </c>
      <c r="Z15" s="56">
        <v>141</v>
      </c>
      <c r="AA15" s="55">
        <v>0</v>
      </c>
      <c r="AB15" s="23" t="e">
        <f>AA15+'24.04 '!AB15</f>
        <v>#REF!</v>
      </c>
      <c r="AC15" s="56">
        <v>798</v>
      </c>
      <c r="AD15" s="55">
        <v>129</v>
      </c>
      <c r="AE15" s="23" t="e">
        <f>AD15+'24.04 '!AE15</f>
        <v>#REF!</v>
      </c>
      <c r="AF15" s="58">
        <f t="shared" si="3"/>
        <v>103985</v>
      </c>
      <c r="AG15" s="59" t="e">
        <f t="shared" si="4"/>
        <v>#REF!</v>
      </c>
      <c r="AH15" s="60">
        <v>978</v>
      </c>
      <c r="AI15" s="23" t="e">
        <f>AH15+'24.04 '!AI15</f>
        <v>#REF!</v>
      </c>
      <c r="AJ15" s="60">
        <v>3007</v>
      </c>
      <c r="AK15" s="23" t="e">
        <f>AJ15+'24.04 '!AK15</f>
        <v>#REF!</v>
      </c>
      <c r="AL15" s="55">
        <v>50000</v>
      </c>
      <c r="AM15" s="23" t="e">
        <f>AL15+'24.04 '!AM15</f>
        <v>#REF!</v>
      </c>
      <c r="AN15" s="55">
        <v>50000</v>
      </c>
      <c r="AO15" s="23" t="e">
        <f>AN15+'24.04 '!AO15</f>
        <v>#REF!</v>
      </c>
      <c r="AP15" s="50" t="s">
        <v>49</v>
      </c>
      <c r="AQ15" s="58">
        <f t="shared" si="6"/>
        <v>3</v>
      </c>
      <c r="AR15" s="59" t="e">
        <f t="shared" si="7"/>
        <v>#REF!</v>
      </c>
      <c r="AS15" s="57">
        <v>0</v>
      </c>
      <c r="AT15" s="23" t="e">
        <f>AS15+'24.04 '!AT15</f>
        <v>#REF!</v>
      </c>
      <c r="AU15" s="57">
        <v>0</v>
      </c>
      <c r="AV15" s="23" t="e">
        <f>AU15+'24.04 '!AV15</f>
        <v>#REF!</v>
      </c>
      <c r="AW15" s="57">
        <v>0</v>
      </c>
      <c r="AX15" s="23" t="e">
        <f>AW15+'24.04 '!AX15</f>
        <v>#REF!</v>
      </c>
      <c r="AY15" s="57">
        <v>0</v>
      </c>
      <c r="AZ15" s="23" t="e">
        <f>AY15+'24.04 '!AZ15</f>
        <v>#REF!</v>
      </c>
      <c r="BA15" s="57">
        <v>3</v>
      </c>
      <c r="BB15" s="23" t="e">
        <f>BA15+'24.04 '!BB15</f>
        <v>#REF!</v>
      </c>
      <c r="BC15" s="58">
        <f t="shared" si="9"/>
        <v>1203</v>
      </c>
      <c r="BD15" s="59" t="e">
        <f t="shared" si="10"/>
        <v>#REF!</v>
      </c>
      <c r="BE15" s="55">
        <v>0</v>
      </c>
      <c r="BF15" s="23" t="e">
        <f>BE15+'24.04 '!BF15</f>
        <v>#REF!</v>
      </c>
      <c r="BG15" s="57">
        <v>3</v>
      </c>
      <c r="BH15" s="23" t="e">
        <f>BG15+'24.04 '!BH15</f>
        <v>#REF!</v>
      </c>
      <c r="BI15" s="55">
        <v>600</v>
      </c>
      <c r="BJ15" s="23" t="e">
        <f>BI15+'24.04 '!BJ15</f>
        <v>#REF!</v>
      </c>
      <c r="BK15" s="55">
        <v>600</v>
      </c>
      <c r="BL15" s="23" t="e">
        <f>BK15+'24.04 '!BL15</f>
        <v>#REF!</v>
      </c>
      <c r="BM15" s="55">
        <v>0</v>
      </c>
      <c r="BN15" s="23" t="e">
        <f>BM15+'24.04 '!BN15</f>
        <v>#REF!</v>
      </c>
      <c r="BO15" s="36">
        <v>6274</v>
      </c>
      <c r="BP15" s="37">
        <v>3</v>
      </c>
      <c r="BQ15" s="23" t="e">
        <f>BP15+'24.04 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119</v>
      </c>
      <c r="D16" s="31" t="e">
        <f t="shared" si="2"/>
        <v>#REF!</v>
      </c>
      <c r="E16" s="32">
        <v>310</v>
      </c>
      <c r="F16" s="22">
        <v>43</v>
      </c>
      <c r="G16" s="23" t="e">
        <f>F16+'24.04 '!G16</f>
        <v>#REF!</v>
      </c>
      <c r="H16" s="33">
        <v>5</v>
      </c>
      <c r="I16" s="34">
        <v>0</v>
      </c>
      <c r="J16" s="23" t="e">
        <f>I16+'24.04 '!J16</f>
        <v>#REF!</v>
      </c>
      <c r="K16" s="33">
        <v>3</v>
      </c>
      <c r="L16" s="22">
        <v>0</v>
      </c>
      <c r="M16" s="23" t="e">
        <f>L16+'24.04 '!M16</f>
        <v>#REF!</v>
      </c>
      <c r="N16" s="33">
        <v>384</v>
      </c>
      <c r="O16" s="22">
        <v>0</v>
      </c>
      <c r="P16" s="23" t="e">
        <f>O16+'24.04 '!P16</f>
        <v>#REF!</v>
      </c>
      <c r="Q16" s="33">
        <v>245</v>
      </c>
      <c r="R16" s="22">
        <v>0</v>
      </c>
      <c r="S16" s="23" t="e">
        <f>R16+'24.04 '!S16</f>
        <v>#REF!</v>
      </c>
      <c r="T16" s="33">
        <v>397</v>
      </c>
      <c r="U16" s="22">
        <v>0</v>
      </c>
      <c r="V16" s="23" t="e">
        <f>U16+'24.04 '!V16</f>
        <v>#REF!</v>
      </c>
      <c r="W16" s="33">
        <v>24</v>
      </c>
      <c r="X16" s="22">
        <v>39</v>
      </c>
      <c r="Y16" s="23" t="e">
        <f>X16+'24.04 '!Y16</f>
        <v>#REF!</v>
      </c>
      <c r="Z16" s="33">
        <v>18</v>
      </c>
      <c r="AA16" s="22">
        <v>0</v>
      </c>
      <c r="AB16" s="23" t="e">
        <f>AA16+'24.04 '!AB16</f>
        <v>#REF!</v>
      </c>
      <c r="AC16" s="33">
        <v>18515</v>
      </c>
      <c r="AD16" s="22">
        <v>37</v>
      </c>
      <c r="AE16" s="23" t="e">
        <f>AD16+'24.04 '!AE16</f>
        <v>#REF!</v>
      </c>
      <c r="AF16" s="19">
        <f t="shared" si="3"/>
        <v>74754</v>
      </c>
      <c r="AG16" s="20" t="e">
        <f t="shared" si="4"/>
        <v>#REF!</v>
      </c>
      <c r="AH16" s="24">
        <v>287</v>
      </c>
      <c r="AI16" s="23" t="e">
        <f>AH16+'24.04 '!AI16</f>
        <v>#REF!</v>
      </c>
      <c r="AJ16" s="24">
        <v>1371</v>
      </c>
      <c r="AK16" s="23" t="e">
        <f>AJ16+'24.04 '!AK16</f>
        <v>#REF!</v>
      </c>
      <c r="AL16" s="22">
        <v>1754</v>
      </c>
      <c r="AM16" s="23" t="e">
        <f>AL16+'24.04 '!AM16</f>
        <v>#REF!</v>
      </c>
      <c r="AN16" s="22">
        <v>71342</v>
      </c>
      <c r="AO16" s="23" t="e">
        <f>AN16+'24.04 '!AO16</f>
        <v>#REF!</v>
      </c>
      <c r="AP16" s="28" t="s">
        <v>51</v>
      </c>
      <c r="AQ16" s="19">
        <f t="shared" si="6"/>
        <v>48</v>
      </c>
      <c r="AR16" s="20" t="e">
        <f t="shared" si="7"/>
        <v>#REF!</v>
      </c>
      <c r="AS16" s="34">
        <v>0</v>
      </c>
      <c r="AT16" s="23" t="e">
        <f>AS16+'24.04 '!AT16</f>
        <v>#REF!</v>
      </c>
      <c r="AU16" s="34">
        <v>0</v>
      </c>
      <c r="AV16" s="23" t="e">
        <f>AU16+'24.04 '!AV16</f>
        <v>#REF!</v>
      </c>
      <c r="AW16" s="34">
        <v>0</v>
      </c>
      <c r="AX16" s="23" t="e">
        <f>AW16+'24.04 '!AX16</f>
        <v>#REF!</v>
      </c>
      <c r="AY16" s="34">
        <v>0</v>
      </c>
      <c r="AZ16" s="23" t="e">
        <f>AY16+'24.04 '!AZ16</f>
        <v>#REF!</v>
      </c>
      <c r="BA16" s="34">
        <v>48</v>
      </c>
      <c r="BB16" s="23" t="e">
        <f>BA16+'24.04 '!BB16</f>
        <v>#REF!</v>
      </c>
      <c r="BC16" s="19">
        <f t="shared" si="9"/>
        <v>1275</v>
      </c>
      <c r="BD16" s="20" t="e">
        <f t="shared" si="10"/>
        <v>#REF!</v>
      </c>
      <c r="BE16" s="22">
        <v>48</v>
      </c>
      <c r="BF16" s="23" t="e">
        <f>BE16+'24.04 '!BF16</f>
        <v>#REF!</v>
      </c>
      <c r="BG16" s="34">
        <v>0</v>
      </c>
      <c r="BH16" s="23" t="e">
        <f>BG16+'24.04 '!BH16</f>
        <v>#REF!</v>
      </c>
      <c r="BI16" s="22">
        <v>1152</v>
      </c>
      <c r="BJ16" s="23" t="e">
        <f>BI16+'24.04 '!BJ16</f>
        <v>#REF!</v>
      </c>
      <c r="BK16" s="22">
        <v>75</v>
      </c>
      <c r="BL16" s="23" t="e">
        <f>BK16+'24.04 '!BL16</f>
        <v>#REF!</v>
      </c>
      <c r="BM16" s="22">
        <v>0</v>
      </c>
      <c r="BN16" s="23" t="e">
        <f>BM16+'24.04 '!BN16</f>
        <v>#REF!</v>
      </c>
      <c r="BO16" s="36">
        <v>2546</v>
      </c>
      <c r="BP16" s="37">
        <v>0</v>
      </c>
      <c r="BQ16" s="23" t="e">
        <f>BP16+'24.04 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210</v>
      </c>
      <c r="D17" s="31" t="e">
        <f t="shared" si="2"/>
        <v>#REF!</v>
      </c>
      <c r="E17" s="32">
        <v>754</v>
      </c>
      <c r="F17" s="22">
        <v>170</v>
      </c>
      <c r="G17" s="23" t="e">
        <f>F17+'24.04 '!G17</f>
        <v>#REF!</v>
      </c>
      <c r="H17" s="33">
        <v>9</v>
      </c>
      <c r="I17" s="34">
        <v>0</v>
      </c>
      <c r="J17" s="23" t="e">
        <f>I17+'24.04 '!J17</f>
        <v>#REF!</v>
      </c>
      <c r="K17" s="33">
        <v>5</v>
      </c>
      <c r="L17" s="22">
        <v>0</v>
      </c>
      <c r="M17" s="23" t="e">
        <f>L17+'24.04 '!M17</f>
        <v>#REF!</v>
      </c>
      <c r="N17" s="33">
        <v>768</v>
      </c>
      <c r="O17" s="22">
        <v>0</v>
      </c>
      <c r="P17" s="23" t="e">
        <f>O17+'24.04 '!P17</f>
        <v>#REF!</v>
      </c>
      <c r="Q17" s="33">
        <v>624</v>
      </c>
      <c r="R17" s="22">
        <v>0</v>
      </c>
      <c r="S17" s="23" t="e">
        <f>R17+'24.04 '!S17</f>
        <v>#REF!</v>
      </c>
      <c r="T17" s="33">
        <v>742</v>
      </c>
      <c r="U17" s="22">
        <v>0</v>
      </c>
      <c r="V17" s="23" t="e">
        <f>U17+'24.04 '!V17</f>
        <v>#REF!</v>
      </c>
      <c r="W17" s="33">
        <v>54</v>
      </c>
      <c r="X17" s="22">
        <v>30</v>
      </c>
      <c r="Y17" s="23" t="e">
        <f>X17+'24.04 '!Y17</f>
        <v>#REF!</v>
      </c>
      <c r="Z17" s="33">
        <v>66</v>
      </c>
      <c r="AA17" s="22">
        <v>0</v>
      </c>
      <c r="AB17" s="23" t="e">
        <f>AA17+'24.04 '!AB17</f>
        <v>#REF!</v>
      </c>
      <c r="AC17" s="33">
        <v>2580</v>
      </c>
      <c r="AD17" s="22">
        <v>10</v>
      </c>
      <c r="AE17" s="23" t="e">
        <f>AD17+'24.04 '!AE17</f>
        <v>#REF!</v>
      </c>
      <c r="AF17" s="19">
        <f t="shared" si="3"/>
        <v>54600</v>
      </c>
      <c r="AG17" s="20" t="e">
        <f t="shared" si="4"/>
        <v>#REF!</v>
      </c>
      <c r="AH17" s="24">
        <v>8000</v>
      </c>
      <c r="AI17" s="23" t="e">
        <f>AH17+'24.04 '!AI17</f>
        <v>#REF!</v>
      </c>
      <c r="AJ17" s="24">
        <v>9800</v>
      </c>
      <c r="AK17" s="23" t="e">
        <f>AJ17+'24.04 '!AK17</f>
        <v>#REF!</v>
      </c>
      <c r="AL17" s="22">
        <v>26000</v>
      </c>
      <c r="AM17" s="23" t="e">
        <f>AL17+'24.04 '!AM17</f>
        <v>#REF!</v>
      </c>
      <c r="AN17" s="22">
        <v>10800</v>
      </c>
      <c r="AO17" s="23" t="e">
        <f>AN17+'24.04 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AS17+'24.04 '!AT17</f>
        <v>#REF!</v>
      </c>
      <c r="AU17" s="34">
        <v>1</v>
      </c>
      <c r="AV17" s="23" t="e">
        <f>AU17+'24.04 '!AV17</f>
        <v>#REF!</v>
      </c>
      <c r="AW17" s="34">
        <v>0</v>
      </c>
      <c r="AX17" s="23" t="e">
        <f>AW17+'24.04 '!AX17</f>
        <v>#REF!</v>
      </c>
      <c r="AY17" s="34">
        <v>0</v>
      </c>
      <c r="AZ17" s="23" t="e">
        <f>AY17+'24.04 '!AZ17</f>
        <v>#REF!</v>
      </c>
      <c r="BA17" s="34">
        <v>14</v>
      </c>
      <c r="BB17" s="23" t="e">
        <f>BA17+'24.04 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BE17+'24.04 '!BF17</f>
        <v>#REF!</v>
      </c>
      <c r="BG17" s="34">
        <v>4</v>
      </c>
      <c r="BH17" s="23" t="e">
        <f>BG17+'24.04 '!BH17</f>
        <v>#REF!</v>
      </c>
      <c r="BI17" s="22">
        <v>1400</v>
      </c>
      <c r="BJ17" s="23" t="e">
        <f>BI17+'24.04 '!BJ17</f>
        <v>#REF!</v>
      </c>
      <c r="BK17" s="22">
        <v>160</v>
      </c>
      <c r="BL17" s="23" t="e">
        <f>BK17+'24.04 '!BL17</f>
        <v>#REF!</v>
      </c>
      <c r="BM17" s="22">
        <v>0</v>
      </c>
      <c r="BN17" s="23" t="e">
        <f>BM17+'24.04 '!BN17</f>
        <v>#REF!</v>
      </c>
      <c r="BO17" s="36">
        <v>8022</v>
      </c>
      <c r="BP17" s="37">
        <v>7</v>
      </c>
      <c r="BQ17" s="23" t="e">
        <f>BP17+'24.04 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589</v>
      </c>
      <c r="D18" s="20" t="e">
        <f t="shared" si="2"/>
        <v>#REF!</v>
      </c>
      <c r="E18" s="21">
        <v>1063</v>
      </c>
      <c r="F18" s="22">
        <v>351</v>
      </c>
      <c r="G18" s="23" t="e">
        <f>F18+'24.04 '!G18</f>
        <v>#REF!</v>
      </c>
      <c r="H18" s="21">
        <v>19</v>
      </c>
      <c r="I18" s="22">
        <v>0</v>
      </c>
      <c r="J18" s="23" t="e">
        <f>I18+'24.04 '!J18</f>
        <v>#REF!</v>
      </c>
      <c r="K18" s="21">
        <v>8</v>
      </c>
      <c r="L18" s="22">
        <v>0</v>
      </c>
      <c r="M18" s="23" t="e">
        <f>L18+'24.04 '!M18</f>
        <v>#REF!</v>
      </c>
      <c r="N18" s="21">
        <v>1331</v>
      </c>
      <c r="O18" s="22">
        <v>0</v>
      </c>
      <c r="P18" s="23" t="e">
        <f>O18+'24.04 '!P18</f>
        <v>#REF!</v>
      </c>
      <c r="Q18" s="21">
        <v>777</v>
      </c>
      <c r="R18" s="22">
        <v>0</v>
      </c>
      <c r="S18" s="23" t="e">
        <f>R18+'24.04 '!S18</f>
        <v>#REF!</v>
      </c>
      <c r="T18" s="21">
        <v>318</v>
      </c>
      <c r="U18" s="22">
        <v>0</v>
      </c>
      <c r="V18" s="23" t="e">
        <f>U18+'24.04 '!V18</f>
        <v>#REF!</v>
      </c>
      <c r="W18" s="21">
        <v>60</v>
      </c>
      <c r="X18" s="22">
        <v>238</v>
      </c>
      <c r="Y18" s="23" t="e">
        <f>X18+'24.04 '!Y18</f>
        <v>#REF!</v>
      </c>
      <c r="Z18" s="21">
        <v>72</v>
      </c>
      <c r="AA18" s="22">
        <v>0</v>
      </c>
      <c r="AB18" s="23" t="e">
        <f>AA18+'24.04 '!AB18</f>
        <v>#REF!</v>
      </c>
      <c r="AC18" s="21">
        <v>143</v>
      </c>
      <c r="AD18" s="22">
        <v>0</v>
      </c>
      <c r="AE18" s="23" t="e">
        <f>AD18+'24.04 '!AE18</f>
        <v>#REF!</v>
      </c>
      <c r="AF18" s="19">
        <f t="shared" si="3"/>
        <v>358933</v>
      </c>
      <c r="AG18" s="20" t="e">
        <f t="shared" si="4"/>
        <v>#REF!</v>
      </c>
      <c r="AH18" s="24">
        <v>624</v>
      </c>
      <c r="AI18" s="23" t="e">
        <f>AH18+'24.04 '!AI18</f>
        <v>#REF!</v>
      </c>
      <c r="AJ18" s="24">
        <v>4894</v>
      </c>
      <c r="AK18" s="23" t="e">
        <f>AJ18+'24.04 '!AK18</f>
        <v>#REF!</v>
      </c>
      <c r="AL18" s="22">
        <v>5276</v>
      </c>
      <c r="AM18" s="23" t="e">
        <f>AL18+'24.04 '!AM18</f>
        <v>#REF!</v>
      </c>
      <c r="AN18" s="22">
        <v>348139</v>
      </c>
      <c r="AO18" s="23" t="e">
        <f>AN18+'24.04 '!AO18</f>
        <v>#REF!</v>
      </c>
      <c r="AP18" s="17" t="s">
        <v>53</v>
      </c>
      <c r="AQ18" s="19">
        <f t="shared" si="6"/>
        <v>6</v>
      </c>
      <c r="AR18" s="20" t="e">
        <f t="shared" si="7"/>
        <v>#REF!</v>
      </c>
      <c r="AS18" s="22">
        <v>0</v>
      </c>
      <c r="AT18" s="23" t="e">
        <f>AS18+'24.04 '!AT18</f>
        <v>#REF!</v>
      </c>
      <c r="AU18" s="22">
        <v>0</v>
      </c>
      <c r="AV18" s="23" t="e">
        <f>AU18+'24.04 '!AV18</f>
        <v>#REF!</v>
      </c>
      <c r="AW18" s="22">
        <v>0</v>
      </c>
      <c r="AX18" s="23" t="e">
        <f>AW18+'24.04 '!AX18</f>
        <v>#REF!</v>
      </c>
      <c r="AY18" s="22">
        <v>0</v>
      </c>
      <c r="AZ18" s="23" t="e">
        <f>AY18+'24.04 '!AZ18</f>
        <v>#REF!</v>
      </c>
      <c r="BA18" s="22">
        <v>6</v>
      </c>
      <c r="BB18" s="23" t="e">
        <f>BA18+'24.04 '!BB18</f>
        <v>#REF!</v>
      </c>
      <c r="BC18" s="19">
        <f t="shared" si="9"/>
        <v>3739</v>
      </c>
      <c r="BD18" s="20" t="e">
        <f t="shared" si="10"/>
        <v>#REF!</v>
      </c>
      <c r="BE18" s="22">
        <v>2</v>
      </c>
      <c r="BF18" s="23" t="e">
        <f>BE18+'24.04 '!BF18</f>
        <v>#REF!</v>
      </c>
      <c r="BG18" s="22">
        <v>0</v>
      </c>
      <c r="BH18" s="23" t="e">
        <f>BG18+'24.04 '!BH18</f>
        <v>#REF!</v>
      </c>
      <c r="BI18" s="22">
        <v>3516</v>
      </c>
      <c r="BJ18" s="23" t="e">
        <f>BI18+'24.04 '!BJ18</f>
        <v>#REF!</v>
      </c>
      <c r="BK18" s="22">
        <v>221</v>
      </c>
      <c r="BL18" s="23" t="e">
        <f>BK18+'24.04 '!BL18</f>
        <v>#REF!</v>
      </c>
      <c r="BM18" s="22">
        <v>0</v>
      </c>
      <c r="BN18" s="23" t="e">
        <f>BM18+'24.04 '!BN18</f>
        <v>#REF!</v>
      </c>
      <c r="BO18" s="36">
        <v>442</v>
      </c>
      <c r="BP18" s="37">
        <v>0</v>
      </c>
      <c r="BQ18" s="23" t="e">
        <f>BP18+'24.04 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28</v>
      </c>
      <c r="D19" s="31" t="e">
        <f t="shared" si="2"/>
        <v>#REF!</v>
      </c>
      <c r="E19" s="33">
        <v>221</v>
      </c>
      <c r="F19" s="22">
        <v>12</v>
      </c>
      <c r="G19" s="23" t="e">
        <f>F19+'24.04 '!G19</f>
        <v>#REF!</v>
      </c>
      <c r="H19" s="33">
        <v>5</v>
      </c>
      <c r="I19" s="34">
        <v>0</v>
      </c>
      <c r="J19" s="23" t="e">
        <f>I19+'24.04 '!J19</f>
        <v>#REF!</v>
      </c>
      <c r="K19" s="33">
        <v>4</v>
      </c>
      <c r="L19" s="22">
        <v>0</v>
      </c>
      <c r="M19" s="23" t="e">
        <f>L19+'24.04 '!M19</f>
        <v>#REF!</v>
      </c>
      <c r="N19" s="33">
        <v>313</v>
      </c>
      <c r="O19" s="22">
        <v>0</v>
      </c>
      <c r="P19" s="23" t="e">
        <f>O19+'24.04 '!P19</f>
        <v>#REF!</v>
      </c>
      <c r="Q19" s="33">
        <v>203</v>
      </c>
      <c r="R19" s="22">
        <v>0</v>
      </c>
      <c r="S19" s="23" t="e">
        <f>R19+'24.04 '!S19</f>
        <v>#REF!</v>
      </c>
      <c r="T19" s="33">
        <v>241</v>
      </c>
      <c r="U19" s="22">
        <v>0</v>
      </c>
      <c r="V19" s="23" t="e">
        <f>U19+'24.04 '!V19</f>
        <v>#REF!</v>
      </c>
      <c r="W19" s="33">
        <v>14</v>
      </c>
      <c r="X19" s="22">
        <v>16</v>
      </c>
      <c r="Y19" s="23" t="e">
        <f>X19+'24.04 '!Y19</f>
        <v>#REF!</v>
      </c>
      <c r="Z19" s="33">
        <v>7</v>
      </c>
      <c r="AA19" s="22">
        <v>0</v>
      </c>
      <c r="AB19" s="23" t="e">
        <f>AA19+'24.04 '!AB19</f>
        <v>#REF!</v>
      </c>
      <c r="AC19" s="33">
        <v>32</v>
      </c>
      <c r="AD19" s="22">
        <v>0</v>
      </c>
      <c r="AE19" s="23" t="e">
        <f>AD19+'24.04 '!AE19</f>
        <v>#REF!</v>
      </c>
      <c r="AF19" s="19">
        <f t="shared" si="3"/>
        <v>3100</v>
      </c>
      <c r="AG19" s="20" t="e">
        <f t="shared" si="4"/>
        <v>#REF!</v>
      </c>
      <c r="AH19" s="24">
        <v>600</v>
      </c>
      <c r="AI19" s="23" t="e">
        <f>AH19+'24.04 '!AI19</f>
        <v>#REF!</v>
      </c>
      <c r="AJ19" s="24">
        <v>600</v>
      </c>
      <c r="AK19" s="23" t="e">
        <f>AJ19+'24.04 '!AK19</f>
        <v>#REF!</v>
      </c>
      <c r="AL19" s="22">
        <v>950</v>
      </c>
      <c r="AM19" s="23" t="e">
        <f>AL19+'24.04 '!AM19</f>
        <v>#REF!</v>
      </c>
      <c r="AN19" s="22">
        <v>950</v>
      </c>
      <c r="AO19" s="23" t="e">
        <f>AN19+'24.04 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AS19+'24.04 '!AT19</f>
        <v>#REF!</v>
      </c>
      <c r="AU19" s="34">
        <v>0</v>
      </c>
      <c r="AV19" s="23" t="e">
        <f>AU19+'24.04 '!AV19</f>
        <v>#REF!</v>
      </c>
      <c r="AW19" s="34">
        <v>0</v>
      </c>
      <c r="AX19" s="23" t="e">
        <f>AW19+'24.04 '!AX19</f>
        <v>#REF!</v>
      </c>
      <c r="AY19" s="34">
        <v>0</v>
      </c>
      <c r="AZ19" s="23" t="e">
        <f>AY19+'24.04 '!AZ19</f>
        <v>#REF!</v>
      </c>
      <c r="BA19" s="34">
        <v>0</v>
      </c>
      <c r="BB19" s="23" t="e">
        <f>BA19+'24.04 '!BB19</f>
        <v>#REF!</v>
      </c>
      <c r="BC19" s="19">
        <f t="shared" si="9"/>
        <v>1157</v>
      </c>
      <c r="BD19" s="20" t="e">
        <f t="shared" si="10"/>
        <v>#REF!</v>
      </c>
      <c r="BE19" s="22">
        <v>0</v>
      </c>
      <c r="BF19" s="23" t="e">
        <f>BE19+'24.04 '!BF19</f>
        <v>#REF!</v>
      </c>
      <c r="BG19" s="34">
        <v>0</v>
      </c>
      <c r="BH19" s="23" t="e">
        <f>BG19+'24.04 '!BH19</f>
        <v>#REF!</v>
      </c>
      <c r="BI19" s="22">
        <v>1000</v>
      </c>
      <c r="BJ19" s="23" t="e">
        <f>BI19+'24.04 '!BJ19</f>
        <v>#REF!</v>
      </c>
      <c r="BK19" s="22">
        <v>150</v>
      </c>
      <c r="BL19" s="23" t="e">
        <f>BK19+'24.04 '!BL19</f>
        <v>#REF!</v>
      </c>
      <c r="BM19" s="22">
        <v>7</v>
      </c>
      <c r="BN19" s="23" t="e">
        <f>BM19+'24.04 '!BN19</f>
        <v>#REF!</v>
      </c>
      <c r="BO19" s="36">
        <v>2898</v>
      </c>
      <c r="BP19" s="37">
        <v>0</v>
      </c>
      <c r="BQ19" s="23" t="e">
        <f>BP19+'24.04 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262</v>
      </c>
      <c r="D20" s="31" t="e">
        <f t="shared" si="2"/>
        <v>#REF!</v>
      </c>
      <c r="E20" s="32">
        <v>723</v>
      </c>
      <c r="F20" s="22">
        <v>160</v>
      </c>
      <c r="G20" s="23" t="e">
        <f>F20+'24.04 '!G20</f>
        <v>#REF!</v>
      </c>
      <c r="H20" s="33">
        <v>5</v>
      </c>
      <c r="I20" s="34">
        <v>1</v>
      </c>
      <c r="J20" s="23" t="e">
        <f>I20+'24.04 '!J20</f>
        <v>#REF!</v>
      </c>
      <c r="K20" s="33">
        <v>3</v>
      </c>
      <c r="L20" s="22">
        <v>0</v>
      </c>
      <c r="M20" s="23" t="e">
        <f>L20+'24.04 '!M20</f>
        <v>#REF!</v>
      </c>
      <c r="N20" s="33">
        <v>975</v>
      </c>
      <c r="O20" s="22">
        <v>48</v>
      </c>
      <c r="P20" s="23" t="e">
        <f>O20+'24.04 '!P20</f>
        <v>#REF!</v>
      </c>
      <c r="Q20" s="61">
        <v>1862</v>
      </c>
      <c r="R20" s="22">
        <v>1</v>
      </c>
      <c r="S20" s="23" t="e">
        <f>R20+'24.04 '!S20</f>
        <v>#REF!</v>
      </c>
      <c r="T20" s="33">
        <v>35</v>
      </c>
      <c r="U20" s="22">
        <v>1</v>
      </c>
      <c r="V20" s="23" t="e">
        <f>U20+'24.04 '!V20</f>
        <v>#REF!</v>
      </c>
      <c r="W20" s="33">
        <v>64</v>
      </c>
      <c r="X20" s="22">
        <v>1</v>
      </c>
      <c r="Y20" s="23" t="e">
        <f>X20+'24.04 '!Y20</f>
        <v>#REF!</v>
      </c>
      <c r="Z20" s="33">
        <v>15</v>
      </c>
      <c r="AA20" s="22">
        <v>1</v>
      </c>
      <c r="AB20" s="23" t="e">
        <f>AA20+'24.04 '!AB20</f>
        <v>#REF!</v>
      </c>
      <c r="AC20" s="33">
        <v>1546</v>
      </c>
      <c r="AD20" s="22">
        <v>49</v>
      </c>
      <c r="AE20" s="23" t="e">
        <f>AD20+'24.04 '!AE20</f>
        <v>#REF!</v>
      </c>
      <c r="AF20" s="19">
        <f t="shared" si="3"/>
        <v>0</v>
      </c>
      <c r="AG20" s="20" t="e">
        <f t="shared" si="4"/>
        <v>#REF!</v>
      </c>
      <c r="AH20" s="24"/>
      <c r="AI20" s="23" t="e">
        <f>AH20+'24.04 '!AI20</f>
        <v>#REF!</v>
      </c>
      <c r="AJ20" s="24"/>
      <c r="AK20" s="23" t="e">
        <f>AJ20+'24.04 '!AK20</f>
        <v>#REF!</v>
      </c>
      <c r="AL20" s="22"/>
      <c r="AM20" s="23" t="e">
        <f>AL20+'24.04 '!AM20</f>
        <v>#REF!</v>
      </c>
      <c r="AN20" s="22"/>
      <c r="AO20" s="23" t="e">
        <f>AN20+'24.04 '!AO20</f>
        <v>#REF!</v>
      </c>
      <c r="AP20" s="28" t="s">
        <v>55</v>
      </c>
      <c r="AQ20" s="19">
        <f t="shared" si="6"/>
        <v>0</v>
      </c>
      <c r="AR20" s="20" t="e">
        <f t="shared" si="7"/>
        <v>#REF!</v>
      </c>
      <c r="AS20" s="34"/>
      <c r="AT20" s="23" t="e">
        <f>AS20+'24.04 '!AT20</f>
        <v>#REF!</v>
      </c>
      <c r="AU20" s="34">
        <v>0</v>
      </c>
      <c r="AV20" s="23" t="e">
        <f>AU20+'24.04 '!AV20</f>
        <v>#REF!</v>
      </c>
      <c r="AW20" s="34">
        <v>0</v>
      </c>
      <c r="AX20" s="23" t="e">
        <f>AW20+'24.04 '!AX20</f>
        <v>#REF!</v>
      </c>
      <c r="AY20" s="34">
        <v>0</v>
      </c>
      <c r="AZ20" s="23" t="e">
        <f>AY20+'24.04 '!AZ20</f>
        <v>#REF!</v>
      </c>
      <c r="BA20" s="34"/>
      <c r="BB20" s="23" t="e">
        <f>BA20+'24.04 '!BB20</f>
        <v>#REF!</v>
      </c>
      <c r="BC20" s="19">
        <f t="shared" si="9"/>
        <v>0</v>
      </c>
      <c r="BD20" s="20" t="e">
        <f t="shared" si="10"/>
        <v>#REF!</v>
      </c>
      <c r="BE20" s="22"/>
      <c r="BF20" s="23" t="e">
        <f>BE20+'24.04 '!BF20</f>
        <v>#REF!</v>
      </c>
      <c r="BG20" s="34">
        <v>0</v>
      </c>
      <c r="BH20" s="23" t="e">
        <f>BG20+'24.04 '!BH20</f>
        <v>#REF!</v>
      </c>
      <c r="BI20" s="22"/>
      <c r="BJ20" s="23" t="e">
        <f>BI20+'24.04 '!BJ20</f>
        <v>#REF!</v>
      </c>
      <c r="BK20" s="22"/>
      <c r="BL20" s="23" t="e">
        <f>BK20+'24.04 '!BL20</f>
        <v>#REF!</v>
      </c>
      <c r="BM20" s="22">
        <v>0</v>
      </c>
      <c r="BN20" s="23" t="e">
        <f>BM20+'24.04 '!BN20</f>
        <v>#REF!</v>
      </c>
      <c r="BO20" s="36">
        <v>5854</v>
      </c>
      <c r="BP20" s="37">
        <v>0</v>
      </c>
      <c r="BQ20" s="23" t="e">
        <f>BP20+'24.04 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150</v>
      </c>
      <c r="D21" s="31" t="e">
        <f t="shared" si="2"/>
        <v>#REF!</v>
      </c>
      <c r="E21" s="32">
        <v>1017</v>
      </c>
      <c r="F21" s="22">
        <v>120</v>
      </c>
      <c r="G21" s="23" t="e">
        <f>F21+'24.04 '!G21</f>
        <v>#REF!</v>
      </c>
      <c r="H21" s="33">
        <v>8</v>
      </c>
      <c r="I21" s="34">
        <v>2</v>
      </c>
      <c r="J21" s="23" t="e">
        <f>I21+'24.04 '!J21</f>
        <v>#REF!</v>
      </c>
      <c r="K21" s="33">
        <v>4</v>
      </c>
      <c r="L21" s="22">
        <v>2</v>
      </c>
      <c r="M21" s="23" t="e">
        <f>L21+'24.04 '!M21</f>
        <v>#REF!</v>
      </c>
      <c r="N21" s="33">
        <v>963</v>
      </c>
      <c r="O21" s="22">
        <v>0</v>
      </c>
      <c r="P21" s="23" t="e">
        <f>O21+'24.04 '!P21</f>
        <v>#REF!</v>
      </c>
      <c r="Q21" s="33">
        <v>912</v>
      </c>
      <c r="R21" s="22">
        <v>0</v>
      </c>
      <c r="S21" s="23" t="e">
        <f>R21+'24.04 '!S21</f>
        <v>#REF!</v>
      </c>
      <c r="T21" s="33">
        <v>199</v>
      </c>
      <c r="U21" s="22">
        <v>1</v>
      </c>
      <c r="V21" s="23" t="e">
        <f>U21+'24.04 '!V21</f>
        <v>#REF!</v>
      </c>
      <c r="W21" s="33">
        <v>101</v>
      </c>
      <c r="X21" s="22">
        <v>25</v>
      </c>
      <c r="Y21" s="23" t="e">
        <f>X21+'24.04 '!Y21</f>
        <v>#REF!</v>
      </c>
      <c r="Z21" s="33">
        <v>42</v>
      </c>
      <c r="AA21" s="22">
        <v>0</v>
      </c>
      <c r="AB21" s="23" t="e">
        <f>AA21+'24.04 '!AB21</f>
        <v>#REF!</v>
      </c>
      <c r="AC21" s="33">
        <v>20</v>
      </c>
      <c r="AD21" s="22">
        <v>0</v>
      </c>
      <c r="AE21" s="23" t="e">
        <f>AD21+'24.04 '!AE21</f>
        <v>#REF!</v>
      </c>
      <c r="AF21" s="19">
        <f t="shared" si="3"/>
        <v>1150000</v>
      </c>
      <c r="AG21" s="20" t="e">
        <f t="shared" si="4"/>
        <v>#REF!</v>
      </c>
      <c r="AH21" s="24">
        <v>2000</v>
      </c>
      <c r="AI21" s="23" t="e">
        <f>AH21+'24.04 '!AI21</f>
        <v>#REF!</v>
      </c>
      <c r="AJ21" s="24">
        <v>148000</v>
      </c>
      <c r="AK21" s="23" t="e">
        <f>AJ21+'24.04 '!AK21</f>
        <v>#REF!</v>
      </c>
      <c r="AL21" s="22">
        <v>100000</v>
      </c>
      <c r="AM21" s="23" t="e">
        <f>AL21+'24.04 '!AM21</f>
        <v>#REF!</v>
      </c>
      <c r="AN21" s="22">
        <v>900000</v>
      </c>
      <c r="AO21" s="23" t="e">
        <f>AN21+'24.04 '!AO21</f>
        <v>#REF!</v>
      </c>
      <c r="AP21" s="28" t="s">
        <v>58</v>
      </c>
      <c r="AQ21" s="19">
        <f t="shared" si="6"/>
        <v>9</v>
      </c>
      <c r="AR21" s="20" t="e">
        <f t="shared" si="7"/>
        <v>#REF!</v>
      </c>
      <c r="AS21" s="34">
        <v>1</v>
      </c>
      <c r="AT21" s="23" t="e">
        <f>AS21+'24.04 '!AT21</f>
        <v>#REF!</v>
      </c>
      <c r="AU21" s="34">
        <v>2</v>
      </c>
      <c r="AV21" s="23" t="e">
        <f>AU21+'24.04 '!AV21</f>
        <v>#REF!</v>
      </c>
      <c r="AW21" s="34">
        <v>0</v>
      </c>
      <c r="AX21" s="23" t="e">
        <f>AW21+'24.04 '!AX21</f>
        <v>#REF!</v>
      </c>
      <c r="AY21" s="34">
        <v>0</v>
      </c>
      <c r="AZ21" s="23" t="e">
        <f>AY21+'24.04 '!AZ21</f>
        <v>#REF!</v>
      </c>
      <c r="BA21" s="34">
        <v>6</v>
      </c>
      <c r="BB21" s="23" t="e">
        <f>BA21+'24.04 '!BB21</f>
        <v>#REF!</v>
      </c>
      <c r="BC21" s="19">
        <f t="shared" si="9"/>
        <v>1055</v>
      </c>
      <c r="BD21" s="20" t="e">
        <f t="shared" si="10"/>
        <v>#REF!</v>
      </c>
      <c r="BE21" s="22">
        <v>55</v>
      </c>
      <c r="BF21" s="23" t="e">
        <f>BE21+'24.04 '!BF21</f>
        <v>#REF!</v>
      </c>
      <c r="BG21" s="34">
        <v>0</v>
      </c>
      <c r="BH21" s="23" t="e">
        <f>BG21+'24.04 '!BH21</f>
        <v>#REF!</v>
      </c>
      <c r="BI21" s="22">
        <v>1000</v>
      </c>
      <c r="BJ21" s="23" t="e">
        <f>BI21+'24.04 '!BJ21</f>
        <v>#REF!</v>
      </c>
      <c r="BK21" s="22">
        <v>0</v>
      </c>
      <c r="BL21" s="23" t="e">
        <f>BK21+'24.04 '!BL21</f>
        <v>#REF!</v>
      </c>
      <c r="BM21" s="22">
        <v>0</v>
      </c>
      <c r="BN21" s="23" t="e">
        <f>BM21+'24.04 '!BN21</f>
        <v>#REF!</v>
      </c>
      <c r="BO21" s="36">
        <v>68</v>
      </c>
      <c r="BP21" s="37">
        <v>0</v>
      </c>
      <c r="BQ21" s="23" t="e">
        <f>BP21+'24.04 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1962</v>
      </c>
      <c r="D22" s="31" t="e">
        <f t="shared" si="2"/>
        <v>#REF!</v>
      </c>
      <c r="E22" s="32">
        <v>509</v>
      </c>
      <c r="F22" s="22">
        <v>255</v>
      </c>
      <c r="G22" s="23" t="e">
        <f>F22+'24.04 '!G22</f>
        <v>#REF!</v>
      </c>
      <c r="H22" s="33">
        <v>8</v>
      </c>
      <c r="I22" s="34">
        <v>3</v>
      </c>
      <c r="J22" s="23" t="e">
        <f>I22+'24.04 '!J22</f>
        <v>#REF!</v>
      </c>
      <c r="K22" s="33">
        <v>21</v>
      </c>
      <c r="L22" s="22">
        <v>0</v>
      </c>
      <c r="M22" s="23" t="e">
        <f>L22+'24.04 '!M22</f>
        <v>#REF!</v>
      </c>
      <c r="N22" s="33">
        <v>560</v>
      </c>
      <c r="O22" s="22">
        <v>30</v>
      </c>
      <c r="P22" s="23" t="e">
        <f>O22+'24.04 '!P22</f>
        <v>#REF!</v>
      </c>
      <c r="Q22" s="33">
        <v>375</v>
      </c>
      <c r="R22" s="22">
        <v>30</v>
      </c>
      <c r="S22" s="23" t="e">
        <f>R22+'24.04 '!S22</f>
        <v>#REF!</v>
      </c>
      <c r="T22" s="33">
        <v>165</v>
      </c>
      <c r="U22" s="22">
        <v>26</v>
      </c>
      <c r="V22" s="23" t="e">
        <f>U22+'24.04 '!V22</f>
        <v>#REF!</v>
      </c>
      <c r="W22" s="33">
        <v>28</v>
      </c>
      <c r="X22" s="22">
        <v>252</v>
      </c>
      <c r="Y22" s="23" t="e">
        <f>X22+'24.04 '!Y22</f>
        <v>#REF!</v>
      </c>
      <c r="Z22" s="33">
        <v>9</v>
      </c>
      <c r="AA22" s="22">
        <v>0</v>
      </c>
      <c r="AB22" s="23" t="e">
        <f>AA22+'24.04 '!AB22</f>
        <v>#REF!</v>
      </c>
      <c r="AC22" s="33">
        <v>112</v>
      </c>
      <c r="AD22" s="22">
        <v>1366</v>
      </c>
      <c r="AE22" s="23" t="e">
        <f>AD22+'24.04 '!AE22</f>
        <v>#REF!</v>
      </c>
      <c r="AF22" s="19">
        <f t="shared" si="3"/>
        <v>40455</v>
      </c>
      <c r="AG22" s="20" t="e">
        <f t="shared" si="4"/>
        <v>#REF!</v>
      </c>
      <c r="AH22" s="24">
        <v>648</v>
      </c>
      <c r="AI22" s="23" t="e">
        <f>AH22+'24.04 '!AI22</f>
        <v>#REF!</v>
      </c>
      <c r="AJ22" s="24">
        <v>8541</v>
      </c>
      <c r="AK22" s="23" t="e">
        <f>AJ22+'24.04 '!AK22</f>
        <v>#REF!</v>
      </c>
      <c r="AL22" s="22">
        <v>1266</v>
      </c>
      <c r="AM22" s="23" t="e">
        <f>AL22+'24.04 '!AM22</f>
        <v>#REF!</v>
      </c>
      <c r="AN22" s="22">
        <v>30000</v>
      </c>
      <c r="AO22" s="23" t="e">
        <f>AN22+'24.04 '!AO22</f>
        <v>#REF!</v>
      </c>
      <c r="AP22" s="28" t="s">
        <v>59</v>
      </c>
      <c r="AQ22" s="19">
        <f t="shared" si="6"/>
        <v>1636</v>
      </c>
      <c r="AR22" s="20" t="e">
        <f t="shared" si="7"/>
        <v>#REF!</v>
      </c>
      <c r="AS22" s="34">
        <v>0</v>
      </c>
      <c r="AT22" s="23" t="e">
        <f>AS22+'24.04 '!AT22</f>
        <v>#REF!</v>
      </c>
      <c r="AU22" s="34">
        <v>0</v>
      </c>
      <c r="AV22" s="23" t="e">
        <f>AU22+'24.04 '!AV22</f>
        <v>#REF!</v>
      </c>
      <c r="AW22" s="34">
        <v>0</v>
      </c>
      <c r="AX22" s="23" t="e">
        <f>AW22+'24.04 '!AX22</f>
        <v>#REF!</v>
      </c>
      <c r="AY22" s="34">
        <v>0</v>
      </c>
      <c r="AZ22" s="23" t="e">
        <f>AY22+'24.04 '!AZ22</f>
        <v>#REF!</v>
      </c>
      <c r="BA22" s="34">
        <v>1636</v>
      </c>
      <c r="BB22" s="23" t="e">
        <f>BA22+'24.04 '!BB22</f>
        <v>#REF!</v>
      </c>
      <c r="BC22" s="19">
        <f t="shared" si="9"/>
        <v>8041</v>
      </c>
      <c r="BD22" s="20" t="e">
        <f t="shared" si="10"/>
        <v>#REF!</v>
      </c>
      <c r="BE22" s="22">
        <v>6</v>
      </c>
      <c r="BF22" s="23" t="e">
        <f>BE22+'24.04 '!BF22</f>
        <v>#REF!</v>
      </c>
      <c r="BG22" s="34">
        <v>5</v>
      </c>
      <c r="BH22" s="23" t="e">
        <f>BG22+'24.04 '!BH22</f>
        <v>#REF!</v>
      </c>
      <c r="BI22" s="22">
        <v>8020</v>
      </c>
      <c r="BJ22" s="23" t="e">
        <f>BI22+'24.04 '!BJ22</f>
        <v>#REF!</v>
      </c>
      <c r="BK22" s="22">
        <v>10</v>
      </c>
      <c r="BL22" s="23" t="e">
        <f>BK22+'24.04 '!BL22</f>
        <v>#REF!</v>
      </c>
      <c r="BM22" s="22">
        <v>0</v>
      </c>
      <c r="BN22" s="23" t="e">
        <f>BM22+'24.04 '!BN22</f>
        <v>#REF!</v>
      </c>
      <c r="BO22" s="36">
        <v>26</v>
      </c>
      <c r="BP22" s="37">
        <v>6</v>
      </c>
      <c r="BQ22" s="23" t="e">
        <f>BP22+'24.04 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4140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1486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11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2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108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31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29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762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5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1706</v>
      </c>
      <c r="AE23" s="68" t="e">
        <f t="shared" si="16"/>
        <v>#REF!</v>
      </c>
      <c r="AF23" s="64">
        <f t="shared" si="16"/>
        <v>2274915</v>
      </c>
      <c r="AG23" s="64" t="e">
        <f t="shared" si="16"/>
        <v>#REF!</v>
      </c>
      <c r="AH23" s="67">
        <f t="shared" si="16"/>
        <v>22081</v>
      </c>
      <c r="AI23" s="68" t="e">
        <f t="shared" si="16"/>
        <v>#REF!</v>
      </c>
      <c r="AJ23" s="67">
        <f t="shared" si="16"/>
        <v>205518</v>
      </c>
      <c r="AK23" s="68" t="e">
        <f t="shared" si="16"/>
        <v>#REF!</v>
      </c>
      <c r="AL23" s="67">
        <f t="shared" si="16"/>
        <v>244365</v>
      </c>
      <c r="AM23" s="68" t="e">
        <f t="shared" si="16"/>
        <v>#REF!</v>
      </c>
      <c r="AN23" s="67">
        <f t="shared" si="16"/>
        <v>1802951</v>
      </c>
      <c r="AO23" s="68" t="e">
        <f t="shared" si="16"/>
        <v>#REF!</v>
      </c>
      <c r="AP23" s="62" t="s">
        <v>12</v>
      </c>
      <c r="AQ23" s="64">
        <f t="shared" ref="AQ23:BP23" si="17">SUM(AQ8:AQ22)</f>
        <v>1788</v>
      </c>
      <c r="AR23" s="64" t="e">
        <f t="shared" si="17"/>
        <v>#REF!</v>
      </c>
      <c r="AS23" s="67">
        <f t="shared" si="17"/>
        <v>2</v>
      </c>
      <c r="AT23" s="68" t="e">
        <f t="shared" si="17"/>
        <v>#REF!</v>
      </c>
      <c r="AU23" s="67">
        <f t="shared" si="17"/>
        <v>3</v>
      </c>
      <c r="AV23" s="68" t="e">
        <f t="shared" si="17"/>
        <v>#REF!</v>
      </c>
      <c r="AW23" s="67">
        <f t="shared" si="17"/>
        <v>0</v>
      </c>
      <c r="AX23" s="68" t="e">
        <f t="shared" si="17"/>
        <v>#REF!</v>
      </c>
      <c r="AY23" s="67">
        <f t="shared" si="17"/>
        <v>0</v>
      </c>
      <c r="AZ23" s="68" t="e">
        <f t="shared" si="17"/>
        <v>#REF!</v>
      </c>
      <c r="BA23" s="67">
        <f t="shared" si="17"/>
        <v>1783</v>
      </c>
      <c r="BB23" s="68" t="e">
        <f t="shared" si="17"/>
        <v>#REF!</v>
      </c>
      <c r="BC23" s="64">
        <f t="shared" si="17"/>
        <v>32826</v>
      </c>
      <c r="BD23" s="64" t="e">
        <f t="shared" si="17"/>
        <v>#REF!</v>
      </c>
      <c r="BE23" s="67">
        <f t="shared" si="17"/>
        <v>774</v>
      </c>
      <c r="BF23" s="68" t="e">
        <f t="shared" si="17"/>
        <v>#REF!</v>
      </c>
      <c r="BG23" s="67">
        <f t="shared" si="17"/>
        <v>35</v>
      </c>
      <c r="BH23" s="68" t="e">
        <f t="shared" si="17"/>
        <v>#REF!</v>
      </c>
      <c r="BI23" s="67">
        <f t="shared" si="17"/>
        <v>29451</v>
      </c>
      <c r="BJ23" s="68" t="e">
        <f t="shared" si="17"/>
        <v>#REF!</v>
      </c>
      <c r="BK23" s="67">
        <f t="shared" si="17"/>
        <v>2559</v>
      </c>
      <c r="BL23" s="68" t="e">
        <f t="shared" si="17"/>
        <v>#REF!</v>
      </c>
      <c r="BM23" s="67">
        <f t="shared" si="17"/>
        <v>7</v>
      </c>
      <c r="BN23" s="68" t="e">
        <f t="shared" si="17"/>
        <v>#REF!</v>
      </c>
      <c r="BO23" s="69">
        <f t="shared" si="17"/>
        <v>37684</v>
      </c>
      <c r="BP23" s="70">
        <f t="shared" si="17"/>
        <v>21</v>
      </c>
      <c r="BQ23" s="23">
        <f>BP23+'20.04'!BP23</f>
        <v>47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BU23"/>
  <sheetViews>
    <sheetView zoomScale="130" zoomScaleNormal="130" workbookViewId="0">
      <pane xSplit="4" ySplit="8" topLeftCell="BN21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.5703125" customWidth="1"/>
    <col min="5" max="6" width="6.28515625" customWidth="1"/>
    <col min="7" max="7" width="8.71093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0</v>
      </c>
      <c r="D9" s="31" t="e">
        <f t="shared" si="2"/>
        <v>#REF!</v>
      </c>
      <c r="E9" s="32">
        <v>452</v>
      </c>
      <c r="F9" s="22"/>
      <c r="G9" s="23" t="e">
        <f>F9+'25.04 '!G9</f>
        <v>#REF!</v>
      </c>
      <c r="H9" s="33">
        <v>12</v>
      </c>
      <c r="I9" s="34"/>
      <c r="J9" s="23" t="e">
        <f>I9+'25.04 '!J9</f>
        <v>#REF!</v>
      </c>
      <c r="K9" s="33">
        <v>2</v>
      </c>
      <c r="L9" s="22"/>
      <c r="M9" s="23" t="e">
        <f>L9+'25.04 '!M9</f>
        <v>#REF!</v>
      </c>
      <c r="N9" s="33">
        <v>735</v>
      </c>
      <c r="O9" s="22"/>
      <c r="P9" s="23" t="e">
        <f>O9+'25.04 '!P9</f>
        <v>#REF!</v>
      </c>
      <c r="Q9" s="33">
        <v>502</v>
      </c>
      <c r="R9" s="22">
        <v>0</v>
      </c>
      <c r="S9" s="23" t="e">
        <f>R9+'25.04 '!S9</f>
        <v>#REF!</v>
      </c>
      <c r="T9" s="33">
        <v>197</v>
      </c>
      <c r="U9" s="22">
        <v>0</v>
      </c>
      <c r="V9" s="23" t="e">
        <f>U9+'25.04 '!V9</f>
        <v>#REF!</v>
      </c>
      <c r="W9" s="33">
        <v>47</v>
      </c>
      <c r="X9" s="22">
        <v>0</v>
      </c>
      <c r="Y9" s="23" t="e">
        <f>X9+'25.04 '!Y9</f>
        <v>#REF!</v>
      </c>
      <c r="Z9" s="33">
        <v>34</v>
      </c>
      <c r="AA9" s="22">
        <v>0</v>
      </c>
      <c r="AB9" s="23" t="e">
        <f>AA9+'25.04 '!AB9</f>
        <v>#REF!</v>
      </c>
      <c r="AC9" s="33">
        <v>1860</v>
      </c>
      <c r="AD9" s="22">
        <v>0</v>
      </c>
      <c r="AE9" s="23" t="e">
        <f>AD9+'25.04 '!AE9</f>
        <v>#REF!</v>
      </c>
      <c r="AF9" s="19">
        <f t="shared" si="3"/>
        <v>0</v>
      </c>
      <c r="AG9" s="20" t="e">
        <f t="shared" si="4"/>
        <v>#REF!</v>
      </c>
      <c r="AH9" s="24"/>
      <c r="AI9" s="23" t="e">
        <f>AH9+'25.04 '!AI9</f>
        <v>#REF!</v>
      </c>
      <c r="AJ9" s="24"/>
      <c r="AK9" s="23" t="e">
        <f>AJ9+'25.04 '!AK9</f>
        <v>#REF!</v>
      </c>
      <c r="AL9" s="22"/>
      <c r="AM9" s="23" t="e">
        <f>AL9+'25.04 '!AM9</f>
        <v>#REF!</v>
      </c>
      <c r="AN9" s="22"/>
      <c r="AO9" s="23" t="e">
        <f>AN9+'25.04 '!AO9</f>
        <v>#REF!</v>
      </c>
      <c r="AP9" s="28" t="s">
        <v>43</v>
      </c>
      <c r="AQ9" s="19">
        <f t="shared" si="6"/>
        <v>0</v>
      </c>
      <c r="AR9" s="20" t="e">
        <f t="shared" si="7"/>
        <v>#REF!</v>
      </c>
      <c r="AS9" s="34"/>
      <c r="AT9" s="23" t="e">
        <f>AS9+'25.04 '!AT9</f>
        <v>#REF!</v>
      </c>
      <c r="AU9" s="34"/>
      <c r="AV9" s="23" t="e">
        <f>AU9+'25.04 '!AV9</f>
        <v>#REF!</v>
      </c>
      <c r="AW9" s="34">
        <v>0</v>
      </c>
      <c r="AX9" s="23" t="e">
        <f>AW9+'25.04 '!AX9</f>
        <v>#REF!</v>
      </c>
      <c r="AY9" s="34">
        <v>0</v>
      </c>
      <c r="AZ9" s="23" t="e">
        <f>AY9+'25.04 '!AZ9</f>
        <v>#REF!</v>
      </c>
      <c r="BA9" s="34"/>
      <c r="BB9" s="23" t="e">
        <f>BA9+'25.04 '!BB9</f>
        <v>#REF!</v>
      </c>
      <c r="BC9" s="19">
        <f t="shared" si="9"/>
        <v>0</v>
      </c>
      <c r="BD9" s="20" t="e">
        <f t="shared" si="10"/>
        <v>#REF!</v>
      </c>
      <c r="BE9" s="22"/>
      <c r="BF9" s="23" t="e">
        <f>BE9+'25.04 '!BF9</f>
        <v>#REF!</v>
      </c>
      <c r="BG9" s="34">
        <v>0</v>
      </c>
      <c r="BH9" s="23" t="e">
        <f>BG9+'25.04 '!BH9</f>
        <v>#REF!</v>
      </c>
      <c r="BI9" s="22"/>
      <c r="BJ9" s="23" t="e">
        <f>BI9+'25.04 '!BJ9</f>
        <v>#REF!</v>
      </c>
      <c r="BK9" s="22">
        <v>0</v>
      </c>
      <c r="BL9" s="23" t="e">
        <f>BK9+'25.04 '!BL9</f>
        <v>#REF!</v>
      </c>
      <c r="BM9" s="22">
        <v>0</v>
      </c>
      <c r="BN9" s="23" t="e">
        <f>BM9+'25.04 '!BN9</f>
        <v>#REF!</v>
      </c>
      <c r="BO9" s="36">
        <v>14</v>
      </c>
      <c r="BP9" s="37">
        <v>0</v>
      </c>
      <c r="BQ9" s="23" t="e">
        <f>BP9+'25.04 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109</v>
      </c>
      <c r="D10" s="31" t="e">
        <f t="shared" si="2"/>
        <v>#REF!</v>
      </c>
      <c r="E10" s="32">
        <v>585</v>
      </c>
      <c r="F10" s="22">
        <v>2</v>
      </c>
      <c r="G10" s="23" t="e">
        <f>F10+'25.04 '!G10</f>
        <v>#REF!</v>
      </c>
      <c r="H10" s="33">
        <v>93</v>
      </c>
      <c r="I10" s="34">
        <v>0</v>
      </c>
      <c r="J10" s="23" t="e">
        <f>I10+'25.04 '!J10</f>
        <v>#REF!</v>
      </c>
      <c r="K10" s="33">
        <v>34</v>
      </c>
      <c r="L10" s="22">
        <v>0</v>
      </c>
      <c r="M10" s="23" t="e">
        <f>L10+'25.04 '!M10</f>
        <v>#REF!</v>
      </c>
      <c r="N10" s="33">
        <v>352</v>
      </c>
      <c r="O10" s="22">
        <v>0</v>
      </c>
      <c r="P10" s="23" t="e">
        <f>O10+'25.04 '!P10</f>
        <v>#REF!</v>
      </c>
      <c r="Q10" s="33">
        <v>549</v>
      </c>
      <c r="R10" s="22">
        <v>0</v>
      </c>
      <c r="S10" s="23" t="e">
        <f>R10+'25.04 '!S10</f>
        <v>#REF!</v>
      </c>
      <c r="T10" s="33">
        <v>198</v>
      </c>
      <c r="U10" s="22">
        <v>0</v>
      </c>
      <c r="V10" s="23" t="e">
        <f>U10+'25.04 '!V10</f>
        <v>#REF!</v>
      </c>
      <c r="W10" s="38">
        <v>55</v>
      </c>
      <c r="X10" s="22">
        <v>17</v>
      </c>
      <c r="Y10" s="23" t="e">
        <f>X10+'25.04 '!Y10</f>
        <v>#REF!</v>
      </c>
      <c r="Z10" s="38">
        <v>71</v>
      </c>
      <c r="AA10" s="22">
        <v>0</v>
      </c>
      <c r="AB10" s="23" t="e">
        <f>AA10+'25.04 '!AB10</f>
        <v>#REF!</v>
      </c>
      <c r="AC10" s="38">
        <v>1690</v>
      </c>
      <c r="AD10" s="22">
        <v>90</v>
      </c>
      <c r="AE10" s="23" t="e">
        <f>AD10+'25.04 '!AE10</f>
        <v>#REF!</v>
      </c>
      <c r="AF10" s="19">
        <f t="shared" si="3"/>
        <v>125829</v>
      </c>
      <c r="AG10" s="20" t="e">
        <f t="shared" si="4"/>
        <v>#REF!</v>
      </c>
      <c r="AH10" s="24">
        <v>698</v>
      </c>
      <c r="AI10" s="23" t="e">
        <f>AH10+'25.04 '!AI10</f>
        <v>#REF!</v>
      </c>
      <c r="AJ10" s="24">
        <v>4628</v>
      </c>
      <c r="AK10" s="23" t="e">
        <f>AJ10+'25.04 '!AK10</f>
        <v>#REF!</v>
      </c>
      <c r="AL10" s="22">
        <v>9765</v>
      </c>
      <c r="AM10" s="23" t="e">
        <f>AL10+'25.04 '!AM10</f>
        <v>#REF!</v>
      </c>
      <c r="AN10" s="22">
        <v>110738</v>
      </c>
      <c r="AO10" s="23" t="e">
        <f>AN10+'25.04 '!AO10</f>
        <v>#REF!</v>
      </c>
      <c r="AP10" s="28" t="s">
        <v>44</v>
      </c>
      <c r="AQ10" s="19">
        <f t="shared" si="6"/>
        <v>7</v>
      </c>
      <c r="AR10" s="20" t="e">
        <f t="shared" si="7"/>
        <v>#REF!</v>
      </c>
      <c r="AS10" s="34">
        <v>0</v>
      </c>
      <c r="AT10" s="23" t="e">
        <f>AS10+'25.04 '!AT10</f>
        <v>#REF!</v>
      </c>
      <c r="AU10" s="34">
        <v>0</v>
      </c>
      <c r="AV10" s="23" t="e">
        <f>AU10+'25.04 '!AV10</f>
        <v>#REF!</v>
      </c>
      <c r="AW10" s="34">
        <v>0</v>
      </c>
      <c r="AX10" s="23" t="e">
        <f>AW10+'25.04 '!AX10</f>
        <v>#REF!</v>
      </c>
      <c r="AY10" s="34">
        <v>0</v>
      </c>
      <c r="AZ10" s="23" t="e">
        <f>AY10+'25.04 '!AZ10</f>
        <v>#REF!</v>
      </c>
      <c r="BA10" s="34">
        <v>7</v>
      </c>
      <c r="BB10" s="23" t="e">
        <f>BA10+'25.04 '!BB10</f>
        <v>#REF!</v>
      </c>
      <c r="BC10" s="19">
        <f t="shared" si="9"/>
        <v>4789</v>
      </c>
      <c r="BD10" s="20" t="e">
        <f t="shared" si="10"/>
        <v>#REF!</v>
      </c>
      <c r="BE10" s="22">
        <v>582</v>
      </c>
      <c r="BF10" s="23" t="e">
        <f>BE10+'25.04 '!BF10</f>
        <v>#REF!</v>
      </c>
      <c r="BG10" s="34">
        <v>2</v>
      </c>
      <c r="BH10" s="23" t="e">
        <f>BG10+'25.04 '!BH10</f>
        <v>#REF!</v>
      </c>
      <c r="BI10" s="22">
        <v>3000</v>
      </c>
      <c r="BJ10" s="23" t="e">
        <f>BI10+'25.04 '!BJ10</f>
        <v>#REF!</v>
      </c>
      <c r="BK10" s="22">
        <v>1205</v>
      </c>
      <c r="BL10" s="23" t="e">
        <f>BK10+'25.04 '!BL10</f>
        <v>#REF!</v>
      </c>
      <c r="BM10" s="22">
        <v>0</v>
      </c>
      <c r="BN10" s="23" t="e">
        <f>BM10+'25.04 '!BN10</f>
        <v>#REF!</v>
      </c>
      <c r="BO10" s="36">
        <v>32</v>
      </c>
      <c r="BP10" s="37">
        <v>0</v>
      </c>
      <c r="BQ10" s="23" t="e">
        <f>BP10+'25.04 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59</v>
      </c>
      <c r="D11" s="31" t="e">
        <f t="shared" si="2"/>
        <v>#REF!</v>
      </c>
      <c r="E11" s="32">
        <v>883</v>
      </c>
      <c r="F11" s="22">
        <v>35</v>
      </c>
      <c r="G11" s="23" t="e">
        <f>F11+'25.04 '!G11</f>
        <v>#REF!</v>
      </c>
      <c r="H11" s="33">
        <v>16</v>
      </c>
      <c r="I11" s="34">
        <v>0</v>
      </c>
      <c r="J11" s="23" t="e">
        <f>I11+'25.04 '!J11</f>
        <v>#REF!</v>
      </c>
      <c r="K11" s="33">
        <v>3</v>
      </c>
      <c r="L11" s="22">
        <v>0</v>
      </c>
      <c r="M11" s="23" t="e">
        <f>L11+'25.04 '!M11</f>
        <v>#REF!</v>
      </c>
      <c r="N11" s="33">
        <v>875</v>
      </c>
      <c r="O11" s="22">
        <v>0</v>
      </c>
      <c r="P11" s="23" t="e">
        <f>O11+'25.04 '!P11</f>
        <v>#REF!</v>
      </c>
      <c r="Q11" s="33">
        <v>2424</v>
      </c>
      <c r="R11" s="22">
        <v>0</v>
      </c>
      <c r="S11" s="23" t="e">
        <f>R11+'25.04 '!S11</f>
        <v>#REF!</v>
      </c>
      <c r="T11" s="33">
        <v>69</v>
      </c>
      <c r="U11" s="22">
        <v>0</v>
      </c>
      <c r="V11" s="23" t="e">
        <f>U11+'25.04 '!V11</f>
        <v>#REF!</v>
      </c>
      <c r="W11" s="38">
        <v>133</v>
      </c>
      <c r="X11" s="22">
        <v>22</v>
      </c>
      <c r="Y11" s="23" t="e">
        <f>X11+'25.04 '!Y11</f>
        <v>#REF!</v>
      </c>
      <c r="Z11" s="38">
        <v>1116</v>
      </c>
      <c r="AA11" s="22">
        <v>0</v>
      </c>
      <c r="AB11" s="23" t="e">
        <f>AA11+'25.04 '!AB11</f>
        <v>#REF!</v>
      </c>
      <c r="AC11" s="38">
        <v>9862</v>
      </c>
      <c r="AD11" s="22">
        <v>2</v>
      </c>
      <c r="AE11" s="23" t="e">
        <f>AD11+'25.04 '!AE11</f>
        <v>#REF!</v>
      </c>
      <c r="AF11" s="19">
        <f t="shared" si="3"/>
        <v>81800</v>
      </c>
      <c r="AG11" s="20" t="e">
        <f t="shared" si="4"/>
        <v>#REF!</v>
      </c>
      <c r="AH11" s="24">
        <v>2300</v>
      </c>
      <c r="AI11" s="23" t="e">
        <f>AH11+'25.04 '!AI11</f>
        <v>#REF!</v>
      </c>
      <c r="AJ11" s="24">
        <v>7500</v>
      </c>
      <c r="AK11" s="23" t="e">
        <f>AJ11+'25.04 '!AK11</f>
        <v>#REF!</v>
      </c>
      <c r="AL11" s="22">
        <v>20000</v>
      </c>
      <c r="AM11" s="23" t="e">
        <f>AL11+'25.04 '!AM11</f>
        <v>#REF!</v>
      </c>
      <c r="AN11" s="22">
        <v>52000</v>
      </c>
      <c r="AO11" s="23" t="e">
        <f>AN11+'25.04 '!AO11</f>
        <v>#REF!</v>
      </c>
      <c r="AP11" s="28" t="s">
        <v>45</v>
      </c>
      <c r="AQ11" s="19">
        <f t="shared" si="6"/>
        <v>5</v>
      </c>
      <c r="AR11" s="20" t="e">
        <f t="shared" si="7"/>
        <v>#REF!</v>
      </c>
      <c r="AS11" s="34">
        <v>0</v>
      </c>
      <c r="AT11" s="23" t="e">
        <f>AS11+'25.04 '!AT11</f>
        <v>#REF!</v>
      </c>
      <c r="AU11" s="34">
        <v>0</v>
      </c>
      <c r="AV11" s="23" t="e">
        <f>AU11+'25.04 '!AV11</f>
        <v>#REF!</v>
      </c>
      <c r="AW11" s="34">
        <v>0</v>
      </c>
      <c r="AX11" s="23" t="e">
        <f>AW11+'25.04 '!AX11</f>
        <v>#REF!</v>
      </c>
      <c r="AY11" s="34">
        <v>0</v>
      </c>
      <c r="AZ11" s="23" t="e">
        <f>AY11+'25.04 '!AZ11</f>
        <v>#REF!</v>
      </c>
      <c r="BA11" s="34">
        <v>5</v>
      </c>
      <c r="BB11" s="23" t="e">
        <f>BA11+'25.04 '!BB11</f>
        <v>#REF!</v>
      </c>
      <c r="BC11" s="19">
        <f t="shared" si="9"/>
        <v>3482</v>
      </c>
      <c r="BD11" s="20" t="e">
        <f t="shared" si="10"/>
        <v>#REF!</v>
      </c>
      <c r="BE11" s="22">
        <v>4</v>
      </c>
      <c r="BF11" s="23" t="e">
        <f>BE11+'25.04 '!BF11</f>
        <v>#REF!</v>
      </c>
      <c r="BG11" s="34">
        <v>3</v>
      </c>
      <c r="BH11" s="23" t="e">
        <f>BG11+'25.04 '!BH11</f>
        <v>#REF!</v>
      </c>
      <c r="BI11" s="22">
        <v>3400</v>
      </c>
      <c r="BJ11" s="23" t="e">
        <f>BI11+'25.04 '!BJ11</f>
        <v>#REF!</v>
      </c>
      <c r="BK11" s="22">
        <v>75</v>
      </c>
      <c r="BL11" s="23" t="e">
        <f>BK11+'25.04 '!BL11</f>
        <v>#REF!</v>
      </c>
      <c r="BM11" s="22">
        <v>0</v>
      </c>
      <c r="BN11" s="23" t="e">
        <f>BM11+'25.04 '!BN11</f>
        <v>#REF!</v>
      </c>
      <c r="BO11" s="36">
        <v>11506</v>
      </c>
      <c r="BP11" s="37">
        <v>4</v>
      </c>
      <c r="BQ11" s="23" t="e">
        <f>BP11+'25.04 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217</v>
      </c>
      <c r="D12" s="31" t="e">
        <f t="shared" si="2"/>
        <v>#REF!</v>
      </c>
      <c r="E12" s="32">
        <v>909</v>
      </c>
      <c r="F12" s="22">
        <v>45</v>
      </c>
      <c r="G12" s="23" t="e">
        <f>F12+'25.04 '!G12</f>
        <v>#REF!</v>
      </c>
      <c r="H12" s="33">
        <v>80</v>
      </c>
      <c r="I12" s="34">
        <v>2</v>
      </c>
      <c r="J12" s="23" t="e">
        <f>I12+'25.04 '!J12</f>
        <v>#REF!</v>
      </c>
      <c r="K12" s="33">
        <v>5</v>
      </c>
      <c r="L12" s="22">
        <v>0</v>
      </c>
      <c r="M12" s="23" t="e">
        <f>L12+'25.04 '!M12</f>
        <v>#REF!</v>
      </c>
      <c r="N12" s="33">
        <v>820</v>
      </c>
      <c r="O12" s="22">
        <v>25</v>
      </c>
      <c r="P12" s="23" t="e">
        <f>O12+'25.04 '!P12</f>
        <v>#REF!</v>
      </c>
      <c r="Q12" s="33">
        <v>549</v>
      </c>
      <c r="R12" s="22">
        <v>0</v>
      </c>
      <c r="S12" s="23" t="e">
        <f>R12+'25.04 '!S12</f>
        <v>#REF!</v>
      </c>
      <c r="T12" s="33">
        <v>992</v>
      </c>
      <c r="U12" s="22">
        <v>0</v>
      </c>
      <c r="V12" s="23" t="e">
        <f>U12+'25.04 '!V12</f>
        <v>#REF!</v>
      </c>
      <c r="W12" s="33">
        <v>38</v>
      </c>
      <c r="X12" s="22">
        <v>114</v>
      </c>
      <c r="Y12" s="23" t="e">
        <f>X12+'25.04 '!Y12</f>
        <v>#REF!</v>
      </c>
      <c r="Z12" s="33">
        <v>68</v>
      </c>
      <c r="AA12" s="22">
        <v>0</v>
      </c>
      <c r="AB12" s="23" t="e">
        <f>AA12+'25.04 '!AB12</f>
        <v>#REF!</v>
      </c>
      <c r="AC12" s="33">
        <v>26703</v>
      </c>
      <c r="AD12" s="22">
        <v>31</v>
      </c>
      <c r="AE12" s="23" t="e">
        <f>AD12+'25.04 '!AE12</f>
        <v>#REF!</v>
      </c>
      <c r="AF12" s="19">
        <f t="shared" si="3"/>
        <v>35700</v>
      </c>
      <c r="AG12" s="20" t="e">
        <f t="shared" si="4"/>
        <v>#REF!</v>
      </c>
      <c r="AH12" s="24">
        <v>6300</v>
      </c>
      <c r="AI12" s="23" t="e">
        <f>AH12+'25.04 '!AI12</f>
        <v>#REF!</v>
      </c>
      <c r="AJ12" s="24">
        <v>10900</v>
      </c>
      <c r="AK12" s="23" t="e">
        <f>AJ12+'25.04 '!AK12</f>
        <v>#REF!</v>
      </c>
      <c r="AL12" s="22">
        <v>9250</v>
      </c>
      <c r="AM12" s="23" t="e">
        <f>AL12+'25.04 '!AM12</f>
        <v>#REF!</v>
      </c>
      <c r="AN12" s="22">
        <v>9250</v>
      </c>
      <c r="AO12" s="23" t="e">
        <f>AN12+'25.04 '!AO12</f>
        <v>#REF!</v>
      </c>
      <c r="AP12" s="28" t="s">
        <v>46</v>
      </c>
      <c r="AQ12" s="19">
        <f t="shared" si="6"/>
        <v>111</v>
      </c>
      <c r="AR12" s="20" t="e">
        <f t="shared" si="7"/>
        <v>#REF!</v>
      </c>
      <c r="AS12" s="34">
        <v>0</v>
      </c>
      <c r="AT12" s="23" t="e">
        <f>AS12+'25.04 '!AT12</f>
        <v>#REF!</v>
      </c>
      <c r="AU12" s="34">
        <v>0</v>
      </c>
      <c r="AV12" s="23" t="e">
        <f>AU12+'25.04 '!AV12</f>
        <v>#REF!</v>
      </c>
      <c r="AW12" s="34">
        <v>0</v>
      </c>
      <c r="AX12" s="23" t="e">
        <f>AW12+'25.04 '!AX12</f>
        <v>#REF!</v>
      </c>
      <c r="AY12" s="34">
        <v>0</v>
      </c>
      <c r="AZ12" s="23" t="e">
        <f>AY12+'25.04 '!AZ12</f>
        <v>#REF!</v>
      </c>
      <c r="BA12" s="34">
        <v>111</v>
      </c>
      <c r="BB12" s="23" t="e">
        <f>BA12+'25.04 '!BB12</f>
        <v>#REF!</v>
      </c>
      <c r="BC12" s="19">
        <f t="shared" si="9"/>
        <v>2701</v>
      </c>
      <c r="BD12" s="20" t="e">
        <f t="shared" si="10"/>
        <v>#REF!</v>
      </c>
      <c r="BE12" s="22">
        <v>95</v>
      </c>
      <c r="BF12" s="23" t="e">
        <f>BE12+'25.04 '!BF12</f>
        <v>#REF!</v>
      </c>
      <c r="BG12" s="34">
        <v>6</v>
      </c>
      <c r="BH12" s="23" t="e">
        <f>BG12+'25.04 '!BH12</f>
        <v>#REF!</v>
      </c>
      <c r="BI12" s="22">
        <v>2200</v>
      </c>
      <c r="BJ12" s="23" t="e">
        <f>BI12+'25.04 '!BJ12</f>
        <v>#REF!</v>
      </c>
      <c r="BK12" s="22">
        <v>400</v>
      </c>
      <c r="BL12" s="23" t="e">
        <f>BK12+'25.04 '!BL12</f>
        <v>#REF!</v>
      </c>
      <c r="BM12" s="22">
        <v>0</v>
      </c>
      <c r="BN12" s="23" t="e">
        <f>BM12+'25.04 '!BN12</f>
        <v>#REF!</v>
      </c>
      <c r="BO12" s="36"/>
      <c r="BP12" s="37">
        <v>2</v>
      </c>
      <c r="BQ12" s="23" t="e">
        <f>BP12+'25.04 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1</v>
      </c>
      <c r="D13" s="31" t="e">
        <f t="shared" si="2"/>
        <v>#REF!</v>
      </c>
      <c r="E13" s="32">
        <v>516</v>
      </c>
      <c r="F13" s="22">
        <v>0</v>
      </c>
      <c r="G13" s="23" t="e">
        <f>F13+'25.04 '!G13</f>
        <v>#REF!</v>
      </c>
      <c r="H13" s="33">
        <v>10</v>
      </c>
      <c r="I13" s="34">
        <v>0</v>
      </c>
      <c r="J13" s="23" t="e">
        <f>I13+'25.04 '!J13</f>
        <v>#REF!</v>
      </c>
      <c r="K13" s="33">
        <v>38</v>
      </c>
      <c r="L13" s="22">
        <v>0</v>
      </c>
      <c r="M13" s="23" t="e">
        <f>L13+'25.04 '!M13</f>
        <v>#REF!</v>
      </c>
      <c r="N13" s="33">
        <v>581</v>
      </c>
      <c r="O13" s="22">
        <v>0</v>
      </c>
      <c r="P13" s="23" t="e">
        <f>O13+'25.04 '!P13</f>
        <v>#REF!</v>
      </c>
      <c r="Q13" s="33">
        <v>525</v>
      </c>
      <c r="R13" s="22">
        <v>0</v>
      </c>
      <c r="S13" s="23" t="e">
        <f>R13+'25.04 '!S13</f>
        <v>#REF!</v>
      </c>
      <c r="T13" s="33">
        <v>263</v>
      </c>
      <c r="U13" s="22">
        <v>0</v>
      </c>
      <c r="V13" s="23" t="e">
        <f>U13+'25.04 '!V13</f>
        <v>#REF!</v>
      </c>
      <c r="W13" s="33">
        <v>43</v>
      </c>
      <c r="X13" s="22">
        <v>1</v>
      </c>
      <c r="Y13" s="23" t="e">
        <f>X13+'25.04 '!Y13</f>
        <v>#REF!</v>
      </c>
      <c r="Z13" s="33">
        <v>17</v>
      </c>
      <c r="AA13" s="22">
        <v>0</v>
      </c>
      <c r="AB13" s="23" t="e">
        <f>AA13+'25.04 '!AB13</f>
        <v>#REF!</v>
      </c>
      <c r="AC13" s="33">
        <v>51</v>
      </c>
      <c r="AD13" s="22">
        <v>0</v>
      </c>
      <c r="AE13" s="23" t="e">
        <f>AD13+'25.04 '!AE13</f>
        <v>#REF!</v>
      </c>
      <c r="AF13" s="19">
        <f t="shared" si="3"/>
        <v>290000</v>
      </c>
      <c r="AG13" s="20" t="e">
        <f t="shared" si="4"/>
        <v>#REF!</v>
      </c>
      <c r="AH13" s="24">
        <v>1000</v>
      </c>
      <c r="AI13" s="23" t="e">
        <f>AH13+'25.04 '!AI13</f>
        <v>#REF!</v>
      </c>
      <c r="AJ13" s="24">
        <v>9000</v>
      </c>
      <c r="AK13" s="23" t="e">
        <f>AJ13+'25.04 '!AK13</f>
        <v>#REF!</v>
      </c>
      <c r="AL13" s="22">
        <v>30000</v>
      </c>
      <c r="AM13" s="23" t="e">
        <f>AL13+'25.04 '!AM13</f>
        <v>#REF!</v>
      </c>
      <c r="AN13" s="22">
        <v>250000</v>
      </c>
      <c r="AO13" s="23" t="e">
        <f>AN13+'25.04 '!AO13</f>
        <v>#REF!</v>
      </c>
      <c r="AP13" s="28" t="s">
        <v>47</v>
      </c>
      <c r="AQ13" s="19">
        <f t="shared" si="6"/>
        <v>10</v>
      </c>
      <c r="AR13" s="20" t="e">
        <f t="shared" si="7"/>
        <v>#REF!</v>
      </c>
      <c r="AS13" s="34">
        <v>0</v>
      </c>
      <c r="AT13" s="23" t="e">
        <f>AS13+'25.04 '!AT13</f>
        <v>#REF!</v>
      </c>
      <c r="AU13" s="34">
        <v>0</v>
      </c>
      <c r="AV13" s="23" t="e">
        <f>AU13+'25.04 '!AV13</f>
        <v>#REF!</v>
      </c>
      <c r="AW13" s="34">
        <v>0</v>
      </c>
      <c r="AX13" s="23" t="e">
        <f>AW13+'25.04 '!AX13</f>
        <v>#REF!</v>
      </c>
      <c r="AY13" s="34">
        <v>0</v>
      </c>
      <c r="AZ13" s="23" t="e">
        <f>AY13+'25.04 '!AZ13</f>
        <v>#REF!</v>
      </c>
      <c r="BA13" s="34">
        <v>10</v>
      </c>
      <c r="BB13" s="23" t="e">
        <f>BA13+'25.04 '!BB13</f>
        <v>#REF!</v>
      </c>
      <c r="BC13" s="19">
        <f t="shared" si="9"/>
        <v>6060</v>
      </c>
      <c r="BD13" s="20" t="e">
        <f t="shared" si="10"/>
        <v>#REF!</v>
      </c>
      <c r="BE13" s="22">
        <v>0</v>
      </c>
      <c r="BF13" s="23" t="e">
        <f>BE13+'25.04 '!BF13</f>
        <v>#REF!</v>
      </c>
      <c r="BG13" s="34">
        <v>10</v>
      </c>
      <c r="BH13" s="23" t="e">
        <f>BG13+'25.04 '!BH13</f>
        <v>#REF!</v>
      </c>
      <c r="BI13" s="22">
        <v>6000</v>
      </c>
      <c r="BJ13" s="23" t="e">
        <f>BI13+'25.04 '!BJ13</f>
        <v>#REF!</v>
      </c>
      <c r="BK13" s="22">
        <v>50</v>
      </c>
      <c r="BL13" s="23" t="e">
        <f>BK13+'25.04 '!BL13</f>
        <v>#REF!</v>
      </c>
      <c r="BM13" s="22">
        <v>0</v>
      </c>
      <c r="BN13" s="23" t="e">
        <f>BM13+'25.04 '!BN13</f>
        <v>#REF!</v>
      </c>
      <c r="BO13" s="36"/>
      <c r="BP13" s="37">
        <v>0</v>
      </c>
      <c r="BQ13" s="23" t="e">
        <f>BP13+'25.04 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0</v>
      </c>
      <c r="D14" s="42" t="e">
        <f t="shared" si="2"/>
        <v>#REF!</v>
      </c>
      <c r="E14" s="43">
        <v>304</v>
      </c>
      <c r="F14" s="22"/>
      <c r="G14" s="23" t="e">
        <f>F14+'25.04 '!G14</f>
        <v>#REF!</v>
      </c>
      <c r="H14" s="44">
        <v>5</v>
      </c>
      <c r="I14" s="45"/>
      <c r="J14" s="23" t="e">
        <f>I14+'25.04 '!J14</f>
        <v>#REF!</v>
      </c>
      <c r="K14" s="44">
        <v>34</v>
      </c>
      <c r="L14" s="22"/>
      <c r="M14" s="23" t="e">
        <f>L14+'25.04 '!M14</f>
        <v>#REF!</v>
      </c>
      <c r="N14" s="44">
        <v>583</v>
      </c>
      <c r="O14" s="22"/>
      <c r="P14" s="23" t="e">
        <f>O14+'25.04 '!P14</f>
        <v>#REF!</v>
      </c>
      <c r="Q14" s="44">
        <v>254</v>
      </c>
      <c r="R14" s="22"/>
      <c r="S14" s="23" t="e">
        <f>R14+'25.04 '!S14</f>
        <v>#REF!</v>
      </c>
      <c r="T14" s="44">
        <v>196</v>
      </c>
      <c r="U14" s="22"/>
      <c r="V14" s="23" t="e">
        <f>U14+'25.04 '!V14</f>
        <v>#REF!</v>
      </c>
      <c r="W14" s="44">
        <v>30</v>
      </c>
      <c r="X14" s="22"/>
      <c r="Y14" s="23" t="e">
        <f>X14+'25.04 '!Y14</f>
        <v>#REF!</v>
      </c>
      <c r="Z14" s="44">
        <v>10</v>
      </c>
      <c r="AA14" s="22"/>
      <c r="AB14" s="23" t="e">
        <f>AA14+'25.04 '!AB14</f>
        <v>#REF!</v>
      </c>
      <c r="AC14" s="44">
        <v>2500</v>
      </c>
      <c r="AD14" s="22"/>
      <c r="AE14" s="23" t="e">
        <f>AD14+'25.04 '!AE14</f>
        <v>#REF!</v>
      </c>
      <c r="AF14" s="19">
        <f t="shared" si="3"/>
        <v>0</v>
      </c>
      <c r="AG14" s="20" t="e">
        <f t="shared" si="4"/>
        <v>#REF!</v>
      </c>
      <c r="AH14" s="24"/>
      <c r="AI14" s="23" t="e">
        <f>AH14+'25.04 '!AI14</f>
        <v>#REF!</v>
      </c>
      <c r="AJ14" s="24"/>
      <c r="AK14" s="23" t="e">
        <f>AJ14+'25.04 '!AK14</f>
        <v>#REF!</v>
      </c>
      <c r="AL14" s="22"/>
      <c r="AM14" s="23" t="e">
        <f>AL14+'25.04 '!AM14</f>
        <v>#REF!</v>
      </c>
      <c r="AN14" s="22"/>
      <c r="AO14" s="23" t="e">
        <f>AN14+'25.04 '!AO14</f>
        <v>#REF!</v>
      </c>
      <c r="AP14" s="39" t="s">
        <v>48</v>
      </c>
      <c r="AQ14" s="19">
        <f t="shared" si="6"/>
        <v>0</v>
      </c>
      <c r="AR14" s="20" t="e">
        <f t="shared" si="7"/>
        <v>#REF!</v>
      </c>
      <c r="AS14" s="45"/>
      <c r="AT14" s="23" t="e">
        <f>AS14+'25.04 '!AT14</f>
        <v>#REF!</v>
      </c>
      <c r="AU14" s="45"/>
      <c r="AV14" s="23" t="e">
        <f>AU14+'25.04 '!AV14</f>
        <v>#REF!</v>
      </c>
      <c r="AW14" s="45"/>
      <c r="AX14" s="23" t="e">
        <f>AW14+'25.04 '!AX14</f>
        <v>#REF!</v>
      </c>
      <c r="AY14" s="45"/>
      <c r="AZ14" s="23" t="e">
        <f>AY14+'25.04 '!AZ14</f>
        <v>#REF!</v>
      </c>
      <c r="BA14" s="45"/>
      <c r="BB14" s="23" t="e">
        <f>BA14+'25.04 '!BB14</f>
        <v>#REF!</v>
      </c>
      <c r="BC14" s="19">
        <f t="shared" si="9"/>
        <v>0</v>
      </c>
      <c r="BD14" s="20" t="e">
        <f t="shared" si="10"/>
        <v>#REF!</v>
      </c>
      <c r="BE14" s="22"/>
      <c r="BF14" s="23" t="e">
        <f>BE14+'25.04 '!BF14</f>
        <v>#REF!</v>
      </c>
      <c r="BG14" s="45"/>
      <c r="BH14" s="23" t="e">
        <f>BG14+'25.04 '!BH14</f>
        <v>#REF!</v>
      </c>
      <c r="BI14" s="22"/>
      <c r="BJ14" s="23" t="e">
        <f>BI14+'25.04 '!BJ14</f>
        <v>#REF!</v>
      </c>
      <c r="BK14" s="22"/>
      <c r="BL14" s="23" t="e">
        <f>BK14+'25.04 '!BL14</f>
        <v>#REF!</v>
      </c>
      <c r="BM14" s="22"/>
      <c r="BN14" s="23" t="e">
        <f>BM14+'25.04 '!BN14</f>
        <v>#REF!</v>
      </c>
      <c r="BO14" s="48">
        <v>2</v>
      </c>
      <c r="BP14" s="49"/>
      <c r="BQ14" s="23" t="e">
        <f>BP14+'25.04 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441</v>
      </c>
      <c r="D15" s="53" t="e">
        <f t="shared" si="2"/>
        <v>#REF!</v>
      </c>
      <c r="E15" s="54">
        <v>776</v>
      </c>
      <c r="F15" s="55">
        <v>305</v>
      </c>
      <c r="G15" s="23" t="e">
        <f>F15+'25.04 '!G15</f>
        <v>#REF!</v>
      </c>
      <c r="H15" s="56">
        <v>9</v>
      </c>
      <c r="I15" s="57">
        <v>0</v>
      </c>
      <c r="J15" s="23" t="e">
        <f>I15+'25.04 '!J15</f>
        <v>#REF!</v>
      </c>
      <c r="K15" s="56">
        <v>6</v>
      </c>
      <c r="L15" s="55">
        <v>0</v>
      </c>
      <c r="M15" s="23" t="e">
        <f>L15+'25.04 '!M15</f>
        <v>#REF!</v>
      </c>
      <c r="N15" s="56">
        <v>1305</v>
      </c>
      <c r="O15" s="55">
        <v>0</v>
      </c>
      <c r="P15" s="23" t="e">
        <f>O15+'25.04 '!P15</f>
        <v>#REF!</v>
      </c>
      <c r="Q15" s="56">
        <v>447</v>
      </c>
      <c r="R15" s="55">
        <v>0</v>
      </c>
      <c r="S15" s="23" t="e">
        <f>R15+'25.04 '!S15</f>
        <v>#REF!</v>
      </c>
      <c r="T15" s="56">
        <v>337</v>
      </c>
      <c r="U15" s="55">
        <v>0</v>
      </c>
      <c r="V15" s="23" t="e">
        <f>U15+'25.04 '!V15</f>
        <v>#REF!</v>
      </c>
      <c r="W15" s="56">
        <v>78</v>
      </c>
      <c r="X15" s="55">
        <v>0</v>
      </c>
      <c r="Y15" s="23" t="e">
        <f>X15+'25.04 '!Y15</f>
        <v>#REF!</v>
      </c>
      <c r="Z15" s="56">
        <v>141</v>
      </c>
      <c r="AA15" s="55">
        <v>0</v>
      </c>
      <c r="AB15" s="23" t="e">
        <f>AA15+'25.04 '!AB15</f>
        <v>#REF!</v>
      </c>
      <c r="AC15" s="56">
        <v>798</v>
      </c>
      <c r="AD15" s="55">
        <v>136</v>
      </c>
      <c r="AE15" s="23" t="e">
        <f>AD15+'25.04 '!AE15</f>
        <v>#REF!</v>
      </c>
      <c r="AF15" s="58">
        <f t="shared" si="3"/>
        <v>404549</v>
      </c>
      <c r="AG15" s="59" t="e">
        <f t="shared" si="4"/>
        <v>#REF!</v>
      </c>
      <c r="AH15" s="60">
        <v>826</v>
      </c>
      <c r="AI15" s="23" t="e">
        <f>AH15+'25.04 '!AI15</f>
        <v>#REF!</v>
      </c>
      <c r="AJ15" s="60">
        <v>3723</v>
      </c>
      <c r="AK15" s="23" t="e">
        <f>AJ15+'25.04 '!AK15</f>
        <v>#REF!</v>
      </c>
      <c r="AL15" s="55">
        <v>200000</v>
      </c>
      <c r="AM15" s="23" t="e">
        <f>AL15+'25.04 '!AM15</f>
        <v>#REF!</v>
      </c>
      <c r="AN15" s="55">
        <v>200000</v>
      </c>
      <c r="AO15" s="23" t="e">
        <f>AN15+'25.04 '!AO15</f>
        <v>#REF!</v>
      </c>
      <c r="AP15" s="50" t="s">
        <v>49</v>
      </c>
      <c r="AQ15" s="58">
        <f t="shared" si="6"/>
        <v>2</v>
      </c>
      <c r="AR15" s="59" t="e">
        <f t="shared" si="7"/>
        <v>#REF!</v>
      </c>
      <c r="AS15" s="57">
        <v>0</v>
      </c>
      <c r="AT15" s="23" t="e">
        <f>AS15+'25.04 '!AT15</f>
        <v>#REF!</v>
      </c>
      <c r="AU15" s="57">
        <v>0</v>
      </c>
      <c r="AV15" s="23" t="e">
        <f>AU15+'25.04 '!AV15</f>
        <v>#REF!</v>
      </c>
      <c r="AW15" s="57">
        <v>0</v>
      </c>
      <c r="AX15" s="23" t="e">
        <f>AW15+'25.04 '!AX15</f>
        <v>#REF!</v>
      </c>
      <c r="AY15" s="57">
        <v>0</v>
      </c>
      <c r="AZ15" s="23" t="e">
        <f>AY15+'25.04 '!AZ15</f>
        <v>#REF!</v>
      </c>
      <c r="BA15" s="57">
        <v>2</v>
      </c>
      <c r="BB15" s="23" t="e">
        <f>BA15+'25.04 '!BB15</f>
        <v>#REF!</v>
      </c>
      <c r="BC15" s="58">
        <f t="shared" si="9"/>
        <v>1166</v>
      </c>
      <c r="BD15" s="59" t="e">
        <f t="shared" si="10"/>
        <v>#REF!</v>
      </c>
      <c r="BE15" s="55">
        <v>0</v>
      </c>
      <c r="BF15" s="23" t="e">
        <f>BE15+'25.04 '!BF15</f>
        <v>#REF!</v>
      </c>
      <c r="BG15" s="57">
        <v>66</v>
      </c>
      <c r="BH15" s="23" t="e">
        <f>BG15+'25.04 '!BH15</f>
        <v>#REF!</v>
      </c>
      <c r="BI15" s="55">
        <v>550</v>
      </c>
      <c r="BJ15" s="23" t="e">
        <f>BI15+'25.04 '!BJ15</f>
        <v>#REF!</v>
      </c>
      <c r="BK15" s="55">
        <v>550</v>
      </c>
      <c r="BL15" s="23" t="e">
        <f>BK15+'25.04 '!BL15</f>
        <v>#REF!</v>
      </c>
      <c r="BM15" s="55">
        <v>0</v>
      </c>
      <c r="BN15" s="23" t="e">
        <f>BM15+'25.04 '!BN15</f>
        <v>#REF!</v>
      </c>
      <c r="BO15" s="36">
        <v>6274</v>
      </c>
      <c r="BP15" s="37">
        <v>0</v>
      </c>
      <c r="BQ15" s="23" t="e">
        <f>BP15+'25.04 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114</v>
      </c>
      <c r="D16" s="31" t="e">
        <f t="shared" si="2"/>
        <v>#REF!</v>
      </c>
      <c r="E16" s="32">
        <v>310</v>
      </c>
      <c r="F16" s="22">
        <v>39</v>
      </c>
      <c r="G16" s="23" t="e">
        <f>F16+'25.04 '!G16</f>
        <v>#REF!</v>
      </c>
      <c r="H16" s="33">
        <v>5</v>
      </c>
      <c r="I16" s="34">
        <v>0</v>
      </c>
      <c r="J16" s="23" t="e">
        <f>I16+'25.04 '!J16</f>
        <v>#REF!</v>
      </c>
      <c r="K16" s="33">
        <v>3</v>
      </c>
      <c r="L16" s="22">
        <v>0</v>
      </c>
      <c r="M16" s="23" t="e">
        <f>L16+'25.04 '!M16</f>
        <v>#REF!</v>
      </c>
      <c r="N16" s="33">
        <v>384</v>
      </c>
      <c r="O16" s="22">
        <v>0</v>
      </c>
      <c r="P16" s="23" t="e">
        <f>O16+'25.04 '!P16</f>
        <v>#REF!</v>
      </c>
      <c r="Q16" s="33">
        <v>245</v>
      </c>
      <c r="R16" s="22">
        <v>0</v>
      </c>
      <c r="S16" s="23" t="e">
        <f>R16+'25.04 '!S16</f>
        <v>#REF!</v>
      </c>
      <c r="T16" s="33">
        <v>397</v>
      </c>
      <c r="U16" s="22">
        <v>0</v>
      </c>
      <c r="V16" s="23" t="e">
        <f>U16+'25.04 '!V16</f>
        <v>#REF!</v>
      </c>
      <c r="W16" s="33">
        <v>24</v>
      </c>
      <c r="X16" s="22">
        <v>46</v>
      </c>
      <c r="Y16" s="23" t="e">
        <f>X16+'25.04 '!Y16</f>
        <v>#REF!</v>
      </c>
      <c r="Z16" s="33">
        <v>18</v>
      </c>
      <c r="AA16" s="22">
        <v>0</v>
      </c>
      <c r="AB16" s="23" t="e">
        <f>AA16+'25.04 '!AB16</f>
        <v>#REF!</v>
      </c>
      <c r="AC16" s="33">
        <v>18515</v>
      </c>
      <c r="AD16" s="22">
        <v>29</v>
      </c>
      <c r="AE16" s="23" t="e">
        <f>AD16+'25.04 '!AE16</f>
        <v>#REF!</v>
      </c>
      <c r="AF16" s="19">
        <f t="shared" si="3"/>
        <v>74610</v>
      </c>
      <c r="AG16" s="20" t="e">
        <f t="shared" si="4"/>
        <v>#REF!</v>
      </c>
      <c r="AH16" s="24">
        <v>227</v>
      </c>
      <c r="AI16" s="23" t="e">
        <f>AH16+'25.04 '!AI16</f>
        <v>#REF!</v>
      </c>
      <c r="AJ16" s="24">
        <v>1287</v>
      </c>
      <c r="AK16" s="23" t="e">
        <f>AJ16+'25.04 '!AK16</f>
        <v>#REF!</v>
      </c>
      <c r="AL16" s="22">
        <v>1754</v>
      </c>
      <c r="AM16" s="23" t="e">
        <f>AL16+'25.04 '!AM16</f>
        <v>#REF!</v>
      </c>
      <c r="AN16" s="22">
        <v>71342</v>
      </c>
      <c r="AO16" s="23" t="e">
        <f>AN16+'25.04 '!AO16</f>
        <v>#REF!</v>
      </c>
      <c r="AP16" s="28" t="s">
        <v>51</v>
      </c>
      <c r="AQ16" s="19">
        <f t="shared" si="6"/>
        <v>51</v>
      </c>
      <c r="AR16" s="20" t="e">
        <f t="shared" si="7"/>
        <v>#REF!</v>
      </c>
      <c r="AS16" s="34">
        <v>0</v>
      </c>
      <c r="AT16" s="23" t="e">
        <f>AS16+'25.04 '!AT16</f>
        <v>#REF!</v>
      </c>
      <c r="AU16" s="34">
        <v>0</v>
      </c>
      <c r="AV16" s="23" t="e">
        <f>AU16+'25.04 '!AV16</f>
        <v>#REF!</v>
      </c>
      <c r="AW16" s="34">
        <v>0</v>
      </c>
      <c r="AX16" s="23" t="e">
        <f>AW16+'25.04 '!AX16</f>
        <v>#REF!</v>
      </c>
      <c r="AY16" s="34">
        <v>0</v>
      </c>
      <c r="AZ16" s="23" t="e">
        <f>AY16+'25.04 '!AZ16</f>
        <v>#REF!</v>
      </c>
      <c r="BA16" s="34">
        <v>51</v>
      </c>
      <c r="BB16" s="23" t="e">
        <f>BA16+'25.04 '!BB16</f>
        <v>#REF!</v>
      </c>
      <c r="BC16" s="19">
        <f t="shared" si="9"/>
        <v>1433</v>
      </c>
      <c r="BD16" s="20" t="e">
        <f t="shared" si="10"/>
        <v>#REF!</v>
      </c>
      <c r="BE16" s="22">
        <v>0</v>
      </c>
      <c r="BF16" s="23" t="e">
        <f>BE16+'25.04 '!BF16</f>
        <v>#REF!</v>
      </c>
      <c r="BG16" s="34">
        <v>0</v>
      </c>
      <c r="BH16" s="23" t="e">
        <f>BG16+'25.04 '!BH16</f>
        <v>#REF!</v>
      </c>
      <c r="BI16" s="22">
        <v>1342</v>
      </c>
      <c r="BJ16" s="23" t="e">
        <f>BI16+'25.04 '!BJ16</f>
        <v>#REF!</v>
      </c>
      <c r="BK16" s="22">
        <v>91</v>
      </c>
      <c r="BL16" s="23" t="e">
        <f>BK16+'25.04 '!BL16</f>
        <v>#REF!</v>
      </c>
      <c r="BM16" s="22">
        <v>0</v>
      </c>
      <c r="BN16" s="23" t="e">
        <f>BM16+'25.04 '!BN16</f>
        <v>#REF!</v>
      </c>
      <c r="BO16" s="36">
        <v>2546</v>
      </c>
      <c r="BP16" s="37">
        <v>0</v>
      </c>
      <c r="BQ16" s="23" t="e">
        <f>BP16+'25.04 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210</v>
      </c>
      <c r="D17" s="31" t="e">
        <f t="shared" si="2"/>
        <v>#REF!</v>
      </c>
      <c r="E17" s="32">
        <v>754</v>
      </c>
      <c r="F17" s="22">
        <v>170</v>
      </c>
      <c r="G17" s="23" t="e">
        <f>F17+'25.04 '!G17</f>
        <v>#REF!</v>
      </c>
      <c r="H17" s="33">
        <v>9</v>
      </c>
      <c r="I17" s="34">
        <v>0</v>
      </c>
      <c r="J17" s="23" t="e">
        <f>I17+'25.04 '!J17</f>
        <v>#REF!</v>
      </c>
      <c r="K17" s="33">
        <v>5</v>
      </c>
      <c r="L17" s="22">
        <v>0</v>
      </c>
      <c r="M17" s="23" t="e">
        <f>L17+'25.04 '!M17</f>
        <v>#REF!</v>
      </c>
      <c r="N17" s="33">
        <v>768</v>
      </c>
      <c r="O17" s="22">
        <v>0</v>
      </c>
      <c r="P17" s="23" t="e">
        <f>O17+'25.04 '!P17</f>
        <v>#REF!</v>
      </c>
      <c r="Q17" s="33">
        <v>624</v>
      </c>
      <c r="R17" s="22">
        <v>0</v>
      </c>
      <c r="S17" s="23" t="e">
        <f>R17+'25.04 '!S17</f>
        <v>#REF!</v>
      </c>
      <c r="T17" s="33">
        <v>742</v>
      </c>
      <c r="U17" s="22">
        <v>0</v>
      </c>
      <c r="V17" s="23" t="e">
        <f>U17+'25.04 '!V17</f>
        <v>#REF!</v>
      </c>
      <c r="W17" s="33">
        <v>54</v>
      </c>
      <c r="X17" s="22">
        <v>10</v>
      </c>
      <c r="Y17" s="23" t="e">
        <f>X17+'25.04 '!Y17</f>
        <v>#REF!</v>
      </c>
      <c r="Z17" s="33">
        <v>66</v>
      </c>
      <c r="AA17" s="22">
        <v>0</v>
      </c>
      <c r="AB17" s="23" t="e">
        <f>AA17+'25.04 '!AB17</f>
        <v>#REF!</v>
      </c>
      <c r="AC17" s="33">
        <v>2580</v>
      </c>
      <c r="AD17" s="22">
        <v>30</v>
      </c>
      <c r="AE17" s="23" t="e">
        <f>AD17+'25.04 '!AE17</f>
        <v>#REF!</v>
      </c>
      <c r="AF17" s="19">
        <f t="shared" si="3"/>
        <v>54600</v>
      </c>
      <c r="AG17" s="20" t="e">
        <f t="shared" si="4"/>
        <v>#REF!</v>
      </c>
      <c r="AH17" s="24">
        <v>8000</v>
      </c>
      <c r="AI17" s="23" t="e">
        <f>AH17+'25.04 '!AI17</f>
        <v>#REF!</v>
      </c>
      <c r="AJ17" s="24">
        <v>9800</v>
      </c>
      <c r="AK17" s="23" t="e">
        <f>AJ17+'25.04 '!AK17</f>
        <v>#REF!</v>
      </c>
      <c r="AL17" s="22">
        <v>26000</v>
      </c>
      <c r="AM17" s="23" t="e">
        <f>AL17+'25.04 '!AM17</f>
        <v>#REF!</v>
      </c>
      <c r="AN17" s="22">
        <v>10800</v>
      </c>
      <c r="AO17" s="23" t="e">
        <f>AN17+'25.04 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AS17+'25.04 '!AT17</f>
        <v>#REF!</v>
      </c>
      <c r="AU17" s="34">
        <v>1</v>
      </c>
      <c r="AV17" s="23" t="e">
        <f>AU17+'25.04 '!AV17</f>
        <v>#REF!</v>
      </c>
      <c r="AW17" s="34">
        <v>0</v>
      </c>
      <c r="AX17" s="23" t="e">
        <f>AW17+'25.04 '!AX17</f>
        <v>#REF!</v>
      </c>
      <c r="AY17" s="34">
        <v>0</v>
      </c>
      <c r="AZ17" s="23" t="e">
        <f>AY17+'25.04 '!AZ17</f>
        <v>#REF!</v>
      </c>
      <c r="BA17" s="34">
        <v>14</v>
      </c>
      <c r="BB17" s="23" t="e">
        <f>BA17+'25.04 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BE17+'25.04 '!BF17</f>
        <v>#REF!</v>
      </c>
      <c r="BG17" s="34">
        <v>4</v>
      </c>
      <c r="BH17" s="23" t="e">
        <f>BG17+'25.04 '!BH17</f>
        <v>#REF!</v>
      </c>
      <c r="BI17" s="22">
        <v>1400</v>
      </c>
      <c r="BJ17" s="23" t="e">
        <f>BI17+'25.04 '!BJ17</f>
        <v>#REF!</v>
      </c>
      <c r="BK17" s="22">
        <v>160</v>
      </c>
      <c r="BL17" s="23" t="e">
        <f>BK17+'25.04 '!BL17</f>
        <v>#REF!</v>
      </c>
      <c r="BM17" s="22">
        <v>0</v>
      </c>
      <c r="BN17" s="23" t="e">
        <f>BM17+'25.04 '!BN17</f>
        <v>#REF!</v>
      </c>
      <c r="BO17" s="36">
        <v>8022</v>
      </c>
      <c r="BP17" s="37">
        <v>7</v>
      </c>
      <c r="BQ17" s="23" t="e">
        <f>BP17+'25.04 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556</v>
      </c>
      <c r="D18" s="20" t="e">
        <f t="shared" si="2"/>
        <v>#REF!</v>
      </c>
      <c r="E18" s="21">
        <v>1063</v>
      </c>
      <c r="F18" s="22">
        <v>342</v>
      </c>
      <c r="G18" s="23" t="e">
        <f>F18+'25.04 '!G18</f>
        <v>#REF!</v>
      </c>
      <c r="H18" s="21">
        <v>19</v>
      </c>
      <c r="I18" s="22">
        <v>0</v>
      </c>
      <c r="J18" s="23" t="e">
        <f>I18+'25.04 '!J18</f>
        <v>#REF!</v>
      </c>
      <c r="K18" s="21">
        <v>8</v>
      </c>
      <c r="L18" s="22">
        <v>0</v>
      </c>
      <c r="M18" s="23" t="e">
        <f>L18+'25.04 '!M18</f>
        <v>#REF!</v>
      </c>
      <c r="N18" s="21">
        <v>1331</v>
      </c>
      <c r="O18" s="22">
        <v>0</v>
      </c>
      <c r="P18" s="23" t="e">
        <f>O18+'25.04 '!P18</f>
        <v>#REF!</v>
      </c>
      <c r="Q18" s="21">
        <v>777</v>
      </c>
      <c r="R18" s="22">
        <v>0</v>
      </c>
      <c r="S18" s="23" t="e">
        <f>R18+'25.04 '!S18</f>
        <v>#REF!</v>
      </c>
      <c r="T18" s="21">
        <v>318</v>
      </c>
      <c r="U18" s="22">
        <v>0</v>
      </c>
      <c r="V18" s="23" t="e">
        <f>U18+'25.04 '!V18</f>
        <v>#REF!</v>
      </c>
      <c r="W18" s="21">
        <v>60</v>
      </c>
      <c r="X18" s="22">
        <v>214</v>
      </c>
      <c r="Y18" s="23" t="e">
        <f>X18+'25.04 '!Y18</f>
        <v>#REF!</v>
      </c>
      <c r="Z18" s="21">
        <v>72</v>
      </c>
      <c r="AA18" s="22">
        <v>0</v>
      </c>
      <c r="AB18" s="23" t="e">
        <f>AA18+'25.04 '!AB18</f>
        <v>#REF!</v>
      </c>
      <c r="AC18" s="21">
        <v>143</v>
      </c>
      <c r="AD18" s="22">
        <v>0</v>
      </c>
      <c r="AE18" s="23" t="e">
        <f>AD18+'25.04 '!AE18</f>
        <v>#REF!</v>
      </c>
      <c r="AF18" s="19">
        <f t="shared" si="3"/>
        <v>362561</v>
      </c>
      <c r="AG18" s="20" t="e">
        <f t="shared" si="4"/>
        <v>#REF!</v>
      </c>
      <c r="AH18" s="24">
        <v>602</v>
      </c>
      <c r="AI18" s="23" t="e">
        <f>AH18+'25.04 '!AI18</f>
        <v>#REF!</v>
      </c>
      <c r="AJ18" s="24">
        <v>4740</v>
      </c>
      <c r="AK18" s="23" t="e">
        <f>AJ18+'25.04 '!AK18</f>
        <v>#REF!</v>
      </c>
      <c r="AL18" s="22">
        <v>50126</v>
      </c>
      <c r="AM18" s="23" t="e">
        <f>AL18+'25.04 '!AM18</f>
        <v>#REF!</v>
      </c>
      <c r="AN18" s="22">
        <v>307093</v>
      </c>
      <c r="AO18" s="23" t="e">
        <f>AN18+'25.04 '!AO18</f>
        <v>#REF!</v>
      </c>
      <c r="AP18" s="17" t="s">
        <v>53</v>
      </c>
      <c r="AQ18" s="19">
        <f t="shared" si="6"/>
        <v>6</v>
      </c>
      <c r="AR18" s="20" t="e">
        <f t="shared" si="7"/>
        <v>#REF!</v>
      </c>
      <c r="AS18" s="22">
        <v>0</v>
      </c>
      <c r="AT18" s="23" t="e">
        <f>AS18+'25.04 '!AT18</f>
        <v>#REF!</v>
      </c>
      <c r="AU18" s="22">
        <v>0</v>
      </c>
      <c r="AV18" s="23" t="e">
        <f>AU18+'25.04 '!AV18</f>
        <v>#REF!</v>
      </c>
      <c r="AW18" s="22">
        <v>0</v>
      </c>
      <c r="AX18" s="23" t="e">
        <f>AW18+'25.04 '!AX18</f>
        <v>#REF!</v>
      </c>
      <c r="AY18" s="22">
        <v>0</v>
      </c>
      <c r="AZ18" s="23" t="e">
        <f>AY18+'25.04 '!AZ18</f>
        <v>#REF!</v>
      </c>
      <c r="BA18" s="22">
        <v>6</v>
      </c>
      <c r="BB18" s="23" t="e">
        <f>BA18+'25.04 '!BB18</f>
        <v>#REF!</v>
      </c>
      <c r="BC18" s="19">
        <f t="shared" si="9"/>
        <v>3526</v>
      </c>
      <c r="BD18" s="20" t="e">
        <f t="shared" si="10"/>
        <v>#REF!</v>
      </c>
      <c r="BE18" s="22">
        <v>2</v>
      </c>
      <c r="BF18" s="23" t="e">
        <f>BE18+'25.04 '!BF18</f>
        <v>#REF!</v>
      </c>
      <c r="BG18" s="22">
        <v>1</v>
      </c>
      <c r="BH18" s="23" t="e">
        <f>BG18+'25.04 '!BH18</f>
        <v>#REF!</v>
      </c>
      <c r="BI18" s="22">
        <v>3309</v>
      </c>
      <c r="BJ18" s="23" t="e">
        <f>BI18+'25.04 '!BJ18</f>
        <v>#REF!</v>
      </c>
      <c r="BK18" s="22">
        <v>214</v>
      </c>
      <c r="BL18" s="23" t="e">
        <f>BK18+'25.04 '!BL18</f>
        <v>#REF!</v>
      </c>
      <c r="BM18" s="22">
        <v>0</v>
      </c>
      <c r="BN18" s="23" t="e">
        <f>BM18+'25.04 '!BN18</f>
        <v>#REF!</v>
      </c>
      <c r="BO18" s="36">
        <v>442</v>
      </c>
      <c r="BP18" s="37">
        <v>0</v>
      </c>
      <c r="BQ18" s="23" t="e">
        <f>BP18+'25.04 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52</v>
      </c>
      <c r="D19" s="31" t="e">
        <f t="shared" si="2"/>
        <v>#REF!</v>
      </c>
      <c r="E19" s="33">
        <v>221</v>
      </c>
      <c r="F19" s="22">
        <v>17</v>
      </c>
      <c r="G19" s="23" t="e">
        <f>F19+'25.04 '!G19</f>
        <v>#REF!</v>
      </c>
      <c r="H19" s="33">
        <v>5</v>
      </c>
      <c r="I19" s="34">
        <v>0</v>
      </c>
      <c r="J19" s="23" t="e">
        <f>I19+'25.04 '!J19</f>
        <v>#REF!</v>
      </c>
      <c r="K19" s="33">
        <v>4</v>
      </c>
      <c r="L19" s="22">
        <v>0</v>
      </c>
      <c r="M19" s="23" t="e">
        <f>L19+'25.04 '!M19</f>
        <v>#REF!</v>
      </c>
      <c r="N19" s="33">
        <v>313</v>
      </c>
      <c r="O19" s="22">
        <v>0</v>
      </c>
      <c r="P19" s="23" t="e">
        <f>O19+'25.04 '!P19</f>
        <v>#REF!</v>
      </c>
      <c r="Q19" s="33">
        <v>203</v>
      </c>
      <c r="R19" s="22">
        <v>0</v>
      </c>
      <c r="S19" s="23" t="e">
        <f>R19+'25.04 '!S19</f>
        <v>#REF!</v>
      </c>
      <c r="T19" s="33">
        <v>241</v>
      </c>
      <c r="U19" s="22">
        <v>0</v>
      </c>
      <c r="V19" s="23" t="e">
        <f>U19+'25.04 '!V19</f>
        <v>#REF!</v>
      </c>
      <c r="W19" s="33">
        <v>14</v>
      </c>
      <c r="X19" s="22">
        <v>19</v>
      </c>
      <c r="Y19" s="23" t="e">
        <f>X19+'25.04 '!Y19</f>
        <v>#REF!</v>
      </c>
      <c r="Z19" s="33">
        <v>7</v>
      </c>
      <c r="AA19" s="22">
        <v>0</v>
      </c>
      <c r="AB19" s="23" t="e">
        <f>AA19+'25.04 '!AB19</f>
        <v>#REF!</v>
      </c>
      <c r="AC19" s="33">
        <v>32</v>
      </c>
      <c r="AD19" s="22">
        <v>16</v>
      </c>
      <c r="AE19" s="23" t="e">
        <f>AD19+'25.04 '!AE19</f>
        <v>#REF!</v>
      </c>
      <c r="AF19" s="19">
        <f t="shared" si="3"/>
        <v>3900</v>
      </c>
      <c r="AG19" s="20" t="e">
        <f t="shared" si="4"/>
        <v>#REF!</v>
      </c>
      <c r="AH19" s="24">
        <v>700</v>
      </c>
      <c r="AI19" s="23" t="e">
        <f>AH19+'25.04 '!AI19</f>
        <v>#REF!</v>
      </c>
      <c r="AJ19" s="24">
        <v>700</v>
      </c>
      <c r="AK19" s="23" t="e">
        <f>AJ19+'25.04 '!AK19</f>
        <v>#REF!</v>
      </c>
      <c r="AL19" s="22">
        <v>1250</v>
      </c>
      <c r="AM19" s="23" t="e">
        <f>AL19+'25.04 '!AM19</f>
        <v>#REF!</v>
      </c>
      <c r="AN19" s="22">
        <v>1250</v>
      </c>
      <c r="AO19" s="23" t="e">
        <f>AN19+'25.04 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AS19+'25.04 '!AT19</f>
        <v>#REF!</v>
      </c>
      <c r="AU19" s="34">
        <v>0</v>
      </c>
      <c r="AV19" s="23" t="e">
        <f>AU19+'25.04 '!AV19</f>
        <v>#REF!</v>
      </c>
      <c r="AW19" s="34">
        <v>0</v>
      </c>
      <c r="AX19" s="23" t="e">
        <f>AW19+'25.04 '!AX19</f>
        <v>#REF!</v>
      </c>
      <c r="AY19" s="34">
        <v>0</v>
      </c>
      <c r="AZ19" s="23" t="e">
        <f>AY19+'25.04 '!AZ19</f>
        <v>#REF!</v>
      </c>
      <c r="BA19" s="34">
        <v>0</v>
      </c>
      <c r="BB19" s="23" t="e">
        <f>BA19+'25.04 '!BB19</f>
        <v>#REF!</v>
      </c>
      <c r="BC19" s="19">
        <f t="shared" si="9"/>
        <v>1421</v>
      </c>
      <c r="BD19" s="20" t="e">
        <f t="shared" si="10"/>
        <v>#REF!</v>
      </c>
      <c r="BE19" s="22">
        <v>15</v>
      </c>
      <c r="BF19" s="23" t="e">
        <f>BE19+'25.04 '!BF19</f>
        <v>#REF!</v>
      </c>
      <c r="BG19" s="34">
        <v>0</v>
      </c>
      <c r="BH19" s="23" t="e">
        <f>BG19+'25.04 '!BH19</f>
        <v>#REF!</v>
      </c>
      <c r="BI19" s="22">
        <v>1200</v>
      </c>
      <c r="BJ19" s="23" t="e">
        <f>BI19+'25.04 '!BJ19</f>
        <v>#REF!</v>
      </c>
      <c r="BK19" s="22">
        <v>200</v>
      </c>
      <c r="BL19" s="23" t="e">
        <f>BK19+'25.04 '!BL19</f>
        <v>#REF!</v>
      </c>
      <c r="BM19" s="22">
        <v>6</v>
      </c>
      <c r="BN19" s="23" t="e">
        <f>BM19+'25.04 '!BN19</f>
        <v>#REF!</v>
      </c>
      <c r="BO19" s="36">
        <v>2898</v>
      </c>
      <c r="BP19" s="37">
        <v>0</v>
      </c>
      <c r="BQ19" s="23" t="e">
        <f>BP19+'25.04 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292</v>
      </c>
      <c r="D20" s="31" t="e">
        <f t="shared" si="2"/>
        <v>#REF!</v>
      </c>
      <c r="E20" s="32">
        <v>723</v>
      </c>
      <c r="F20" s="22">
        <v>173</v>
      </c>
      <c r="G20" s="23" t="e">
        <f>F20+'25.04 '!G20</f>
        <v>#REF!</v>
      </c>
      <c r="H20" s="33">
        <v>5</v>
      </c>
      <c r="I20" s="34">
        <v>1</v>
      </c>
      <c r="J20" s="23" t="e">
        <f>I20+'25.04 '!J20</f>
        <v>#REF!</v>
      </c>
      <c r="K20" s="33">
        <v>3</v>
      </c>
      <c r="L20" s="22">
        <v>0</v>
      </c>
      <c r="M20" s="23" t="e">
        <f>L20+'25.04 '!M20</f>
        <v>#REF!</v>
      </c>
      <c r="N20" s="33">
        <v>975</v>
      </c>
      <c r="O20" s="22">
        <v>48</v>
      </c>
      <c r="P20" s="23" t="e">
        <f>O20+'25.04 '!P20</f>
        <v>#REF!</v>
      </c>
      <c r="Q20" s="61">
        <v>1862</v>
      </c>
      <c r="R20" s="22">
        <v>1</v>
      </c>
      <c r="S20" s="23" t="e">
        <f>R20+'25.04 '!S20</f>
        <v>#REF!</v>
      </c>
      <c r="T20" s="33">
        <v>35</v>
      </c>
      <c r="U20" s="22">
        <v>1</v>
      </c>
      <c r="V20" s="23" t="e">
        <f>U20+'25.04 '!V20</f>
        <v>#REF!</v>
      </c>
      <c r="W20" s="33">
        <v>64</v>
      </c>
      <c r="X20" s="22">
        <v>1</v>
      </c>
      <c r="Y20" s="23" t="e">
        <f>X20+'25.04 '!Y20</f>
        <v>#REF!</v>
      </c>
      <c r="Z20" s="33">
        <v>15</v>
      </c>
      <c r="AA20" s="22">
        <v>1</v>
      </c>
      <c r="AB20" s="23" t="e">
        <f>AA20+'25.04 '!AB20</f>
        <v>#REF!</v>
      </c>
      <c r="AC20" s="33">
        <v>1546</v>
      </c>
      <c r="AD20" s="22">
        <v>66</v>
      </c>
      <c r="AE20" s="23" t="e">
        <f>AD20+'25.04 '!AE20</f>
        <v>#REF!</v>
      </c>
      <c r="AF20" s="19">
        <f t="shared" si="3"/>
        <v>15400</v>
      </c>
      <c r="AG20" s="20" t="e">
        <f t="shared" si="4"/>
        <v>#REF!</v>
      </c>
      <c r="AH20" s="24">
        <v>6400</v>
      </c>
      <c r="AI20" s="23" t="e">
        <f>AH20+'25.04 '!AI20</f>
        <v>#REF!</v>
      </c>
      <c r="AJ20" s="24">
        <v>8200</v>
      </c>
      <c r="AK20" s="23" t="e">
        <f>AJ20+'25.04 '!AK20</f>
        <v>#REF!</v>
      </c>
      <c r="AL20" s="22">
        <v>400</v>
      </c>
      <c r="AM20" s="23" t="e">
        <f>AL20+'25.04 '!AM20</f>
        <v>#REF!</v>
      </c>
      <c r="AN20" s="22">
        <v>400</v>
      </c>
      <c r="AO20" s="23" t="e">
        <f>AN20+'25.04 '!AO20</f>
        <v>#REF!</v>
      </c>
      <c r="AP20" s="28" t="s">
        <v>55</v>
      </c>
      <c r="AQ20" s="19">
        <f t="shared" si="6"/>
        <v>177</v>
      </c>
      <c r="AR20" s="20" t="e">
        <f t="shared" si="7"/>
        <v>#REF!</v>
      </c>
      <c r="AS20" s="34">
        <v>1</v>
      </c>
      <c r="AT20" s="23" t="e">
        <f>AS20+'25.04 '!AT20</f>
        <v>#REF!</v>
      </c>
      <c r="AU20" s="34">
        <v>0</v>
      </c>
      <c r="AV20" s="23" t="e">
        <f>AU20+'25.04 '!AV20</f>
        <v>#REF!</v>
      </c>
      <c r="AW20" s="34">
        <v>0</v>
      </c>
      <c r="AX20" s="23" t="e">
        <f>AW20+'25.04 '!AX20</f>
        <v>#REF!</v>
      </c>
      <c r="AY20" s="34">
        <v>0</v>
      </c>
      <c r="AZ20" s="23" t="e">
        <f>AY20+'25.04 '!AZ20</f>
        <v>#REF!</v>
      </c>
      <c r="BA20" s="34">
        <v>176</v>
      </c>
      <c r="BB20" s="23" t="e">
        <f>BA20+'25.04 '!BB20</f>
        <v>#REF!</v>
      </c>
      <c r="BC20" s="19">
        <f t="shared" si="9"/>
        <v>3352</v>
      </c>
      <c r="BD20" s="20" t="e">
        <f t="shared" si="10"/>
        <v>#REF!</v>
      </c>
      <c r="BE20" s="22">
        <v>602</v>
      </c>
      <c r="BF20" s="23" t="e">
        <f>BE20+'25.04 '!BF20</f>
        <v>#REF!</v>
      </c>
      <c r="BG20" s="34">
        <v>0</v>
      </c>
      <c r="BH20" s="23" t="e">
        <f>BG20+'25.04 '!BH20</f>
        <v>#REF!</v>
      </c>
      <c r="BI20" s="22">
        <v>1370</v>
      </c>
      <c r="BJ20" s="23" t="e">
        <f>BI20+'25.04 '!BJ20</f>
        <v>#REF!</v>
      </c>
      <c r="BK20" s="22">
        <v>1380</v>
      </c>
      <c r="BL20" s="23" t="e">
        <f>BK20+'25.04 '!BL20</f>
        <v>#REF!</v>
      </c>
      <c r="BM20" s="22">
        <v>0</v>
      </c>
      <c r="BN20" s="23" t="e">
        <f>BM20+'25.04 '!BN20</f>
        <v>#REF!</v>
      </c>
      <c r="BO20" s="36">
        <v>5854</v>
      </c>
      <c r="BP20" s="37">
        <v>0</v>
      </c>
      <c r="BQ20" s="23" t="e">
        <f>BP20+'25.04 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206</v>
      </c>
      <c r="D21" s="31" t="e">
        <f t="shared" si="2"/>
        <v>#REF!</v>
      </c>
      <c r="E21" s="32">
        <v>1017</v>
      </c>
      <c r="F21" s="22">
        <v>150</v>
      </c>
      <c r="G21" s="23" t="e">
        <f>F21+'25.04 '!G21</f>
        <v>#REF!</v>
      </c>
      <c r="H21" s="33">
        <v>8</v>
      </c>
      <c r="I21" s="34">
        <v>0</v>
      </c>
      <c r="J21" s="23" t="e">
        <f>I21+'25.04 '!J21</f>
        <v>#REF!</v>
      </c>
      <c r="K21" s="33">
        <v>4</v>
      </c>
      <c r="L21" s="22">
        <v>0</v>
      </c>
      <c r="M21" s="23" t="e">
        <f>L21+'25.04 '!M21</f>
        <v>#REF!</v>
      </c>
      <c r="N21" s="33">
        <v>963</v>
      </c>
      <c r="O21" s="22">
        <v>0</v>
      </c>
      <c r="P21" s="23" t="e">
        <f>O21+'25.04 '!P21</f>
        <v>#REF!</v>
      </c>
      <c r="Q21" s="33">
        <v>912</v>
      </c>
      <c r="R21" s="22">
        <v>0</v>
      </c>
      <c r="S21" s="23" t="e">
        <f>R21+'25.04 '!S21</f>
        <v>#REF!</v>
      </c>
      <c r="T21" s="33">
        <v>199</v>
      </c>
      <c r="U21" s="22">
        <v>0</v>
      </c>
      <c r="V21" s="23" t="e">
        <f>U21+'25.04 '!V21</f>
        <v>#REF!</v>
      </c>
      <c r="W21" s="33">
        <v>101</v>
      </c>
      <c r="X21" s="22">
        <v>56</v>
      </c>
      <c r="Y21" s="23" t="e">
        <f>X21+'25.04 '!Y21</f>
        <v>#REF!</v>
      </c>
      <c r="Z21" s="33">
        <v>42</v>
      </c>
      <c r="AA21" s="22">
        <v>0</v>
      </c>
      <c r="AB21" s="23" t="e">
        <f>AA21+'25.04 '!AB21</f>
        <v>#REF!</v>
      </c>
      <c r="AC21" s="33">
        <v>20</v>
      </c>
      <c r="AD21" s="22">
        <v>0</v>
      </c>
      <c r="AE21" s="23" t="e">
        <f>AD21+'25.04 '!AE21</f>
        <v>#REF!</v>
      </c>
      <c r="AF21" s="19">
        <f t="shared" si="3"/>
        <v>1200000</v>
      </c>
      <c r="AG21" s="20" t="e">
        <f t="shared" si="4"/>
        <v>#REF!</v>
      </c>
      <c r="AH21" s="24">
        <v>2000</v>
      </c>
      <c r="AI21" s="23" t="e">
        <f>AH21+'25.04 '!AI21</f>
        <v>#REF!</v>
      </c>
      <c r="AJ21" s="24">
        <v>198000</v>
      </c>
      <c r="AK21" s="23" t="e">
        <f>AJ21+'25.04 '!AK21</f>
        <v>#REF!</v>
      </c>
      <c r="AL21" s="22">
        <v>100000</v>
      </c>
      <c r="AM21" s="23" t="e">
        <f>AL21+'25.04 '!AM21</f>
        <v>#REF!</v>
      </c>
      <c r="AN21" s="22">
        <v>900000</v>
      </c>
      <c r="AO21" s="23" t="e">
        <f>AN21+'25.04 '!AO21</f>
        <v>#REF!</v>
      </c>
      <c r="AP21" s="28" t="s">
        <v>58</v>
      </c>
      <c r="AQ21" s="19">
        <f t="shared" si="6"/>
        <v>10</v>
      </c>
      <c r="AR21" s="20" t="e">
        <f t="shared" si="7"/>
        <v>#REF!</v>
      </c>
      <c r="AS21" s="34">
        <v>0</v>
      </c>
      <c r="AT21" s="23" t="e">
        <f>AS21+'25.04 '!AT21</f>
        <v>#REF!</v>
      </c>
      <c r="AU21" s="34">
        <v>4</v>
      </c>
      <c r="AV21" s="23" t="e">
        <f>AU21+'25.04 '!AV21</f>
        <v>#REF!</v>
      </c>
      <c r="AW21" s="34">
        <v>1</v>
      </c>
      <c r="AX21" s="23" t="e">
        <f>AW21+'25.04 '!AX21</f>
        <v>#REF!</v>
      </c>
      <c r="AY21" s="34">
        <v>0</v>
      </c>
      <c r="AZ21" s="23" t="e">
        <f>AY21+'25.04 '!AZ21</f>
        <v>#REF!</v>
      </c>
      <c r="BA21" s="34">
        <v>5</v>
      </c>
      <c r="BB21" s="23" t="e">
        <f>BA21+'25.04 '!BB21</f>
        <v>#REF!</v>
      </c>
      <c r="BC21" s="19">
        <f t="shared" si="9"/>
        <v>1055</v>
      </c>
      <c r="BD21" s="20" t="e">
        <f t="shared" si="10"/>
        <v>#REF!</v>
      </c>
      <c r="BE21" s="22">
        <v>55</v>
      </c>
      <c r="BF21" s="23" t="e">
        <f>BE21+'25.04 '!BF21</f>
        <v>#REF!</v>
      </c>
      <c r="BG21" s="34">
        <v>0</v>
      </c>
      <c r="BH21" s="23" t="e">
        <f>BG21+'25.04 '!BH21</f>
        <v>#REF!</v>
      </c>
      <c r="BI21" s="22">
        <v>1000</v>
      </c>
      <c r="BJ21" s="23" t="e">
        <f>BI21+'25.04 '!BJ21</f>
        <v>#REF!</v>
      </c>
      <c r="BK21" s="22">
        <v>0</v>
      </c>
      <c r="BL21" s="23" t="e">
        <f>BK21+'25.04 '!BL21</f>
        <v>#REF!</v>
      </c>
      <c r="BM21" s="22">
        <v>0</v>
      </c>
      <c r="BN21" s="23" t="e">
        <f>BM21+'25.04 '!BN21</f>
        <v>#REF!</v>
      </c>
      <c r="BO21" s="36">
        <v>68</v>
      </c>
      <c r="BP21" s="37">
        <v>0</v>
      </c>
      <c r="BQ21" s="23" t="e">
        <f>BP21+'25.04 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1780</v>
      </c>
      <c r="D22" s="31" t="e">
        <f t="shared" si="2"/>
        <v>#REF!</v>
      </c>
      <c r="E22" s="32">
        <v>509</v>
      </c>
      <c r="F22" s="22">
        <v>385</v>
      </c>
      <c r="G22" s="23" t="e">
        <f>F22+'25.04 '!G22</f>
        <v>#REF!</v>
      </c>
      <c r="H22" s="33">
        <v>8</v>
      </c>
      <c r="I22" s="34">
        <v>0</v>
      </c>
      <c r="J22" s="23" t="e">
        <f>I22+'25.04 '!J22</f>
        <v>#REF!</v>
      </c>
      <c r="K22" s="33">
        <v>21</v>
      </c>
      <c r="L22" s="22">
        <v>0</v>
      </c>
      <c r="M22" s="23" t="e">
        <f>L22+'25.04 '!M22</f>
        <v>#REF!</v>
      </c>
      <c r="N22" s="33">
        <v>560</v>
      </c>
      <c r="O22" s="22">
        <v>0</v>
      </c>
      <c r="P22" s="23" t="e">
        <f>O22+'25.04 '!P22</f>
        <v>#REF!</v>
      </c>
      <c r="Q22" s="33">
        <v>375</v>
      </c>
      <c r="R22" s="22">
        <v>0</v>
      </c>
      <c r="S22" s="23" t="e">
        <f>R22+'25.04 '!S22</f>
        <v>#REF!</v>
      </c>
      <c r="T22" s="33">
        <v>165</v>
      </c>
      <c r="U22" s="22">
        <v>0</v>
      </c>
      <c r="V22" s="23" t="e">
        <f>U22+'25.04 '!V22</f>
        <v>#REF!</v>
      </c>
      <c r="W22" s="33">
        <v>28</v>
      </c>
      <c r="X22" s="22">
        <v>99</v>
      </c>
      <c r="Y22" s="23" t="e">
        <f>X22+'25.04 '!Y22</f>
        <v>#REF!</v>
      </c>
      <c r="Z22" s="33">
        <v>9</v>
      </c>
      <c r="AA22" s="22">
        <v>0</v>
      </c>
      <c r="AB22" s="23" t="e">
        <f>AA22+'25.04 '!AB22</f>
        <v>#REF!</v>
      </c>
      <c r="AC22" s="33">
        <v>112</v>
      </c>
      <c r="AD22" s="22">
        <v>1296</v>
      </c>
      <c r="AE22" s="23" t="e">
        <f>AD22+'25.04 '!AE22</f>
        <v>#REF!</v>
      </c>
      <c r="AF22" s="19">
        <f t="shared" si="3"/>
        <v>39355</v>
      </c>
      <c r="AG22" s="20" t="e">
        <f t="shared" si="4"/>
        <v>#REF!</v>
      </c>
      <c r="AH22" s="24">
        <v>240</v>
      </c>
      <c r="AI22" s="23" t="e">
        <f>AH22+'25.04 '!AI22</f>
        <v>#REF!</v>
      </c>
      <c r="AJ22" s="24">
        <v>9000</v>
      </c>
      <c r="AK22" s="23" t="e">
        <f>AJ22+'25.04 '!AK22</f>
        <v>#REF!</v>
      </c>
      <c r="AL22" s="22">
        <v>115</v>
      </c>
      <c r="AM22" s="23" t="e">
        <f>AL22+'25.04 '!AM22</f>
        <v>#REF!</v>
      </c>
      <c r="AN22" s="22">
        <v>30000</v>
      </c>
      <c r="AO22" s="23" t="e">
        <f>AN22+'25.04 '!AO22</f>
        <v>#REF!</v>
      </c>
      <c r="AP22" s="28" t="s">
        <v>59</v>
      </c>
      <c r="AQ22" s="19">
        <f t="shared" si="6"/>
        <v>1655</v>
      </c>
      <c r="AR22" s="20" t="e">
        <f t="shared" si="7"/>
        <v>#REF!</v>
      </c>
      <c r="AS22" s="34">
        <v>0</v>
      </c>
      <c r="AT22" s="23" t="e">
        <f>AS22+'25.04 '!AT22</f>
        <v>#REF!</v>
      </c>
      <c r="AU22" s="34">
        <v>0</v>
      </c>
      <c r="AV22" s="23" t="e">
        <f>AU22+'25.04 '!AV22</f>
        <v>#REF!</v>
      </c>
      <c r="AW22" s="34">
        <v>0</v>
      </c>
      <c r="AX22" s="23" t="e">
        <f>AW22+'25.04 '!AX22</f>
        <v>#REF!</v>
      </c>
      <c r="AY22" s="34">
        <v>0</v>
      </c>
      <c r="AZ22" s="23" t="e">
        <f>AY22+'25.04 '!AZ22</f>
        <v>#REF!</v>
      </c>
      <c r="BA22" s="34">
        <v>1655</v>
      </c>
      <c r="BB22" s="23" t="e">
        <f>BA22+'25.04 '!BB22</f>
        <v>#REF!</v>
      </c>
      <c r="BC22" s="19">
        <f t="shared" si="9"/>
        <v>9020</v>
      </c>
      <c r="BD22" s="20" t="e">
        <f t="shared" si="10"/>
        <v>#REF!</v>
      </c>
      <c r="BE22" s="22">
        <v>6</v>
      </c>
      <c r="BF22" s="23" t="e">
        <f>BE22+'25.04 '!BF22</f>
        <v>#REF!</v>
      </c>
      <c r="BG22" s="34">
        <v>0</v>
      </c>
      <c r="BH22" s="23" t="e">
        <f>BG22+'25.04 '!BH22</f>
        <v>#REF!</v>
      </c>
      <c r="BI22" s="22">
        <v>8999</v>
      </c>
      <c r="BJ22" s="23" t="e">
        <f>BI22+'25.04 '!BJ22</f>
        <v>#REF!</v>
      </c>
      <c r="BK22" s="22">
        <v>15</v>
      </c>
      <c r="BL22" s="23" t="e">
        <f>BK22+'25.04 '!BL22</f>
        <v>#REF!</v>
      </c>
      <c r="BM22" s="22">
        <v>0</v>
      </c>
      <c r="BN22" s="23" t="e">
        <f>BM22+'25.04 '!BN22</f>
        <v>#REF!</v>
      </c>
      <c r="BO22" s="36">
        <v>26</v>
      </c>
      <c r="BP22" s="37">
        <v>0</v>
      </c>
      <c r="BQ22" s="23" t="e">
        <f>BP22+'25.04 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4037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1663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3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0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73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1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1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599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1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1696</v>
      </c>
      <c r="AE23" s="68" t="e">
        <f t="shared" si="16"/>
        <v>#REF!</v>
      </c>
      <c r="AF23" s="64">
        <f t="shared" si="16"/>
        <v>2688304</v>
      </c>
      <c r="AG23" s="64" t="e">
        <f t="shared" si="16"/>
        <v>#REF!</v>
      </c>
      <c r="AH23" s="67">
        <f t="shared" si="16"/>
        <v>29293</v>
      </c>
      <c r="AI23" s="68" t="e">
        <f t="shared" si="16"/>
        <v>#REF!</v>
      </c>
      <c r="AJ23" s="67">
        <f t="shared" si="16"/>
        <v>267478</v>
      </c>
      <c r="AK23" s="68" t="e">
        <f t="shared" si="16"/>
        <v>#REF!</v>
      </c>
      <c r="AL23" s="67">
        <f t="shared" si="16"/>
        <v>448660</v>
      </c>
      <c r="AM23" s="68" t="e">
        <f t="shared" si="16"/>
        <v>#REF!</v>
      </c>
      <c r="AN23" s="67">
        <f t="shared" si="16"/>
        <v>1942873</v>
      </c>
      <c r="AO23" s="68" t="e">
        <f t="shared" si="16"/>
        <v>#REF!</v>
      </c>
      <c r="AP23" s="62" t="s">
        <v>12</v>
      </c>
      <c r="AQ23" s="64">
        <f t="shared" ref="AQ23:BP23" si="17">SUM(AQ8:AQ22)</f>
        <v>2050</v>
      </c>
      <c r="AR23" s="64" t="e">
        <f t="shared" si="17"/>
        <v>#REF!</v>
      </c>
      <c r="AS23" s="67">
        <f t="shared" si="17"/>
        <v>2</v>
      </c>
      <c r="AT23" s="68" t="e">
        <f t="shared" si="17"/>
        <v>#REF!</v>
      </c>
      <c r="AU23" s="67">
        <f t="shared" si="17"/>
        <v>5</v>
      </c>
      <c r="AV23" s="68" t="e">
        <f t="shared" si="17"/>
        <v>#REF!</v>
      </c>
      <c r="AW23" s="67">
        <f t="shared" si="17"/>
        <v>1</v>
      </c>
      <c r="AX23" s="68" t="e">
        <f t="shared" si="17"/>
        <v>#REF!</v>
      </c>
      <c r="AY23" s="67">
        <f t="shared" si="17"/>
        <v>0</v>
      </c>
      <c r="AZ23" s="68" t="e">
        <f t="shared" si="17"/>
        <v>#REF!</v>
      </c>
      <c r="BA23" s="67">
        <f t="shared" si="17"/>
        <v>2042</v>
      </c>
      <c r="BB23" s="68" t="e">
        <f t="shared" si="17"/>
        <v>#REF!</v>
      </c>
      <c r="BC23" s="64">
        <f t="shared" si="17"/>
        <v>39607</v>
      </c>
      <c r="BD23" s="64" t="e">
        <f t="shared" si="17"/>
        <v>#REF!</v>
      </c>
      <c r="BE23" s="67">
        <f t="shared" si="17"/>
        <v>1399</v>
      </c>
      <c r="BF23" s="68" t="e">
        <f t="shared" si="17"/>
        <v>#REF!</v>
      </c>
      <c r="BG23" s="67">
        <f t="shared" si="17"/>
        <v>92</v>
      </c>
      <c r="BH23" s="68" t="e">
        <f t="shared" si="17"/>
        <v>#REF!</v>
      </c>
      <c r="BI23" s="67">
        <f t="shared" si="17"/>
        <v>33770</v>
      </c>
      <c r="BJ23" s="68" t="e">
        <f t="shared" si="17"/>
        <v>#REF!</v>
      </c>
      <c r="BK23" s="67">
        <f t="shared" si="17"/>
        <v>4340</v>
      </c>
      <c r="BL23" s="68" t="e">
        <f t="shared" si="17"/>
        <v>#REF!</v>
      </c>
      <c r="BM23" s="67">
        <f t="shared" si="17"/>
        <v>6</v>
      </c>
      <c r="BN23" s="68" t="e">
        <f t="shared" si="17"/>
        <v>#REF!</v>
      </c>
      <c r="BO23" s="69">
        <f t="shared" si="17"/>
        <v>37684</v>
      </c>
      <c r="BP23" s="70">
        <f t="shared" si="17"/>
        <v>13</v>
      </c>
      <c r="BQ23" s="23">
        <f>BP23+'20.04'!BP23</f>
        <v>39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BU23"/>
  <sheetViews>
    <sheetView zoomScale="85" zoomScaleNormal="85" workbookViewId="0">
      <pane xSplit="4" ySplit="8" topLeftCell="BJ12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11" customWidth="1"/>
    <col min="5" max="6" width="6.28515625" customWidth="1"/>
    <col min="7" max="7" width="11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0</v>
      </c>
      <c r="D9" s="31" t="e">
        <f t="shared" si="0"/>
        <v>#REF!</v>
      </c>
      <c r="E9" s="32">
        <v>452</v>
      </c>
      <c r="F9" s="22"/>
      <c r="G9" s="23" t="e">
        <f>F9+'26.04 '!G9</f>
        <v>#REF!</v>
      </c>
      <c r="H9" s="33">
        <v>12</v>
      </c>
      <c r="I9" s="34"/>
      <c r="J9" s="23" t="e">
        <f>I9+'26.04 '!J9</f>
        <v>#REF!</v>
      </c>
      <c r="K9" s="33">
        <v>2</v>
      </c>
      <c r="L9" s="22"/>
      <c r="M9" s="23" t="e">
        <f>L9+'26.04 '!M9</f>
        <v>#REF!</v>
      </c>
      <c r="N9" s="33">
        <v>735</v>
      </c>
      <c r="O9" s="22"/>
      <c r="P9" s="23" t="e">
        <f>O9+'26.04 '!P9</f>
        <v>#REF!</v>
      </c>
      <c r="Q9" s="33">
        <v>502</v>
      </c>
      <c r="R9" s="22">
        <v>0</v>
      </c>
      <c r="S9" s="23" t="e">
        <f>R9+'26.04 '!S9</f>
        <v>#REF!</v>
      </c>
      <c r="T9" s="33">
        <v>197</v>
      </c>
      <c r="U9" s="22">
        <v>0</v>
      </c>
      <c r="V9" s="23" t="e">
        <f>U9+'26.04 '!V9</f>
        <v>#REF!</v>
      </c>
      <c r="W9" s="33">
        <v>47</v>
      </c>
      <c r="X9" s="22"/>
      <c r="Y9" s="23" t="e">
        <f>X9+'26.04 '!Y9</f>
        <v>#REF!</v>
      </c>
      <c r="Z9" s="33">
        <v>34</v>
      </c>
      <c r="AA9" s="22">
        <v>0</v>
      </c>
      <c r="AB9" s="23" t="e">
        <f>AA9+'26.04 '!AB9</f>
        <v>#REF!</v>
      </c>
      <c r="AC9" s="33">
        <v>1860</v>
      </c>
      <c r="AD9" s="22"/>
      <c r="AE9" s="23" t="e">
        <f>AD9+'26.04 '!AE9</f>
        <v>#REF!</v>
      </c>
      <c r="AF9" s="19">
        <f t="shared" si="1"/>
        <v>0</v>
      </c>
      <c r="AG9" s="20" t="e">
        <f t="shared" si="1"/>
        <v>#REF!</v>
      </c>
      <c r="AH9" s="24"/>
      <c r="AI9" s="23" t="e">
        <f>AH9+'26.04 '!AI9</f>
        <v>#REF!</v>
      </c>
      <c r="AJ9" s="24"/>
      <c r="AK9" s="23" t="e">
        <f>AJ9+'26.04 '!AK9</f>
        <v>#REF!</v>
      </c>
      <c r="AL9" s="22"/>
      <c r="AM9" s="23" t="e">
        <f>AL9+'26.04 '!AM9</f>
        <v>#REF!</v>
      </c>
      <c r="AN9" s="22"/>
      <c r="AO9" s="23" t="e">
        <f>AN9+'26.04 '!AO9</f>
        <v>#REF!</v>
      </c>
      <c r="AP9" s="28" t="s">
        <v>43</v>
      </c>
      <c r="AQ9" s="19">
        <f t="shared" si="3"/>
        <v>0</v>
      </c>
      <c r="AR9" s="20" t="e">
        <f t="shared" si="3"/>
        <v>#REF!</v>
      </c>
      <c r="AS9" s="34"/>
      <c r="AT9" s="23" t="e">
        <f>AS9+'26.04 '!AT9</f>
        <v>#REF!</v>
      </c>
      <c r="AU9" s="34"/>
      <c r="AV9" s="23" t="e">
        <f>AU9+'26.04 '!AV9</f>
        <v>#REF!</v>
      </c>
      <c r="AW9" s="34">
        <v>0</v>
      </c>
      <c r="AX9" s="23" t="e">
        <f>AW9+'26.04 '!AX9</f>
        <v>#REF!</v>
      </c>
      <c r="AY9" s="34">
        <v>0</v>
      </c>
      <c r="AZ9" s="23" t="e">
        <f>AY9+'26.04 '!AZ9</f>
        <v>#REF!</v>
      </c>
      <c r="BA9" s="34"/>
      <c r="BB9" s="23" t="e">
        <f>BA9+'26.04 '!BB9</f>
        <v>#REF!</v>
      </c>
      <c r="BC9" s="19">
        <f t="shared" si="5"/>
        <v>0</v>
      </c>
      <c r="BD9" s="20" t="e">
        <f t="shared" si="5"/>
        <v>#REF!</v>
      </c>
      <c r="BE9" s="22"/>
      <c r="BF9" s="23" t="e">
        <f>BE9+'26.04 '!BF9</f>
        <v>#REF!</v>
      </c>
      <c r="BG9" s="34">
        <v>0</v>
      </c>
      <c r="BH9" s="23" t="e">
        <f>BG9+'26.04 '!BH9</f>
        <v>#REF!</v>
      </c>
      <c r="BI9" s="22"/>
      <c r="BJ9" s="23" t="e">
        <f>BI9+'26.04 '!BJ9</f>
        <v>#REF!</v>
      </c>
      <c r="BK9" s="22">
        <v>0</v>
      </c>
      <c r="BL9" s="23" t="e">
        <f>BK9+'26.04 '!BL9</f>
        <v>#REF!</v>
      </c>
      <c r="BM9" s="22">
        <v>0</v>
      </c>
      <c r="BN9" s="23" t="e">
        <f>BM9+'26.04 '!BN9</f>
        <v>#REF!</v>
      </c>
      <c r="BO9" s="36">
        <v>14</v>
      </c>
      <c r="BP9" s="37">
        <v>0</v>
      </c>
      <c r="BQ9" s="23" t="e">
        <f>BP9+'26.04 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116</v>
      </c>
      <c r="D10" s="31" t="e">
        <f t="shared" si="0"/>
        <v>#REF!</v>
      </c>
      <c r="E10" s="32">
        <v>585</v>
      </c>
      <c r="F10" s="22">
        <v>24</v>
      </c>
      <c r="G10" s="23" t="e">
        <f>F10+'26.04 '!G10</f>
        <v>#REF!</v>
      </c>
      <c r="H10" s="33">
        <v>93</v>
      </c>
      <c r="I10" s="34">
        <v>7</v>
      </c>
      <c r="J10" s="23" t="e">
        <f>I10+'26.04 '!J10</f>
        <v>#REF!</v>
      </c>
      <c r="K10" s="33">
        <v>34</v>
      </c>
      <c r="L10" s="22">
        <v>0</v>
      </c>
      <c r="M10" s="23" t="e">
        <f>L10+'26.04 '!M10</f>
        <v>#REF!</v>
      </c>
      <c r="N10" s="33">
        <v>352</v>
      </c>
      <c r="O10" s="22">
        <v>10</v>
      </c>
      <c r="P10" s="23" t="e">
        <f>O10+'26.04 '!P10</f>
        <v>#REF!</v>
      </c>
      <c r="Q10" s="33">
        <v>549</v>
      </c>
      <c r="R10" s="22">
        <v>14</v>
      </c>
      <c r="S10" s="23" t="e">
        <f>R10+'26.04 '!S10</f>
        <v>#REF!</v>
      </c>
      <c r="T10" s="33">
        <v>198</v>
      </c>
      <c r="U10" s="22">
        <v>5</v>
      </c>
      <c r="V10" s="23" t="e">
        <f>U10+'26.04 '!V10</f>
        <v>#REF!</v>
      </c>
      <c r="W10" s="38">
        <v>55</v>
      </c>
      <c r="X10" s="22">
        <v>0</v>
      </c>
      <c r="Y10" s="23" t="e">
        <f>X10+'26.04 '!Y10</f>
        <v>#REF!</v>
      </c>
      <c r="Z10" s="38">
        <v>71</v>
      </c>
      <c r="AA10" s="22">
        <v>3</v>
      </c>
      <c r="AB10" s="23" t="e">
        <f>AA10+'26.04 '!AB10</f>
        <v>#REF!</v>
      </c>
      <c r="AC10" s="38">
        <v>1690</v>
      </c>
      <c r="AD10" s="22">
        <v>53</v>
      </c>
      <c r="AE10" s="23" t="e">
        <f>AD10+'26.04 '!AE10</f>
        <v>#REF!</v>
      </c>
      <c r="AF10" s="19">
        <f t="shared" si="1"/>
        <v>85358</v>
      </c>
      <c r="AG10" s="20" t="e">
        <f t="shared" si="1"/>
        <v>#REF!</v>
      </c>
      <c r="AH10" s="24">
        <v>713</v>
      </c>
      <c r="AI10" s="23" t="e">
        <f>AH10+'26.04 '!AI10</f>
        <v>#REF!</v>
      </c>
      <c r="AJ10" s="24">
        <v>4986</v>
      </c>
      <c r="AK10" s="23" t="e">
        <f>AJ10+'26.04 '!AK10</f>
        <v>#REF!</v>
      </c>
      <c r="AL10" s="22">
        <v>9893</v>
      </c>
      <c r="AM10" s="23" t="e">
        <f>AL10+'26.04 '!AM10</f>
        <v>#REF!</v>
      </c>
      <c r="AN10" s="22">
        <v>69766</v>
      </c>
      <c r="AO10" s="23" t="e">
        <f>AN10+'26.04 '!AO10</f>
        <v>#REF!</v>
      </c>
      <c r="AP10" s="28" t="s">
        <v>44</v>
      </c>
      <c r="AQ10" s="19">
        <f t="shared" si="3"/>
        <v>7</v>
      </c>
      <c r="AR10" s="20" t="e">
        <f t="shared" si="3"/>
        <v>#REF!</v>
      </c>
      <c r="AS10" s="34">
        <v>0</v>
      </c>
      <c r="AT10" s="23" t="e">
        <f>AS10+'26.04 '!AT10</f>
        <v>#REF!</v>
      </c>
      <c r="AU10" s="34">
        <v>0</v>
      </c>
      <c r="AV10" s="23" t="e">
        <f>AU10+'26.04 '!AV10</f>
        <v>#REF!</v>
      </c>
      <c r="AW10" s="34">
        <v>0</v>
      </c>
      <c r="AX10" s="23" t="e">
        <f>AW10+'26.04 '!AX10</f>
        <v>#REF!</v>
      </c>
      <c r="AY10" s="34">
        <v>0</v>
      </c>
      <c r="AZ10" s="23" t="e">
        <f>AY10+'26.04 '!AZ10</f>
        <v>#REF!</v>
      </c>
      <c r="BA10" s="34">
        <v>7</v>
      </c>
      <c r="BB10" s="23" t="e">
        <f>BA10+'26.04 '!BB10</f>
        <v>#REF!</v>
      </c>
      <c r="BC10" s="19">
        <f t="shared" si="5"/>
        <v>4742</v>
      </c>
      <c r="BD10" s="20" t="e">
        <f t="shared" si="5"/>
        <v>#REF!</v>
      </c>
      <c r="BE10" s="22">
        <v>514</v>
      </c>
      <c r="BF10" s="23" t="e">
        <f>BE10+'26.04 '!BF10</f>
        <v>#REF!</v>
      </c>
      <c r="BG10" s="34">
        <v>1</v>
      </c>
      <c r="BH10" s="23" t="e">
        <f>BG10+'26.04 '!BH10</f>
        <v>#REF!</v>
      </c>
      <c r="BI10" s="22">
        <v>3086</v>
      </c>
      <c r="BJ10" s="23" t="e">
        <f>BI10+'26.04 '!BJ10</f>
        <v>#REF!</v>
      </c>
      <c r="BK10" s="22">
        <v>1141</v>
      </c>
      <c r="BL10" s="23" t="e">
        <f>BK10+'26.04 '!BL10</f>
        <v>#REF!</v>
      </c>
      <c r="BM10" s="22">
        <v>0</v>
      </c>
      <c r="BN10" s="23" t="e">
        <f>BM10+'26.04 '!BN10</f>
        <v>#REF!</v>
      </c>
      <c r="BO10" s="36">
        <v>32</v>
      </c>
      <c r="BP10" s="37">
        <v>6</v>
      </c>
      <c r="BQ10" s="23" t="e">
        <f>BP10+'26.04 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58</v>
      </c>
      <c r="D11" s="31" t="e">
        <f t="shared" si="0"/>
        <v>#REF!</v>
      </c>
      <c r="E11" s="32">
        <v>883</v>
      </c>
      <c r="F11" s="22">
        <v>33</v>
      </c>
      <c r="G11" s="23" t="e">
        <f>F11+'26.04 '!G11</f>
        <v>#REF!</v>
      </c>
      <c r="H11" s="33">
        <v>16</v>
      </c>
      <c r="I11" s="34">
        <v>0</v>
      </c>
      <c r="J11" s="23" t="e">
        <f>I11+'26.04 '!J11</f>
        <v>#REF!</v>
      </c>
      <c r="K11" s="33">
        <v>3</v>
      </c>
      <c r="L11" s="22">
        <v>0</v>
      </c>
      <c r="M11" s="23" t="e">
        <f>L11+'26.04 '!M11</f>
        <v>#REF!</v>
      </c>
      <c r="N11" s="33">
        <v>875</v>
      </c>
      <c r="O11" s="22">
        <v>0</v>
      </c>
      <c r="P11" s="23" t="e">
        <f>O11+'26.04 '!P11</f>
        <v>#REF!</v>
      </c>
      <c r="Q11" s="33">
        <v>2424</v>
      </c>
      <c r="R11" s="22">
        <v>0</v>
      </c>
      <c r="S11" s="23" t="e">
        <f>R11+'26.04 '!S11</f>
        <v>#REF!</v>
      </c>
      <c r="T11" s="33">
        <v>69</v>
      </c>
      <c r="U11" s="22">
        <v>0</v>
      </c>
      <c r="V11" s="23" t="e">
        <f>U11+'26.04 '!V11</f>
        <v>#REF!</v>
      </c>
      <c r="W11" s="38">
        <v>133</v>
      </c>
      <c r="X11" s="22">
        <v>22</v>
      </c>
      <c r="Y11" s="23" t="e">
        <f>X11+'26.04 '!Y11</f>
        <v>#REF!</v>
      </c>
      <c r="Z11" s="38">
        <v>1116</v>
      </c>
      <c r="AA11" s="22">
        <v>0</v>
      </c>
      <c r="AB11" s="23" t="e">
        <f>AA11+'26.04 '!AB11</f>
        <v>#REF!</v>
      </c>
      <c r="AC11" s="38">
        <v>9862</v>
      </c>
      <c r="AD11" s="22">
        <v>3</v>
      </c>
      <c r="AE11" s="23" t="e">
        <f>AD11+'26.04 '!AE11</f>
        <v>#REF!</v>
      </c>
      <c r="AF11" s="19">
        <f t="shared" si="1"/>
        <v>79700</v>
      </c>
      <c r="AG11" s="20" t="e">
        <f t="shared" si="1"/>
        <v>#REF!</v>
      </c>
      <c r="AH11" s="24">
        <v>2200</v>
      </c>
      <c r="AI11" s="23" t="e">
        <f>AH11+'26.04 '!AI11</f>
        <v>#REF!</v>
      </c>
      <c r="AJ11" s="24">
        <v>7500</v>
      </c>
      <c r="AK11" s="23" t="e">
        <f>AJ11+'26.04 '!AK11</f>
        <v>#REF!</v>
      </c>
      <c r="AL11" s="22">
        <v>21000</v>
      </c>
      <c r="AM11" s="23" t="e">
        <f>AL11+'26.04 '!AM11</f>
        <v>#REF!</v>
      </c>
      <c r="AN11" s="22">
        <v>49000</v>
      </c>
      <c r="AO11" s="23" t="e">
        <f>AN11+'26.04 '!AO11</f>
        <v>#REF!</v>
      </c>
      <c r="AP11" s="28" t="s">
        <v>45</v>
      </c>
      <c r="AQ11" s="19">
        <f t="shared" si="3"/>
        <v>6</v>
      </c>
      <c r="AR11" s="20" t="e">
        <f t="shared" si="3"/>
        <v>#REF!</v>
      </c>
      <c r="AS11" s="34">
        <v>0</v>
      </c>
      <c r="AT11" s="23" t="e">
        <f>AS11+'26.04 '!AT11</f>
        <v>#REF!</v>
      </c>
      <c r="AU11" s="34">
        <v>0</v>
      </c>
      <c r="AV11" s="23" t="e">
        <f>AU11+'26.04 '!AV11</f>
        <v>#REF!</v>
      </c>
      <c r="AW11" s="34">
        <v>0</v>
      </c>
      <c r="AX11" s="23" t="e">
        <f>AW11+'26.04 '!AX11</f>
        <v>#REF!</v>
      </c>
      <c r="AY11" s="34">
        <v>0</v>
      </c>
      <c r="AZ11" s="23" t="e">
        <f>AY11+'26.04 '!AZ11</f>
        <v>#REF!</v>
      </c>
      <c r="BA11" s="34">
        <v>6</v>
      </c>
      <c r="BB11" s="23" t="e">
        <f>BA11+'26.04 '!BB11</f>
        <v>#REF!</v>
      </c>
      <c r="BC11" s="19">
        <f t="shared" si="5"/>
        <v>2370</v>
      </c>
      <c r="BD11" s="20" t="e">
        <f t="shared" si="5"/>
        <v>#REF!</v>
      </c>
      <c r="BE11" s="22">
        <v>3</v>
      </c>
      <c r="BF11" s="23" t="e">
        <f>BE11+'26.04 '!BF11</f>
        <v>#REF!</v>
      </c>
      <c r="BG11" s="34">
        <v>2</v>
      </c>
      <c r="BH11" s="23" t="e">
        <f>BG11+'26.04 '!BH11</f>
        <v>#REF!</v>
      </c>
      <c r="BI11" s="22">
        <v>2300</v>
      </c>
      <c r="BJ11" s="23" t="e">
        <f>BI11+'26.04 '!BJ11</f>
        <v>#REF!</v>
      </c>
      <c r="BK11" s="22">
        <v>65</v>
      </c>
      <c r="BL11" s="23" t="e">
        <f>BK11+'26.04 '!BL11</f>
        <v>#REF!</v>
      </c>
      <c r="BM11" s="22">
        <v>0</v>
      </c>
      <c r="BN11" s="23" t="e">
        <f>BM11+'26.04 '!BN11</f>
        <v>#REF!</v>
      </c>
      <c r="BO11" s="36">
        <v>11506</v>
      </c>
      <c r="BP11" s="37">
        <v>3</v>
      </c>
      <c r="BQ11" s="23" t="e">
        <f>BP11+'26.04 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207</v>
      </c>
      <c r="D12" s="31" t="e">
        <f t="shared" si="0"/>
        <v>#REF!</v>
      </c>
      <c r="E12" s="32">
        <v>909</v>
      </c>
      <c r="F12" s="22">
        <v>54</v>
      </c>
      <c r="G12" s="23" t="e">
        <f>F12+'26.04 '!G12</f>
        <v>#REF!</v>
      </c>
      <c r="H12" s="33">
        <v>80</v>
      </c>
      <c r="I12" s="34">
        <v>4</v>
      </c>
      <c r="J12" s="23" t="e">
        <f>I12+'26.04 '!J12</f>
        <v>#REF!</v>
      </c>
      <c r="K12" s="33">
        <v>5</v>
      </c>
      <c r="L12" s="22">
        <v>0</v>
      </c>
      <c r="M12" s="23" t="e">
        <f>L12+'26.04 '!M12</f>
        <v>#REF!</v>
      </c>
      <c r="N12" s="33">
        <v>820</v>
      </c>
      <c r="O12" s="22">
        <v>31</v>
      </c>
      <c r="P12" s="23" t="e">
        <f>O12+'26.04 '!P12</f>
        <v>#REF!</v>
      </c>
      <c r="Q12" s="33">
        <v>549</v>
      </c>
      <c r="R12" s="22">
        <v>0</v>
      </c>
      <c r="S12" s="23" t="e">
        <f>R12+'26.04 '!S12</f>
        <v>#REF!</v>
      </c>
      <c r="T12" s="33">
        <v>992</v>
      </c>
      <c r="U12" s="22">
        <v>0</v>
      </c>
      <c r="V12" s="23" t="e">
        <f>U12+'26.04 '!V12</f>
        <v>#REF!</v>
      </c>
      <c r="W12" s="33">
        <v>38</v>
      </c>
      <c r="X12" s="22">
        <v>109</v>
      </c>
      <c r="Y12" s="23" t="e">
        <f>X12+'26.04 '!Y12</f>
        <v>#REF!</v>
      </c>
      <c r="Z12" s="33">
        <v>68</v>
      </c>
      <c r="AA12" s="22">
        <v>0</v>
      </c>
      <c r="AB12" s="23" t="e">
        <f>AA12+'26.04 '!AB12</f>
        <v>#REF!</v>
      </c>
      <c r="AC12" s="33">
        <v>26703</v>
      </c>
      <c r="AD12" s="22">
        <v>9</v>
      </c>
      <c r="AE12" s="23" t="e">
        <f>AD12+'26.04 '!AE12</f>
        <v>#REF!</v>
      </c>
      <c r="AF12" s="19">
        <f t="shared" si="1"/>
        <v>35700</v>
      </c>
      <c r="AG12" s="20" t="e">
        <f t="shared" si="1"/>
        <v>#REF!</v>
      </c>
      <c r="AH12" s="24">
        <v>6700</v>
      </c>
      <c r="AI12" s="23" t="e">
        <f>AH12+'26.04 '!AI12</f>
        <v>#REF!</v>
      </c>
      <c r="AJ12" s="24">
        <v>10900</v>
      </c>
      <c r="AK12" s="23" t="e">
        <f>AJ12+'26.04 '!AK12</f>
        <v>#REF!</v>
      </c>
      <c r="AL12" s="22">
        <v>9050</v>
      </c>
      <c r="AM12" s="23" t="e">
        <f>AL12+'26.04 '!AM12</f>
        <v>#REF!</v>
      </c>
      <c r="AN12" s="22">
        <v>9050</v>
      </c>
      <c r="AO12" s="23" t="e">
        <f>AN12+'26.04 '!AO12</f>
        <v>#REF!</v>
      </c>
      <c r="AP12" s="28" t="s">
        <v>46</v>
      </c>
      <c r="AQ12" s="19">
        <f t="shared" si="3"/>
        <v>122</v>
      </c>
      <c r="AR12" s="20" t="e">
        <f t="shared" si="3"/>
        <v>#REF!</v>
      </c>
      <c r="AS12" s="34">
        <v>0</v>
      </c>
      <c r="AT12" s="23" t="e">
        <f>AS12+'26.04 '!AT12</f>
        <v>#REF!</v>
      </c>
      <c r="AU12" s="34">
        <v>0</v>
      </c>
      <c r="AV12" s="23" t="e">
        <f>AU12+'26.04 '!AV12</f>
        <v>#REF!</v>
      </c>
      <c r="AW12" s="34">
        <v>0</v>
      </c>
      <c r="AX12" s="23" t="e">
        <f>AW12+'26.04 '!AX12</f>
        <v>#REF!</v>
      </c>
      <c r="AY12" s="34">
        <v>0</v>
      </c>
      <c r="AZ12" s="23" t="e">
        <f>AY12+'26.04 '!AZ12</f>
        <v>#REF!</v>
      </c>
      <c r="BA12" s="34">
        <v>122</v>
      </c>
      <c r="BB12" s="23" t="e">
        <f>BA12+'26.04 '!BB12</f>
        <v>#REF!</v>
      </c>
      <c r="BC12" s="19">
        <f t="shared" si="5"/>
        <v>3111</v>
      </c>
      <c r="BD12" s="20" t="e">
        <f t="shared" si="5"/>
        <v>#REF!</v>
      </c>
      <c r="BE12" s="22">
        <v>102</v>
      </c>
      <c r="BF12" s="23" t="e">
        <f>BE12+'26.04 '!BF12</f>
        <v>#REF!</v>
      </c>
      <c r="BG12" s="34">
        <v>9</v>
      </c>
      <c r="BH12" s="23" t="e">
        <f>BG12+'26.04 '!BH12</f>
        <v>#REF!</v>
      </c>
      <c r="BI12" s="22">
        <v>2500</v>
      </c>
      <c r="BJ12" s="23" t="e">
        <f>BI12+'26.04 '!BJ12</f>
        <v>#REF!</v>
      </c>
      <c r="BK12" s="22">
        <v>500</v>
      </c>
      <c r="BL12" s="23" t="e">
        <f>BK12+'26.04 '!BL12</f>
        <v>#REF!</v>
      </c>
      <c r="BM12" s="22">
        <v>0</v>
      </c>
      <c r="BN12" s="23" t="e">
        <f>BM12+'26.04 '!BN12</f>
        <v>#REF!</v>
      </c>
      <c r="BO12" s="36"/>
      <c r="BP12" s="37">
        <v>2</v>
      </c>
      <c r="BQ12" s="23" t="e">
        <f>BP12+'26.04 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6</v>
      </c>
      <c r="D13" s="31" t="e">
        <f t="shared" si="0"/>
        <v>#REF!</v>
      </c>
      <c r="E13" s="32">
        <v>516</v>
      </c>
      <c r="F13" s="22">
        <v>3</v>
      </c>
      <c r="G13" s="23" t="e">
        <f>F13+'26.04 '!G13</f>
        <v>#REF!</v>
      </c>
      <c r="H13" s="33">
        <v>10</v>
      </c>
      <c r="I13" s="34">
        <v>2</v>
      </c>
      <c r="J13" s="23" t="e">
        <f>I13+'26.04 '!J13</f>
        <v>#REF!</v>
      </c>
      <c r="K13" s="33">
        <v>38</v>
      </c>
      <c r="L13" s="22">
        <v>0</v>
      </c>
      <c r="M13" s="23" t="e">
        <f>L13+'26.04 '!M13</f>
        <v>#REF!</v>
      </c>
      <c r="N13" s="33">
        <v>581</v>
      </c>
      <c r="O13" s="22">
        <v>0</v>
      </c>
      <c r="P13" s="23" t="e">
        <f>O13+'26.04 '!P13</f>
        <v>#REF!</v>
      </c>
      <c r="Q13" s="33">
        <v>525</v>
      </c>
      <c r="R13" s="22">
        <v>0</v>
      </c>
      <c r="S13" s="23" t="e">
        <f>R13+'26.04 '!S13</f>
        <v>#REF!</v>
      </c>
      <c r="T13" s="33">
        <v>263</v>
      </c>
      <c r="U13" s="22">
        <v>0</v>
      </c>
      <c r="V13" s="23" t="e">
        <f>U13+'26.04 '!V13</f>
        <v>#REF!</v>
      </c>
      <c r="W13" s="33">
        <v>43</v>
      </c>
      <c r="X13" s="22">
        <v>0</v>
      </c>
      <c r="Y13" s="23" t="e">
        <f>X13+'26.04 '!Y13</f>
        <v>#REF!</v>
      </c>
      <c r="Z13" s="33">
        <v>17</v>
      </c>
      <c r="AA13" s="22">
        <v>0</v>
      </c>
      <c r="AB13" s="23" t="e">
        <f>AA13+'26.04 '!AB13</f>
        <v>#REF!</v>
      </c>
      <c r="AC13" s="33">
        <v>51</v>
      </c>
      <c r="AD13" s="22">
        <v>1</v>
      </c>
      <c r="AE13" s="23" t="e">
        <f>AD13+'26.04 '!AE13</f>
        <v>#REF!</v>
      </c>
      <c r="AF13" s="19">
        <f t="shared" si="1"/>
        <v>335000</v>
      </c>
      <c r="AG13" s="20" t="e">
        <f t="shared" si="1"/>
        <v>#REF!</v>
      </c>
      <c r="AH13" s="24">
        <v>2000</v>
      </c>
      <c r="AI13" s="23" t="e">
        <f>AH13+'26.04 '!AI13</f>
        <v>#REF!</v>
      </c>
      <c r="AJ13" s="24">
        <v>13000</v>
      </c>
      <c r="AK13" s="23" t="e">
        <f>AJ13+'26.04 '!AK13</f>
        <v>#REF!</v>
      </c>
      <c r="AL13" s="22">
        <v>30000</v>
      </c>
      <c r="AM13" s="23" t="e">
        <f>AL13+'26.04 '!AM13</f>
        <v>#REF!</v>
      </c>
      <c r="AN13" s="22">
        <v>290000</v>
      </c>
      <c r="AO13" s="23" t="e">
        <f>AN13+'26.04 '!AO13</f>
        <v>#REF!</v>
      </c>
      <c r="AP13" s="28" t="s">
        <v>47</v>
      </c>
      <c r="AQ13" s="19">
        <f t="shared" si="3"/>
        <v>14</v>
      </c>
      <c r="AR13" s="20" t="e">
        <f t="shared" si="3"/>
        <v>#REF!</v>
      </c>
      <c r="AS13" s="34">
        <v>1</v>
      </c>
      <c r="AT13" s="23" t="e">
        <f>AS13+'26.04 '!AT13</f>
        <v>#REF!</v>
      </c>
      <c r="AU13" s="34">
        <v>1</v>
      </c>
      <c r="AV13" s="23" t="e">
        <f>AU13+'26.04 '!AV13</f>
        <v>#REF!</v>
      </c>
      <c r="AW13" s="34">
        <v>0</v>
      </c>
      <c r="AX13" s="23" t="e">
        <f>AW13+'26.04 '!AX13</f>
        <v>#REF!</v>
      </c>
      <c r="AY13" s="34">
        <v>0</v>
      </c>
      <c r="AZ13" s="23" t="e">
        <f>AY13+'26.04 '!AZ13</f>
        <v>#REF!</v>
      </c>
      <c r="BA13" s="34">
        <v>12</v>
      </c>
      <c r="BB13" s="23" t="e">
        <f>BA13+'26.04 '!BB13</f>
        <v>#REF!</v>
      </c>
      <c r="BC13" s="19">
        <f t="shared" si="5"/>
        <v>7628</v>
      </c>
      <c r="BD13" s="20" t="e">
        <f t="shared" si="5"/>
        <v>#REF!</v>
      </c>
      <c r="BE13" s="22">
        <v>516</v>
      </c>
      <c r="BF13" s="23" t="e">
        <f>BE13+'26.04 '!BF13</f>
        <v>#REF!</v>
      </c>
      <c r="BG13" s="34">
        <v>12</v>
      </c>
      <c r="BH13" s="23" t="e">
        <f>BG13+'26.04 '!BH13</f>
        <v>#REF!</v>
      </c>
      <c r="BI13" s="22">
        <v>7000</v>
      </c>
      <c r="BJ13" s="23" t="e">
        <f>BI13+'26.04 '!BJ13</f>
        <v>#REF!</v>
      </c>
      <c r="BK13" s="22">
        <v>100</v>
      </c>
      <c r="BL13" s="23" t="e">
        <f>BK13+'26.04 '!BL13</f>
        <v>#REF!</v>
      </c>
      <c r="BM13" s="22">
        <v>0</v>
      </c>
      <c r="BN13" s="23" t="e">
        <f>BM13+'26.04 '!BN13</f>
        <v>#REF!</v>
      </c>
      <c r="BO13" s="36"/>
      <c r="BP13" s="37">
        <v>0</v>
      </c>
      <c r="BQ13" s="23" t="e">
        <f>BP13+'26.04 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F14+'26.04 '!G14</f>
        <v>#REF!</v>
      </c>
      <c r="H14" s="44">
        <v>5</v>
      </c>
      <c r="I14" s="45"/>
      <c r="J14" s="23" t="e">
        <f>I14+'26.04 '!J14</f>
        <v>#REF!</v>
      </c>
      <c r="K14" s="44">
        <v>34</v>
      </c>
      <c r="L14" s="22"/>
      <c r="M14" s="23" t="e">
        <f>L14+'26.04 '!M14</f>
        <v>#REF!</v>
      </c>
      <c r="N14" s="44">
        <v>583</v>
      </c>
      <c r="O14" s="22"/>
      <c r="P14" s="23" t="e">
        <f>O14+'26.04 '!P14</f>
        <v>#REF!</v>
      </c>
      <c r="Q14" s="44">
        <v>254</v>
      </c>
      <c r="R14" s="22"/>
      <c r="S14" s="23" t="e">
        <f>R14+'26.04 '!S14</f>
        <v>#REF!</v>
      </c>
      <c r="T14" s="44">
        <v>196</v>
      </c>
      <c r="U14" s="22"/>
      <c r="V14" s="23" t="e">
        <f>U14+'26.04 '!V14</f>
        <v>#REF!</v>
      </c>
      <c r="W14" s="44">
        <v>30</v>
      </c>
      <c r="X14" s="22"/>
      <c r="Y14" s="23" t="e">
        <f>X14+'26.04 '!Y14</f>
        <v>#REF!</v>
      </c>
      <c r="Z14" s="44">
        <v>10</v>
      </c>
      <c r="AA14" s="22"/>
      <c r="AB14" s="23" t="e">
        <f>AA14+'26.04 '!AB14</f>
        <v>#REF!</v>
      </c>
      <c r="AC14" s="44">
        <v>2500</v>
      </c>
      <c r="AD14" s="22"/>
      <c r="AE14" s="23" t="e">
        <f>AD14+'26.04 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AH14+'26.04 '!AI14</f>
        <v>#REF!</v>
      </c>
      <c r="AJ14" s="24"/>
      <c r="AK14" s="23" t="e">
        <f>AJ14+'26.04 '!AK14</f>
        <v>#REF!</v>
      </c>
      <c r="AL14" s="22"/>
      <c r="AM14" s="23" t="e">
        <f>AL14+'26.04 '!AM14</f>
        <v>#REF!</v>
      </c>
      <c r="AN14" s="22"/>
      <c r="AO14" s="23" t="e">
        <f>AN14+'26.04 '!AO14</f>
        <v>#REF!</v>
      </c>
      <c r="AP14" s="39" t="s">
        <v>48</v>
      </c>
      <c r="AQ14" s="19">
        <f t="shared" si="3"/>
        <v>0</v>
      </c>
      <c r="AR14" s="20" t="e">
        <f t="shared" si="3"/>
        <v>#REF!</v>
      </c>
      <c r="AS14" s="45"/>
      <c r="AT14" s="23" t="e">
        <f>AS14+'26.04 '!AT14</f>
        <v>#REF!</v>
      </c>
      <c r="AU14" s="45"/>
      <c r="AV14" s="23" t="e">
        <f>AU14+'26.04 '!AV14</f>
        <v>#REF!</v>
      </c>
      <c r="AW14" s="45"/>
      <c r="AX14" s="23" t="e">
        <f>AW14+'26.04 '!AX14</f>
        <v>#REF!</v>
      </c>
      <c r="AY14" s="45"/>
      <c r="AZ14" s="23" t="e">
        <f>AY14+'26.04 '!AZ14</f>
        <v>#REF!</v>
      </c>
      <c r="BA14" s="45"/>
      <c r="BB14" s="23" t="e">
        <f>BA14+'26.04 '!BB14</f>
        <v>#REF!</v>
      </c>
      <c r="BC14" s="19">
        <f t="shared" si="5"/>
        <v>0</v>
      </c>
      <c r="BD14" s="20" t="e">
        <f t="shared" si="5"/>
        <v>#REF!</v>
      </c>
      <c r="BE14" s="22"/>
      <c r="BF14" s="23" t="e">
        <f>BE14+'26.04 '!BF14</f>
        <v>#REF!</v>
      </c>
      <c r="BG14" s="45"/>
      <c r="BH14" s="23" t="e">
        <f>BG14+'26.04 '!BH14</f>
        <v>#REF!</v>
      </c>
      <c r="BI14" s="22"/>
      <c r="BJ14" s="23" t="e">
        <f>BI14+'26.04 '!BJ14</f>
        <v>#REF!</v>
      </c>
      <c r="BK14" s="22"/>
      <c r="BL14" s="23" t="e">
        <f>BK14+'26.04 '!BL14</f>
        <v>#REF!</v>
      </c>
      <c r="BM14" s="22"/>
      <c r="BN14" s="23" t="e">
        <f>BM14+'26.04 '!BN14</f>
        <v>#REF!</v>
      </c>
      <c r="BO14" s="48">
        <v>2</v>
      </c>
      <c r="BP14" s="49"/>
      <c r="BQ14" s="23" t="e">
        <f>BP14+'26.04 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484</v>
      </c>
      <c r="D15" s="53" t="e">
        <f t="shared" si="0"/>
        <v>#REF!</v>
      </c>
      <c r="E15" s="54">
        <v>776</v>
      </c>
      <c r="F15" s="55">
        <v>354</v>
      </c>
      <c r="G15" s="23" t="e">
        <f>F15+'26.04 '!G15</f>
        <v>#REF!</v>
      </c>
      <c r="H15" s="56">
        <v>9</v>
      </c>
      <c r="I15" s="57">
        <v>0</v>
      </c>
      <c r="J15" s="23" t="e">
        <f>I15+'26.04 '!J15</f>
        <v>#REF!</v>
      </c>
      <c r="K15" s="56">
        <v>6</v>
      </c>
      <c r="L15" s="55">
        <v>0</v>
      </c>
      <c r="M15" s="23" t="e">
        <f>L15+'26.04 '!M15</f>
        <v>#REF!</v>
      </c>
      <c r="N15" s="56">
        <v>1305</v>
      </c>
      <c r="O15" s="55">
        <v>0</v>
      </c>
      <c r="P15" s="23" t="e">
        <f>O15+'26.04 '!P15</f>
        <v>#REF!</v>
      </c>
      <c r="Q15" s="56">
        <v>447</v>
      </c>
      <c r="R15" s="55">
        <v>0</v>
      </c>
      <c r="S15" s="23" t="e">
        <f>R15+'26.04 '!S15</f>
        <v>#REF!</v>
      </c>
      <c r="T15" s="56">
        <v>337</v>
      </c>
      <c r="U15" s="55">
        <v>0</v>
      </c>
      <c r="V15" s="23" t="e">
        <f>U15+'26.04 '!V15</f>
        <v>#REF!</v>
      </c>
      <c r="W15" s="56">
        <v>78</v>
      </c>
      <c r="X15" s="55">
        <v>0</v>
      </c>
      <c r="Y15" s="23" t="e">
        <f>X15+'26.04 '!Y15</f>
        <v>#REF!</v>
      </c>
      <c r="Z15" s="56">
        <v>141</v>
      </c>
      <c r="AA15" s="55">
        <v>0</v>
      </c>
      <c r="AB15" s="23" t="e">
        <f>AA15+'26.04 '!AB15</f>
        <v>#REF!</v>
      </c>
      <c r="AC15" s="56">
        <v>798</v>
      </c>
      <c r="AD15" s="55">
        <v>130</v>
      </c>
      <c r="AE15" s="23" t="e">
        <f>AD15+'26.04 '!AE15</f>
        <v>#REF!</v>
      </c>
      <c r="AF15" s="58">
        <f t="shared" si="1"/>
        <v>351300</v>
      </c>
      <c r="AG15" s="59" t="e">
        <f t="shared" si="1"/>
        <v>#REF!</v>
      </c>
      <c r="AH15" s="60">
        <v>1034</v>
      </c>
      <c r="AI15" s="23" t="e">
        <f>AH15+'26.04 '!AI15</f>
        <v>#REF!</v>
      </c>
      <c r="AJ15" s="60">
        <v>3412</v>
      </c>
      <c r="AK15" s="23" t="e">
        <f>AJ15+'26.04 '!AK15</f>
        <v>#REF!</v>
      </c>
      <c r="AL15" s="55">
        <v>246854</v>
      </c>
      <c r="AM15" s="23" t="e">
        <f>AL15+'26.04 '!AM15</f>
        <v>#REF!</v>
      </c>
      <c r="AN15" s="55">
        <v>100000</v>
      </c>
      <c r="AO15" s="23" t="e">
        <f>AN15+'26.04 '!AO15</f>
        <v>#REF!</v>
      </c>
      <c r="AP15" s="50" t="s">
        <v>49</v>
      </c>
      <c r="AQ15" s="58">
        <f t="shared" si="3"/>
        <v>2</v>
      </c>
      <c r="AR15" s="59" t="e">
        <f t="shared" si="3"/>
        <v>#REF!</v>
      </c>
      <c r="AS15" s="57">
        <v>0</v>
      </c>
      <c r="AT15" s="23" t="e">
        <f>AS15+'26.04 '!AT15</f>
        <v>#REF!</v>
      </c>
      <c r="AU15" s="57">
        <v>0</v>
      </c>
      <c r="AV15" s="23" t="e">
        <f>AU15+'26.04 '!AV15</f>
        <v>#REF!</v>
      </c>
      <c r="AW15" s="57">
        <v>0</v>
      </c>
      <c r="AX15" s="23" t="e">
        <f>AW15+'26.04 '!AX15</f>
        <v>#REF!</v>
      </c>
      <c r="AY15" s="57">
        <v>0</v>
      </c>
      <c r="AZ15" s="23" t="e">
        <f>AY15+'26.04 '!AZ15</f>
        <v>#REF!</v>
      </c>
      <c r="BA15" s="57">
        <v>2</v>
      </c>
      <c r="BB15" s="23" t="e">
        <f>BA15+'26.04 '!BB15</f>
        <v>#REF!</v>
      </c>
      <c r="BC15" s="58">
        <f t="shared" si="5"/>
        <v>1374</v>
      </c>
      <c r="BD15" s="59" t="e">
        <f t="shared" si="5"/>
        <v>#REF!</v>
      </c>
      <c r="BE15" s="55">
        <v>72</v>
      </c>
      <c r="BF15" s="23" t="e">
        <f>BE15+'26.04 '!BF15</f>
        <v>#REF!</v>
      </c>
      <c r="BG15" s="57">
        <v>2</v>
      </c>
      <c r="BH15" s="23" t="e">
        <f>BG15+'26.04 '!BH15</f>
        <v>#REF!</v>
      </c>
      <c r="BI15" s="55">
        <v>650</v>
      </c>
      <c r="BJ15" s="23" t="e">
        <f>BI15+'26.04 '!BJ15</f>
        <v>#REF!</v>
      </c>
      <c r="BK15" s="55">
        <v>650</v>
      </c>
      <c r="BL15" s="23" t="e">
        <f>BK15+'26.04 '!BL15</f>
        <v>#REF!</v>
      </c>
      <c r="BM15" s="55">
        <v>0</v>
      </c>
      <c r="BN15" s="23" t="e">
        <f>BM15+'26.04 '!BN15</f>
        <v>#REF!</v>
      </c>
      <c r="BO15" s="36">
        <v>6274</v>
      </c>
      <c r="BP15" s="37">
        <v>1</v>
      </c>
      <c r="BQ15" s="23" t="e">
        <f>BP15+'26.04 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110</v>
      </c>
      <c r="D16" s="31" t="e">
        <f t="shared" si="0"/>
        <v>#REF!</v>
      </c>
      <c r="E16" s="32">
        <v>310</v>
      </c>
      <c r="F16" s="22">
        <v>38</v>
      </c>
      <c r="G16" s="23" t="e">
        <f>F16+'26.04 '!G16</f>
        <v>#REF!</v>
      </c>
      <c r="H16" s="33">
        <v>5</v>
      </c>
      <c r="I16" s="34">
        <v>0</v>
      </c>
      <c r="J16" s="23" t="e">
        <f>I16+'26.04 '!J16</f>
        <v>#REF!</v>
      </c>
      <c r="K16" s="33">
        <v>3</v>
      </c>
      <c r="L16" s="22">
        <v>0</v>
      </c>
      <c r="M16" s="23" t="e">
        <f>L16+'26.04 '!M16</f>
        <v>#REF!</v>
      </c>
      <c r="N16" s="33">
        <v>384</v>
      </c>
      <c r="O16" s="22">
        <v>0</v>
      </c>
      <c r="P16" s="23" t="e">
        <f>O16+'26.04 '!P16</f>
        <v>#REF!</v>
      </c>
      <c r="Q16" s="33">
        <v>245</v>
      </c>
      <c r="R16" s="22">
        <v>0</v>
      </c>
      <c r="S16" s="23" t="e">
        <f>R16+'26.04 '!S16</f>
        <v>#REF!</v>
      </c>
      <c r="T16" s="33">
        <v>397</v>
      </c>
      <c r="U16" s="22">
        <v>0</v>
      </c>
      <c r="V16" s="23" t="e">
        <f>U16+'26.04 '!V16</f>
        <v>#REF!</v>
      </c>
      <c r="W16" s="33">
        <v>24</v>
      </c>
      <c r="X16" s="22">
        <v>45</v>
      </c>
      <c r="Y16" s="23" t="e">
        <f>X16+'26.04 '!Y16</f>
        <v>#REF!</v>
      </c>
      <c r="Z16" s="33">
        <v>18</v>
      </c>
      <c r="AA16" s="22">
        <v>0</v>
      </c>
      <c r="AB16" s="23" t="e">
        <f>AA16+'26.04 '!AB16</f>
        <v>#REF!</v>
      </c>
      <c r="AC16" s="33">
        <v>18515</v>
      </c>
      <c r="AD16" s="22">
        <v>27</v>
      </c>
      <c r="AE16" s="23" t="e">
        <f>AD16+'26.04 '!AE16</f>
        <v>#REF!</v>
      </c>
      <c r="AF16" s="19">
        <f t="shared" si="1"/>
        <v>75971</v>
      </c>
      <c r="AG16" s="20" t="e">
        <f t="shared" si="1"/>
        <v>#REF!</v>
      </c>
      <c r="AH16" s="24">
        <v>247</v>
      </c>
      <c r="AI16" s="23" t="e">
        <f>AH16+'26.04 '!AI16</f>
        <v>#REF!</v>
      </c>
      <c r="AJ16" s="24">
        <v>1341</v>
      </c>
      <c r="AK16" s="23" t="e">
        <f>AJ16+'26.04 '!AK16</f>
        <v>#REF!</v>
      </c>
      <c r="AL16" s="22">
        <v>1812</v>
      </c>
      <c r="AM16" s="23" t="e">
        <f>AL16+'26.04 '!AM16</f>
        <v>#REF!</v>
      </c>
      <c r="AN16" s="22">
        <v>72571</v>
      </c>
      <c r="AO16" s="23" t="e">
        <f>AN16+'26.04 '!AO16</f>
        <v>#REF!</v>
      </c>
      <c r="AP16" s="28" t="s">
        <v>51</v>
      </c>
      <c r="AQ16" s="19">
        <f t="shared" si="3"/>
        <v>49</v>
      </c>
      <c r="AR16" s="20" t="e">
        <f t="shared" si="3"/>
        <v>#REF!</v>
      </c>
      <c r="AS16" s="34">
        <v>0</v>
      </c>
      <c r="AT16" s="23" t="e">
        <f>AS16+'26.04 '!AT16</f>
        <v>#REF!</v>
      </c>
      <c r="AU16" s="34">
        <v>0</v>
      </c>
      <c r="AV16" s="23" t="e">
        <f>AU16+'26.04 '!AV16</f>
        <v>#REF!</v>
      </c>
      <c r="AW16" s="34">
        <v>0</v>
      </c>
      <c r="AX16" s="23" t="e">
        <f>AW16+'26.04 '!AX16</f>
        <v>#REF!</v>
      </c>
      <c r="AY16" s="34">
        <v>0</v>
      </c>
      <c r="AZ16" s="23" t="e">
        <f>AY16+'26.04 '!AZ16</f>
        <v>#REF!</v>
      </c>
      <c r="BA16" s="34">
        <v>49</v>
      </c>
      <c r="BB16" s="23" t="e">
        <f>BA16+'26.04 '!BB16</f>
        <v>#REF!</v>
      </c>
      <c r="BC16" s="19">
        <f t="shared" si="5"/>
        <v>1411</v>
      </c>
      <c r="BD16" s="20" t="e">
        <f t="shared" si="5"/>
        <v>#REF!</v>
      </c>
      <c r="BE16" s="22">
        <v>51</v>
      </c>
      <c r="BF16" s="23" t="e">
        <f>BE16+'26.04 '!BF16</f>
        <v>#REF!</v>
      </c>
      <c r="BG16" s="34">
        <v>0</v>
      </c>
      <c r="BH16" s="23" t="e">
        <f>BG16+'26.04 '!BH16</f>
        <v>#REF!</v>
      </c>
      <c r="BI16" s="22">
        <v>1271</v>
      </c>
      <c r="BJ16" s="23" t="e">
        <f>BI16+'26.04 '!BJ16</f>
        <v>#REF!</v>
      </c>
      <c r="BK16" s="22">
        <v>89</v>
      </c>
      <c r="BL16" s="23" t="e">
        <f>BK16+'26.04 '!BL16</f>
        <v>#REF!</v>
      </c>
      <c r="BM16" s="22">
        <v>0</v>
      </c>
      <c r="BN16" s="23" t="e">
        <f>BM16+'26.04 '!BN16</f>
        <v>#REF!</v>
      </c>
      <c r="BO16" s="36">
        <v>2546</v>
      </c>
      <c r="BP16" s="37">
        <v>0</v>
      </c>
      <c r="BQ16" s="23" t="e">
        <f>BP16+'26.04 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210</v>
      </c>
      <c r="D17" s="31" t="e">
        <f t="shared" si="0"/>
        <v>#REF!</v>
      </c>
      <c r="E17" s="32">
        <v>754</v>
      </c>
      <c r="F17" s="22">
        <v>170</v>
      </c>
      <c r="G17" s="23" t="e">
        <f>F17+'26.04 '!G17</f>
        <v>#REF!</v>
      </c>
      <c r="H17" s="33">
        <v>9</v>
      </c>
      <c r="I17" s="34">
        <v>0</v>
      </c>
      <c r="J17" s="23" t="e">
        <f>I17+'26.04 '!J17</f>
        <v>#REF!</v>
      </c>
      <c r="K17" s="33">
        <v>5</v>
      </c>
      <c r="L17" s="22">
        <v>0</v>
      </c>
      <c r="M17" s="23" t="e">
        <f>L17+'26.04 '!M17</f>
        <v>#REF!</v>
      </c>
      <c r="N17" s="33">
        <v>768</v>
      </c>
      <c r="O17" s="22">
        <v>0</v>
      </c>
      <c r="P17" s="23" t="e">
        <f>O17+'26.04 '!P17</f>
        <v>#REF!</v>
      </c>
      <c r="Q17" s="33">
        <v>624</v>
      </c>
      <c r="R17" s="22">
        <v>0</v>
      </c>
      <c r="S17" s="23" t="e">
        <f>R17+'26.04 '!S17</f>
        <v>#REF!</v>
      </c>
      <c r="T17" s="33">
        <v>742</v>
      </c>
      <c r="U17" s="22">
        <v>0</v>
      </c>
      <c r="V17" s="23" t="e">
        <f>U17+'26.04 '!V17</f>
        <v>#REF!</v>
      </c>
      <c r="W17" s="33">
        <v>54</v>
      </c>
      <c r="X17" s="22">
        <v>30</v>
      </c>
      <c r="Y17" s="23" t="e">
        <f>X17+'26.04 '!Y17</f>
        <v>#REF!</v>
      </c>
      <c r="Z17" s="33">
        <v>66</v>
      </c>
      <c r="AA17" s="22">
        <v>0</v>
      </c>
      <c r="AB17" s="23" t="e">
        <f>AA17+'26.04 '!AB17</f>
        <v>#REF!</v>
      </c>
      <c r="AC17" s="33">
        <v>2580</v>
      </c>
      <c r="AD17" s="22">
        <v>10</v>
      </c>
      <c r="AE17" s="23" t="e">
        <f>AD17+'26.04 '!AE17</f>
        <v>#REF!</v>
      </c>
      <c r="AF17" s="19">
        <f t="shared" si="1"/>
        <v>54600</v>
      </c>
      <c r="AG17" s="20" t="e">
        <f t="shared" si="1"/>
        <v>#REF!</v>
      </c>
      <c r="AH17" s="24">
        <v>8000</v>
      </c>
      <c r="AI17" s="23" t="e">
        <f>AH17+'26.04 '!AI17</f>
        <v>#REF!</v>
      </c>
      <c r="AJ17" s="24">
        <v>9800</v>
      </c>
      <c r="AK17" s="23" t="e">
        <f>AJ17+'26.04 '!AK17</f>
        <v>#REF!</v>
      </c>
      <c r="AL17" s="22">
        <v>26000</v>
      </c>
      <c r="AM17" s="23" t="e">
        <f>AL17+'26.04 '!AM17</f>
        <v>#REF!</v>
      </c>
      <c r="AN17" s="22">
        <v>10800</v>
      </c>
      <c r="AO17" s="23" t="e">
        <f>AN17+'26.04 '!AO17</f>
        <v>#REF!</v>
      </c>
      <c r="AP17" s="28" t="s">
        <v>52</v>
      </c>
      <c r="AQ17" s="19">
        <f t="shared" si="3"/>
        <v>16</v>
      </c>
      <c r="AR17" s="20" t="e">
        <f t="shared" si="3"/>
        <v>#REF!</v>
      </c>
      <c r="AS17" s="34">
        <v>1</v>
      </c>
      <c r="AT17" s="23" t="e">
        <f>AS17+'26.04 '!AT17</f>
        <v>#REF!</v>
      </c>
      <c r="AU17" s="34">
        <v>1</v>
      </c>
      <c r="AV17" s="23" t="e">
        <f>AU17+'26.04 '!AV17</f>
        <v>#REF!</v>
      </c>
      <c r="AW17" s="34">
        <v>0</v>
      </c>
      <c r="AX17" s="23" t="e">
        <f>AW17+'26.04 '!AX17</f>
        <v>#REF!</v>
      </c>
      <c r="AY17" s="34">
        <v>0</v>
      </c>
      <c r="AZ17" s="23" t="e">
        <f>AY17+'26.04 '!AZ17</f>
        <v>#REF!</v>
      </c>
      <c r="BA17" s="34">
        <v>14</v>
      </c>
      <c r="BB17" s="23" t="e">
        <f>BA17+'26.04 '!BB17</f>
        <v>#REF!</v>
      </c>
      <c r="BC17" s="19">
        <f t="shared" si="5"/>
        <v>1602</v>
      </c>
      <c r="BD17" s="20" t="e">
        <f t="shared" si="5"/>
        <v>#REF!</v>
      </c>
      <c r="BE17" s="22">
        <v>38</v>
      </c>
      <c r="BF17" s="23" t="e">
        <f>BE17+'26.04 '!BF17</f>
        <v>#REF!</v>
      </c>
      <c r="BG17" s="34">
        <v>4</v>
      </c>
      <c r="BH17" s="23" t="e">
        <f>BG17+'26.04 '!BH17</f>
        <v>#REF!</v>
      </c>
      <c r="BI17" s="22">
        <v>1400</v>
      </c>
      <c r="BJ17" s="23" t="e">
        <f>BI17+'26.04 '!BJ17</f>
        <v>#REF!</v>
      </c>
      <c r="BK17" s="22">
        <v>160</v>
      </c>
      <c r="BL17" s="23" t="e">
        <f>BK17+'26.04 '!BL17</f>
        <v>#REF!</v>
      </c>
      <c r="BM17" s="22">
        <v>0</v>
      </c>
      <c r="BN17" s="23" t="e">
        <f>BM17+'26.04 '!BN17</f>
        <v>#REF!</v>
      </c>
      <c r="BO17" s="36">
        <v>8022</v>
      </c>
      <c r="BP17" s="37">
        <v>5</v>
      </c>
      <c r="BQ17" s="23" t="e">
        <f>BP17+'26.04 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368</v>
      </c>
      <c r="D18" s="20" t="e">
        <f t="shared" si="0"/>
        <v>#REF!</v>
      </c>
      <c r="E18" s="21">
        <v>1063</v>
      </c>
      <c r="F18" s="22">
        <v>241</v>
      </c>
      <c r="G18" s="23" t="e">
        <f>F18+'26.04 '!G18</f>
        <v>#REF!</v>
      </c>
      <c r="H18" s="21">
        <v>19</v>
      </c>
      <c r="I18" s="22">
        <v>0</v>
      </c>
      <c r="J18" s="23" t="e">
        <f>I18+'26.04 '!J18</f>
        <v>#REF!</v>
      </c>
      <c r="K18" s="21">
        <v>8</v>
      </c>
      <c r="L18" s="22">
        <v>0</v>
      </c>
      <c r="M18" s="23" t="e">
        <f>L18+'26.04 '!M18</f>
        <v>#REF!</v>
      </c>
      <c r="N18" s="21">
        <v>1331</v>
      </c>
      <c r="O18" s="22">
        <v>0</v>
      </c>
      <c r="P18" s="23" t="e">
        <f>O18+'26.04 '!P18</f>
        <v>#REF!</v>
      </c>
      <c r="Q18" s="21">
        <v>777</v>
      </c>
      <c r="R18" s="22">
        <v>0</v>
      </c>
      <c r="S18" s="23" t="e">
        <f>R18+'26.04 '!S18</f>
        <v>#REF!</v>
      </c>
      <c r="T18" s="21">
        <v>318</v>
      </c>
      <c r="U18" s="22">
        <v>0</v>
      </c>
      <c r="V18" s="23" t="e">
        <f>U18+'26.04 '!V18</f>
        <v>#REF!</v>
      </c>
      <c r="W18" s="21">
        <v>60</v>
      </c>
      <c r="X18" s="22">
        <v>127</v>
      </c>
      <c r="Y18" s="23" t="e">
        <f>X18+'26.04 '!Y18</f>
        <v>#REF!</v>
      </c>
      <c r="Z18" s="21">
        <v>72</v>
      </c>
      <c r="AA18" s="22">
        <v>0</v>
      </c>
      <c r="AB18" s="23" t="e">
        <f>AA18+'26.04 '!AB18</f>
        <v>#REF!</v>
      </c>
      <c r="AC18" s="21">
        <v>143</v>
      </c>
      <c r="AD18" s="22">
        <v>0</v>
      </c>
      <c r="AE18" s="23" t="e">
        <f>AD18+'26.04 '!AE18</f>
        <v>#REF!</v>
      </c>
      <c r="AF18" s="19">
        <f t="shared" si="1"/>
        <v>190856</v>
      </c>
      <c r="AG18" s="20" t="e">
        <f t="shared" si="1"/>
        <v>#REF!</v>
      </c>
      <c r="AH18" s="24">
        <v>348</v>
      </c>
      <c r="AI18" s="23" t="e">
        <f>AH18+'26.04 '!AI18</f>
        <v>#REF!</v>
      </c>
      <c r="AJ18" s="24">
        <v>3193</v>
      </c>
      <c r="AK18" s="23" t="e">
        <f>AJ18+'26.04 '!AK18</f>
        <v>#REF!</v>
      </c>
      <c r="AL18" s="22">
        <v>4751</v>
      </c>
      <c r="AM18" s="23" t="e">
        <f>AL18+'26.04 '!AM18</f>
        <v>#REF!</v>
      </c>
      <c r="AN18" s="22">
        <v>182564</v>
      </c>
      <c r="AO18" s="23" t="e">
        <f>AN18+'26.04 '!AO18</f>
        <v>#REF!</v>
      </c>
      <c r="AP18" s="17" t="s">
        <v>53</v>
      </c>
      <c r="AQ18" s="19">
        <f t="shared" si="3"/>
        <v>6</v>
      </c>
      <c r="AR18" s="20" t="e">
        <f t="shared" si="3"/>
        <v>#REF!</v>
      </c>
      <c r="AS18" s="22">
        <v>0</v>
      </c>
      <c r="AT18" s="23" t="e">
        <f>AS18+'26.04 '!AT18</f>
        <v>#REF!</v>
      </c>
      <c r="AU18" s="22">
        <v>0</v>
      </c>
      <c r="AV18" s="23" t="e">
        <f>AU18+'26.04 '!AV18</f>
        <v>#REF!</v>
      </c>
      <c r="AW18" s="22">
        <v>0</v>
      </c>
      <c r="AX18" s="23" t="e">
        <f>AW18+'26.04 '!AX18</f>
        <v>#REF!</v>
      </c>
      <c r="AY18" s="22">
        <v>0</v>
      </c>
      <c r="AZ18" s="23" t="e">
        <f>AY18+'26.04 '!AZ18</f>
        <v>#REF!</v>
      </c>
      <c r="BA18" s="22">
        <v>6</v>
      </c>
      <c r="BB18" s="23" t="e">
        <f>BA18+'26.04 '!BB18</f>
        <v>#REF!</v>
      </c>
      <c r="BC18" s="19">
        <f t="shared" si="5"/>
        <v>2603</v>
      </c>
      <c r="BD18" s="20" t="e">
        <f t="shared" si="5"/>
        <v>#REF!</v>
      </c>
      <c r="BE18" s="22">
        <v>2</v>
      </c>
      <c r="BF18" s="23" t="e">
        <f>BE18+'26.04 '!BF18</f>
        <v>#REF!</v>
      </c>
      <c r="BG18" s="22">
        <v>2</v>
      </c>
      <c r="BH18" s="23" t="e">
        <f>BG18+'26.04 '!BH18</f>
        <v>#REF!</v>
      </c>
      <c r="BI18" s="22">
        <v>2457</v>
      </c>
      <c r="BJ18" s="23" t="e">
        <f>BI18+'26.04 '!BJ18</f>
        <v>#REF!</v>
      </c>
      <c r="BK18" s="22">
        <v>142</v>
      </c>
      <c r="BL18" s="23" t="e">
        <f>BK18+'26.04 '!BL18</f>
        <v>#REF!</v>
      </c>
      <c r="BM18" s="22">
        <v>0</v>
      </c>
      <c r="BN18" s="23" t="e">
        <f>BM18+'26.04 '!BN18</f>
        <v>#REF!</v>
      </c>
      <c r="BO18" s="36">
        <v>442</v>
      </c>
      <c r="BP18" s="37">
        <v>0</v>
      </c>
      <c r="BQ18" s="23" t="e">
        <f>BP18+'26.04 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47</v>
      </c>
      <c r="D19" s="31" t="e">
        <f t="shared" si="0"/>
        <v>#REF!</v>
      </c>
      <c r="E19" s="33">
        <v>221</v>
      </c>
      <c r="F19" s="22">
        <v>15</v>
      </c>
      <c r="G19" s="23" t="e">
        <f>F19+'26.04 '!G19</f>
        <v>#REF!</v>
      </c>
      <c r="H19" s="33">
        <v>5</v>
      </c>
      <c r="I19" s="34">
        <v>0</v>
      </c>
      <c r="J19" s="23" t="e">
        <f>I19+'26.04 '!J19</f>
        <v>#REF!</v>
      </c>
      <c r="K19" s="33">
        <v>4</v>
      </c>
      <c r="L19" s="22">
        <v>0</v>
      </c>
      <c r="M19" s="23" t="e">
        <f>L19+'26.04 '!M19</f>
        <v>#REF!</v>
      </c>
      <c r="N19" s="33">
        <v>313</v>
      </c>
      <c r="O19" s="22">
        <v>0</v>
      </c>
      <c r="P19" s="23" t="e">
        <f>O19+'26.04 '!P19</f>
        <v>#REF!</v>
      </c>
      <c r="Q19" s="33">
        <v>203</v>
      </c>
      <c r="R19" s="22">
        <v>0</v>
      </c>
      <c r="S19" s="23" t="e">
        <f>R19+'26.04 '!S19</f>
        <v>#REF!</v>
      </c>
      <c r="T19" s="33">
        <v>241</v>
      </c>
      <c r="U19" s="22">
        <v>0</v>
      </c>
      <c r="V19" s="23" t="e">
        <f>U19+'26.04 '!V19</f>
        <v>#REF!</v>
      </c>
      <c r="W19" s="33">
        <v>14</v>
      </c>
      <c r="X19" s="22">
        <v>14</v>
      </c>
      <c r="Y19" s="23" t="e">
        <f>X19+'26.04 '!Y19</f>
        <v>#REF!</v>
      </c>
      <c r="Z19" s="33">
        <v>7</v>
      </c>
      <c r="AA19" s="22">
        <v>0</v>
      </c>
      <c r="AB19" s="23" t="e">
        <f>AA19+'26.04 '!AB19</f>
        <v>#REF!</v>
      </c>
      <c r="AC19" s="33">
        <v>32</v>
      </c>
      <c r="AD19" s="22">
        <v>18</v>
      </c>
      <c r="AE19" s="23" t="e">
        <f>AD19+'26.04 '!AE19</f>
        <v>#REF!</v>
      </c>
      <c r="AF19" s="19">
        <f t="shared" si="1"/>
        <v>3100</v>
      </c>
      <c r="AG19" s="20" t="e">
        <f t="shared" si="1"/>
        <v>#REF!</v>
      </c>
      <c r="AH19" s="24">
        <v>200</v>
      </c>
      <c r="AI19" s="23" t="e">
        <f>AH19+'26.04 '!AI19</f>
        <v>#REF!</v>
      </c>
      <c r="AJ19" s="24">
        <v>1000</v>
      </c>
      <c r="AK19" s="23" t="e">
        <f>AJ19+'26.04 '!AK19</f>
        <v>#REF!</v>
      </c>
      <c r="AL19" s="22">
        <v>200</v>
      </c>
      <c r="AM19" s="23" t="e">
        <f>AL19+'26.04 '!AM19</f>
        <v>#REF!</v>
      </c>
      <c r="AN19" s="22">
        <v>1700</v>
      </c>
      <c r="AO19" s="23" t="e">
        <f>AN19+'26.04 '!AO19</f>
        <v>#REF!</v>
      </c>
      <c r="AP19" s="28" t="s">
        <v>54</v>
      </c>
      <c r="AQ19" s="19">
        <f t="shared" si="3"/>
        <v>0</v>
      </c>
      <c r="AR19" s="20" t="e">
        <f t="shared" si="3"/>
        <v>#REF!</v>
      </c>
      <c r="AS19" s="34">
        <v>0</v>
      </c>
      <c r="AT19" s="23" t="e">
        <f>AS19+'26.04 '!AT19</f>
        <v>#REF!</v>
      </c>
      <c r="AU19" s="34">
        <v>0</v>
      </c>
      <c r="AV19" s="23" t="e">
        <f>AU19+'26.04 '!AV19</f>
        <v>#REF!</v>
      </c>
      <c r="AW19" s="34">
        <v>0</v>
      </c>
      <c r="AX19" s="23" t="e">
        <f>AW19+'26.04 '!AX19</f>
        <v>#REF!</v>
      </c>
      <c r="AY19" s="34">
        <v>0</v>
      </c>
      <c r="AZ19" s="23" t="e">
        <f>AY19+'26.04 '!AZ19</f>
        <v>#REF!</v>
      </c>
      <c r="BA19" s="34">
        <v>0</v>
      </c>
      <c r="BB19" s="23" t="e">
        <f>BA19+'26.04 '!BB19</f>
        <v>#REF!</v>
      </c>
      <c r="BC19" s="19">
        <f t="shared" si="5"/>
        <v>1116</v>
      </c>
      <c r="BD19" s="20" t="e">
        <f t="shared" si="5"/>
        <v>#REF!</v>
      </c>
      <c r="BE19" s="22">
        <v>16</v>
      </c>
      <c r="BF19" s="23" t="e">
        <f>BE19+'26.04 '!BF19</f>
        <v>#REF!</v>
      </c>
      <c r="BG19" s="34">
        <v>0</v>
      </c>
      <c r="BH19" s="23" t="e">
        <f>BG19+'26.04 '!BH19</f>
        <v>#REF!</v>
      </c>
      <c r="BI19" s="22">
        <v>1000</v>
      </c>
      <c r="BJ19" s="23" t="e">
        <f>BI19+'26.04 '!BJ19</f>
        <v>#REF!</v>
      </c>
      <c r="BK19" s="22">
        <v>100</v>
      </c>
      <c r="BL19" s="23" t="e">
        <f>BK19+'26.04 '!BL19</f>
        <v>#REF!</v>
      </c>
      <c r="BM19" s="22">
        <v>0</v>
      </c>
      <c r="BN19" s="23" t="e">
        <f>BM19+'26.04 '!BN19</f>
        <v>#REF!</v>
      </c>
      <c r="BO19" s="36">
        <v>2898</v>
      </c>
      <c r="BP19" s="37">
        <v>0</v>
      </c>
      <c r="BQ19" s="23" t="e">
        <f>BP19+'26.04 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270</v>
      </c>
      <c r="D20" s="31" t="e">
        <f t="shared" si="0"/>
        <v>#REF!</v>
      </c>
      <c r="E20" s="32">
        <v>723</v>
      </c>
      <c r="F20" s="22">
        <v>144</v>
      </c>
      <c r="G20" s="23" t="e">
        <f>F20+'26.04 '!G20</f>
        <v>#REF!</v>
      </c>
      <c r="H20" s="33">
        <v>5</v>
      </c>
      <c r="I20" s="34">
        <v>1</v>
      </c>
      <c r="J20" s="23" t="e">
        <f>I20+'26.04 '!J20</f>
        <v>#REF!</v>
      </c>
      <c r="K20" s="33">
        <v>3</v>
      </c>
      <c r="L20" s="22">
        <v>0</v>
      </c>
      <c r="M20" s="23" t="e">
        <f>L20+'26.04 '!M20</f>
        <v>#REF!</v>
      </c>
      <c r="N20" s="33">
        <v>975</v>
      </c>
      <c r="O20" s="22">
        <v>55</v>
      </c>
      <c r="P20" s="23" t="e">
        <f>O20+'26.04 '!P20</f>
        <v>#REF!</v>
      </c>
      <c r="Q20" s="61">
        <v>1862</v>
      </c>
      <c r="R20" s="22">
        <v>1</v>
      </c>
      <c r="S20" s="23" t="e">
        <f>R20+'26.04 '!S20</f>
        <v>#REF!</v>
      </c>
      <c r="T20" s="33">
        <v>35</v>
      </c>
      <c r="U20" s="22">
        <v>1</v>
      </c>
      <c r="V20" s="23" t="e">
        <f>U20+'26.04 '!V20</f>
        <v>#REF!</v>
      </c>
      <c r="W20" s="33">
        <v>64</v>
      </c>
      <c r="X20" s="22">
        <v>1</v>
      </c>
      <c r="Y20" s="23" t="e">
        <f>X20+'26.04 '!Y20</f>
        <v>#REF!</v>
      </c>
      <c r="Z20" s="33">
        <v>15</v>
      </c>
      <c r="AA20" s="22">
        <v>1</v>
      </c>
      <c r="AB20" s="23" t="e">
        <f>AA20+'26.04 '!AB20</f>
        <v>#REF!</v>
      </c>
      <c r="AC20" s="33">
        <v>1546</v>
      </c>
      <c r="AD20" s="22">
        <v>66</v>
      </c>
      <c r="AE20" s="23" t="e">
        <f>AD20+'26.04 '!AE20</f>
        <v>#REF!</v>
      </c>
      <c r="AF20" s="19">
        <f t="shared" si="1"/>
        <v>15650</v>
      </c>
      <c r="AG20" s="20" t="e">
        <f t="shared" si="1"/>
        <v>#REF!</v>
      </c>
      <c r="AH20" s="24">
        <v>7200</v>
      </c>
      <c r="AI20" s="23" t="e">
        <f>AH20+'26.04 '!AI20</f>
        <v>#REF!</v>
      </c>
      <c r="AJ20" s="24">
        <v>7550</v>
      </c>
      <c r="AK20" s="23" t="e">
        <f>AJ20+'26.04 '!AK20</f>
        <v>#REF!</v>
      </c>
      <c r="AL20" s="22">
        <v>450</v>
      </c>
      <c r="AM20" s="23" t="e">
        <f>AL20+'26.04 '!AM20</f>
        <v>#REF!</v>
      </c>
      <c r="AN20" s="22">
        <v>450</v>
      </c>
      <c r="AO20" s="23" t="e">
        <f>AN20+'26.04 '!AO20</f>
        <v>#REF!</v>
      </c>
      <c r="AP20" s="28" t="s">
        <v>55</v>
      </c>
      <c r="AQ20" s="19">
        <f t="shared" si="3"/>
        <v>145</v>
      </c>
      <c r="AR20" s="20" t="e">
        <f t="shared" si="3"/>
        <v>#REF!</v>
      </c>
      <c r="AS20" s="34">
        <v>1</v>
      </c>
      <c r="AT20" s="23" t="e">
        <f>AS20+'26.04 '!AT20</f>
        <v>#REF!</v>
      </c>
      <c r="AU20" s="34">
        <v>0</v>
      </c>
      <c r="AV20" s="23" t="e">
        <f>AU20+'26.04 '!AV20</f>
        <v>#REF!</v>
      </c>
      <c r="AW20" s="34">
        <v>0</v>
      </c>
      <c r="AX20" s="23" t="e">
        <f>AW20+'26.04 '!AX20</f>
        <v>#REF!</v>
      </c>
      <c r="AY20" s="34">
        <v>0</v>
      </c>
      <c r="AZ20" s="23" t="e">
        <f>AY20+'26.04 '!AZ20</f>
        <v>#REF!</v>
      </c>
      <c r="BA20" s="34">
        <v>144</v>
      </c>
      <c r="BB20" s="23" t="e">
        <f>BA20+'26.04 '!BB20</f>
        <v>#REF!</v>
      </c>
      <c r="BC20" s="19">
        <f t="shared" si="5"/>
        <v>3287</v>
      </c>
      <c r="BD20" s="20" t="e">
        <f t="shared" si="5"/>
        <v>#REF!</v>
      </c>
      <c r="BE20" s="22">
        <v>552</v>
      </c>
      <c r="BF20" s="23" t="e">
        <f>BE20+'26.04 '!BF20</f>
        <v>#REF!</v>
      </c>
      <c r="BG20" s="34">
        <v>0</v>
      </c>
      <c r="BH20" s="23" t="e">
        <f>BG20+'26.04 '!BH20</f>
        <v>#REF!</v>
      </c>
      <c r="BI20" s="22">
        <v>1440</v>
      </c>
      <c r="BJ20" s="23" t="e">
        <f>BI20+'26.04 '!BJ20</f>
        <v>#REF!</v>
      </c>
      <c r="BK20" s="22">
        <v>1295</v>
      </c>
      <c r="BL20" s="23" t="e">
        <f>BK20+'26.04 '!BL20</f>
        <v>#REF!</v>
      </c>
      <c r="BM20" s="22">
        <v>0</v>
      </c>
      <c r="BN20" s="23" t="e">
        <f>BM20+'26.04 '!BN20</f>
        <v>#REF!</v>
      </c>
      <c r="BO20" s="36">
        <v>5854</v>
      </c>
      <c r="BP20" s="37">
        <v>0</v>
      </c>
      <c r="BQ20" s="23" t="e">
        <f>BP20+'26.04 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248</v>
      </c>
      <c r="D21" s="31" t="e">
        <f t="shared" si="0"/>
        <v>#REF!</v>
      </c>
      <c r="E21" s="32">
        <v>1017</v>
      </c>
      <c r="F21" s="22">
        <v>200</v>
      </c>
      <c r="G21" s="23" t="e">
        <f>F21+'26.04 '!G21</f>
        <v>#REF!</v>
      </c>
      <c r="H21" s="33">
        <v>8</v>
      </c>
      <c r="I21" s="34">
        <v>2</v>
      </c>
      <c r="J21" s="23" t="e">
        <f>I21+'26.04 '!J21</f>
        <v>#REF!</v>
      </c>
      <c r="K21" s="33">
        <v>4</v>
      </c>
      <c r="L21" s="22">
        <v>0</v>
      </c>
      <c r="M21" s="23" t="e">
        <f>L21+'26.04 '!M21</f>
        <v>#REF!</v>
      </c>
      <c r="N21" s="33">
        <v>963</v>
      </c>
      <c r="O21" s="22">
        <v>2</v>
      </c>
      <c r="P21" s="23" t="e">
        <f>O21+'26.04 '!P21</f>
        <v>#REF!</v>
      </c>
      <c r="Q21" s="33">
        <v>912</v>
      </c>
      <c r="R21" s="22">
        <v>0</v>
      </c>
      <c r="S21" s="23" t="e">
        <f>R21+'26.04 '!S21</f>
        <v>#REF!</v>
      </c>
      <c r="T21" s="33">
        <v>199</v>
      </c>
      <c r="U21" s="22">
        <v>4</v>
      </c>
      <c r="V21" s="23" t="e">
        <f>U21+'26.04 '!V21</f>
        <v>#REF!</v>
      </c>
      <c r="W21" s="33">
        <v>101</v>
      </c>
      <c r="X21" s="22">
        <v>40</v>
      </c>
      <c r="Y21" s="23" t="e">
        <f>X21+'26.04 '!Y21</f>
        <v>#REF!</v>
      </c>
      <c r="Z21" s="33">
        <v>42</v>
      </c>
      <c r="AA21" s="22">
        <v>0</v>
      </c>
      <c r="AB21" s="23" t="e">
        <f>AA21+'26.04 '!AB21</f>
        <v>#REF!</v>
      </c>
      <c r="AC21" s="33">
        <v>20</v>
      </c>
      <c r="AD21" s="22">
        <v>0</v>
      </c>
      <c r="AE21" s="23" t="e">
        <f>AD21+'26.04 '!AE21</f>
        <v>#REF!</v>
      </c>
      <c r="AF21" s="19">
        <f t="shared" si="1"/>
        <v>1180000</v>
      </c>
      <c r="AG21" s="20" t="e">
        <f t="shared" si="1"/>
        <v>#REF!</v>
      </c>
      <c r="AH21" s="24">
        <v>2000</v>
      </c>
      <c r="AI21" s="23" t="e">
        <f>AH21+'26.04 '!AI21</f>
        <v>#REF!</v>
      </c>
      <c r="AJ21" s="24">
        <v>178000</v>
      </c>
      <c r="AK21" s="23" t="e">
        <f>AJ21+'26.04 '!AK21</f>
        <v>#REF!</v>
      </c>
      <c r="AL21" s="22">
        <v>50000</v>
      </c>
      <c r="AM21" s="23" t="e">
        <f>AL21+'26.04 '!AM21</f>
        <v>#REF!</v>
      </c>
      <c r="AN21" s="22">
        <v>950000</v>
      </c>
      <c r="AO21" s="23" t="e">
        <f>AN21+'26.04 '!AO21</f>
        <v>#REF!</v>
      </c>
      <c r="AP21" s="28" t="s">
        <v>58</v>
      </c>
      <c r="AQ21" s="19">
        <f t="shared" si="3"/>
        <v>9</v>
      </c>
      <c r="AR21" s="20" t="e">
        <f t="shared" si="3"/>
        <v>#REF!</v>
      </c>
      <c r="AS21" s="34">
        <v>0</v>
      </c>
      <c r="AT21" s="23" t="e">
        <f>AS21+'26.04 '!AT21</f>
        <v>#REF!</v>
      </c>
      <c r="AU21" s="34">
        <v>4</v>
      </c>
      <c r="AV21" s="23" t="e">
        <f>AU21+'26.04 '!AV21</f>
        <v>#REF!</v>
      </c>
      <c r="AW21" s="34">
        <v>0</v>
      </c>
      <c r="AX21" s="23" t="e">
        <f>AW21+'26.04 '!AX21</f>
        <v>#REF!</v>
      </c>
      <c r="AY21" s="34">
        <v>0</v>
      </c>
      <c r="AZ21" s="23" t="e">
        <f>AY21+'26.04 '!AZ21</f>
        <v>#REF!</v>
      </c>
      <c r="BA21" s="34">
        <v>5</v>
      </c>
      <c r="BB21" s="23" t="e">
        <f>BA21+'26.04 '!BB21</f>
        <v>#REF!</v>
      </c>
      <c r="BC21" s="19">
        <f t="shared" si="5"/>
        <v>10050</v>
      </c>
      <c r="BD21" s="20" t="e">
        <f t="shared" si="5"/>
        <v>#REF!</v>
      </c>
      <c r="BE21" s="22">
        <v>50</v>
      </c>
      <c r="BF21" s="23" t="e">
        <f>BE21+'26.04 '!BF21</f>
        <v>#REF!</v>
      </c>
      <c r="BG21" s="34">
        <v>0</v>
      </c>
      <c r="BH21" s="23" t="e">
        <f>BG21+'26.04 '!BH21</f>
        <v>#REF!</v>
      </c>
      <c r="BI21" s="22">
        <v>10000</v>
      </c>
      <c r="BJ21" s="23" t="e">
        <f>BI21+'26.04 '!BJ21</f>
        <v>#REF!</v>
      </c>
      <c r="BK21" s="22">
        <v>0</v>
      </c>
      <c r="BL21" s="23" t="e">
        <f>BK21+'26.04 '!BL21</f>
        <v>#REF!</v>
      </c>
      <c r="BM21" s="22">
        <v>0</v>
      </c>
      <c r="BN21" s="23" t="e">
        <f>BM21+'26.04 '!BN21</f>
        <v>#REF!</v>
      </c>
      <c r="BO21" s="36">
        <v>68</v>
      </c>
      <c r="BP21" s="37">
        <v>1</v>
      </c>
      <c r="BQ21" s="23" t="e">
        <f>BP21+'26.04 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1820</v>
      </c>
      <c r="D22" s="31" t="e">
        <f t="shared" si="0"/>
        <v>#REF!</v>
      </c>
      <c r="E22" s="32">
        <v>509</v>
      </c>
      <c r="F22" s="22">
        <v>488</v>
      </c>
      <c r="G22" s="23" t="e">
        <f>F22+'26.04 '!G22</f>
        <v>#REF!</v>
      </c>
      <c r="H22" s="33">
        <v>8</v>
      </c>
      <c r="I22" s="34">
        <v>9</v>
      </c>
      <c r="J22" s="23" t="e">
        <f>I22+'26.04 '!J22</f>
        <v>#REF!</v>
      </c>
      <c r="K22" s="33">
        <v>21</v>
      </c>
      <c r="L22" s="22">
        <v>5</v>
      </c>
      <c r="M22" s="23" t="e">
        <f>L22+'26.04 '!M22</f>
        <v>#REF!</v>
      </c>
      <c r="N22" s="33">
        <v>560</v>
      </c>
      <c r="O22" s="22">
        <v>25</v>
      </c>
      <c r="P22" s="23" t="e">
        <f>O22+'26.04 '!P22</f>
        <v>#REF!</v>
      </c>
      <c r="Q22" s="33">
        <v>375</v>
      </c>
      <c r="R22" s="22">
        <v>20</v>
      </c>
      <c r="S22" s="23" t="e">
        <f>R22+'26.04 '!S22</f>
        <v>#REF!</v>
      </c>
      <c r="T22" s="33">
        <v>165</v>
      </c>
      <c r="U22" s="22">
        <v>29</v>
      </c>
      <c r="V22" s="23" t="e">
        <f>U22+'26.04 '!V22</f>
        <v>#REF!</v>
      </c>
      <c r="W22" s="33">
        <v>28</v>
      </c>
      <c r="X22" s="22">
        <v>55</v>
      </c>
      <c r="Y22" s="23" t="e">
        <f>X22+'26.04 '!Y22</f>
        <v>#REF!</v>
      </c>
      <c r="Z22" s="33">
        <v>9</v>
      </c>
      <c r="AA22" s="22">
        <v>0</v>
      </c>
      <c r="AB22" s="23" t="e">
        <f>AA22+'26.04 '!AB22</f>
        <v>#REF!</v>
      </c>
      <c r="AC22" s="33">
        <v>112</v>
      </c>
      <c r="AD22" s="22">
        <v>1189</v>
      </c>
      <c r="AE22" s="23" t="e">
        <f>AD22+'26.04 '!AE22</f>
        <v>#REF!</v>
      </c>
      <c r="AF22" s="19">
        <f t="shared" si="1"/>
        <v>662909</v>
      </c>
      <c r="AG22" s="20" t="e">
        <f t="shared" si="1"/>
        <v>#REF!</v>
      </c>
      <c r="AH22" s="24">
        <v>1254</v>
      </c>
      <c r="AI22" s="23" t="e">
        <f>AH22+'26.04 '!AI22</f>
        <v>#REF!</v>
      </c>
      <c r="AJ22" s="24">
        <v>7434</v>
      </c>
      <c r="AK22" s="23" t="e">
        <f>AJ22+'26.04 '!AK22</f>
        <v>#REF!</v>
      </c>
      <c r="AL22" s="22">
        <v>2511</v>
      </c>
      <c r="AM22" s="23" t="e">
        <f>AL22+'26.04 '!AM22</f>
        <v>#REF!</v>
      </c>
      <c r="AN22" s="22">
        <v>651710</v>
      </c>
      <c r="AO22" s="23" t="e">
        <f>AN22+'26.04 '!AO22</f>
        <v>#REF!</v>
      </c>
      <c r="AP22" s="28" t="s">
        <v>59</v>
      </c>
      <c r="AQ22" s="19">
        <f t="shared" si="3"/>
        <v>2001</v>
      </c>
      <c r="AR22" s="20" t="e">
        <f t="shared" si="3"/>
        <v>#REF!</v>
      </c>
      <c r="AS22" s="34">
        <v>1</v>
      </c>
      <c r="AT22" s="23" t="e">
        <f>AS22+'26.04 '!AT22</f>
        <v>#REF!</v>
      </c>
      <c r="AU22" s="34">
        <v>1</v>
      </c>
      <c r="AV22" s="23" t="e">
        <f>AU22+'26.04 '!AV22</f>
        <v>#REF!</v>
      </c>
      <c r="AW22" s="34">
        <v>0</v>
      </c>
      <c r="AX22" s="23" t="e">
        <f>AW22+'26.04 '!AX22</f>
        <v>#REF!</v>
      </c>
      <c r="AY22" s="34">
        <v>0</v>
      </c>
      <c r="AZ22" s="23" t="e">
        <f>AY22+'26.04 '!AZ22</f>
        <v>#REF!</v>
      </c>
      <c r="BA22" s="34">
        <v>1999</v>
      </c>
      <c r="BB22" s="23" t="e">
        <f>BA22+'26.04 '!BB22</f>
        <v>#REF!</v>
      </c>
      <c r="BC22" s="19">
        <f t="shared" si="5"/>
        <v>7480</v>
      </c>
      <c r="BD22" s="20" t="e">
        <f t="shared" si="5"/>
        <v>#REF!</v>
      </c>
      <c r="BE22" s="22">
        <v>6</v>
      </c>
      <c r="BF22" s="23" t="e">
        <f>BE22+'26.04 '!BF22</f>
        <v>#REF!</v>
      </c>
      <c r="BG22" s="34">
        <v>0</v>
      </c>
      <c r="BH22" s="23" t="e">
        <f>BG22+'26.04 '!BH22</f>
        <v>#REF!</v>
      </c>
      <c r="BI22" s="22">
        <v>7444</v>
      </c>
      <c r="BJ22" s="23" t="e">
        <f>BI22+'26.04 '!BJ22</f>
        <v>#REF!</v>
      </c>
      <c r="BK22" s="22">
        <v>30</v>
      </c>
      <c r="BL22" s="23" t="e">
        <f>BK22+'26.04 '!BL22</f>
        <v>#REF!</v>
      </c>
      <c r="BM22" s="22">
        <v>0</v>
      </c>
      <c r="BN22" s="23" t="e">
        <f>BM22+'26.04 '!BN22</f>
        <v>#REF!</v>
      </c>
      <c r="BO22" s="36">
        <v>26</v>
      </c>
      <c r="BP22" s="37">
        <v>2</v>
      </c>
      <c r="BQ22" s="23" t="e">
        <f>BP22+'26.04 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3944</v>
      </c>
      <c r="D23" s="65" t="e">
        <f t="shared" si="0"/>
        <v>#REF!</v>
      </c>
      <c r="E23" s="66">
        <f>+E18+E19+E22+E17+E16+E15+E14+E13+E12+E11+E10+E9+E8</f>
        <v>7282</v>
      </c>
      <c r="F23" s="67">
        <f t="shared" ref="F23:J23" si="7">SUM(F8:F22)</f>
        <v>1764</v>
      </c>
      <c r="G23" s="68" t="e">
        <f t="shared" si="7"/>
        <v>#REF!</v>
      </c>
      <c r="H23" s="66">
        <f>+H18+H19+H22+H17+H16+H15+H14+H13+H12+H11+H10+H9+H8</f>
        <v>271</v>
      </c>
      <c r="I23" s="67">
        <f t="shared" si="7"/>
        <v>25</v>
      </c>
      <c r="J23" s="68" t="e">
        <f t="shared" si="7"/>
        <v>#REF!</v>
      </c>
      <c r="K23" s="66">
        <f>+K18+K19+K22+K17+K16+K15+K14+K13+K12+K11+K10+K9+K8</f>
        <v>163</v>
      </c>
      <c r="L23" s="67">
        <f t="shared" ref="L23:P23" si="8">SUM(L8:L22)</f>
        <v>5</v>
      </c>
      <c r="M23" s="68" t="e">
        <f t="shared" si="8"/>
        <v>#REF!</v>
      </c>
      <c r="N23" s="66">
        <f>+N18+N19+N22+N17+N16+N15+N14+N13+N12+N11+N10+N9+N8</f>
        <v>8607</v>
      </c>
      <c r="O23" s="67">
        <f t="shared" si="8"/>
        <v>123</v>
      </c>
      <c r="P23" s="68" t="e">
        <f t="shared" si="8"/>
        <v>#REF!</v>
      </c>
      <c r="Q23" s="66">
        <f>+Q18+Q19+Q22+Q17+Q16+Q15+Q14+Q13+Q12+Q11+Q10+Q9+Q8</f>
        <v>7474</v>
      </c>
      <c r="R23" s="67">
        <f t="shared" ref="R23:V23" si="9">SUM(R8:R22)</f>
        <v>35</v>
      </c>
      <c r="S23" s="68" t="e">
        <f t="shared" si="9"/>
        <v>#REF!</v>
      </c>
      <c r="T23" s="66">
        <f>+T18+T19+T22+T17+T16+T15+T14+T13+T12+T11+T10+T9+T8</f>
        <v>4115</v>
      </c>
      <c r="U23" s="67">
        <f t="shared" si="9"/>
        <v>39</v>
      </c>
      <c r="V23" s="68" t="e">
        <f t="shared" si="9"/>
        <v>#REF!</v>
      </c>
      <c r="W23" s="66">
        <f>+W18+W19+W22+W17+W16+W15+W14+W13+W12+W11+W10+W9+W8</f>
        <v>604</v>
      </c>
      <c r="X23" s="67">
        <f t="shared" ref="X23:AB23" si="10">SUM(X8:X22)</f>
        <v>443</v>
      </c>
      <c r="Y23" s="68" t="e">
        <f t="shared" si="10"/>
        <v>#REF!</v>
      </c>
      <c r="Z23" s="66">
        <f>+Z18+Z19+Z22+Z17+Z16+Z15+Z14+Z13+Z12+Z11+Z10+Z9+Z8</f>
        <v>1629</v>
      </c>
      <c r="AA23" s="67">
        <f t="shared" si="10"/>
        <v>4</v>
      </c>
      <c r="AB23" s="68" t="e">
        <f t="shared" si="10"/>
        <v>#REF!</v>
      </c>
      <c r="AC23" s="66">
        <f>+AC18+AC19+AC22+AC17+AC16+AC15+AC14+AC13+AC12+AC11+AC10+AC9+AC8</f>
        <v>64846</v>
      </c>
      <c r="AD23" s="67">
        <f t="shared" ref="AD23:AO23" si="11">SUM(AD8:AD22)</f>
        <v>1506</v>
      </c>
      <c r="AE23" s="68" t="e">
        <f t="shared" si="11"/>
        <v>#REF!</v>
      </c>
      <c r="AF23" s="64">
        <f t="shared" si="11"/>
        <v>3070144</v>
      </c>
      <c r="AG23" s="64" t="e">
        <f t="shared" si="11"/>
        <v>#REF!</v>
      </c>
      <c r="AH23" s="67">
        <f t="shared" si="11"/>
        <v>31896</v>
      </c>
      <c r="AI23" s="68" t="e">
        <f t="shared" si="11"/>
        <v>#REF!</v>
      </c>
      <c r="AJ23" s="67">
        <f t="shared" si="11"/>
        <v>248116</v>
      </c>
      <c r="AK23" s="68" t="e">
        <f t="shared" si="11"/>
        <v>#REF!</v>
      </c>
      <c r="AL23" s="67">
        <f t="shared" si="11"/>
        <v>402521</v>
      </c>
      <c r="AM23" s="68" t="e">
        <f t="shared" si="11"/>
        <v>#REF!</v>
      </c>
      <c r="AN23" s="67">
        <f t="shared" si="11"/>
        <v>2387611</v>
      </c>
      <c r="AO23" s="68" t="e">
        <f t="shared" si="11"/>
        <v>#REF!</v>
      </c>
      <c r="AP23" s="62" t="s">
        <v>12</v>
      </c>
      <c r="AQ23" s="64">
        <f t="shared" ref="AQ23:BP23" si="12">SUM(AQ8:AQ22)</f>
        <v>2377</v>
      </c>
      <c r="AR23" s="64" t="e">
        <f t="shared" si="12"/>
        <v>#REF!</v>
      </c>
      <c r="AS23" s="67">
        <f t="shared" si="12"/>
        <v>4</v>
      </c>
      <c r="AT23" s="68" t="e">
        <f t="shared" si="12"/>
        <v>#REF!</v>
      </c>
      <c r="AU23" s="67">
        <f t="shared" si="12"/>
        <v>7</v>
      </c>
      <c r="AV23" s="68" t="e">
        <f t="shared" si="12"/>
        <v>#REF!</v>
      </c>
      <c r="AW23" s="67">
        <f t="shared" si="12"/>
        <v>0</v>
      </c>
      <c r="AX23" s="68" t="e">
        <f t="shared" si="12"/>
        <v>#REF!</v>
      </c>
      <c r="AY23" s="67">
        <f t="shared" si="12"/>
        <v>0</v>
      </c>
      <c r="AZ23" s="68" t="e">
        <f t="shared" si="12"/>
        <v>#REF!</v>
      </c>
      <c r="BA23" s="67">
        <f t="shared" si="12"/>
        <v>2366</v>
      </c>
      <c r="BB23" s="68" t="e">
        <f t="shared" si="12"/>
        <v>#REF!</v>
      </c>
      <c r="BC23" s="64">
        <f t="shared" si="12"/>
        <v>46774</v>
      </c>
      <c r="BD23" s="64" t="e">
        <f t="shared" si="12"/>
        <v>#REF!</v>
      </c>
      <c r="BE23" s="67">
        <f t="shared" si="12"/>
        <v>1922</v>
      </c>
      <c r="BF23" s="68" t="e">
        <f t="shared" si="12"/>
        <v>#REF!</v>
      </c>
      <c r="BG23" s="67">
        <f t="shared" si="12"/>
        <v>32</v>
      </c>
      <c r="BH23" s="68" t="e">
        <f t="shared" si="12"/>
        <v>#REF!</v>
      </c>
      <c r="BI23" s="67">
        <f t="shared" si="12"/>
        <v>40548</v>
      </c>
      <c r="BJ23" s="68" t="e">
        <f t="shared" si="12"/>
        <v>#REF!</v>
      </c>
      <c r="BK23" s="67">
        <f t="shared" si="12"/>
        <v>4272</v>
      </c>
      <c r="BL23" s="68" t="e">
        <f t="shared" si="12"/>
        <v>#REF!</v>
      </c>
      <c r="BM23" s="67">
        <f t="shared" si="12"/>
        <v>0</v>
      </c>
      <c r="BN23" s="68" t="e">
        <f t="shared" si="12"/>
        <v>#REF!</v>
      </c>
      <c r="BO23" s="69">
        <f t="shared" si="12"/>
        <v>37684</v>
      </c>
      <c r="BP23" s="70">
        <f t="shared" si="12"/>
        <v>20</v>
      </c>
      <c r="BQ23" s="23">
        <f>BP23+'20.04'!BP23</f>
        <v>46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BU23"/>
  <sheetViews>
    <sheetView zoomScale="85" zoomScaleNormal="85" workbookViewId="0">
      <pane xSplit="4" ySplit="8" topLeftCell="BC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0</v>
      </c>
      <c r="D9" s="31" t="e">
        <f t="shared" si="0"/>
        <v>#REF!</v>
      </c>
      <c r="E9" s="32">
        <v>452</v>
      </c>
      <c r="F9" s="22"/>
      <c r="G9" s="23" t="e">
        <f>F9+'27.04'!G9</f>
        <v>#REF!</v>
      </c>
      <c r="H9" s="33">
        <v>12</v>
      </c>
      <c r="I9" s="34"/>
      <c r="J9" s="23" t="e">
        <f>I9+'27.04'!J9</f>
        <v>#REF!</v>
      </c>
      <c r="K9" s="33">
        <v>2</v>
      </c>
      <c r="L9" s="22"/>
      <c r="M9" s="23" t="e">
        <f>L9+'27.04'!M9</f>
        <v>#REF!</v>
      </c>
      <c r="N9" s="33">
        <v>735</v>
      </c>
      <c r="O9" s="22"/>
      <c r="P9" s="23" t="e">
        <f>O9+'27.04'!P9</f>
        <v>#REF!</v>
      </c>
      <c r="Q9" s="33">
        <v>502</v>
      </c>
      <c r="R9" s="22">
        <v>0</v>
      </c>
      <c r="S9" s="23" t="e">
        <f>R9+'27.04'!S9</f>
        <v>#REF!</v>
      </c>
      <c r="T9" s="33">
        <v>197</v>
      </c>
      <c r="U9" s="22">
        <v>0</v>
      </c>
      <c r="V9" s="23" t="e">
        <f>U9+'27.04'!V9</f>
        <v>#REF!</v>
      </c>
      <c r="W9" s="33">
        <v>47</v>
      </c>
      <c r="X9" s="22"/>
      <c r="Y9" s="23" t="e">
        <f>X9+'27.04'!Y9</f>
        <v>#REF!</v>
      </c>
      <c r="Z9" s="33">
        <v>34</v>
      </c>
      <c r="AA9" s="22">
        <v>0</v>
      </c>
      <c r="AB9" s="23" t="e">
        <f>AA9+'27.04'!AB9</f>
        <v>#REF!</v>
      </c>
      <c r="AC9" s="33">
        <v>1860</v>
      </c>
      <c r="AD9" s="22"/>
      <c r="AE9" s="23" t="e">
        <f>AD9+'27.04'!AE9</f>
        <v>#REF!</v>
      </c>
      <c r="AF9" s="19">
        <f t="shared" si="1"/>
        <v>0</v>
      </c>
      <c r="AG9" s="20" t="e">
        <f t="shared" si="1"/>
        <v>#REF!</v>
      </c>
      <c r="AH9" s="24"/>
      <c r="AI9" s="23" t="e">
        <f>AH9+'27.04'!AI9</f>
        <v>#REF!</v>
      </c>
      <c r="AJ9" s="24"/>
      <c r="AK9" s="23" t="e">
        <f>AJ9+'27.04'!AK9</f>
        <v>#REF!</v>
      </c>
      <c r="AL9" s="22"/>
      <c r="AM9" s="23" t="e">
        <f>AL9+'27.04'!AM9</f>
        <v>#REF!</v>
      </c>
      <c r="AN9" s="22"/>
      <c r="AO9" s="23" t="e">
        <f>AN9+'27.04'!AO9</f>
        <v>#REF!</v>
      </c>
      <c r="AP9" s="28" t="s">
        <v>43</v>
      </c>
      <c r="AQ9" s="19">
        <f t="shared" si="3"/>
        <v>0</v>
      </c>
      <c r="AR9" s="20" t="e">
        <f t="shared" si="3"/>
        <v>#REF!</v>
      </c>
      <c r="AS9" s="34"/>
      <c r="AT9" s="23" t="e">
        <f>AS9+'27.04'!AT9</f>
        <v>#REF!</v>
      </c>
      <c r="AU9" s="34"/>
      <c r="AV9" s="23" t="e">
        <f>AU9+'27.04'!AV9</f>
        <v>#REF!</v>
      </c>
      <c r="AW9" s="34">
        <v>0</v>
      </c>
      <c r="AX9" s="23" t="e">
        <f>AW9+'27.04'!AX9</f>
        <v>#REF!</v>
      </c>
      <c r="AY9" s="34">
        <v>0</v>
      </c>
      <c r="AZ9" s="23" t="e">
        <f>AY9+'27.04'!AZ9</f>
        <v>#REF!</v>
      </c>
      <c r="BA9" s="34"/>
      <c r="BB9" s="23" t="e">
        <f>BA9+'27.04'!BB9</f>
        <v>#REF!</v>
      </c>
      <c r="BC9" s="19">
        <f t="shared" si="5"/>
        <v>0</v>
      </c>
      <c r="BD9" s="20" t="e">
        <f t="shared" si="5"/>
        <v>#REF!</v>
      </c>
      <c r="BE9" s="22"/>
      <c r="BF9" s="23" t="e">
        <f>BE9+'27.04'!BF9</f>
        <v>#REF!</v>
      </c>
      <c r="BG9" s="34">
        <v>0</v>
      </c>
      <c r="BH9" s="23" t="e">
        <f>BG9+'27.04'!BH9</f>
        <v>#REF!</v>
      </c>
      <c r="BI9" s="22"/>
      <c r="BJ9" s="23" t="e">
        <f>BI9+'27.04'!BJ9</f>
        <v>#REF!</v>
      </c>
      <c r="BK9" s="22">
        <v>0</v>
      </c>
      <c r="BL9" s="23" t="e">
        <f>BK9+'27.04'!BL9</f>
        <v>#REF!</v>
      </c>
      <c r="BM9" s="22">
        <v>0</v>
      </c>
      <c r="BN9" s="23" t="e">
        <f>BM9+'27.04'!BN9</f>
        <v>#REF!</v>
      </c>
      <c r="BO9" s="36">
        <v>14</v>
      </c>
      <c r="BP9" s="37">
        <v>0</v>
      </c>
      <c r="BQ9" s="23" t="e">
        <f>BP9+'27.04'!BQ9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120</v>
      </c>
      <c r="D10" s="31" t="e">
        <f t="shared" si="0"/>
        <v>#REF!</v>
      </c>
      <c r="E10" s="32">
        <v>585</v>
      </c>
      <c r="F10" s="22">
        <v>14</v>
      </c>
      <c r="G10" s="23" t="e">
        <f>F10+'27.04'!G10</f>
        <v>#REF!</v>
      </c>
      <c r="H10" s="33">
        <v>93</v>
      </c>
      <c r="I10" s="34">
        <v>4</v>
      </c>
      <c r="J10" s="23" t="e">
        <f>I10+'27.04'!J10</f>
        <v>#REF!</v>
      </c>
      <c r="K10" s="33">
        <v>34</v>
      </c>
      <c r="L10" s="22">
        <v>3</v>
      </c>
      <c r="M10" s="23" t="e">
        <f>L10+'27.04'!M10</f>
        <v>#REF!</v>
      </c>
      <c r="N10" s="33">
        <v>352</v>
      </c>
      <c r="O10" s="22">
        <v>8</v>
      </c>
      <c r="P10" s="23" t="e">
        <f>O10+'27.04'!P10</f>
        <v>#REF!</v>
      </c>
      <c r="Q10" s="33">
        <v>549</v>
      </c>
      <c r="R10" s="22">
        <v>5</v>
      </c>
      <c r="S10" s="23" t="e">
        <f>R10+'27.04'!S10</f>
        <v>#REF!</v>
      </c>
      <c r="T10" s="33">
        <v>198</v>
      </c>
      <c r="U10" s="22">
        <v>4</v>
      </c>
      <c r="V10" s="23" t="e">
        <f>U10+'27.04'!V10</f>
        <v>#REF!</v>
      </c>
      <c r="W10" s="38">
        <v>55</v>
      </c>
      <c r="X10" s="22">
        <v>1</v>
      </c>
      <c r="Y10" s="23" t="e">
        <f>X10+'27.04'!Y10</f>
        <v>#REF!</v>
      </c>
      <c r="Z10" s="38">
        <v>71</v>
      </c>
      <c r="AA10" s="22">
        <v>15</v>
      </c>
      <c r="AB10" s="23" t="e">
        <f>AA10+'27.04'!AB10</f>
        <v>#REF!</v>
      </c>
      <c r="AC10" s="38">
        <v>1690</v>
      </c>
      <c r="AD10" s="22">
        <v>66</v>
      </c>
      <c r="AE10" s="23" t="e">
        <f>AD10+'27.04'!AE10</f>
        <v>#REF!</v>
      </c>
      <c r="AF10" s="19">
        <f t="shared" si="1"/>
        <v>104688</v>
      </c>
      <c r="AG10" s="20" t="e">
        <f t="shared" si="1"/>
        <v>#REF!</v>
      </c>
      <c r="AH10" s="24">
        <v>777</v>
      </c>
      <c r="AI10" s="23" t="e">
        <f>AH10+'27.04'!AI10</f>
        <v>#REF!</v>
      </c>
      <c r="AJ10" s="24">
        <v>4133</v>
      </c>
      <c r="AK10" s="23" t="e">
        <f>AJ10+'27.04'!AK10</f>
        <v>#REF!</v>
      </c>
      <c r="AL10" s="22">
        <v>10076</v>
      </c>
      <c r="AM10" s="23" t="e">
        <f>AL10+'27.04'!AM10</f>
        <v>#REF!</v>
      </c>
      <c r="AN10" s="22">
        <v>89702</v>
      </c>
      <c r="AO10" s="23" t="e">
        <f>AN10+'27.04'!AO10</f>
        <v>#REF!</v>
      </c>
      <c r="AP10" s="28" t="s">
        <v>44</v>
      </c>
      <c r="AQ10" s="19">
        <f t="shared" si="3"/>
        <v>9</v>
      </c>
      <c r="AR10" s="20" t="e">
        <f t="shared" si="3"/>
        <v>#REF!</v>
      </c>
      <c r="AS10" s="34">
        <v>0</v>
      </c>
      <c r="AT10" s="23" t="e">
        <f>AS10+'27.04'!AT10</f>
        <v>#REF!</v>
      </c>
      <c r="AU10" s="34">
        <v>0</v>
      </c>
      <c r="AV10" s="23" t="e">
        <f>AU10+'27.04'!AV10</f>
        <v>#REF!</v>
      </c>
      <c r="AW10" s="34">
        <v>0</v>
      </c>
      <c r="AX10" s="23" t="e">
        <f>AW10+'27.04'!AX10</f>
        <v>#REF!</v>
      </c>
      <c r="AY10" s="34">
        <v>0</v>
      </c>
      <c r="AZ10" s="23" t="e">
        <f>AY10+'27.04'!AZ10</f>
        <v>#REF!</v>
      </c>
      <c r="BA10" s="34">
        <v>9</v>
      </c>
      <c r="BB10" s="23" t="e">
        <f>BA10+'27.04'!BB10</f>
        <v>#REF!</v>
      </c>
      <c r="BC10" s="19">
        <f t="shared" si="5"/>
        <v>4551</v>
      </c>
      <c r="BD10" s="20" t="e">
        <f t="shared" si="5"/>
        <v>#REF!</v>
      </c>
      <c r="BE10" s="22">
        <v>601</v>
      </c>
      <c r="BF10" s="23" t="e">
        <f>BE10+'27.04'!BF10</f>
        <v>#REF!</v>
      </c>
      <c r="BG10" s="34">
        <v>0</v>
      </c>
      <c r="BH10" s="23" t="e">
        <f>BG10+'27.04'!BH10</f>
        <v>#REF!</v>
      </c>
      <c r="BI10" s="22">
        <v>2943</v>
      </c>
      <c r="BJ10" s="23" t="e">
        <f>BI10+'27.04'!BJ10</f>
        <v>#REF!</v>
      </c>
      <c r="BK10" s="22">
        <v>1007</v>
      </c>
      <c r="BL10" s="23" t="e">
        <f>BK10+'27.04'!BL10</f>
        <v>#REF!</v>
      </c>
      <c r="BM10" s="22">
        <v>0</v>
      </c>
      <c r="BN10" s="23" t="e">
        <f>BM10+'27.04'!BN10</f>
        <v>#REF!</v>
      </c>
      <c r="BO10" s="36">
        <v>32</v>
      </c>
      <c r="BP10" s="37">
        <v>5</v>
      </c>
      <c r="BQ10" s="23" t="e">
        <f>BP10+'27.04'!BQ10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55</v>
      </c>
      <c r="D11" s="31" t="e">
        <f t="shared" si="0"/>
        <v>#REF!</v>
      </c>
      <c r="E11" s="32">
        <v>883</v>
      </c>
      <c r="F11" s="22">
        <v>32</v>
      </c>
      <c r="G11" s="23" t="e">
        <f>F11+'27.04'!G11</f>
        <v>#REF!</v>
      </c>
      <c r="H11" s="33">
        <v>16</v>
      </c>
      <c r="I11" s="34">
        <v>0</v>
      </c>
      <c r="J11" s="23" t="e">
        <f>I11+'27.04'!J11</f>
        <v>#REF!</v>
      </c>
      <c r="K11" s="33">
        <v>3</v>
      </c>
      <c r="L11" s="22">
        <v>0</v>
      </c>
      <c r="M11" s="23" t="e">
        <f>L11+'27.04'!M11</f>
        <v>#REF!</v>
      </c>
      <c r="N11" s="33">
        <v>875</v>
      </c>
      <c r="O11" s="22">
        <v>0</v>
      </c>
      <c r="P11" s="23" t="e">
        <f>O11+'27.04'!P11</f>
        <v>#REF!</v>
      </c>
      <c r="Q11" s="33">
        <v>2424</v>
      </c>
      <c r="R11" s="22">
        <v>0</v>
      </c>
      <c r="S11" s="23" t="e">
        <f>R11+'27.04'!S11</f>
        <v>#REF!</v>
      </c>
      <c r="T11" s="33">
        <v>69</v>
      </c>
      <c r="U11" s="22">
        <v>0</v>
      </c>
      <c r="V11" s="23" t="e">
        <f>U11+'27.04'!V11</f>
        <v>#REF!</v>
      </c>
      <c r="W11" s="38">
        <v>133</v>
      </c>
      <c r="X11" s="22">
        <v>22</v>
      </c>
      <c r="Y11" s="23" t="e">
        <f>X11+'27.04'!Y11</f>
        <v>#REF!</v>
      </c>
      <c r="Z11" s="38">
        <v>1116</v>
      </c>
      <c r="AA11" s="22">
        <v>0</v>
      </c>
      <c r="AB11" s="23" t="e">
        <f>AA11+'27.04'!AB11</f>
        <v>#REF!</v>
      </c>
      <c r="AC11" s="38">
        <v>9862</v>
      </c>
      <c r="AD11" s="22">
        <v>1</v>
      </c>
      <c r="AE11" s="23" t="e">
        <f>AD11+'27.04'!AE11</f>
        <v>#REF!</v>
      </c>
      <c r="AF11" s="19">
        <f t="shared" si="1"/>
        <v>71400</v>
      </c>
      <c r="AG11" s="20" t="e">
        <f t="shared" si="1"/>
        <v>#REF!</v>
      </c>
      <c r="AH11" s="24">
        <v>2200</v>
      </c>
      <c r="AI11" s="23" t="e">
        <f>AH11+'27.04'!AI11</f>
        <v>#REF!</v>
      </c>
      <c r="AJ11" s="24">
        <v>7200</v>
      </c>
      <c r="AK11" s="23" t="e">
        <f>AJ11+'27.04'!AK11</f>
        <v>#REF!</v>
      </c>
      <c r="AL11" s="22">
        <v>21000</v>
      </c>
      <c r="AM11" s="23" t="e">
        <f>AL11+'27.04'!AM11</f>
        <v>#REF!</v>
      </c>
      <c r="AN11" s="22">
        <v>41000</v>
      </c>
      <c r="AO11" s="23" t="e">
        <f>AN11+'27.04'!AO11</f>
        <v>#REF!</v>
      </c>
      <c r="AP11" s="28" t="s">
        <v>45</v>
      </c>
      <c r="AQ11" s="19">
        <f t="shared" si="3"/>
        <v>5</v>
      </c>
      <c r="AR11" s="20" t="e">
        <f t="shared" si="3"/>
        <v>#REF!</v>
      </c>
      <c r="AS11" s="34">
        <v>0</v>
      </c>
      <c r="AT11" s="23" t="e">
        <f>AS11+'27.04'!AT11</f>
        <v>#REF!</v>
      </c>
      <c r="AU11" s="34">
        <v>0</v>
      </c>
      <c r="AV11" s="23" t="e">
        <f>AU11+'27.04'!AV11</f>
        <v>#REF!</v>
      </c>
      <c r="AW11" s="34">
        <v>0</v>
      </c>
      <c r="AX11" s="23" t="e">
        <f>AW11+'27.04'!AX11</f>
        <v>#REF!</v>
      </c>
      <c r="AY11" s="34">
        <v>0</v>
      </c>
      <c r="AZ11" s="23" t="e">
        <f>AY11+'27.04'!AZ11</f>
        <v>#REF!</v>
      </c>
      <c r="BA11" s="34">
        <v>5</v>
      </c>
      <c r="BB11" s="23" t="e">
        <f>BA11+'27.04'!BB11</f>
        <v>#REF!</v>
      </c>
      <c r="BC11" s="19">
        <f t="shared" si="5"/>
        <v>2165</v>
      </c>
      <c r="BD11" s="20" t="e">
        <f t="shared" si="5"/>
        <v>#REF!</v>
      </c>
      <c r="BE11" s="22">
        <v>2</v>
      </c>
      <c r="BF11" s="23" t="e">
        <f>BE11+'27.04'!BF11</f>
        <v>#REF!</v>
      </c>
      <c r="BG11" s="34">
        <v>3</v>
      </c>
      <c r="BH11" s="23" t="e">
        <f>BG11+'27.04'!BH11</f>
        <v>#REF!</v>
      </c>
      <c r="BI11" s="22">
        <v>2100</v>
      </c>
      <c r="BJ11" s="23" t="e">
        <f>BI11+'27.04'!BJ11</f>
        <v>#REF!</v>
      </c>
      <c r="BK11" s="22">
        <v>60</v>
      </c>
      <c r="BL11" s="23" t="e">
        <f>BK11+'27.04'!BL11</f>
        <v>#REF!</v>
      </c>
      <c r="BM11" s="22">
        <v>0</v>
      </c>
      <c r="BN11" s="23" t="e">
        <f>BM11+'27.04'!BN11</f>
        <v>#REF!</v>
      </c>
      <c r="BO11" s="36">
        <v>11506</v>
      </c>
      <c r="BP11" s="37">
        <v>0</v>
      </c>
      <c r="BQ11" s="23" t="e">
        <f>BP11+'27.04'!BQ11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252</v>
      </c>
      <c r="D12" s="31" t="e">
        <f t="shared" si="0"/>
        <v>#REF!</v>
      </c>
      <c r="E12" s="32">
        <v>909</v>
      </c>
      <c r="F12" s="22">
        <v>82</v>
      </c>
      <c r="G12" s="23" t="e">
        <f>F12+'27.04'!G12</f>
        <v>#REF!</v>
      </c>
      <c r="H12" s="33">
        <v>80</v>
      </c>
      <c r="I12" s="34">
        <v>6</v>
      </c>
      <c r="J12" s="23" t="e">
        <f>I12+'27.04'!J12</f>
        <v>#REF!</v>
      </c>
      <c r="K12" s="33">
        <v>5</v>
      </c>
      <c r="L12" s="22">
        <v>0</v>
      </c>
      <c r="M12" s="23" t="e">
        <f>L12+'27.04'!M12</f>
        <v>#REF!</v>
      </c>
      <c r="N12" s="33">
        <v>820</v>
      </c>
      <c r="O12" s="22">
        <v>31</v>
      </c>
      <c r="P12" s="23" t="e">
        <f>O12+'27.04'!P12</f>
        <v>#REF!</v>
      </c>
      <c r="Q12" s="33">
        <v>549</v>
      </c>
      <c r="R12" s="22">
        <v>0</v>
      </c>
      <c r="S12" s="23" t="e">
        <f>R12+'27.04'!S12</f>
        <v>#REF!</v>
      </c>
      <c r="T12" s="33">
        <v>992</v>
      </c>
      <c r="U12" s="22">
        <v>0</v>
      </c>
      <c r="V12" s="23" t="e">
        <f>U12+'27.04'!V12</f>
        <v>#REF!</v>
      </c>
      <c r="W12" s="33">
        <v>38</v>
      </c>
      <c r="X12" s="22">
        <v>95</v>
      </c>
      <c r="Y12" s="23" t="e">
        <f>X12+'27.04'!Y12</f>
        <v>#REF!</v>
      </c>
      <c r="Z12" s="33">
        <v>68</v>
      </c>
      <c r="AA12" s="22">
        <v>0</v>
      </c>
      <c r="AB12" s="23" t="e">
        <f>AA12+'27.04'!AB12</f>
        <v>#REF!</v>
      </c>
      <c r="AC12" s="33">
        <v>26703</v>
      </c>
      <c r="AD12" s="22">
        <v>38</v>
      </c>
      <c r="AE12" s="23" t="e">
        <f>AD12+'27.04'!AE12</f>
        <v>#REF!</v>
      </c>
      <c r="AF12" s="19">
        <f t="shared" si="1"/>
        <v>5103</v>
      </c>
      <c r="AG12" s="20" t="e">
        <f t="shared" si="1"/>
        <v>#REF!</v>
      </c>
      <c r="AH12" s="24">
        <v>957</v>
      </c>
      <c r="AI12" s="23" t="e">
        <f>AH12+'27.04'!AI12</f>
        <v>#REF!</v>
      </c>
      <c r="AJ12" s="24">
        <v>1046</v>
      </c>
      <c r="AK12" s="23" t="e">
        <f>AJ12+'27.04'!AK12</f>
        <v>#REF!</v>
      </c>
      <c r="AL12" s="22">
        <v>1550</v>
      </c>
      <c r="AM12" s="23" t="e">
        <f>AL12+'27.04'!AM12</f>
        <v>#REF!</v>
      </c>
      <c r="AN12" s="22">
        <v>1550</v>
      </c>
      <c r="AO12" s="23" t="e">
        <f>AN12+'27.04'!AO12</f>
        <v>#REF!</v>
      </c>
      <c r="AP12" s="28" t="s">
        <v>46</v>
      </c>
      <c r="AQ12" s="19">
        <f t="shared" si="3"/>
        <v>77</v>
      </c>
      <c r="AR12" s="20" t="e">
        <f t="shared" si="3"/>
        <v>#REF!</v>
      </c>
      <c r="AS12" s="34">
        <v>0</v>
      </c>
      <c r="AT12" s="23" t="e">
        <f>AS12+'27.04'!AT12</f>
        <v>#REF!</v>
      </c>
      <c r="AU12" s="34">
        <v>0</v>
      </c>
      <c r="AV12" s="23" t="e">
        <f>AU12+'27.04'!AV12</f>
        <v>#REF!</v>
      </c>
      <c r="AW12" s="34">
        <v>0</v>
      </c>
      <c r="AX12" s="23" t="e">
        <f>AW12+'27.04'!AX12</f>
        <v>#REF!</v>
      </c>
      <c r="AY12" s="34">
        <v>0</v>
      </c>
      <c r="AZ12" s="23" t="e">
        <f>AY12+'27.04'!AZ12</f>
        <v>#REF!</v>
      </c>
      <c r="BA12" s="34">
        <v>77</v>
      </c>
      <c r="BB12" s="23" t="e">
        <f>BA12+'27.04'!BB12</f>
        <v>#REF!</v>
      </c>
      <c r="BC12" s="19">
        <f t="shared" si="5"/>
        <v>560</v>
      </c>
      <c r="BD12" s="20" t="e">
        <f t="shared" si="5"/>
        <v>#REF!</v>
      </c>
      <c r="BE12" s="22">
        <v>48</v>
      </c>
      <c r="BF12" s="23" t="e">
        <f>BE12+'27.04'!BF12</f>
        <v>#REF!</v>
      </c>
      <c r="BG12" s="34">
        <v>62</v>
      </c>
      <c r="BH12" s="23" t="e">
        <f>BG12+'27.04'!BH12</f>
        <v>#REF!</v>
      </c>
      <c r="BI12" s="22">
        <v>250</v>
      </c>
      <c r="BJ12" s="23" t="e">
        <f>BI12+'27.04'!BJ12</f>
        <v>#REF!</v>
      </c>
      <c r="BK12" s="22">
        <v>200</v>
      </c>
      <c r="BL12" s="23" t="e">
        <f>BK12+'27.04'!BL12</f>
        <v>#REF!</v>
      </c>
      <c r="BM12" s="22">
        <v>0</v>
      </c>
      <c r="BN12" s="23" t="e">
        <f>BM12+'27.04'!BN12</f>
        <v>#REF!</v>
      </c>
      <c r="BO12" s="36"/>
      <c r="BP12" s="37">
        <v>2</v>
      </c>
      <c r="BQ12" s="23" t="e">
        <f>BP12+'27.04'!BQ12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 t="e">
        <f t="shared" si="0"/>
        <v>#REF!</v>
      </c>
      <c r="E13" s="32">
        <v>516</v>
      </c>
      <c r="F13" s="22">
        <v>1</v>
      </c>
      <c r="G13" s="23" t="e">
        <f>F13+'27.04'!G13</f>
        <v>#REF!</v>
      </c>
      <c r="H13" s="33">
        <v>10</v>
      </c>
      <c r="I13" s="34">
        <v>2</v>
      </c>
      <c r="J13" s="23" t="e">
        <f>I13+'27.04'!J13</f>
        <v>#REF!</v>
      </c>
      <c r="K13" s="33">
        <v>38</v>
      </c>
      <c r="L13" s="22">
        <v>0</v>
      </c>
      <c r="M13" s="23" t="e">
        <f>L13+'27.04'!M13</f>
        <v>#REF!</v>
      </c>
      <c r="N13" s="33">
        <v>581</v>
      </c>
      <c r="O13" s="22">
        <v>0</v>
      </c>
      <c r="P13" s="23" t="e">
        <f>O13+'27.04'!P13</f>
        <v>#REF!</v>
      </c>
      <c r="Q13" s="33">
        <v>525</v>
      </c>
      <c r="R13" s="22">
        <v>0</v>
      </c>
      <c r="S13" s="23" t="e">
        <f>R13+'27.04'!S13</f>
        <v>#REF!</v>
      </c>
      <c r="T13" s="33">
        <v>263</v>
      </c>
      <c r="U13" s="22">
        <v>0</v>
      </c>
      <c r="V13" s="23" t="e">
        <f>U13+'27.04'!V13</f>
        <v>#REF!</v>
      </c>
      <c r="W13" s="33">
        <v>43</v>
      </c>
      <c r="X13" s="22">
        <v>0</v>
      </c>
      <c r="Y13" s="23" t="e">
        <f>X13+'27.04'!Y13</f>
        <v>#REF!</v>
      </c>
      <c r="Z13" s="33">
        <v>17</v>
      </c>
      <c r="AA13" s="22">
        <v>0</v>
      </c>
      <c r="AB13" s="23" t="e">
        <f>AA13+'27.04'!AB13</f>
        <v>#REF!</v>
      </c>
      <c r="AC13" s="33">
        <v>51</v>
      </c>
      <c r="AD13" s="22">
        <v>1</v>
      </c>
      <c r="AE13" s="23" t="e">
        <f>AD13+'27.04'!AE13</f>
        <v>#REF!</v>
      </c>
      <c r="AF13" s="19">
        <f t="shared" si="1"/>
        <v>230000</v>
      </c>
      <c r="AG13" s="20" t="e">
        <f t="shared" si="1"/>
        <v>#REF!</v>
      </c>
      <c r="AH13" s="24">
        <v>1000</v>
      </c>
      <c r="AI13" s="23" t="e">
        <f>AH13+'27.04'!AI13</f>
        <v>#REF!</v>
      </c>
      <c r="AJ13" s="24">
        <v>9000</v>
      </c>
      <c r="AK13" s="23" t="e">
        <f>AJ13+'27.04'!AK13</f>
        <v>#REF!</v>
      </c>
      <c r="AL13" s="22">
        <v>20000</v>
      </c>
      <c r="AM13" s="23" t="e">
        <f>AL13+'27.04'!AM13</f>
        <v>#REF!</v>
      </c>
      <c r="AN13" s="22">
        <v>200000</v>
      </c>
      <c r="AO13" s="23" t="e">
        <f>AN13+'27.04'!AO13</f>
        <v>#REF!</v>
      </c>
      <c r="AP13" s="28" t="s">
        <v>47</v>
      </c>
      <c r="AQ13" s="19">
        <f t="shared" si="3"/>
        <v>12</v>
      </c>
      <c r="AR13" s="20" t="e">
        <f t="shared" si="3"/>
        <v>#REF!</v>
      </c>
      <c r="AS13" s="34">
        <v>1</v>
      </c>
      <c r="AT13" s="23" t="e">
        <f>AS13+'27.04'!AT13</f>
        <v>#REF!</v>
      </c>
      <c r="AU13" s="34">
        <v>1</v>
      </c>
      <c r="AV13" s="23" t="e">
        <f>AU13+'27.04'!AV13</f>
        <v>#REF!</v>
      </c>
      <c r="AW13" s="34">
        <v>0</v>
      </c>
      <c r="AX13" s="23" t="e">
        <f>AW13+'27.04'!AX13</f>
        <v>#REF!</v>
      </c>
      <c r="AY13" s="34">
        <v>0</v>
      </c>
      <c r="AZ13" s="23" t="e">
        <f>AY13+'27.04'!AZ13</f>
        <v>#REF!</v>
      </c>
      <c r="BA13" s="34">
        <v>10</v>
      </c>
      <c r="BB13" s="23" t="e">
        <f>BA13+'27.04'!BB13</f>
        <v>#REF!</v>
      </c>
      <c r="BC13" s="19">
        <f t="shared" si="5"/>
        <v>5576</v>
      </c>
      <c r="BD13" s="20" t="e">
        <f t="shared" si="5"/>
        <v>#REF!</v>
      </c>
      <c r="BE13" s="22">
        <v>516</v>
      </c>
      <c r="BF13" s="23" t="e">
        <f>BE13+'27.04'!BF13</f>
        <v>#REF!</v>
      </c>
      <c r="BG13" s="34">
        <v>10</v>
      </c>
      <c r="BH13" s="23" t="e">
        <f>BG13+'27.04'!BH13</f>
        <v>#REF!</v>
      </c>
      <c r="BI13" s="22">
        <v>5000</v>
      </c>
      <c r="BJ13" s="23" t="e">
        <f>BI13+'27.04'!BJ13</f>
        <v>#REF!</v>
      </c>
      <c r="BK13" s="22">
        <v>50</v>
      </c>
      <c r="BL13" s="23" t="e">
        <f>BK13+'27.04'!BL13</f>
        <v>#REF!</v>
      </c>
      <c r="BM13" s="22">
        <v>0</v>
      </c>
      <c r="BN13" s="23" t="e">
        <f>BM13+'27.04'!BN13</f>
        <v>#REF!</v>
      </c>
      <c r="BO13" s="36"/>
      <c r="BP13" s="37">
        <v>0</v>
      </c>
      <c r="BQ13" s="23" t="e">
        <f>BP13+'27.04'!BQ13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0</v>
      </c>
      <c r="D14" s="42" t="e">
        <f t="shared" si="0"/>
        <v>#REF!</v>
      </c>
      <c r="E14" s="43">
        <v>304</v>
      </c>
      <c r="F14" s="22"/>
      <c r="G14" s="23" t="e">
        <f>F14+'27.04'!G14</f>
        <v>#REF!</v>
      </c>
      <c r="H14" s="44">
        <v>5</v>
      </c>
      <c r="I14" s="45"/>
      <c r="J14" s="23" t="e">
        <f>I14+'27.04'!J14</f>
        <v>#REF!</v>
      </c>
      <c r="K14" s="44">
        <v>34</v>
      </c>
      <c r="L14" s="22"/>
      <c r="M14" s="23" t="e">
        <f>L14+'27.04'!M14</f>
        <v>#REF!</v>
      </c>
      <c r="N14" s="44">
        <v>583</v>
      </c>
      <c r="O14" s="22"/>
      <c r="P14" s="23" t="e">
        <f>O14+'27.04'!P14</f>
        <v>#REF!</v>
      </c>
      <c r="Q14" s="44">
        <v>254</v>
      </c>
      <c r="R14" s="22"/>
      <c r="S14" s="23" t="e">
        <f>R14+'27.04'!S14</f>
        <v>#REF!</v>
      </c>
      <c r="T14" s="44">
        <v>196</v>
      </c>
      <c r="U14" s="22"/>
      <c r="V14" s="23" t="e">
        <f>U14+'27.04'!V14</f>
        <v>#REF!</v>
      </c>
      <c r="W14" s="44">
        <v>30</v>
      </c>
      <c r="X14" s="22"/>
      <c r="Y14" s="23" t="e">
        <f>X14+'27.04'!Y14</f>
        <v>#REF!</v>
      </c>
      <c r="Z14" s="44">
        <v>10</v>
      </c>
      <c r="AA14" s="22"/>
      <c r="AB14" s="23" t="e">
        <f>AA14+'27.04'!AB14</f>
        <v>#REF!</v>
      </c>
      <c r="AC14" s="44">
        <v>2500</v>
      </c>
      <c r="AD14" s="22"/>
      <c r="AE14" s="23" t="e">
        <f>AD14+'27.04'!AE14</f>
        <v>#REF!</v>
      </c>
      <c r="AF14" s="19">
        <f t="shared" si="1"/>
        <v>0</v>
      </c>
      <c r="AG14" s="20" t="e">
        <f t="shared" si="1"/>
        <v>#REF!</v>
      </c>
      <c r="AH14" s="24"/>
      <c r="AI14" s="23" t="e">
        <f>AH14+'27.04'!AI14</f>
        <v>#REF!</v>
      </c>
      <c r="AJ14" s="24"/>
      <c r="AK14" s="23" t="e">
        <f>AJ14+'27.04'!AK14</f>
        <v>#REF!</v>
      </c>
      <c r="AL14" s="22"/>
      <c r="AM14" s="23" t="e">
        <f>AL14+'27.04'!AM14</f>
        <v>#REF!</v>
      </c>
      <c r="AN14" s="22"/>
      <c r="AO14" s="23" t="e">
        <f>AN14+'27.04'!AO14</f>
        <v>#REF!</v>
      </c>
      <c r="AP14" s="39" t="s">
        <v>48</v>
      </c>
      <c r="AQ14" s="19">
        <f t="shared" si="3"/>
        <v>0</v>
      </c>
      <c r="AR14" s="20" t="e">
        <f t="shared" si="3"/>
        <v>#REF!</v>
      </c>
      <c r="AS14" s="45"/>
      <c r="AT14" s="23" t="e">
        <f>AS14+'27.04'!AT14</f>
        <v>#REF!</v>
      </c>
      <c r="AU14" s="45"/>
      <c r="AV14" s="23" t="e">
        <f>AU14+'27.04'!AV14</f>
        <v>#REF!</v>
      </c>
      <c r="AW14" s="45"/>
      <c r="AX14" s="23" t="e">
        <f>AW14+'27.04'!AX14</f>
        <v>#REF!</v>
      </c>
      <c r="AY14" s="45"/>
      <c r="AZ14" s="23" t="e">
        <f>AY14+'27.04'!AZ14</f>
        <v>#REF!</v>
      </c>
      <c r="BA14" s="45"/>
      <c r="BB14" s="23" t="e">
        <f>BA14+'27.04'!BB14</f>
        <v>#REF!</v>
      </c>
      <c r="BC14" s="19">
        <f t="shared" si="5"/>
        <v>0</v>
      </c>
      <c r="BD14" s="20" t="e">
        <f t="shared" si="5"/>
        <v>#REF!</v>
      </c>
      <c r="BE14" s="22"/>
      <c r="BF14" s="23" t="e">
        <f>BE14+'27.04'!BF14</f>
        <v>#REF!</v>
      </c>
      <c r="BG14" s="45"/>
      <c r="BH14" s="23" t="e">
        <f>BG14+'27.04'!BH14</f>
        <v>#REF!</v>
      </c>
      <c r="BI14" s="22"/>
      <c r="BJ14" s="23" t="e">
        <f>BI14+'27.04'!BJ14</f>
        <v>#REF!</v>
      </c>
      <c r="BK14" s="22"/>
      <c r="BL14" s="23" t="e">
        <f>BK14+'27.04'!BL14</f>
        <v>#REF!</v>
      </c>
      <c r="BM14" s="22"/>
      <c r="BN14" s="23" t="e">
        <f>BM14+'27.04'!BN14</f>
        <v>#REF!</v>
      </c>
      <c r="BO14" s="48">
        <v>2</v>
      </c>
      <c r="BP14" s="49"/>
      <c r="BQ14" s="23" t="e">
        <f>BP14+'27.04'!BQ14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484</v>
      </c>
      <c r="D15" s="53" t="e">
        <f t="shared" si="0"/>
        <v>#REF!</v>
      </c>
      <c r="E15" s="54">
        <v>776</v>
      </c>
      <c r="F15" s="55">
        <v>347</v>
      </c>
      <c r="G15" s="23" t="e">
        <f>F15+'27.04'!G15</f>
        <v>#REF!</v>
      </c>
      <c r="H15" s="56">
        <v>9</v>
      </c>
      <c r="I15" s="57">
        <v>0</v>
      </c>
      <c r="J15" s="23" t="e">
        <f>I15+'27.04'!J15</f>
        <v>#REF!</v>
      </c>
      <c r="K15" s="56">
        <v>6</v>
      </c>
      <c r="L15" s="55">
        <v>0</v>
      </c>
      <c r="M15" s="23" t="e">
        <f>L15+'27.04'!M15</f>
        <v>#REF!</v>
      </c>
      <c r="N15" s="56">
        <v>1305</v>
      </c>
      <c r="O15" s="55">
        <v>0</v>
      </c>
      <c r="P15" s="23" t="e">
        <f>O15+'27.04'!P15</f>
        <v>#REF!</v>
      </c>
      <c r="Q15" s="56">
        <v>447</v>
      </c>
      <c r="R15" s="55">
        <v>0</v>
      </c>
      <c r="S15" s="23" t="e">
        <f>R15+'27.04'!S15</f>
        <v>#REF!</v>
      </c>
      <c r="T15" s="56">
        <v>337</v>
      </c>
      <c r="U15" s="55">
        <v>0</v>
      </c>
      <c r="V15" s="23" t="e">
        <f>U15+'27.04'!V15</f>
        <v>#REF!</v>
      </c>
      <c r="W15" s="56">
        <v>78</v>
      </c>
      <c r="X15" s="55">
        <v>0</v>
      </c>
      <c r="Y15" s="23" t="e">
        <f>X15+'27.04'!Y15</f>
        <v>#REF!</v>
      </c>
      <c r="Z15" s="56">
        <v>141</v>
      </c>
      <c r="AA15" s="55">
        <v>0</v>
      </c>
      <c r="AB15" s="23" t="e">
        <f>AA15+'27.04'!AB15</f>
        <v>#REF!</v>
      </c>
      <c r="AC15" s="56">
        <v>798</v>
      </c>
      <c r="AD15" s="55">
        <v>137</v>
      </c>
      <c r="AE15" s="23" t="e">
        <f>AD15+'27.04'!AE15</f>
        <v>#REF!</v>
      </c>
      <c r="AF15" s="58">
        <f t="shared" si="1"/>
        <v>352301</v>
      </c>
      <c r="AG15" s="59" t="e">
        <f t="shared" si="1"/>
        <v>#REF!</v>
      </c>
      <c r="AH15" s="60">
        <v>1022</v>
      </c>
      <c r="AI15" s="23" t="e">
        <f>AH15+'27.04'!AI15</f>
        <v>#REF!</v>
      </c>
      <c r="AJ15" s="60">
        <v>3526</v>
      </c>
      <c r="AK15" s="23" t="e">
        <f>AJ15+'27.04'!AK15</f>
        <v>#REF!</v>
      </c>
      <c r="AL15" s="55">
        <v>247753</v>
      </c>
      <c r="AM15" s="23" t="e">
        <f>AL15+'27.04'!AM15</f>
        <v>#REF!</v>
      </c>
      <c r="AN15" s="55">
        <v>100000</v>
      </c>
      <c r="AO15" s="23" t="e">
        <f>AN15+'27.04'!AO15</f>
        <v>#REF!</v>
      </c>
      <c r="AP15" s="50" t="s">
        <v>49</v>
      </c>
      <c r="AQ15" s="58">
        <f t="shared" si="3"/>
        <v>3</v>
      </c>
      <c r="AR15" s="59" t="e">
        <f t="shared" si="3"/>
        <v>#REF!</v>
      </c>
      <c r="AS15" s="57">
        <v>0</v>
      </c>
      <c r="AT15" s="23" t="e">
        <f>AS15+'27.04'!AT15</f>
        <v>#REF!</v>
      </c>
      <c r="AU15" s="57">
        <v>0</v>
      </c>
      <c r="AV15" s="23" t="e">
        <f>AU15+'27.04'!AV15</f>
        <v>#REF!</v>
      </c>
      <c r="AW15" s="57">
        <v>0</v>
      </c>
      <c r="AX15" s="23" t="e">
        <f>AW15+'27.04'!AX15</f>
        <v>#REF!</v>
      </c>
      <c r="AY15" s="57">
        <v>0</v>
      </c>
      <c r="AZ15" s="23" t="e">
        <f>AY15+'27.04'!AZ15</f>
        <v>#REF!</v>
      </c>
      <c r="BA15" s="57">
        <v>3</v>
      </c>
      <c r="BB15" s="23" t="e">
        <f>BA15+'27.04'!BB15</f>
        <v>#REF!</v>
      </c>
      <c r="BC15" s="58">
        <f t="shared" si="5"/>
        <v>1362</v>
      </c>
      <c r="BD15" s="59" t="e">
        <f t="shared" si="5"/>
        <v>#REF!</v>
      </c>
      <c r="BE15" s="55">
        <v>0</v>
      </c>
      <c r="BF15" s="23" t="e">
        <f>BE15+'27.04'!BF15</f>
        <v>#REF!</v>
      </c>
      <c r="BG15" s="57">
        <v>2</v>
      </c>
      <c r="BH15" s="23" t="e">
        <f>BG15+'27.04'!BH15</f>
        <v>#REF!</v>
      </c>
      <c r="BI15" s="55">
        <v>680</v>
      </c>
      <c r="BJ15" s="23" t="e">
        <f>BI15+'27.04'!BJ15</f>
        <v>#REF!</v>
      </c>
      <c r="BK15" s="55">
        <v>680</v>
      </c>
      <c r="BL15" s="23" t="e">
        <f>BK15+'27.04'!BL15</f>
        <v>#REF!</v>
      </c>
      <c r="BM15" s="55">
        <v>0</v>
      </c>
      <c r="BN15" s="23" t="e">
        <f>BM15+'27.04'!BN15</f>
        <v>#REF!</v>
      </c>
      <c r="BO15" s="36">
        <v>6274</v>
      </c>
      <c r="BP15" s="37">
        <v>2</v>
      </c>
      <c r="BQ15" s="23" t="e">
        <f>BP15+'27.04'!BQ15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101</v>
      </c>
      <c r="D16" s="31" t="e">
        <f t="shared" si="0"/>
        <v>#REF!</v>
      </c>
      <c r="E16" s="32">
        <v>310</v>
      </c>
      <c r="F16" s="22">
        <v>28</v>
      </c>
      <c r="G16" s="23" t="e">
        <f>F16+'27.04'!G16</f>
        <v>#REF!</v>
      </c>
      <c r="H16" s="33">
        <v>5</v>
      </c>
      <c r="I16" s="34">
        <v>0</v>
      </c>
      <c r="J16" s="23" t="e">
        <f>I16+'27.04'!J16</f>
        <v>#REF!</v>
      </c>
      <c r="K16" s="33">
        <v>3</v>
      </c>
      <c r="L16" s="22">
        <v>0</v>
      </c>
      <c r="M16" s="23" t="e">
        <f>L16+'27.04'!M16</f>
        <v>#REF!</v>
      </c>
      <c r="N16" s="33">
        <v>384</v>
      </c>
      <c r="O16" s="22">
        <v>0</v>
      </c>
      <c r="P16" s="23" t="e">
        <f>O16+'27.04'!P16</f>
        <v>#REF!</v>
      </c>
      <c r="Q16" s="33">
        <v>245</v>
      </c>
      <c r="R16" s="22">
        <v>0</v>
      </c>
      <c r="S16" s="23" t="e">
        <f>R16+'27.04'!S16</f>
        <v>#REF!</v>
      </c>
      <c r="T16" s="33">
        <v>397</v>
      </c>
      <c r="U16" s="22">
        <v>0</v>
      </c>
      <c r="V16" s="23" t="e">
        <f>U16+'27.04'!V16</f>
        <v>#REF!</v>
      </c>
      <c r="W16" s="33">
        <v>24</v>
      </c>
      <c r="X16" s="22">
        <v>42</v>
      </c>
      <c r="Y16" s="23" t="e">
        <f>X16+'27.04'!Y16</f>
        <v>#REF!</v>
      </c>
      <c r="Z16" s="33">
        <v>18</v>
      </c>
      <c r="AA16" s="22">
        <v>0</v>
      </c>
      <c r="AB16" s="23" t="e">
        <f>AA16+'27.04'!AB16</f>
        <v>#REF!</v>
      </c>
      <c r="AC16" s="33">
        <v>18515</v>
      </c>
      <c r="AD16" s="22">
        <v>31</v>
      </c>
      <c r="AE16" s="23" t="e">
        <f>AD16+'27.04'!AE16</f>
        <v>#REF!</v>
      </c>
      <c r="AF16" s="19">
        <f t="shared" si="1"/>
        <v>72426</v>
      </c>
      <c r="AG16" s="20" t="e">
        <f t="shared" si="1"/>
        <v>#REF!</v>
      </c>
      <c r="AH16" s="24">
        <v>209</v>
      </c>
      <c r="AI16" s="23" t="e">
        <f>AH16+'27.04'!AI16</f>
        <v>#REF!</v>
      </c>
      <c r="AJ16" s="24">
        <v>1145</v>
      </c>
      <c r="AK16" s="23" t="e">
        <f>AJ16+'27.04'!AK16</f>
        <v>#REF!</v>
      </c>
      <c r="AL16" s="22">
        <v>1524</v>
      </c>
      <c r="AM16" s="23" t="e">
        <f>AL16+'27.04'!AM16</f>
        <v>#REF!</v>
      </c>
      <c r="AN16" s="22">
        <v>69548</v>
      </c>
      <c r="AO16" s="23" t="e">
        <f>AN16+'27.04'!AO16</f>
        <v>#REF!</v>
      </c>
      <c r="AP16" s="28" t="s">
        <v>51</v>
      </c>
      <c r="AQ16" s="19">
        <f t="shared" si="3"/>
        <v>48</v>
      </c>
      <c r="AR16" s="20" t="e">
        <f t="shared" si="3"/>
        <v>#REF!</v>
      </c>
      <c r="AS16" s="34">
        <v>0</v>
      </c>
      <c r="AT16" s="23" t="e">
        <f>AS16+'27.04'!AT16</f>
        <v>#REF!</v>
      </c>
      <c r="AU16" s="34">
        <v>0</v>
      </c>
      <c r="AV16" s="23" t="e">
        <f>AU16+'27.04'!AV16</f>
        <v>#REF!</v>
      </c>
      <c r="AW16" s="34">
        <v>0</v>
      </c>
      <c r="AX16" s="23" t="e">
        <f>AW16+'27.04'!AX16</f>
        <v>#REF!</v>
      </c>
      <c r="AY16" s="34">
        <v>0</v>
      </c>
      <c r="AZ16" s="23" t="e">
        <f>AY16+'27.04'!AZ16</f>
        <v>#REF!</v>
      </c>
      <c r="BA16" s="34">
        <v>48</v>
      </c>
      <c r="BB16" s="23" t="e">
        <f>BA16+'27.04'!BB16</f>
        <v>#REF!</v>
      </c>
      <c r="BC16" s="19">
        <f t="shared" si="5"/>
        <v>1387</v>
      </c>
      <c r="BD16" s="20" t="e">
        <f t="shared" si="5"/>
        <v>#REF!</v>
      </c>
      <c r="BE16" s="22">
        <v>55</v>
      </c>
      <c r="BF16" s="23" t="e">
        <f>BE16+'27.04'!BF16</f>
        <v>#REF!</v>
      </c>
      <c r="BG16" s="34">
        <v>0</v>
      </c>
      <c r="BH16" s="23" t="e">
        <f>BG16+'27.04'!BH16</f>
        <v>#REF!</v>
      </c>
      <c r="BI16" s="22">
        <v>1247</v>
      </c>
      <c r="BJ16" s="23" t="e">
        <f>BI16+'27.04'!BJ16</f>
        <v>#REF!</v>
      </c>
      <c r="BK16" s="22">
        <v>85</v>
      </c>
      <c r="BL16" s="23" t="e">
        <f>BK16+'27.04'!BL16</f>
        <v>#REF!</v>
      </c>
      <c r="BM16" s="22">
        <v>0</v>
      </c>
      <c r="BN16" s="23" t="e">
        <f>BM16+'27.04'!BN16</f>
        <v>#REF!</v>
      </c>
      <c r="BO16" s="36">
        <v>2546</v>
      </c>
      <c r="BP16" s="37">
        <v>0</v>
      </c>
      <c r="BQ16" s="23" t="e">
        <f>BP16+'27.04'!BQ16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250</v>
      </c>
      <c r="D17" s="31" t="e">
        <f t="shared" si="0"/>
        <v>#REF!</v>
      </c>
      <c r="E17" s="32">
        <v>754</v>
      </c>
      <c r="F17" s="22">
        <v>200</v>
      </c>
      <c r="G17" s="23" t="e">
        <f>F17+'27.04'!G17</f>
        <v>#REF!</v>
      </c>
      <c r="H17" s="33">
        <v>9</v>
      </c>
      <c r="I17" s="34">
        <v>0</v>
      </c>
      <c r="J17" s="23" t="e">
        <f>I17+'27.04'!J17</f>
        <v>#REF!</v>
      </c>
      <c r="K17" s="33">
        <v>5</v>
      </c>
      <c r="L17" s="22">
        <v>0</v>
      </c>
      <c r="M17" s="23" t="e">
        <f>L17+'27.04'!M17</f>
        <v>#REF!</v>
      </c>
      <c r="N17" s="33">
        <v>768</v>
      </c>
      <c r="O17" s="22">
        <v>0</v>
      </c>
      <c r="P17" s="23" t="e">
        <f>O17+'27.04'!P17</f>
        <v>#REF!</v>
      </c>
      <c r="Q17" s="33">
        <v>624</v>
      </c>
      <c r="R17" s="22">
        <v>0</v>
      </c>
      <c r="S17" s="23" t="e">
        <f>R17+'27.04'!S17</f>
        <v>#REF!</v>
      </c>
      <c r="T17" s="33">
        <v>742</v>
      </c>
      <c r="U17" s="22">
        <v>0</v>
      </c>
      <c r="V17" s="23" t="e">
        <f>U17+'27.04'!V17</f>
        <v>#REF!</v>
      </c>
      <c r="W17" s="33">
        <v>54</v>
      </c>
      <c r="X17" s="22">
        <v>20</v>
      </c>
      <c r="Y17" s="23" t="e">
        <f>X17+'27.04'!Y17</f>
        <v>#REF!</v>
      </c>
      <c r="Z17" s="33">
        <v>66</v>
      </c>
      <c r="AA17" s="22">
        <v>0</v>
      </c>
      <c r="AB17" s="23" t="e">
        <f>AA17+'27.04'!AB17</f>
        <v>#REF!</v>
      </c>
      <c r="AC17" s="33">
        <v>2580</v>
      </c>
      <c r="AD17" s="22">
        <v>30</v>
      </c>
      <c r="AE17" s="23" t="e">
        <f>AD17+'27.04'!AE17</f>
        <v>#REF!</v>
      </c>
      <c r="AF17" s="19">
        <f t="shared" si="1"/>
        <v>56800</v>
      </c>
      <c r="AG17" s="20" t="e">
        <f t="shared" si="1"/>
        <v>#REF!</v>
      </c>
      <c r="AH17" s="24">
        <v>9200</v>
      </c>
      <c r="AI17" s="23" t="e">
        <f>AH17+'27.04'!AI17</f>
        <v>#REF!</v>
      </c>
      <c r="AJ17" s="24">
        <v>10800</v>
      </c>
      <c r="AK17" s="23" t="e">
        <f>AJ17+'27.04'!AK17</f>
        <v>#REF!</v>
      </c>
      <c r="AL17" s="22">
        <v>26000</v>
      </c>
      <c r="AM17" s="23" t="e">
        <f>AL17+'27.04'!AM17</f>
        <v>#REF!</v>
      </c>
      <c r="AN17" s="22">
        <v>10800</v>
      </c>
      <c r="AO17" s="23" t="e">
        <f>AN17+'27.04'!AO17</f>
        <v>#REF!</v>
      </c>
      <c r="AP17" s="28" t="s">
        <v>52</v>
      </c>
      <c r="AQ17" s="19">
        <f t="shared" si="3"/>
        <v>16</v>
      </c>
      <c r="AR17" s="20" t="e">
        <f t="shared" si="3"/>
        <v>#REF!</v>
      </c>
      <c r="AS17" s="34">
        <v>1</v>
      </c>
      <c r="AT17" s="23" t="e">
        <f>AS17+'27.04'!AT17</f>
        <v>#REF!</v>
      </c>
      <c r="AU17" s="34">
        <v>1</v>
      </c>
      <c r="AV17" s="23" t="e">
        <f>AU17+'27.04'!AV17</f>
        <v>#REF!</v>
      </c>
      <c r="AW17" s="34">
        <v>0</v>
      </c>
      <c r="AX17" s="23" t="e">
        <f>AW17+'27.04'!AX17</f>
        <v>#REF!</v>
      </c>
      <c r="AY17" s="34">
        <v>0</v>
      </c>
      <c r="AZ17" s="23" t="e">
        <f>AY17+'27.04'!AZ17</f>
        <v>#REF!</v>
      </c>
      <c r="BA17" s="34">
        <v>14</v>
      </c>
      <c r="BB17" s="23" t="e">
        <f>BA17+'27.04'!BB17</f>
        <v>#REF!</v>
      </c>
      <c r="BC17" s="19">
        <f t="shared" si="5"/>
        <v>1602</v>
      </c>
      <c r="BD17" s="20" t="e">
        <f t="shared" si="5"/>
        <v>#REF!</v>
      </c>
      <c r="BE17" s="22">
        <v>38</v>
      </c>
      <c r="BF17" s="23" t="e">
        <f>BE17+'27.04'!BF17</f>
        <v>#REF!</v>
      </c>
      <c r="BG17" s="34">
        <v>4</v>
      </c>
      <c r="BH17" s="23" t="e">
        <f>BG17+'27.04'!BH17</f>
        <v>#REF!</v>
      </c>
      <c r="BI17" s="22">
        <v>1400</v>
      </c>
      <c r="BJ17" s="23" t="e">
        <f>BI17+'27.04'!BJ17</f>
        <v>#REF!</v>
      </c>
      <c r="BK17" s="22">
        <v>160</v>
      </c>
      <c r="BL17" s="23" t="e">
        <f>BK17+'27.04'!BL17</f>
        <v>#REF!</v>
      </c>
      <c r="BM17" s="22">
        <v>0</v>
      </c>
      <c r="BN17" s="23" t="e">
        <f>BM17+'27.04'!BN17</f>
        <v>#REF!</v>
      </c>
      <c r="BO17" s="36">
        <v>8022</v>
      </c>
      <c r="BP17" s="37">
        <v>10</v>
      </c>
      <c r="BQ17" s="23" t="e">
        <f>BP17+'27.04'!BQ17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576</v>
      </c>
      <c r="D18" s="20" t="e">
        <f t="shared" si="0"/>
        <v>#REF!</v>
      </c>
      <c r="E18" s="21">
        <v>1063</v>
      </c>
      <c r="F18" s="22">
        <v>348</v>
      </c>
      <c r="G18" s="23" t="e">
        <f>F18+'27.04'!G18</f>
        <v>#REF!</v>
      </c>
      <c r="H18" s="21">
        <v>19</v>
      </c>
      <c r="I18" s="22">
        <v>0</v>
      </c>
      <c r="J18" s="23" t="e">
        <f>I18+'27.04'!J18</f>
        <v>#REF!</v>
      </c>
      <c r="K18" s="21">
        <v>8</v>
      </c>
      <c r="L18" s="22">
        <v>0</v>
      </c>
      <c r="M18" s="23" t="e">
        <f>L18+'27.04'!M18</f>
        <v>#REF!</v>
      </c>
      <c r="N18" s="21">
        <v>1331</v>
      </c>
      <c r="O18" s="22">
        <v>0</v>
      </c>
      <c r="P18" s="23" t="e">
        <f>O18+'27.04'!P18</f>
        <v>#REF!</v>
      </c>
      <c r="Q18" s="21">
        <v>777</v>
      </c>
      <c r="R18" s="22">
        <v>0</v>
      </c>
      <c r="S18" s="23" t="e">
        <f>R18+'27.04'!S18</f>
        <v>#REF!</v>
      </c>
      <c r="T18" s="21">
        <v>318</v>
      </c>
      <c r="U18" s="22">
        <v>0</v>
      </c>
      <c r="V18" s="23" t="e">
        <f>U18+'27.04'!V18</f>
        <v>#REF!</v>
      </c>
      <c r="W18" s="21">
        <v>60</v>
      </c>
      <c r="X18" s="22">
        <v>228</v>
      </c>
      <c r="Y18" s="23" t="e">
        <f>X18+'27.04'!Y18</f>
        <v>#REF!</v>
      </c>
      <c r="Z18" s="21">
        <v>72</v>
      </c>
      <c r="AA18" s="22">
        <v>0</v>
      </c>
      <c r="AB18" s="23" t="e">
        <f>AA18+'27.04'!AB18</f>
        <v>#REF!</v>
      </c>
      <c r="AC18" s="21">
        <v>143</v>
      </c>
      <c r="AD18" s="22">
        <v>0</v>
      </c>
      <c r="AE18" s="23" t="e">
        <f>AD18+'27.04'!AE18</f>
        <v>#REF!</v>
      </c>
      <c r="AF18" s="19">
        <f t="shared" si="1"/>
        <v>347715</v>
      </c>
      <c r="AG18" s="20" t="e">
        <f t="shared" si="1"/>
        <v>#REF!</v>
      </c>
      <c r="AH18" s="24">
        <v>619</v>
      </c>
      <c r="AI18" s="23" t="e">
        <f>AH18+'27.04'!AI18</f>
        <v>#REF!</v>
      </c>
      <c r="AJ18" s="24">
        <v>4809</v>
      </c>
      <c r="AK18" s="23" t="e">
        <f>AJ18+'27.04'!AK18</f>
        <v>#REF!</v>
      </c>
      <c r="AL18" s="22">
        <v>5105</v>
      </c>
      <c r="AM18" s="23" t="e">
        <f>AL18+'27.04'!AM18</f>
        <v>#REF!</v>
      </c>
      <c r="AN18" s="22">
        <v>337182</v>
      </c>
      <c r="AO18" s="23" t="e">
        <f>AN18+'27.04'!AO18</f>
        <v>#REF!</v>
      </c>
      <c r="AP18" s="17" t="s">
        <v>53</v>
      </c>
      <c r="AQ18" s="19">
        <f t="shared" si="3"/>
        <v>2</v>
      </c>
      <c r="AR18" s="20" t="e">
        <f t="shared" si="3"/>
        <v>#REF!</v>
      </c>
      <c r="AS18" s="22">
        <v>0</v>
      </c>
      <c r="AT18" s="23" t="e">
        <f>AS18+'27.04'!AT18</f>
        <v>#REF!</v>
      </c>
      <c r="AU18" s="22">
        <v>0</v>
      </c>
      <c r="AV18" s="23" t="e">
        <f>AU18+'27.04'!AV18</f>
        <v>#REF!</v>
      </c>
      <c r="AW18" s="22">
        <v>0</v>
      </c>
      <c r="AX18" s="23" t="e">
        <f>AW18+'27.04'!AX18</f>
        <v>#REF!</v>
      </c>
      <c r="AY18" s="22">
        <v>0</v>
      </c>
      <c r="AZ18" s="23" t="e">
        <f>AY18+'27.04'!AZ18</f>
        <v>#REF!</v>
      </c>
      <c r="BA18" s="22">
        <v>2</v>
      </c>
      <c r="BB18" s="23" t="e">
        <f>BA18+'27.04'!BB18</f>
        <v>#REF!</v>
      </c>
      <c r="BC18" s="19">
        <f t="shared" si="5"/>
        <v>3407</v>
      </c>
      <c r="BD18" s="20" t="e">
        <f t="shared" si="5"/>
        <v>#REF!</v>
      </c>
      <c r="BE18" s="22">
        <v>1</v>
      </c>
      <c r="BF18" s="23" t="e">
        <f>BE18+'27.04'!BF18</f>
        <v>#REF!</v>
      </c>
      <c r="BG18" s="22">
        <v>0</v>
      </c>
      <c r="BH18" s="23" t="e">
        <f>BG18+'27.04'!BH18</f>
        <v>#REF!</v>
      </c>
      <c r="BI18" s="22">
        <v>3187</v>
      </c>
      <c r="BJ18" s="23" t="e">
        <f>BI18+'27.04'!BJ18</f>
        <v>#REF!</v>
      </c>
      <c r="BK18" s="22">
        <v>219</v>
      </c>
      <c r="BL18" s="23" t="e">
        <f>BK18+'27.04'!BL18</f>
        <v>#REF!</v>
      </c>
      <c r="BM18" s="22">
        <v>0</v>
      </c>
      <c r="BN18" s="23" t="e">
        <f>BM18+'27.04'!BN18</f>
        <v>#REF!</v>
      </c>
      <c r="BO18" s="36">
        <v>442</v>
      </c>
      <c r="BP18" s="37">
        <v>10</v>
      </c>
      <c r="BQ18" s="23" t="e">
        <f>BP18+'27.04'!BQ18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38</v>
      </c>
      <c r="D19" s="31" t="e">
        <f t="shared" si="0"/>
        <v>#REF!</v>
      </c>
      <c r="E19" s="33">
        <v>221</v>
      </c>
      <c r="F19" s="22">
        <v>12</v>
      </c>
      <c r="G19" s="23" t="e">
        <f>F19+'27.04'!G19</f>
        <v>#REF!</v>
      </c>
      <c r="H19" s="33">
        <v>5</v>
      </c>
      <c r="I19" s="34">
        <v>0</v>
      </c>
      <c r="J19" s="23" t="e">
        <f>I19+'27.04'!J19</f>
        <v>#REF!</v>
      </c>
      <c r="K19" s="33">
        <v>4</v>
      </c>
      <c r="L19" s="22">
        <v>0</v>
      </c>
      <c r="M19" s="23" t="e">
        <f>L19+'27.04'!M19</f>
        <v>#REF!</v>
      </c>
      <c r="N19" s="33">
        <v>313</v>
      </c>
      <c r="O19" s="22">
        <v>0</v>
      </c>
      <c r="P19" s="23" t="e">
        <f>O19+'27.04'!P19</f>
        <v>#REF!</v>
      </c>
      <c r="Q19" s="33">
        <v>203</v>
      </c>
      <c r="R19" s="22">
        <v>0</v>
      </c>
      <c r="S19" s="23" t="e">
        <f>R19+'27.04'!S19</f>
        <v>#REF!</v>
      </c>
      <c r="T19" s="33">
        <v>241</v>
      </c>
      <c r="U19" s="22">
        <v>0</v>
      </c>
      <c r="V19" s="23" t="e">
        <f>U19+'27.04'!V19</f>
        <v>#REF!</v>
      </c>
      <c r="W19" s="33">
        <v>14</v>
      </c>
      <c r="X19" s="22">
        <v>11</v>
      </c>
      <c r="Y19" s="23" t="e">
        <f>X19+'27.04'!Y19</f>
        <v>#REF!</v>
      </c>
      <c r="Z19" s="33">
        <v>7</v>
      </c>
      <c r="AA19" s="22">
        <v>0</v>
      </c>
      <c r="AB19" s="23" t="e">
        <f>AA19+'27.04'!AB19</f>
        <v>#REF!</v>
      </c>
      <c r="AC19" s="33">
        <v>32</v>
      </c>
      <c r="AD19" s="22">
        <v>15</v>
      </c>
      <c r="AE19" s="23" t="e">
        <f>AD19+'27.04'!AE19</f>
        <v>#REF!</v>
      </c>
      <c r="AF19" s="19">
        <f t="shared" si="1"/>
        <v>2800</v>
      </c>
      <c r="AG19" s="20" t="e">
        <f t="shared" si="1"/>
        <v>#REF!</v>
      </c>
      <c r="AH19" s="24">
        <v>400</v>
      </c>
      <c r="AI19" s="23" t="e">
        <f>AH19+'27.04'!AI19</f>
        <v>#REF!</v>
      </c>
      <c r="AJ19" s="24">
        <v>500</v>
      </c>
      <c r="AK19" s="23" t="e">
        <f>AJ19+'27.04'!AK19</f>
        <v>#REF!</v>
      </c>
      <c r="AL19" s="22">
        <v>200</v>
      </c>
      <c r="AM19" s="23" t="e">
        <f>AL19+'27.04'!AM19</f>
        <v>#REF!</v>
      </c>
      <c r="AN19" s="22">
        <v>1700</v>
      </c>
      <c r="AO19" s="23" t="e">
        <f>AN19+'27.04'!AO19</f>
        <v>#REF!</v>
      </c>
      <c r="AP19" s="28" t="s">
        <v>54</v>
      </c>
      <c r="AQ19" s="19">
        <f t="shared" si="3"/>
        <v>0</v>
      </c>
      <c r="AR19" s="20" t="e">
        <f t="shared" si="3"/>
        <v>#REF!</v>
      </c>
      <c r="AS19" s="34">
        <v>0</v>
      </c>
      <c r="AT19" s="23" t="e">
        <f>AS19+'27.04'!AT19</f>
        <v>#REF!</v>
      </c>
      <c r="AU19" s="34">
        <v>0</v>
      </c>
      <c r="AV19" s="23" t="e">
        <f>AU19+'27.04'!AV19</f>
        <v>#REF!</v>
      </c>
      <c r="AW19" s="34">
        <v>0</v>
      </c>
      <c r="AX19" s="23" t="e">
        <f>AW19+'27.04'!AX19</f>
        <v>#REF!</v>
      </c>
      <c r="AY19" s="34">
        <v>0</v>
      </c>
      <c r="AZ19" s="23" t="e">
        <f>AY19+'27.04'!AZ19</f>
        <v>#REF!</v>
      </c>
      <c r="BA19" s="34">
        <v>0</v>
      </c>
      <c r="BB19" s="23" t="e">
        <f>BA19+'27.04'!BB19</f>
        <v>#REF!</v>
      </c>
      <c r="BC19" s="19">
        <f t="shared" si="5"/>
        <v>915</v>
      </c>
      <c r="BD19" s="20" t="e">
        <f t="shared" si="5"/>
        <v>#REF!</v>
      </c>
      <c r="BE19" s="22">
        <v>15</v>
      </c>
      <c r="BF19" s="23" t="e">
        <f>BE19+'27.04'!BF19</f>
        <v>#REF!</v>
      </c>
      <c r="BG19" s="34">
        <v>0</v>
      </c>
      <c r="BH19" s="23" t="e">
        <f>BG19+'27.04'!BH19</f>
        <v>#REF!</v>
      </c>
      <c r="BI19" s="22">
        <v>800</v>
      </c>
      <c r="BJ19" s="23" t="e">
        <f>BI19+'27.04'!BJ19</f>
        <v>#REF!</v>
      </c>
      <c r="BK19" s="22">
        <v>100</v>
      </c>
      <c r="BL19" s="23" t="e">
        <f>BK19+'27.04'!BL19</f>
        <v>#REF!</v>
      </c>
      <c r="BM19" s="22">
        <v>0</v>
      </c>
      <c r="BN19" s="23" t="e">
        <f>BM19+'27.04'!BN19</f>
        <v>#REF!</v>
      </c>
      <c r="BO19" s="36">
        <v>2898</v>
      </c>
      <c r="BP19" s="37">
        <v>0</v>
      </c>
      <c r="BQ19" s="23" t="e">
        <f>BP19+'27.04'!BQ19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324</v>
      </c>
      <c r="D20" s="31" t="e">
        <f t="shared" si="0"/>
        <v>#REF!</v>
      </c>
      <c r="E20" s="32">
        <v>723</v>
      </c>
      <c r="F20" s="22">
        <v>176</v>
      </c>
      <c r="G20" s="23" t="e">
        <f>F20+'27.04'!G20</f>
        <v>#REF!</v>
      </c>
      <c r="H20" s="33">
        <v>5</v>
      </c>
      <c r="I20" s="34">
        <v>1</v>
      </c>
      <c r="J20" s="23" t="e">
        <f>I20+'27.04'!J20</f>
        <v>#REF!</v>
      </c>
      <c r="K20" s="33">
        <v>3</v>
      </c>
      <c r="L20" s="22">
        <v>0</v>
      </c>
      <c r="M20" s="23" t="e">
        <f>L20+'27.04'!M20</f>
        <v>#REF!</v>
      </c>
      <c r="N20" s="33">
        <v>975</v>
      </c>
      <c r="O20" s="22">
        <v>71</v>
      </c>
      <c r="P20" s="23" t="e">
        <f>O20+'27.04'!P20</f>
        <v>#REF!</v>
      </c>
      <c r="Q20" s="61">
        <v>1862</v>
      </c>
      <c r="R20" s="22">
        <v>1</v>
      </c>
      <c r="S20" s="23" t="e">
        <f>R20+'27.04'!S20</f>
        <v>#REF!</v>
      </c>
      <c r="T20" s="33">
        <v>35</v>
      </c>
      <c r="U20" s="22">
        <v>1</v>
      </c>
      <c r="V20" s="23" t="e">
        <f>U20+'27.04'!V20</f>
        <v>#REF!</v>
      </c>
      <c r="W20" s="33">
        <v>64</v>
      </c>
      <c r="X20" s="22">
        <v>1</v>
      </c>
      <c r="Y20" s="23" t="e">
        <f>X20+'27.04'!Y20</f>
        <v>#REF!</v>
      </c>
      <c r="Z20" s="33">
        <v>15</v>
      </c>
      <c r="AA20" s="22">
        <v>1</v>
      </c>
      <c r="AB20" s="23" t="e">
        <f>AA20+'27.04'!AB20</f>
        <v>#REF!</v>
      </c>
      <c r="AC20" s="33">
        <v>1546</v>
      </c>
      <c r="AD20" s="22">
        <v>72</v>
      </c>
      <c r="AE20" s="23" t="e">
        <f>AD20+'27.04'!AE20</f>
        <v>#REF!</v>
      </c>
      <c r="AF20" s="19">
        <f t="shared" si="1"/>
        <v>17030</v>
      </c>
      <c r="AG20" s="20" t="e">
        <f t="shared" si="1"/>
        <v>#REF!</v>
      </c>
      <c r="AH20" s="24">
        <v>7830</v>
      </c>
      <c r="AI20" s="23" t="e">
        <f>AH20+'27.04'!AI20</f>
        <v>#REF!</v>
      </c>
      <c r="AJ20" s="24">
        <v>8160</v>
      </c>
      <c r="AK20" s="23" t="e">
        <f>AJ20+'27.04'!AK20</f>
        <v>#REF!</v>
      </c>
      <c r="AL20" s="22">
        <v>520</v>
      </c>
      <c r="AM20" s="23" t="e">
        <f>AL20+'27.04'!AM20</f>
        <v>#REF!</v>
      </c>
      <c r="AN20" s="22">
        <v>520</v>
      </c>
      <c r="AO20" s="23" t="e">
        <f>AN20+'27.04'!AO20</f>
        <v>#REF!</v>
      </c>
      <c r="AP20" s="28" t="s">
        <v>55</v>
      </c>
      <c r="AQ20" s="19">
        <f t="shared" si="3"/>
        <v>161</v>
      </c>
      <c r="AR20" s="20" t="e">
        <f t="shared" si="3"/>
        <v>#REF!</v>
      </c>
      <c r="AS20" s="34">
        <v>1</v>
      </c>
      <c r="AT20" s="23" t="e">
        <f>AS20+'27.04'!AT20</f>
        <v>#REF!</v>
      </c>
      <c r="AU20" s="34">
        <v>0</v>
      </c>
      <c r="AV20" s="23" t="e">
        <f>AU20+'27.04'!AV20</f>
        <v>#REF!</v>
      </c>
      <c r="AW20" s="34">
        <v>0</v>
      </c>
      <c r="AX20" s="23" t="e">
        <f>AW20+'27.04'!AX20</f>
        <v>#REF!</v>
      </c>
      <c r="AY20" s="34">
        <v>0</v>
      </c>
      <c r="AZ20" s="23" t="e">
        <f>AY20+'27.04'!AZ20</f>
        <v>#REF!</v>
      </c>
      <c r="BA20" s="34">
        <v>160</v>
      </c>
      <c r="BB20" s="23" t="e">
        <f>BA20+'27.04'!BB20</f>
        <v>#REF!</v>
      </c>
      <c r="BC20" s="19">
        <f t="shared" si="5"/>
        <v>3282</v>
      </c>
      <c r="BD20" s="20" t="e">
        <f t="shared" si="5"/>
        <v>#REF!</v>
      </c>
      <c r="BE20" s="22">
        <v>452</v>
      </c>
      <c r="BF20" s="23" t="e">
        <f>BE20+'27.04'!BF20</f>
        <v>#REF!</v>
      </c>
      <c r="BG20" s="34">
        <v>0</v>
      </c>
      <c r="BH20" s="23" t="e">
        <f>BG20+'27.04'!BH20</f>
        <v>#REF!</v>
      </c>
      <c r="BI20" s="22">
        <v>1475</v>
      </c>
      <c r="BJ20" s="23" t="e">
        <f>BI20+'27.04'!BJ20</f>
        <v>#REF!</v>
      </c>
      <c r="BK20" s="22">
        <v>1355</v>
      </c>
      <c r="BL20" s="23" t="e">
        <f>BK20+'27.04'!BL20</f>
        <v>#REF!</v>
      </c>
      <c r="BM20" s="22">
        <v>0</v>
      </c>
      <c r="BN20" s="23" t="e">
        <f>BM20+'27.04'!BN20</f>
        <v>#REF!</v>
      </c>
      <c r="BO20" s="36">
        <v>5854</v>
      </c>
      <c r="BP20" s="37">
        <v>0</v>
      </c>
      <c r="BQ20" s="23" t="e">
        <f>BP20+'27.04'!BQ20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172</v>
      </c>
      <c r="D21" s="31" t="e">
        <f t="shared" si="0"/>
        <v>#REF!</v>
      </c>
      <c r="E21" s="32">
        <v>1017</v>
      </c>
      <c r="F21" s="22">
        <v>155</v>
      </c>
      <c r="G21" s="23" t="e">
        <f>F21+'27.04'!G21</f>
        <v>#REF!</v>
      </c>
      <c r="H21" s="33">
        <v>8</v>
      </c>
      <c r="I21" s="34">
        <v>3</v>
      </c>
      <c r="J21" s="23" t="e">
        <f>I21+'27.04'!J21</f>
        <v>#REF!</v>
      </c>
      <c r="K21" s="33">
        <v>4</v>
      </c>
      <c r="L21" s="22">
        <v>0</v>
      </c>
      <c r="M21" s="23" t="e">
        <f>L21+'27.04'!M21</f>
        <v>#REF!</v>
      </c>
      <c r="N21" s="33">
        <v>963</v>
      </c>
      <c r="O21" s="22">
        <v>2</v>
      </c>
      <c r="P21" s="23" t="e">
        <f>O21+'27.04'!P21</f>
        <v>#REF!</v>
      </c>
      <c r="Q21" s="33">
        <v>912</v>
      </c>
      <c r="R21" s="22">
        <v>0</v>
      </c>
      <c r="S21" s="23" t="e">
        <f>R21+'27.04'!S21</f>
        <v>#REF!</v>
      </c>
      <c r="T21" s="33">
        <v>199</v>
      </c>
      <c r="U21" s="22">
        <v>4</v>
      </c>
      <c r="V21" s="23" t="e">
        <f>U21+'27.04'!V21</f>
        <v>#REF!</v>
      </c>
      <c r="W21" s="33">
        <v>101</v>
      </c>
      <c r="X21" s="22">
        <v>6</v>
      </c>
      <c r="Y21" s="23" t="e">
        <f>X21+'27.04'!Y21</f>
        <v>#REF!</v>
      </c>
      <c r="Z21" s="33">
        <v>42</v>
      </c>
      <c r="AA21" s="22">
        <v>0</v>
      </c>
      <c r="AB21" s="23" t="e">
        <f>AA21+'27.04'!AB21</f>
        <v>#REF!</v>
      </c>
      <c r="AC21" s="33">
        <v>20</v>
      </c>
      <c r="AD21" s="22">
        <v>2</v>
      </c>
      <c r="AE21" s="23" t="e">
        <f>AD21+'27.04'!AE21</f>
        <v>#REF!</v>
      </c>
      <c r="AF21" s="19">
        <f t="shared" si="1"/>
        <v>1150000</v>
      </c>
      <c r="AG21" s="20" t="e">
        <f t="shared" si="1"/>
        <v>#REF!</v>
      </c>
      <c r="AH21" s="24">
        <v>2000</v>
      </c>
      <c r="AI21" s="23" t="e">
        <f>AH21+'27.04'!AI21</f>
        <v>#REF!</v>
      </c>
      <c r="AJ21" s="24">
        <v>148000</v>
      </c>
      <c r="AK21" s="23" t="e">
        <f>AJ21+'27.04'!AK21</f>
        <v>#REF!</v>
      </c>
      <c r="AL21" s="22">
        <v>15000</v>
      </c>
      <c r="AM21" s="23" t="e">
        <f>AL21+'27.04'!AM21</f>
        <v>#REF!</v>
      </c>
      <c r="AN21" s="22">
        <v>985000</v>
      </c>
      <c r="AO21" s="23" t="e">
        <f>AN21+'27.04'!AO21</f>
        <v>#REF!</v>
      </c>
      <c r="AP21" s="28" t="s">
        <v>58</v>
      </c>
      <c r="AQ21" s="19">
        <f t="shared" si="3"/>
        <v>8</v>
      </c>
      <c r="AR21" s="20" t="e">
        <f t="shared" si="3"/>
        <v>#REF!</v>
      </c>
      <c r="AS21" s="34">
        <v>0</v>
      </c>
      <c r="AT21" s="23" t="e">
        <f>AS21+'27.04'!AT21</f>
        <v>#REF!</v>
      </c>
      <c r="AU21" s="34">
        <v>4</v>
      </c>
      <c r="AV21" s="23" t="e">
        <f>AU21+'27.04'!AV21</f>
        <v>#REF!</v>
      </c>
      <c r="AW21" s="34">
        <v>0</v>
      </c>
      <c r="AX21" s="23" t="e">
        <f>AW21+'27.04'!AX21</f>
        <v>#REF!</v>
      </c>
      <c r="AY21" s="34">
        <v>0</v>
      </c>
      <c r="AZ21" s="23" t="e">
        <f>AY21+'27.04'!AZ21</f>
        <v>#REF!</v>
      </c>
      <c r="BA21" s="34">
        <v>4</v>
      </c>
      <c r="BB21" s="23" t="e">
        <f>BA21+'27.04'!BB21</f>
        <v>#REF!</v>
      </c>
      <c r="BC21" s="19">
        <f t="shared" si="5"/>
        <v>100040</v>
      </c>
      <c r="BD21" s="20" t="e">
        <f t="shared" si="5"/>
        <v>#REF!</v>
      </c>
      <c r="BE21" s="22">
        <v>40</v>
      </c>
      <c r="BF21" s="23" t="e">
        <f>BE21+'27.04'!BF21</f>
        <v>#REF!</v>
      </c>
      <c r="BG21" s="34">
        <v>0</v>
      </c>
      <c r="BH21" s="23" t="e">
        <f>BG21+'27.04'!BH21</f>
        <v>#REF!</v>
      </c>
      <c r="BI21" s="22">
        <v>100000</v>
      </c>
      <c r="BJ21" s="23" t="e">
        <f>BI21+'27.04'!BJ21</f>
        <v>#REF!</v>
      </c>
      <c r="BK21" s="22">
        <v>0</v>
      </c>
      <c r="BL21" s="23" t="e">
        <f>BK21+'27.04'!BL21</f>
        <v>#REF!</v>
      </c>
      <c r="BM21" s="22">
        <v>0</v>
      </c>
      <c r="BN21" s="23" t="e">
        <f>BM21+'27.04'!BN21</f>
        <v>#REF!</v>
      </c>
      <c r="BO21" s="36">
        <v>68</v>
      </c>
      <c r="BP21" s="37">
        <v>1</v>
      </c>
      <c r="BQ21" s="23" t="e">
        <f>BP21+'27.04'!BQ21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1902</v>
      </c>
      <c r="D22" s="31" t="e">
        <f t="shared" si="0"/>
        <v>#REF!</v>
      </c>
      <c r="E22" s="32">
        <v>509</v>
      </c>
      <c r="F22" s="22">
        <v>384</v>
      </c>
      <c r="G22" s="23" t="e">
        <f>F22+'27.04'!G22</f>
        <v>#REF!</v>
      </c>
      <c r="H22" s="33">
        <v>8</v>
      </c>
      <c r="I22" s="34">
        <v>6</v>
      </c>
      <c r="J22" s="23" t="e">
        <f>I22+'27.04'!J22</f>
        <v>#REF!</v>
      </c>
      <c r="K22" s="33">
        <v>21</v>
      </c>
      <c r="L22" s="22">
        <v>6</v>
      </c>
      <c r="M22" s="23" t="e">
        <f>L22+'27.04'!M22</f>
        <v>#REF!</v>
      </c>
      <c r="N22" s="33">
        <v>560</v>
      </c>
      <c r="O22" s="22">
        <v>30</v>
      </c>
      <c r="P22" s="23" t="e">
        <f>O22+'27.04'!P22</f>
        <v>#REF!</v>
      </c>
      <c r="Q22" s="33">
        <v>375</v>
      </c>
      <c r="R22" s="22">
        <v>34</v>
      </c>
      <c r="S22" s="23" t="e">
        <f>R22+'27.04'!S22</f>
        <v>#REF!</v>
      </c>
      <c r="T22" s="33">
        <v>165</v>
      </c>
      <c r="U22" s="22">
        <v>26</v>
      </c>
      <c r="V22" s="23" t="e">
        <f>U22+'27.04'!V22</f>
        <v>#REF!</v>
      </c>
      <c r="W22" s="33">
        <v>28</v>
      </c>
      <c r="X22" s="22">
        <v>81</v>
      </c>
      <c r="Y22" s="23" t="e">
        <f>X22+'27.04'!Y22</f>
        <v>#REF!</v>
      </c>
      <c r="Z22" s="33">
        <v>9</v>
      </c>
      <c r="AA22" s="22">
        <v>0</v>
      </c>
      <c r="AB22" s="23" t="e">
        <f>AA22+'27.04'!AB22</f>
        <v>#REF!</v>
      </c>
      <c r="AC22" s="33">
        <v>112</v>
      </c>
      <c r="AD22" s="22">
        <v>1335</v>
      </c>
      <c r="AE22" s="23" t="e">
        <f>AD22+'27.04'!AE22</f>
        <v>#REF!</v>
      </c>
      <c r="AF22" s="19">
        <f t="shared" si="1"/>
        <v>40848</v>
      </c>
      <c r="AG22" s="20" t="e">
        <f t="shared" si="1"/>
        <v>#REF!</v>
      </c>
      <c r="AH22" s="24">
        <v>297</v>
      </c>
      <c r="AI22" s="23" t="e">
        <f>AH22+'27.04'!AI22</f>
        <v>#REF!</v>
      </c>
      <c r="AJ22" s="24">
        <v>8000</v>
      </c>
      <c r="AK22" s="23" t="e">
        <f>AJ22+'27.04'!AK22</f>
        <v>#REF!</v>
      </c>
      <c r="AL22" s="22">
        <v>551</v>
      </c>
      <c r="AM22" s="23" t="e">
        <f>AL22+'27.04'!AM22</f>
        <v>#REF!</v>
      </c>
      <c r="AN22" s="22">
        <v>32000</v>
      </c>
      <c r="AO22" s="23" t="e">
        <f>AN22+'27.04'!AO22</f>
        <v>#REF!</v>
      </c>
      <c r="AP22" s="28" t="s">
        <v>59</v>
      </c>
      <c r="AQ22" s="19">
        <f t="shared" si="3"/>
        <v>1654</v>
      </c>
      <c r="AR22" s="20" t="e">
        <f t="shared" si="3"/>
        <v>#REF!</v>
      </c>
      <c r="AS22" s="34">
        <v>0</v>
      </c>
      <c r="AT22" s="23" t="e">
        <f>AS22+'27.04'!AT22</f>
        <v>#REF!</v>
      </c>
      <c r="AU22" s="34">
        <v>0</v>
      </c>
      <c r="AV22" s="23" t="e">
        <f>AU22+'27.04'!AV22</f>
        <v>#REF!</v>
      </c>
      <c r="AW22" s="34">
        <v>0</v>
      </c>
      <c r="AX22" s="23" t="e">
        <f>AW22+'27.04'!AX22</f>
        <v>#REF!</v>
      </c>
      <c r="AY22" s="34">
        <v>0</v>
      </c>
      <c r="AZ22" s="23" t="e">
        <f>AY22+'27.04'!AZ22</f>
        <v>#REF!</v>
      </c>
      <c r="BA22" s="34">
        <v>1654</v>
      </c>
      <c r="BB22" s="23" t="e">
        <f>BA22+'27.04'!BB22</f>
        <v>#REF!</v>
      </c>
      <c r="BC22" s="19">
        <f t="shared" si="5"/>
        <v>8026</v>
      </c>
      <c r="BD22" s="20" t="e">
        <f t="shared" si="5"/>
        <v>#REF!</v>
      </c>
      <c r="BE22" s="22">
        <v>6</v>
      </c>
      <c r="BF22" s="23" t="e">
        <f>BE22+'27.04'!BF22</f>
        <v>#REF!</v>
      </c>
      <c r="BG22" s="34">
        <v>5</v>
      </c>
      <c r="BH22" s="23" t="e">
        <f>BG22+'27.04'!BH22</f>
        <v>#REF!</v>
      </c>
      <c r="BI22" s="22">
        <v>7985</v>
      </c>
      <c r="BJ22" s="23" t="e">
        <f>BI22+'27.04'!BJ22</f>
        <v>#REF!</v>
      </c>
      <c r="BK22" s="22">
        <v>30</v>
      </c>
      <c r="BL22" s="23" t="e">
        <f>BK22+'27.04'!BL22</f>
        <v>#REF!</v>
      </c>
      <c r="BM22" s="22">
        <v>0</v>
      </c>
      <c r="BN22" s="23" t="e">
        <f>BM22+'27.04'!BN22</f>
        <v>#REF!</v>
      </c>
      <c r="BO22" s="36">
        <v>26</v>
      </c>
      <c r="BP22" s="37">
        <v>2</v>
      </c>
      <c r="BQ22" s="23" t="e">
        <f>BP22+'27.04'!BQ22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4278</v>
      </c>
      <c r="D23" s="65" t="e">
        <f t="shared" si="0"/>
        <v>#REF!</v>
      </c>
      <c r="E23" s="66">
        <f>+E18+E19+E22+E17+E16+E15+E14+E13+E12+E11+E10+E9+E8</f>
        <v>7282</v>
      </c>
      <c r="F23" s="67">
        <f t="shared" ref="F23:J23" si="7">SUM(F8:F22)</f>
        <v>1779</v>
      </c>
      <c r="G23" s="68" t="e">
        <f t="shared" si="7"/>
        <v>#REF!</v>
      </c>
      <c r="H23" s="66">
        <f>+H18+H19+H22+H17+H16+H15+H14+H13+H12+H11+H10+H9+H8</f>
        <v>271</v>
      </c>
      <c r="I23" s="67">
        <f t="shared" si="7"/>
        <v>22</v>
      </c>
      <c r="J23" s="68" t="e">
        <f t="shared" si="7"/>
        <v>#REF!</v>
      </c>
      <c r="K23" s="66">
        <f>+K18+K19+K22+K17+K16+K15+K14+K13+K12+K11+K10+K9+K8</f>
        <v>163</v>
      </c>
      <c r="L23" s="67">
        <f t="shared" ref="L23:P23" si="8">SUM(L8:L22)</f>
        <v>9</v>
      </c>
      <c r="M23" s="68" t="e">
        <f t="shared" si="8"/>
        <v>#REF!</v>
      </c>
      <c r="N23" s="66">
        <f>+N18+N19+N22+N17+N16+N15+N14+N13+N12+N11+N10+N9+N8</f>
        <v>8607</v>
      </c>
      <c r="O23" s="67">
        <f t="shared" si="8"/>
        <v>142</v>
      </c>
      <c r="P23" s="68" t="e">
        <f t="shared" si="8"/>
        <v>#REF!</v>
      </c>
      <c r="Q23" s="66">
        <f>+Q18+Q19+Q22+Q17+Q16+Q15+Q14+Q13+Q12+Q11+Q10+Q9+Q8</f>
        <v>7474</v>
      </c>
      <c r="R23" s="67">
        <f t="shared" ref="R23:V23" si="9">SUM(R8:R22)</f>
        <v>40</v>
      </c>
      <c r="S23" s="68" t="e">
        <f t="shared" si="9"/>
        <v>#REF!</v>
      </c>
      <c r="T23" s="66">
        <f>+T18+T19+T22+T17+T16+T15+T14+T13+T12+T11+T10+T9+T8</f>
        <v>4115</v>
      </c>
      <c r="U23" s="67">
        <f t="shared" si="9"/>
        <v>35</v>
      </c>
      <c r="V23" s="68" t="e">
        <f t="shared" si="9"/>
        <v>#REF!</v>
      </c>
      <c r="W23" s="66">
        <f>+W18+W19+W22+W17+W16+W15+W14+W13+W12+W11+W10+W9+W8</f>
        <v>604</v>
      </c>
      <c r="X23" s="67">
        <f t="shared" ref="X23:AB23" si="10">SUM(X8:X22)</f>
        <v>507</v>
      </c>
      <c r="Y23" s="68" t="e">
        <f t="shared" si="10"/>
        <v>#REF!</v>
      </c>
      <c r="Z23" s="66">
        <f>+Z18+Z19+Z22+Z17+Z16+Z15+Z14+Z13+Z12+Z11+Z10+Z9+Z8</f>
        <v>1629</v>
      </c>
      <c r="AA23" s="67">
        <f t="shared" si="10"/>
        <v>16</v>
      </c>
      <c r="AB23" s="68" t="e">
        <f t="shared" si="10"/>
        <v>#REF!</v>
      </c>
      <c r="AC23" s="66">
        <f>+AC18+AC19+AC22+AC17+AC16+AC15+AC14+AC13+AC12+AC11+AC10+AC9+AC8</f>
        <v>64846</v>
      </c>
      <c r="AD23" s="67">
        <f t="shared" ref="AD23:AO23" si="11">SUM(AD8:AD22)</f>
        <v>1728</v>
      </c>
      <c r="AE23" s="68" t="e">
        <f t="shared" si="11"/>
        <v>#REF!</v>
      </c>
      <c r="AF23" s="64">
        <f t="shared" si="11"/>
        <v>2451111</v>
      </c>
      <c r="AG23" s="64" t="e">
        <f t="shared" si="11"/>
        <v>#REF!</v>
      </c>
      <c r="AH23" s="67">
        <f t="shared" si="11"/>
        <v>26511</v>
      </c>
      <c r="AI23" s="68" t="e">
        <f t="shared" si="11"/>
        <v>#REF!</v>
      </c>
      <c r="AJ23" s="67">
        <f t="shared" si="11"/>
        <v>206319</v>
      </c>
      <c r="AK23" s="68" t="e">
        <f t="shared" si="11"/>
        <v>#REF!</v>
      </c>
      <c r="AL23" s="67">
        <f t="shared" si="11"/>
        <v>349279</v>
      </c>
      <c r="AM23" s="68" t="e">
        <f t="shared" si="11"/>
        <v>#REF!</v>
      </c>
      <c r="AN23" s="67">
        <f t="shared" si="11"/>
        <v>1869002</v>
      </c>
      <c r="AO23" s="68" t="e">
        <f t="shared" si="11"/>
        <v>#REF!</v>
      </c>
      <c r="AP23" s="62" t="s">
        <v>12</v>
      </c>
      <c r="AQ23" s="64">
        <f t="shared" ref="AQ23:BP23" si="12">SUM(AQ8:AQ22)</f>
        <v>1995</v>
      </c>
      <c r="AR23" s="64" t="e">
        <f t="shared" si="12"/>
        <v>#REF!</v>
      </c>
      <c r="AS23" s="67">
        <f t="shared" si="12"/>
        <v>3</v>
      </c>
      <c r="AT23" s="68" t="e">
        <f t="shared" si="12"/>
        <v>#REF!</v>
      </c>
      <c r="AU23" s="67">
        <f t="shared" si="12"/>
        <v>6</v>
      </c>
      <c r="AV23" s="68" t="e">
        <f t="shared" si="12"/>
        <v>#REF!</v>
      </c>
      <c r="AW23" s="67">
        <f t="shared" si="12"/>
        <v>0</v>
      </c>
      <c r="AX23" s="68" t="e">
        <f t="shared" si="12"/>
        <v>#REF!</v>
      </c>
      <c r="AY23" s="67">
        <f t="shared" si="12"/>
        <v>0</v>
      </c>
      <c r="AZ23" s="68" t="e">
        <f t="shared" si="12"/>
        <v>#REF!</v>
      </c>
      <c r="BA23" s="67">
        <f t="shared" si="12"/>
        <v>1986</v>
      </c>
      <c r="BB23" s="68" t="e">
        <f t="shared" si="12"/>
        <v>#REF!</v>
      </c>
      <c r="BC23" s="64">
        <f t="shared" si="12"/>
        <v>132873</v>
      </c>
      <c r="BD23" s="64" t="e">
        <f t="shared" si="12"/>
        <v>#REF!</v>
      </c>
      <c r="BE23" s="67">
        <f t="shared" si="12"/>
        <v>1774</v>
      </c>
      <c r="BF23" s="68" t="e">
        <f t="shared" si="12"/>
        <v>#REF!</v>
      </c>
      <c r="BG23" s="67">
        <f t="shared" si="12"/>
        <v>86</v>
      </c>
      <c r="BH23" s="68" t="e">
        <f t="shared" si="12"/>
        <v>#REF!</v>
      </c>
      <c r="BI23" s="67">
        <f t="shared" si="12"/>
        <v>127067</v>
      </c>
      <c r="BJ23" s="68" t="e">
        <f t="shared" si="12"/>
        <v>#REF!</v>
      </c>
      <c r="BK23" s="67">
        <f t="shared" si="12"/>
        <v>3946</v>
      </c>
      <c r="BL23" s="68" t="e">
        <f t="shared" si="12"/>
        <v>#REF!</v>
      </c>
      <c r="BM23" s="67">
        <f t="shared" si="12"/>
        <v>0</v>
      </c>
      <c r="BN23" s="68" t="e">
        <f t="shared" si="12"/>
        <v>#REF!</v>
      </c>
      <c r="BO23" s="69">
        <f t="shared" si="12"/>
        <v>37684</v>
      </c>
      <c r="BP23" s="70">
        <f t="shared" si="12"/>
        <v>32</v>
      </c>
      <c r="BQ23" s="23">
        <f>BP23+'20.04'!BP23</f>
        <v>58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BU23"/>
  <sheetViews>
    <sheetView zoomScale="70" zoomScaleNormal="70" workbookViewId="0">
      <pane xSplit="4" ySplit="8" topLeftCell="BF9" activePane="bottomRight" state="frozen"/>
      <selection pane="topRight"/>
      <selection pane="bottomLeft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12.5703125" customWidth="1"/>
    <col min="5" max="6" width="6.28515625" customWidth="1"/>
    <col min="7" max="7" width="9.7109375" customWidth="1"/>
    <col min="8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0</v>
      </c>
      <c r="D9" s="31" t="e">
        <f t="shared" si="2"/>
        <v>#REF!</v>
      </c>
      <c r="E9" s="32">
        <v>452</v>
      </c>
      <c r="F9" s="22"/>
      <c r="G9" s="23" t="e">
        <f>F9+'28.04'!G9</f>
        <v>#REF!</v>
      </c>
      <c r="H9" s="33">
        <v>12</v>
      </c>
      <c r="I9" s="34"/>
      <c r="J9" s="23" t="e">
        <f>I9+'28.04'!J9</f>
        <v>#REF!</v>
      </c>
      <c r="K9" s="33">
        <v>2</v>
      </c>
      <c r="L9" s="22"/>
      <c r="M9" s="23" t="e">
        <f>L9+'28.04'!M9</f>
        <v>#REF!</v>
      </c>
      <c r="N9" s="33">
        <v>735</v>
      </c>
      <c r="O9" s="22"/>
      <c r="P9" s="23" t="e">
        <f>O9+'28.04'!P9</f>
        <v>#REF!</v>
      </c>
      <c r="Q9" s="33">
        <v>502</v>
      </c>
      <c r="R9" s="22">
        <v>0</v>
      </c>
      <c r="S9" s="23" t="e">
        <f>R9+'28.04'!S9</f>
        <v>#REF!</v>
      </c>
      <c r="T9" s="33">
        <v>197</v>
      </c>
      <c r="U9" s="22">
        <v>0</v>
      </c>
      <c r="V9" s="23" t="e">
        <f>U9+'28.04'!V9</f>
        <v>#REF!</v>
      </c>
      <c r="W9" s="33">
        <v>47</v>
      </c>
      <c r="X9" s="22"/>
      <c r="Y9" s="23" t="e">
        <f>X9+'28.04'!Y9</f>
        <v>#REF!</v>
      </c>
      <c r="Z9" s="33">
        <v>34</v>
      </c>
      <c r="AA9" s="22">
        <v>0</v>
      </c>
      <c r="AB9" s="23" t="e">
        <f>AA9+'28.04'!AB9</f>
        <v>#REF!</v>
      </c>
      <c r="AC9" s="33">
        <v>1860</v>
      </c>
      <c r="AD9" s="22"/>
      <c r="AE9" s="23" t="e">
        <f>AD9+'28.04'!AE9</f>
        <v>#REF!</v>
      </c>
      <c r="AF9" s="19">
        <f t="shared" si="3"/>
        <v>0</v>
      </c>
      <c r="AG9" s="20" t="e">
        <f t="shared" si="4"/>
        <v>#REF!</v>
      </c>
      <c r="AH9" s="24"/>
      <c r="AI9" s="23" t="e">
        <f>AH9+'28.04'!AI9</f>
        <v>#REF!</v>
      </c>
      <c r="AJ9" s="24"/>
      <c r="AK9" s="23" t="e">
        <f>AJ9+'28.04'!AK9</f>
        <v>#REF!</v>
      </c>
      <c r="AL9" s="22"/>
      <c r="AM9" s="23" t="e">
        <f>AL9+'28.04'!AM9</f>
        <v>#REF!</v>
      </c>
      <c r="AN9" s="22"/>
      <c r="AO9" s="23" t="e">
        <f>AN9+'28.04'!AO9</f>
        <v>#REF!</v>
      </c>
      <c r="AP9" s="28" t="s">
        <v>43</v>
      </c>
      <c r="AQ9" s="19">
        <f t="shared" si="6"/>
        <v>0</v>
      </c>
      <c r="AR9" s="20" t="e">
        <f t="shared" si="7"/>
        <v>#REF!</v>
      </c>
      <c r="AS9" s="34"/>
      <c r="AT9" s="23" t="e">
        <f>AS9+'28.04'!AT9</f>
        <v>#REF!</v>
      </c>
      <c r="AU9" s="34"/>
      <c r="AV9" s="23" t="e">
        <f>AU9+'28.04'!AV9</f>
        <v>#REF!</v>
      </c>
      <c r="AW9" s="34">
        <v>0</v>
      </c>
      <c r="AX9" s="23" t="e">
        <f>AW9+'28.04'!AX9</f>
        <v>#REF!</v>
      </c>
      <c r="AY9" s="34">
        <v>0</v>
      </c>
      <c r="AZ9" s="23" t="e">
        <f>AY9+'28.04'!AZ9</f>
        <v>#REF!</v>
      </c>
      <c r="BA9" s="34"/>
      <c r="BB9" s="23" t="e">
        <f>BA9+'28.04'!BB9</f>
        <v>#REF!</v>
      </c>
      <c r="BC9" s="19">
        <f t="shared" si="9"/>
        <v>0</v>
      </c>
      <c r="BD9" s="20" t="e">
        <f t="shared" si="10"/>
        <v>#REF!</v>
      </c>
      <c r="BE9" s="22"/>
      <c r="BF9" s="23" t="e">
        <f>BE9+'28.04'!BF9</f>
        <v>#REF!</v>
      </c>
      <c r="BG9" s="34">
        <v>0</v>
      </c>
      <c r="BH9" s="23" t="e">
        <f>BG9+'28.04'!BH9</f>
        <v>#REF!</v>
      </c>
      <c r="BI9" s="22"/>
      <c r="BJ9" s="23" t="e">
        <f>BI9+'28.04'!BJ9</f>
        <v>#REF!</v>
      </c>
      <c r="BK9" s="22">
        <v>0</v>
      </c>
      <c r="BL9" s="23" t="e">
        <f>BK9+'28.04'!BL9</f>
        <v>#REF!</v>
      </c>
      <c r="BM9" s="22">
        <v>0</v>
      </c>
      <c r="BN9" s="23" t="e">
        <f>BM9+'28.04'!BN9</f>
        <v>#REF!</v>
      </c>
      <c r="BO9" s="36">
        <v>14</v>
      </c>
      <c r="BP9" s="37">
        <v>0</v>
      </c>
      <c r="BQ9" s="23" t="e">
        <f>BP9+'28.04'!BQ9</f>
        <v>#REF!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132</v>
      </c>
      <c r="D10" s="31" t="e">
        <f t="shared" si="2"/>
        <v>#REF!</v>
      </c>
      <c r="E10" s="32">
        <v>585</v>
      </c>
      <c r="F10" s="22">
        <v>12</v>
      </c>
      <c r="G10" s="23" t="e">
        <f>F10+'28.04'!G10</f>
        <v>#REF!</v>
      </c>
      <c r="H10" s="33">
        <v>93</v>
      </c>
      <c r="I10" s="34">
        <v>4</v>
      </c>
      <c r="J10" s="23" t="e">
        <f>I10+'28.04'!J10</f>
        <v>#REF!</v>
      </c>
      <c r="K10" s="33">
        <v>34</v>
      </c>
      <c r="L10" s="22">
        <v>2</v>
      </c>
      <c r="M10" s="23" t="e">
        <f>L10+'28.04'!M10</f>
        <v>#REF!</v>
      </c>
      <c r="N10" s="33">
        <v>352</v>
      </c>
      <c r="O10" s="22">
        <v>11</v>
      </c>
      <c r="P10" s="23" t="e">
        <f>O10+'28.04'!P10</f>
        <v>#REF!</v>
      </c>
      <c r="Q10" s="33">
        <v>549</v>
      </c>
      <c r="R10" s="22">
        <v>9</v>
      </c>
      <c r="S10" s="23" t="e">
        <f>R10+'28.04'!S10</f>
        <v>#REF!</v>
      </c>
      <c r="T10" s="33">
        <v>198</v>
      </c>
      <c r="U10" s="22">
        <v>2</v>
      </c>
      <c r="V10" s="23" t="e">
        <f>U10+'28.04'!V10</f>
        <v>#REF!</v>
      </c>
      <c r="W10" s="38">
        <v>55</v>
      </c>
      <c r="X10" s="22">
        <v>1</v>
      </c>
      <c r="Y10" s="23" t="e">
        <f>X10+'28.04'!Y10</f>
        <v>#REF!</v>
      </c>
      <c r="Z10" s="38">
        <v>71</v>
      </c>
      <c r="AA10" s="22">
        <v>8</v>
      </c>
      <c r="AB10" s="23" t="e">
        <f>AA10+'28.04'!AB10</f>
        <v>#REF!</v>
      </c>
      <c r="AC10" s="38">
        <v>1690</v>
      </c>
      <c r="AD10" s="22">
        <v>83</v>
      </c>
      <c r="AE10" s="23" t="e">
        <f>AD10+'28.04'!AE10</f>
        <v>#REF!</v>
      </c>
      <c r="AF10" s="19">
        <f t="shared" si="3"/>
        <v>112908</v>
      </c>
      <c r="AG10" s="20" t="e">
        <f t="shared" si="4"/>
        <v>#REF!</v>
      </c>
      <c r="AH10" s="24">
        <v>1702</v>
      </c>
      <c r="AI10" s="23" t="e">
        <f>AH10+'28.04'!AI10</f>
        <v>#REF!</v>
      </c>
      <c r="AJ10" s="24">
        <v>4065</v>
      </c>
      <c r="AK10" s="23" t="e">
        <f>AJ10+'28.04'!AK10</f>
        <v>#REF!</v>
      </c>
      <c r="AL10" s="22">
        <v>12330</v>
      </c>
      <c r="AM10" s="23" t="e">
        <f>AL10+'28.04'!AM10</f>
        <v>#REF!</v>
      </c>
      <c r="AN10" s="22">
        <v>94811</v>
      </c>
      <c r="AO10" s="23" t="e">
        <f>AN10+'28.04'!AO10</f>
        <v>#REF!</v>
      </c>
      <c r="AP10" s="28" t="s">
        <v>44</v>
      </c>
      <c r="AQ10" s="19">
        <f t="shared" si="6"/>
        <v>8</v>
      </c>
      <c r="AR10" s="20" t="e">
        <f t="shared" si="7"/>
        <v>#REF!</v>
      </c>
      <c r="AS10" s="34">
        <v>0</v>
      </c>
      <c r="AT10" s="23" t="e">
        <f>AS10+'28.04'!AT10</f>
        <v>#REF!</v>
      </c>
      <c r="AU10" s="34">
        <v>0</v>
      </c>
      <c r="AV10" s="23" t="e">
        <f>AU10+'28.04'!AV10</f>
        <v>#REF!</v>
      </c>
      <c r="AW10" s="34">
        <v>0</v>
      </c>
      <c r="AX10" s="23" t="e">
        <f>AW10+'28.04'!AX10</f>
        <v>#REF!</v>
      </c>
      <c r="AY10" s="34">
        <v>0</v>
      </c>
      <c r="AZ10" s="23" t="e">
        <f>AY10+'28.04'!AZ10</f>
        <v>#REF!</v>
      </c>
      <c r="BA10" s="34">
        <v>8</v>
      </c>
      <c r="BB10" s="23" t="e">
        <f>BA10+'28.04'!BB10</f>
        <v>#REF!</v>
      </c>
      <c r="BC10" s="19">
        <f t="shared" si="9"/>
        <v>4391</v>
      </c>
      <c r="BD10" s="20" t="e">
        <f t="shared" si="10"/>
        <v>#REF!</v>
      </c>
      <c r="BE10" s="22">
        <v>557</v>
      </c>
      <c r="BF10" s="23" t="e">
        <f>BE10+'28.04'!BF10</f>
        <v>#REF!</v>
      </c>
      <c r="BG10" s="34">
        <v>1</v>
      </c>
      <c r="BH10" s="23" t="e">
        <f>BG10+'28.04'!BH10</f>
        <v>#REF!</v>
      </c>
      <c r="BI10" s="22">
        <v>3246</v>
      </c>
      <c r="BJ10" s="23" t="e">
        <f>BI10+'28.04'!BJ10</f>
        <v>#REF!</v>
      </c>
      <c r="BK10" s="22">
        <v>587</v>
      </c>
      <c r="BL10" s="23" t="e">
        <f>BK10+'28.04'!BL10</f>
        <v>#REF!</v>
      </c>
      <c r="BM10" s="22">
        <v>0</v>
      </c>
      <c r="BN10" s="23" t="e">
        <f>BM10+'28.04'!BN10</f>
        <v>#REF!</v>
      </c>
      <c r="BO10" s="36">
        <v>32</v>
      </c>
      <c r="BP10" s="37">
        <v>0</v>
      </c>
      <c r="BQ10" s="23" t="e">
        <f>BP10+'28.04'!BQ10</f>
        <v>#REF!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54</v>
      </c>
      <c r="D11" s="31" t="e">
        <f t="shared" si="2"/>
        <v>#REF!</v>
      </c>
      <c r="E11" s="32">
        <v>883</v>
      </c>
      <c r="F11" s="22">
        <v>30</v>
      </c>
      <c r="G11" s="23" t="e">
        <f>F11+'28.04'!G11</f>
        <v>#REF!</v>
      </c>
      <c r="H11" s="33">
        <v>16</v>
      </c>
      <c r="I11" s="34">
        <v>0</v>
      </c>
      <c r="J11" s="23" t="e">
        <f>I11+'28.04'!J11</f>
        <v>#REF!</v>
      </c>
      <c r="K11" s="33">
        <v>3</v>
      </c>
      <c r="L11" s="22">
        <v>0</v>
      </c>
      <c r="M11" s="23" t="e">
        <f>L11+'28.04'!M11</f>
        <v>#REF!</v>
      </c>
      <c r="N11" s="33">
        <v>875</v>
      </c>
      <c r="O11" s="22">
        <v>0</v>
      </c>
      <c r="P11" s="23" t="e">
        <f>O11+'28.04'!P11</f>
        <v>#REF!</v>
      </c>
      <c r="Q11" s="33">
        <v>2424</v>
      </c>
      <c r="R11" s="22">
        <v>0</v>
      </c>
      <c r="S11" s="23" t="e">
        <f>R11+'28.04'!S11</f>
        <v>#REF!</v>
      </c>
      <c r="T11" s="33">
        <v>69</v>
      </c>
      <c r="U11" s="22">
        <v>0</v>
      </c>
      <c r="V11" s="23" t="e">
        <f>U11+'28.04'!V11</f>
        <v>#REF!</v>
      </c>
      <c r="W11" s="38">
        <v>133</v>
      </c>
      <c r="X11" s="22">
        <v>23</v>
      </c>
      <c r="Y11" s="23" t="e">
        <f>X11+'28.04'!Y11</f>
        <v>#REF!</v>
      </c>
      <c r="Z11" s="38">
        <v>1116</v>
      </c>
      <c r="AA11" s="22">
        <v>0</v>
      </c>
      <c r="AB11" s="23" t="e">
        <f>AA11+'28.04'!AB11</f>
        <v>#REF!</v>
      </c>
      <c r="AC11" s="38">
        <v>9862</v>
      </c>
      <c r="AD11" s="22">
        <v>1</v>
      </c>
      <c r="AE11" s="23" t="e">
        <f>AD11+'28.04'!AE11</f>
        <v>#REF!</v>
      </c>
      <c r="AF11" s="19">
        <f t="shared" si="3"/>
        <v>59100</v>
      </c>
      <c r="AG11" s="20" t="e">
        <f t="shared" si="4"/>
        <v>#REF!</v>
      </c>
      <c r="AH11" s="24">
        <v>2000</v>
      </c>
      <c r="AI11" s="23" t="e">
        <f>AH11+'28.04'!AI11</f>
        <v>#REF!</v>
      </c>
      <c r="AJ11" s="24">
        <v>7100</v>
      </c>
      <c r="AK11" s="23" t="e">
        <f>AJ11+'28.04'!AK11</f>
        <v>#REF!</v>
      </c>
      <c r="AL11" s="22">
        <v>18000</v>
      </c>
      <c r="AM11" s="23" t="e">
        <f>AL11+'28.04'!AM11</f>
        <v>#REF!</v>
      </c>
      <c r="AN11" s="22">
        <v>32000</v>
      </c>
      <c r="AO11" s="23" t="e">
        <f>AN11+'28.04'!AO11</f>
        <v>#REF!</v>
      </c>
      <c r="AP11" s="28" t="s">
        <v>45</v>
      </c>
      <c r="AQ11" s="19">
        <f t="shared" si="6"/>
        <v>4</v>
      </c>
      <c r="AR11" s="20" t="e">
        <f t="shared" si="7"/>
        <v>#REF!</v>
      </c>
      <c r="AS11" s="34">
        <v>0</v>
      </c>
      <c r="AT11" s="23" t="e">
        <f>AS11+'28.04'!AT11</f>
        <v>#REF!</v>
      </c>
      <c r="AU11" s="34">
        <v>0</v>
      </c>
      <c r="AV11" s="23" t="e">
        <f>AU11+'28.04'!AV11</f>
        <v>#REF!</v>
      </c>
      <c r="AW11" s="34">
        <v>0</v>
      </c>
      <c r="AX11" s="23" t="e">
        <f>AW11+'28.04'!AX11</f>
        <v>#REF!</v>
      </c>
      <c r="AY11" s="34">
        <v>0</v>
      </c>
      <c r="AZ11" s="23" t="e">
        <f>AY11+'28.04'!AZ11</f>
        <v>#REF!</v>
      </c>
      <c r="BA11" s="34">
        <v>4</v>
      </c>
      <c r="BB11" s="23" t="e">
        <f>BA11+'28.04'!BB11</f>
        <v>#REF!</v>
      </c>
      <c r="BC11" s="19">
        <f t="shared" si="9"/>
        <v>1743</v>
      </c>
      <c r="BD11" s="20" t="e">
        <f t="shared" si="10"/>
        <v>#REF!</v>
      </c>
      <c r="BE11" s="22">
        <v>1</v>
      </c>
      <c r="BF11" s="23" t="e">
        <f>BE11+'28.04'!BF11</f>
        <v>#REF!</v>
      </c>
      <c r="BG11" s="34">
        <v>2</v>
      </c>
      <c r="BH11" s="23" t="e">
        <f>BG11+'28.04'!BH11</f>
        <v>#REF!</v>
      </c>
      <c r="BI11" s="22">
        <v>1700</v>
      </c>
      <c r="BJ11" s="23" t="e">
        <f>BI11+'28.04'!BJ11</f>
        <v>#REF!</v>
      </c>
      <c r="BK11" s="22">
        <v>40</v>
      </c>
      <c r="BL11" s="23" t="e">
        <f>BK11+'28.04'!BL11</f>
        <v>#REF!</v>
      </c>
      <c r="BM11" s="22">
        <v>0</v>
      </c>
      <c r="BN11" s="23" t="e">
        <f>BM11+'28.04'!BN11</f>
        <v>#REF!</v>
      </c>
      <c r="BO11" s="36">
        <v>11506</v>
      </c>
      <c r="BP11" s="37">
        <v>3</v>
      </c>
      <c r="BQ11" s="23" t="e">
        <f>BP11+'28.04'!BQ11</f>
        <v>#REF!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233</v>
      </c>
      <c r="D12" s="31" t="e">
        <f t="shared" si="2"/>
        <v>#REF!</v>
      </c>
      <c r="E12" s="32">
        <v>909</v>
      </c>
      <c r="F12" s="22">
        <v>52</v>
      </c>
      <c r="G12" s="23" t="e">
        <f>F12+'28.04'!G12</f>
        <v>#REF!</v>
      </c>
      <c r="H12" s="33">
        <v>80</v>
      </c>
      <c r="I12" s="34">
        <v>4</v>
      </c>
      <c r="J12" s="23" t="e">
        <f>I12+'28.04'!J12</f>
        <v>#REF!</v>
      </c>
      <c r="K12" s="33">
        <v>5</v>
      </c>
      <c r="L12" s="22">
        <v>0</v>
      </c>
      <c r="M12" s="23" t="e">
        <f>L12+'28.04'!M12</f>
        <v>#REF!</v>
      </c>
      <c r="N12" s="33">
        <v>820</v>
      </c>
      <c r="O12" s="22">
        <v>31</v>
      </c>
      <c r="P12" s="23" t="e">
        <f>O12+'28.04'!P12</f>
        <v>#REF!</v>
      </c>
      <c r="Q12" s="33">
        <v>549</v>
      </c>
      <c r="R12" s="22">
        <v>0</v>
      </c>
      <c r="S12" s="23" t="e">
        <f>R12+'28.04'!S12</f>
        <v>#REF!</v>
      </c>
      <c r="T12" s="33">
        <v>992</v>
      </c>
      <c r="U12" s="22">
        <v>0</v>
      </c>
      <c r="V12" s="23" t="e">
        <f>U12+'28.04'!V12</f>
        <v>#REF!</v>
      </c>
      <c r="W12" s="33">
        <v>38</v>
      </c>
      <c r="X12" s="22">
        <v>116</v>
      </c>
      <c r="Y12" s="23" t="e">
        <f>X12+'28.04'!Y12</f>
        <v>#REF!</v>
      </c>
      <c r="Z12" s="33">
        <v>68</v>
      </c>
      <c r="AA12" s="22">
        <v>0</v>
      </c>
      <c r="AB12" s="23" t="e">
        <f>AA12+'28.04'!AB12</f>
        <v>#REF!</v>
      </c>
      <c r="AC12" s="33">
        <v>26703</v>
      </c>
      <c r="AD12" s="22">
        <v>30</v>
      </c>
      <c r="AE12" s="23" t="e">
        <f>AD12+'28.04'!AE12</f>
        <v>#REF!</v>
      </c>
      <c r="AF12" s="19">
        <f t="shared" si="3"/>
        <v>3130</v>
      </c>
      <c r="AG12" s="20" t="e">
        <f t="shared" si="4"/>
        <v>#REF!</v>
      </c>
      <c r="AH12" s="24">
        <v>1001</v>
      </c>
      <c r="AI12" s="23" t="e">
        <f>AH12+'28.04'!AI12</f>
        <v>#REF!</v>
      </c>
      <c r="AJ12" s="24">
        <v>809</v>
      </c>
      <c r="AK12" s="23" t="e">
        <f>AJ12+'28.04'!AK12</f>
        <v>#REF!</v>
      </c>
      <c r="AL12" s="22">
        <v>660</v>
      </c>
      <c r="AM12" s="23" t="e">
        <f>AL12+'28.04'!AM12</f>
        <v>#REF!</v>
      </c>
      <c r="AN12" s="22">
        <v>660</v>
      </c>
      <c r="AO12" s="23" t="e">
        <f>AN12+'28.04'!AO12</f>
        <v>#REF!</v>
      </c>
      <c r="AP12" s="28" t="s">
        <v>46</v>
      </c>
      <c r="AQ12" s="19">
        <f t="shared" si="6"/>
        <v>7</v>
      </c>
      <c r="AR12" s="20" t="e">
        <f t="shared" si="7"/>
        <v>#REF!</v>
      </c>
      <c r="AS12" s="34">
        <v>0</v>
      </c>
      <c r="AT12" s="23" t="e">
        <f>AS12+'28.04'!AT12</f>
        <v>#REF!</v>
      </c>
      <c r="AU12" s="34">
        <v>0</v>
      </c>
      <c r="AV12" s="23" t="e">
        <f>AU12+'28.04'!AV12</f>
        <v>#REF!</v>
      </c>
      <c r="AW12" s="34">
        <v>0</v>
      </c>
      <c r="AX12" s="23" t="e">
        <f>AW12+'28.04'!AX12</f>
        <v>#REF!</v>
      </c>
      <c r="AY12" s="34">
        <v>0</v>
      </c>
      <c r="AZ12" s="23" t="e">
        <f>AY12+'28.04'!AZ12</f>
        <v>#REF!</v>
      </c>
      <c r="BA12" s="34">
        <v>7</v>
      </c>
      <c r="BB12" s="23" t="e">
        <f>BA12+'28.04'!BB12</f>
        <v>#REF!</v>
      </c>
      <c r="BC12" s="19">
        <f t="shared" si="9"/>
        <v>582</v>
      </c>
      <c r="BD12" s="20" t="e">
        <f t="shared" si="10"/>
        <v>#REF!</v>
      </c>
      <c r="BE12" s="22">
        <v>120</v>
      </c>
      <c r="BF12" s="23" t="e">
        <f>BE12+'28.04'!BF12</f>
        <v>#REF!</v>
      </c>
      <c r="BG12" s="34">
        <v>12</v>
      </c>
      <c r="BH12" s="23" t="e">
        <f>BG12+'28.04'!BH12</f>
        <v>#REF!</v>
      </c>
      <c r="BI12" s="22">
        <v>200</v>
      </c>
      <c r="BJ12" s="23" t="e">
        <f>BI12+'28.04'!BJ12</f>
        <v>#REF!</v>
      </c>
      <c r="BK12" s="22">
        <v>250</v>
      </c>
      <c r="BL12" s="23" t="e">
        <f>BK12+'28.04'!BL12</f>
        <v>#REF!</v>
      </c>
      <c r="BM12" s="22">
        <v>0</v>
      </c>
      <c r="BN12" s="23" t="e">
        <f>BM12+'28.04'!BN12</f>
        <v>#REF!</v>
      </c>
      <c r="BO12" s="36"/>
      <c r="BP12" s="37">
        <v>2</v>
      </c>
      <c r="BQ12" s="23" t="e">
        <f>BP12+'28.04'!BQ12</f>
        <v>#REF!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2</v>
      </c>
      <c r="D13" s="31" t="e">
        <f t="shared" si="2"/>
        <v>#REF!</v>
      </c>
      <c r="E13" s="32">
        <v>516</v>
      </c>
      <c r="F13" s="22">
        <v>2</v>
      </c>
      <c r="G13" s="23" t="e">
        <f>F13+'28.04'!G13</f>
        <v>#REF!</v>
      </c>
      <c r="H13" s="33">
        <v>10</v>
      </c>
      <c r="I13" s="34">
        <v>0</v>
      </c>
      <c r="J13" s="23" t="e">
        <f>I13+'28.04'!J13</f>
        <v>#REF!</v>
      </c>
      <c r="K13" s="33">
        <v>38</v>
      </c>
      <c r="L13" s="22">
        <v>0</v>
      </c>
      <c r="M13" s="23" t="e">
        <f>L13+'28.04'!M13</f>
        <v>#REF!</v>
      </c>
      <c r="N13" s="33">
        <v>581</v>
      </c>
      <c r="O13" s="22">
        <v>0</v>
      </c>
      <c r="P13" s="23" t="e">
        <f>O13+'28.04'!P13</f>
        <v>#REF!</v>
      </c>
      <c r="Q13" s="33">
        <v>525</v>
      </c>
      <c r="R13" s="22">
        <v>0</v>
      </c>
      <c r="S13" s="23" t="e">
        <f>R13+'28.04'!S13</f>
        <v>#REF!</v>
      </c>
      <c r="T13" s="33">
        <v>263</v>
      </c>
      <c r="U13" s="22">
        <v>0</v>
      </c>
      <c r="V13" s="23" t="e">
        <f>U13+'28.04'!V13</f>
        <v>#REF!</v>
      </c>
      <c r="W13" s="33">
        <v>43</v>
      </c>
      <c r="X13" s="22">
        <v>0</v>
      </c>
      <c r="Y13" s="23" t="e">
        <f>X13+'28.04'!Y13</f>
        <v>#REF!</v>
      </c>
      <c r="Z13" s="33">
        <v>17</v>
      </c>
      <c r="AA13" s="22">
        <v>0</v>
      </c>
      <c r="AB13" s="23" t="e">
        <f>AA13+'28.04'!AB13</f>
        <v>#REF!</v>
      </c>
      <c r="AC13" s="33">
        <v>51</v>
      </c>
      <c r="AD13" s="22">
        <v>0</v>
      </c>
      <c r="AE13" s="23" t="e">
        <f>AD13+'28.04'!AE13</f>
        <v>#REF!</v>
      </c>
      <c r="AF13" s="19">
        <f t="shared" si="3"/>
        <v>312000</v>
      </c>
      <c r="AG13" s="20" t="e">
        <f t="shared" si="4"/>
        <v>#REF!</v>
      </c>
      <c r="AH13" s="24">
        <v>2000</v>
      </c>
      <c r="AI13" s="23" t="e">
        <f>AH13+'28.04'!AI13</f>
        <v>#REF!</v>
      </c>
      <c r="AJ13" s="24">
        <v>110000</v>
      </c>
      <c r="AK13" s="23" t="e">
        <f>AJ13+'28.04'!AK13</f>
        <v>#REF!</v>
      </c>
      <c r="AL13" s="22">
        <v>20000</v>
      </c>
      <c r="AM13" s="23" t="e">
        <f>AL13+'28.04'!AM13</f>
        <v>#REF!</v>
      </c>
      <c r="AN13" s="22">
        <v>180000</v>
      </c>
      <c r="AO13" s="23" t="e">
        <f>AN13+'28.04'!AO13</f>
        <v>#REF!</v>
      </c>
      <c r="AP13" s="28" t="s">
        <v>47</v>
      </c>
      <c r="AQ13" s="19">
        <f t="shared" si="6"/>
        <v>10</v>
      </c>
      <c r="AR13" s="20" t="e">
        <f t="shared" si="7"/>
        <v>#REF!</v>
      </c>
      <c r="AS13" s="34">
        <v>0</v>
      </c>
      <c r="AT13" s="23" t="e">
        <f>AS13+'28.04'!AT13</f>
        <v>#REF!</v>
      </c>
      <c r="AU13" s="34">
        <v>0</v>
      </c>
      <c r="AV13" s="23" t="e">
        <f>AU13+'28.04'!AV13</f>
        <v>#REF!</v>
      </c>
      <c r="AW13" s="34">
        <v>0</v>
      </c>
      <c r="AX13" s="23" t="e">
        <f>AW13+'28.04'!AX13</f>
        <v>#REF!</v>
      </c>
      <c r="AY13" s="34">
        <v>0</v>
      </c>
      <c r="AZ13" s="23" t="e">
        <f>AY13+'28.04'!AZ13</f>
        <v>#REF!</v>
      </c>
      <c r="BA13" s="34">
        <v>10</v>
      </c>
      <c r="BB13" s="23" t="e">
        <f>BA13+'28.04'!BB13</f>
        <v>#REF!</v>
      </c>
      <c r="BC13" s="19">
        <f t="shared" si="9"/>
        <v>5072</v>
      </c>
      <c r="BD13" s="20" t="e">
        <f t="shared" si="10"/>
        <v>#REF!</v>
      </c>
      <c r="BE13" s="22">
        <v>10</v>
      </c>
      <c r="BF13" s="23" t="e">
        <f>BE13+'28.04'!BF13</f>
        <v>#REF!</v>
      </c>
      <c r="BG13" s="34">
        <v>12</v>
      </c>
      <c r="BH13" s="23" t="e">
        <f>BG13+'28.04'!BH13</f>
        <v>#REF!</v>
      </c>
      <c r="BI13" s="22">
        <v>5000</v>
      </c>
      <c r="BJ13" s="23" t="e">
        <f>BI13+'28.04'!BJ13</f>
        <v>#REF!</v>
      </c>
      <c r="BK13" s="22">
        <v>50</v>
      </c>
      <c r="BL13" s="23" t="e">
        <f>BK13+'28.04'!BL13</f>
        <v>#REF!</v>
      </c>
      <c r="BM13" s="22">
        <v>0</v>
      </c>
      <c r="BN13" s="23" t="e">
        <f>BM13+'28.04'!BN13</f>
        <v>#REF!</v>
      </c>
      <c r="BO13" s="36"/>
      <c r="BP13" s="37">
        <v>0</v>
      </c>
      <c r="BQ13" s="23" t="e">
        <f>BP13+'28.04'!BQ13</f>
        <v>#REF!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169</v>
      </c>
      <c r="D14" s="42" t="e">
        <f t="shared" si="2"/>
        <v>#REF!</v>
      </c>
      <c r="E14" s="43">
        <v>304</v>
      </c>
      <c r="F14" s="22">
        <v>45</v>
      </c>
      <c r="G14" s="23" t="e">
        <f>F14+'28.04'!G14</f>
        <v>#REF!</v>
      </c>
      <c r="H14" s="44">
        <v>5</v>
      </c>
      <c r="I14" s="45">
        <v>5</v>
      </c>
      <c r="J14" s="23" t="e">
        <f>I14+'28.04'!J14</f>
        <v>#REF!</v>
      </c>
      <c r="K14" s="44">
        <v>34</v>
      </c>
      <c r="L14" s="22">
        <v>22</v>
      </c>
      <c r="M14" s="23" t="e">
        <f>L14+'28.04'!M14</f>
        <v>#REF!</v>
      </c>
      <c r="N14" s="44">
        <v>583</v>
      </c>
      <c r="O14" s="22">
        <v>25</v>
      </c>
      <c r="P14" s="23" t="e">
        <f>O14+'28.04'!P14</f>
        <v>#REF!</v>
      </c>
      <c r="Q14" s="44">
        <v>254</v>
      </c>
      <c r="R14" s="22">
        <v>2</v>
      </c>
      <c r="S14" s="23" t="e">
        <f>R14+'28.04'!S14</f>
        <v>#REF!</v>
      </c>
      <c r="T14" s="44">
        <v>196</v>
      </c>
      <c r="U14" s="22">
        <v>5</v>
      </c>
      <c r="V14" s="23" t="e">
        <f>U14+'28.04'!V14</f>
        <v>#REF!</v>
      </c>
      <c r="W14" s="44">
        <v>30</v>
      </c>
      <c r="X14" s="22">
        <v>26</v>
      </c>
      <c r="Y14" s="23" t="e">
        <f>X14+'28.04'!Y14</f>
        <v>#REF!</v>
      </c>
      <c r="Z14" s="44">
        <v>10</v>
      </c>
      <c r="AA14" s="22">
        <v>5</v>
      </c>
      <c r="AB14" s="23" t="e">
        <f>AA14+'28.04'!AB14</f>
        <v>#REF!</v>
      </c>
      <c r="AC14" s="44">
        <v>2500</v>
      </c>
      <c r="AD14" s="22">
        <v>34</v>
      </c>
      <c r="AE14" s="23" t="e">
        <f>AD14+'28.04'!AE14</f>
        <v>#REF!</v>
      </c>
      <c r="AF14" s="19">
        <f t="shared" si="3"/>
        <v>59280</v>
      </c>
      <c r="AG14" s="20" t="e">
        <f t="shared" si="4"/>
        <v>#REF!</v>
      </c>
      <c r="AH14" s="24">
        <v>840</v>
      </c>
      <c r="AI14" s="23" t="e">
        <f>AH14+'28.04'!AI14</f>
        <v>#REF!</v>
      </c>
      <c r="AJ14" s="24">
        <v>1240</v>
      </c>
      <c r="AK14" s="23" t="e">
        <f>AJ14+'28.04'!AK14</f>
        <v>#REF!</v>
      </c>
      <c r="AL14" s="22">
        <v>3200</v>
      </c>
      <c r="AM14" s="23" t="e">
        <f>AL14+'28.04'!AM14</f>
        <v>#REF!</v>
      </c>
      <c r="AN14" s="22">
        <v>54000</v>
      </c>
      <c r="AO14" s="23" t="e">
        <f>AN14+'28.04'!AO14</f>
        <v>#REF!</v>
      </c>
      <c r="AP14" s="39" t="s">
        <v>48</v>
      </c>
      <c r="AQ14" s="19">
        <f t="shared" si="6"/>
        <v>19</v>
      </c>
      <c r="AR14" s="20" t="e">
        <f t="shared" si="7"/>
        <v>#REF!</v>
      </c>
      <c r="AS14" s="45">
        <v>1</v>
      </c>
      <c r="AT14" s="23" t="e">
        <f>AS14+'28.04'!AT14</f>
        <v>#REF!</v>
      </c>
      <c r="AU14" s="45">
        <v>1</v>
      </c>
      <c r="AV14" s="23" t="e">
        <f>AU14+'28.04'!AV14</f>
        <v>#REF!</v>
      </c>
      <c r="AW14" s="45">
        <v>1</v>
      </c>
      <c r="AX14" s="23" t="e">
        <f>AW14+'28.04'!AX14</f>
        <v>#REF!</v>
      </c>
      <c r="AY14" s="45">
        <v>1</v>
      </c>
      <c r="AZ14" s="23" t="e">
        <f>AY14+'28.04'!AZ14</f>
        <v>#REF!</v>
      </c>
      <c r="BA14" s="45">
        <v>15</v>
      </c>
      <c r="BB14" s="23" t="e">
        <f>BA14+'28.04'!BB14</f>
        <v>#REF!</v>
      </c>
      <c r="BC14" s="19">
        <f t="shared" si="9"/>
        <v>1302</v>
      </c>
      <c r="BD14" s="20" t="e">
        <f t="shared" si="10"/>
        <v>#REF!</v>
      </c>
      <c r="BE14" s="22">
        <v>55</v>
      </c>
      <c r="BF14" s="23" t="e">
        <f>BE14+'28.04'!BF14</f>
        <v>#REF!</v>
      </c>
      <c r="BG14" s="45">
        <v>2</v>
      </c>
      <c r="BH14" s="23" t="e">
        <f>BG14+'28.04'!BH14</f>
        <v>#REF!</v>
      </c>
      <c r="BI14" s="22">
        <v>1200</v>
      </c>
      <c r="BJ14" s="23" t="e">
        <f>BI14+'28.04'!BJ14</f>
        <v>#REF!</v>
      </c>
      <c r="BK14" s="22">
        <v>45</v>
      </c>
      <c r="BL14" s="23" t="e">
        <f>BK14+'28.04'!BL14</f>
        <v>#REF!</v>
      </c>
      <c r="BM14" s="22"/>
      <c r="BN14" s="23" t="e">
        <f>BM14+'28.04'!BN14</f>
        <v>#REF!</v>
      </c>
      <c r="BO14" s="48">
        <v>22</v>
      </c>
      <c r="BP14" s="49">
        <v>10</v>
      </c>
      <c r="BQ14" s="23" t="e">
        <f>BP14+'28.04'!BQ14</f>
        <v>#REF!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355</v>
      </c>
      <c r="D15" s="53" t="e">
        <f t="shared" si="2"/>
        <v>#REF!</v>
      </c>
      <c r="E15" s="54">
        <v>776</v>
      </c>
      <c r="F15" s="55">
        <v>338</v>
      </c>
      <c r="G15" s="23" t="e">
        <f>F15+'28.04'!G15</f>
        <v>#REF!</v>
      </c>
      <c r="H15" s="56">
        <v>9</v>
      </c>
      <c r="I15" s="57">
        <v>0</v>
      </c>
      <c r="J15" s="23" t="e">
        <f>I15+'28.04'!J15</f>
        <v>#REF!</v>
      </c>
      <c r="K15" s="56">
        <v>6</v>
      </c>
      <c r="L15" s="55">
        <v>0</v>
      </c>
      <c r="M15" s="23" t="e">
        <f>L15+'28.04'!M15</f>
        <v>#REF!</v>
      </c>
      <c r="N15" s="56">
        <v>1305</v>
      </c>
      <c r="O15" s="55">
        <v>0</v>
      </c>
      <c r="P15" s="23" t="e">
        <f>O15+'28.04'!P15</f>
        <v>#REF!</v>
      </c>
      <c r="Q15" s="56">
        <v>447</v>
      </c>
      <c r="R15" s="55">
        <v>0</v>
      </c>
      <c r="S15" s="23" t="e">
        <f>R15+'28.04'!S15</f>
        <v>#REF!</v>
      </c>
      <c r="T15" s="56">
        <v>337</v>
      </c>
      <c r="U15" s="55">
        <v>0</v>
      </c>
      <c r="V15" s="23" t="e">
        <f>U15+'28.04'!V15</f>
        <v>#REF!</v>
      </c>
      <c r="W15" s="56">
        <v>78</v>
      </c>
      <c r="X15" s="55">
        <v>0</v>
      </c>
      <c r="Y15" s="23" t="e">
        <f>X15+'28.04'!Y15</f>
        <v>#REF!</v>
      </c>
      <c r="Z15" s="56">
        <v>141</v>
      </c>
      <c r="AA15" s="55">
        <v>0</v>
      </c>
      <c r="AB15" s="23" t="e">
        <f>AA15+'28.04'!AB15</f>
        <v>#REF!</v>
      </c>
      <c r="AC15" s="56">
        <v>798</v>
      </c>
      <c r="AD15" s="55">
        <v>17</v>
      </c>
      <c r="AE15" s="23" t="e">
        <f>AD15+'28.04'!AE15</f>
        <v>#REF!</v>
      </c>
      <c r="AF15" s="58">
        <f t="shared" si="3"/>
        <v>339321</v>
      </c>
      <c r="AG15" s="59" t="e">
        <f t="shared" si="4"/>
        <v>#REF!</v>
      </c>
      <c r="AH15" s="60">
        <v>1124</v>
      </c>
      <c r="AI15" s="23" t="e">
        <f>AH15+'28.04'!AI15</f>
        <v>#REF!</v>
      </c>
      <c r="AJ15" s="60">
        <v>3518</v>
      </c>
      <c r="AK15" s="23" t="e">
        <f>AJ15+'28.04'!AK15</f>
        <v>#REF!</v>
      </c>
      <c r="AL15" s="55">
        <v>324679</v>
      </c>
      <c r="AM15" s="23" t="e">
        <f>AL15+'28.04'!AM15</f>
        <v>#REF!</v>
      </c>
      <c r="AN15" s="55">
        <v>10000</v>
      </c>
      <c r="AO15" s="23" t="e">
        <f>AN15+'28.04'!AO15</f>
        <v>#REF!</v>
      </c>
      <c r="AP15" s="50" t="s">
        <v>49</v>
      </c>
      <c r="AQ15" s="58">
        <f t="shared" si="6"/>
        <v>3</v>
      </c>
      <c r="AR15" s="59" t="e">
        <f t="shared" si="7"/>
        <v>#REF!</v>
      </c>
      <c r="AS15" s="57">
        <v>0</v>
      </c>
      <c r="AT15" s="23" t="e">
        <f>AS15+'28.04'!AT15</f>
        <v>#REF!</v>
      </c>
      <c r="AU15" s="57">
        <v>1</v>
      </c>
      <c r="AV15" s="23" t="e">
        <f>AU15+'28.04'!AV15</f>
        <v>#REF!</v>
      </c>
      <c r="AW15" s="57">
        <v>0</v>
      </c>
      <c r="AX15" s="23" t="e">
        <f>AW15+'28.04'!AX15</f>
        <v>#REF!</v>
      </c>
      <c r="AY15" s="57">
        <v>0</v>
      </c>
      <c r="AZ15" s="23" t="e">
        <f>AY15+'28.04'!AZ15</f>
        <v>#REF!</v>
      </c>
      <c r="BA15" s="57">
        <v>2</v>
      </c>
      <c r="BB15" s="23" t="e">
        <f>BA15+'28.04'!BB15</f>
        <v>#REF!</v>
      </c>
      <c r="BC15" s="58">
        <f t="shared" si="9"/>
        <v>1510</v>
      </c>
      <c r="BD15" s="59" t="e">
        <f t="shared" si="10"/>
        <v>#REF!</v>
      </c>
      <c r="BE15" s="55">
        <v>68</v>
      </c>
      <c r="BF15" s="23" t="e">
        <f>BE15+'28.04'!BF15</f>
        <v>#REF!</v>
      </c>
      <c r="BG15" s="57">
        <v>2</v>
      </c>
      <c r="BH15" s="23" t="e">
        <f>BG15+'28.04'!BH15</f>
        <v>#REF!</v>
      </c>
      <c r="BI15" s="55">
        <v>720</v>
      </c>
      <c r="BJ15" s="23" t="e">
        <f>BI15+'28.04'!BJ15</f>
        <v>#REF!</v>
      </c>
      <c r="BK15" s="55">
        <v>720</v>
      </c>
      <c r="BL15" s="23" t="e">
        <f>BK15+'28.04'!BL15</f>
        <v>#REF!</v>
      </c>
      <c r="BM15" s="55">
        <v>0</v>
      </c>
      <c r="BN15" s="23" t="e">
        <f>BM15+'28.04'!BN15</f>
        <v>#REF!</v>
      </c>
      <c r="BO15" s="36">
        <v>6274</v>
      </c>
      <c r="BP15" s="37">
        <v>2</v>
      </c>
      <c r="BQ15" s="23" t="e">
        <f>BP15+'28.04'!BQ15</f>
        <v>#REF!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103</v>
      </c>
      <c r="D16" s="31" t="e">
        <f t="shared" si="2"/>
        <v>#REF!</v>
      </c>
      <c r="E16" s="32">
        <v>310</v>
      </c>
      <c r="F16" s="22">
        <v>31</v>
      </c>
      <c r="G16" s="23" t="e">
        <f>F16+'28.04'!G16</f>
        <v>#REF!</v>
      </c>
      <c r="H16" s="33">
        <v>5</v>
      </c>
      <c r="I16" s="34">
        <v>0</v>
      </c>
      <c r="J16" s="23" t="e">
        <f>I16+'28.04'!J16</f>
        <v>#REF!</v>
      </c>
      <c r="K16" s="33">
        <v>3</v>
      </c>
      <c r="L16" s="22">
        <v>0</v>
      </c>
      <c r="M16" s="23" t="e">
        <f>L16+'28.04'!M16</f>
        <v>#REF!</v>
      </c>
      <c r="N16" s="33">
        <v>384</v>
      </c>
      <c r="O16" s="22">
        <v>0</v>
      </c>
      <c r="P16" s="23" t="e">
        <f>O16+'28.04'!P16</f>
        <v>#REF!</v>
      </c>
      <c r="Q16" s="33">
        <v>245</v>
      </c>
      <c r="R16" s="22">
        <v>0</v>
      </c>
      <c r="S16" s="23" t="e">
        <f>R16+'28.04'!S16</f>
        <v>#REF!</v>
      </c>
      <c r="T16" s="33">
        <v>397</v>
      </c>
      <c r="U16" s="22">
        <v>0</v>
      </c>
      <c r="V16" s="23" t="e">
        <f>U16+'28.04'!V16</f>
        <v>#REF!</v>
      </c>
      <c r="W16" s="33">
        <v>24</v>
      </c>
      <c r="X16" s="22">
        <v>43</v>
      </c>
      <c r="Y16" s="23" t="e">
        <f>X16+'28.04'!Y16</f>
        <v>#REF!</v>
      </c>
      <c r="Z16" s="33">
        <v>18</v>
      </c>
      <c r="AA16" s="22">
        <v>0</v>
      </c>
      <c r="AB16" s="23" t="e">
        <f>AA16+'28.04'!AB16</f>
        <v>#REF!</v>
      </c>
      <c r="AC16" s="33">
        <v>18515</v>
      </c>
      <c r="AD16" s="22">
        <v>29</v>
      </c>
      <c r="AE16" s="23" t="e">
        <f>AD16+'28.04'!AE16</f>
        <v>#REF!</v>
      </c>
      <c r="AF16" s="19">
        <f t="shared" si="3"/>
        <v>74365</v>
      </c>
      <c r="AG16" s="20" t="e">
        <f t="shared" si="4"/>
        <v>#REF!</v>
      </c>
      <c r="AH16" s="24">
        <v>215</v>
      </c>
      <c r="AI16" s="23" t="e">
        <f>AH16+'28.04'!AI16</f>
        <v>#REF!</v>
      </c>
      <c r="AJ16" s="24">
        <v>1247</v>
      </c>
      <c r="AK16" s="23" t="e">
        <f>AJ16+'28.04'!AK16</f>
        <v>#REF!</v>
      </c>
      <c r="AL16" s="22">
        <v>1627</v>
      </c>
      <c r="AM16" s="23" t="e">
        <f>AL16+'28.04'!AM16</f>
        <v>#REF!</v>
      </c>
      <c r="AN16" s="22">
        <v>71276</v>
      </c>
      <c r="AO16" s="23" t="e">
        <f>AN16+'28.04'!AO16</f>
        <v>#REF!</v>
      </c>
      <c r="AP16" s="28" t="s">
        <v>51</v>
      </c>
      <c r="AQ16" s="19">
        <f t="shared" si="6"/>
        <v>47</v>
      </c>
      <c r="AR16" s="20" t="e">
        <f t="shared" si="7"/>
        <v>#REF!</v>
      </c>
      <c r="AS16" s="34">
        <v>0</v>
      </c>
      <c r="AT16" s="23" t="e">
        <f>AS16+'28.04'!AT16</f>
        <v>#REF!</v>
      </c>
      <c r="AU16" s="34">
        <v>0</v>
      </c>
      <c r="AV16" s="23" t="e">
        <f>AU16+'28.04'!AV16</f>
        <v>#REF!</v>
      </c>
      <c r="AW16" s="34">
        <v>0</v>
      </c>
      <c r="AX16" s="23" t="e">
        <f>AW16+'28.04'!AX16</f>
        <v>#REF!</v>
      </c>
      <c r="AY16" s="34">
        <v>0</v>
      </c>
      <c r="AZ16" s="23" t="e">
        <f>AY16+'28.04'!AZ16</f>
        <v>#REF!</v>
      </c>
      <c r="BA16" s="34">
        <v>47</v>
      </c>
      <c r="BB16" s="23" t="e">
        <f>BA16+'28.04'!BB16</f>
        <v>#REF!</v>
      </c>
      <c r="BC16" s="19">
        <f t="shared" si="9"/>
        <v>1324</v>
      </c>
      <c r="BD16" s="20" t="e">
        <f t="shared" si="10"/>
        <v>#REF!</v>
      </c>
      <c r="BE16" s="22">
        <v>48</v>
      </c>
      <c r="BF16" s="23" t="e">
        <f>BE16+'28.04'!BF16</f>
        <v>#REF!</v>
      </c>
      <c r="BG16" s="34">
        <v>0</v>
      </c>
      <c r="BH16" s="23" t="e">
        <f>BG16+'28.04'!BH16</f>
        <v>#REF!</v>
      </c>
      <c r="BI16" s="22">
        <v>1189</v>
      </c>
      <c r="BJ16" s="23" t="e">
        <f>BI16+'28.04'!BJ16</f>
        <v>#REF!</v>
      </c>
      <c r="BK16" s="22">
        <v>87</v>
      </c>
      <c r="BL16" s="23" t="e">
        <f>BK16+'28.04'!BL16</f>
        <v>#REF!</v>
      </c>
      <c r="BM16" s="22">
        <v>0</v>
      </c>
      <c r="BN16" s="23" t="e">
        <f>BM16+'28.04'!BN16</f>
        <v>#REF!</v>
      </c>
      <c r="BO16" s="36">
        <v>2546</v>
      </c>
      <c r="BP16" s="37">
        <v>0</v>
      </c>
      <c r="BQ16" s="23" t="e">
        <f>BP16+'28.04'!BQ16</f>
        <v>#REF!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190</v>
      </c>
      <c r="D17" s="31" t="e">
        <f t="shared" si="2"/>
        <v>#REF!</v>
      </c>
      <c r="E17" s="32">
        <v>754</v>
      </c>
      <c r="F17" s="22">
        <v>170</v>
      </c>
      <c r="G17" s="23" t="e">
        <f>F17+'28.04'!G17</f>
        <v>#REF!</v>
      </c>
      <c r="H17" s="33">
        <v>9</v>
      </c>
      <c r="I17" s="34">
        <v>0</v>
      </c>
      <c r="J17" s="23" t="e">
        <f>I17+'28.04'!J17</f>
        <v>#REF!</v>
      </c>
      <c r="K17" s="33">
        <v>5</v>
      </c>
      <c r="L17" s="22">
        <v>0</v>
      </c>
      <c r="M17" s="23" t="e">
        <f>L17+'28.04'!M17</f>
        <v>#REF!</v>
      </c>
      <c r="N17" s="33">
        <v>768</v>
      </c>
      <c r="O17" s="22">
        <v>0</v>
      </c>
      <c r="P17" s="23" t="e">
        <f>O17+'28.04'!P17</f>
        <v>#REF!</v>
      </c>
      <c r="Q17" s="33">
        <v>624</v>
      </c>
      <c r="R17" s="22">
        <v>0</v>
      </c>
      <c r="S17" s="23" t="e">
        <f>R17+'28.04'!S17</f>
        <v>#REF!</v>
      </c>
      <c r="T17" s="33">
        <v>742</v>
      </c>
      <c r="U17" s="22">
        <v>0</v>
      </c>
      <c r="V17" s="23" t="e">
        <f>U17+'28.04'!V17</f>
        <v>#REF!</v>
      </c>
      <c r="W17" s="33">
        <v>54</v>
      </c>
      <c r="X17" s="22">
        <v>10</v>
      </c>
      <c r="Y17" s="23" t="e">
        <f>X17+'28.04'!Y17</f>
        <v>#REF!</v>
      </c>
      <c r="Z17" s="33">
        <v>66</v>
      </c>
      <c r="AA17" s="22">
        <v>0</v>
      </c>
      <c r="AB17" s="23" t="e">
        <f>AA17+'28.04'!AB17</f>
        <v>#REF!</v>
      </c>
      <c r="AC17" s="33">
        <v>2580</v>
      </c>
      <c r="AD17" s="22">
        <v>10</v>
      </c>
      <c r="AE17" s="23" t="e">
        <f>AD17+'28.04'!AE17</f>
        <v>#REF!</v>
      </c>
      <c r="AF17" s="19">
        <f t="shared" si="3"/>
        <v>33400</v>
      </c>
      <c r="AG17" s="20" t="e">
        <f t="shared" si="4"/>
        <v>#REF!</v>
      </c>
      <c r="AH17" s="24">
        <v>9200</v>
      </c>
      <c r="AI17" s="23" t="e">
        <f>AH17+'28.04'!AI17</f>
        <v>#REF!</v>
      </c>
      <c r="AJ17" s="24">
        <v>10800</v>
      </c>
      <c r="AK17" s="23" t="e">
        <f>AJ17+'28.04'!AK17</f>
        <v>#REF!</v>
      </c>
      <c r="AL17" s="22">
        <v>2600</v>
      </c>
      <c r="AM17" s="23" t="e">
        <f>AL17+'28.04'!AM17</f>
        <v>#REF!</v>
      </c>
      <c r="AN17" s="22">
        <v>10800</v>
      </c>
      <c r="AO17" s="23" t="e">
        <f>AN17+'28.04'!AO17</f>
        <v>#REF!</v>
      </c>
      <c r="AP17" s="28" t="s">
        <v>52</v>
      </c>
      <c r="AQ17" s="19">
        <f t="shared" si="6"/>
        <v>16</v>
      </c>
      <c r="AR17" s="20" t="e">
        <f t="shared" si="7"/>
        <v>#REF!</v>
      </c>
      <c r="AS17" s="34">
        <v>1</v>
      </c>
      <c r="AT17" s="23" t="e">
        <f>AS17+'28.04'!AT17</f>
        <v>#REF!</v>
      </c>
      <c r="AU17" s="34">
        <v>1</v>
      </c>
      <c r="AV17" s="23" t="e">
        <f>AU17+'28.04'!AV17</f>
        <v>#REF!</v>
      </c>
      <c r="AW17" s="34">
        <v>0</v>
      </c>
      <c r="AX17" s="23" t="e">
        <f>AW17+'28.04'!AX17</f>
        <v>#REF!</v>
      </c>
      <c r="AY17" s="34">
        <v>0</v>
      </c>
      <c r="AZ17" s="23" t="e">
        <f>AY17+'28.04'!AZ17</f>
        <v>#REF!</v>
      </c>
      <c r="BA17" s="34">
        <v>14</v>
      </c>
      <c r="BB17" s="23" t="e">
        <f>BA17+'28.04'!BB17</f>
        <v>#REF!</v>
      </c>
      <c r="BC17" s="19">
        <f t="shared" si="9"/>
        <v>1602</v>
      </c>
      <c r="BD17" s="20" t="e">
        <f t="shared" si="10"/>
        <v>#REF!</v>
      </c>
      <c r="BE17" s="22">
        <v>38</v>
      </c>
      <c r="BF17" s="23" t="e">
        <f>BE17+'28.04'!BF17</f>
        <v>#REF!</v>
      </c>
      <c r="BG17" s="34">
        <v>4</v>
      </c>
      <c r="BH17" s="23" t="e">
        <f>BG17+'28.04'!BH17</f>
        <v>#REF!</v>
      </c>
      <c r="BI17" s="22">
        <v>1400</v>
      </c>
      <c r="BJ17" s="23" t="e">
        <f>BI17+'28.04'!BJ17</f>
        <v>#REF!</v>
      </c>
      <c r="BK17" s="22">
        <v>160</v>
      </c>
      <c r="BL17" s="23" t="e">
        <f>BK17+'28.04'!BL17</f>
        <v>#REF!</v>
      </c>
      <c r="BM17" s="22">
        <v>0</v>
      </c>
      <c r="BN17" s="23" t="e">
        <f>BM17+'28.04'!BN17</f>
        <v>#REF!</v>
      </c>
      <c r="BO17" s="36">
        <v>8022</v>
      </c>
      <c r="BP17" s="37">
        <v>10</v>
      </c>
      <c r="BQ17" s="23" t="e">
        <f>BP17+'28.04'!BQ17</f>
        <v>#REF!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524</v>
      </c>
      <c r="D18" s="20" t="e">
        <f t="shared" si="2"/>
        <v>#REF!</v>
      </c>
      <c r="E18" s="21">
        <v>1063</v>
      </c>
      <c r="F18" s="22">
        <v>310</v>
      </c>
      <c r="G18" s="23" t="e">
        <f>F18+'28.04'!G18</f>
        <v>#REF!</v>
      </c>
      <c r="H18" s="21">
        <v>19</v>
      </c>
      <c r="I18" s="22">
        <v>0</v>
      </c>
      <c r="J18" s="23" t="e">
        <f>I18+'28.04'!J18</f>
        <v>#REF!</v>
      </c>
      <c r="K18" s="21">
        <v>8</v>
      </c>
      <c r="L18" s="22">
        <v>0</v>
      </c>
      <c r="M18" s="23" t="e">
        <f>L18+'28.04'!M18</f>
        <v>#REF!</v>
      </c>
      <c r="N18" s="21">
        <v>1331</v>
      </c>
      <c r="O18" s="22">
        <v>0</v>
      </c>
      <c r="P18" s="23" t="e">
        <f>O18+'28.04'!P18</f>
        <v>#REF!</v>
      </c>
      <c r="Q18" s="21">
        <v>777</v>
      </c>
      <c r="R18" s="22">
        <v>0</v>
      </c>
      <c r="S18" s="23" t="e">
        <f>R18+'28.04'!S18</f>
        <v>#REF!</v>
      </c>
      <c r="T18" s="21">
        <v>318</v>
      </c>
      <c r="U18" s="22">
        <v>0</v>
      </c>
      <c r="V18" s="23" t="e">
        <f>U18+'28.04'!V18</f>
        <v>#REF!</v>
      </c>
      <c r="W18" s="21">
        <v>60</v>
      </c>
      <c r="X18" s="22">
        <v>214</v>
      </c>
      <c r="Y18" s="23" t="e">
        <f>X18+'28.04'!Y18</f>
        <v>#REF!</v>
      </c>
      <c r="Z18" s="21">
        <v>72</v>
      </c>
      <c r="AA18" s="22">
        <v>0</v>
      </c>
      <c r="AB18" s="23" t="e">
        <f>AA18+'28.04'!AB18</f>
        <v>#REF!</v>
      </c>
      <c r="AC18" s="21">
        <v>143</v>
      </c>
      <c r="AD18" s="22">
        <v>0</v>
      </c>
      <c r="AE18" s="23" t="e">
        <f>AD18+'28.04'!AE18</f>
        <v>#REF!</v>
      </c>
      <c r="AF18" s="19">
        <f t="shared" si="3"/>
        <v>347704</v>
      </c>
      <c r="AG18" s="20" t="e">
        <f t="shared" si="4"/>
        <v>#REF!</v>
      </c>
      <c r="AH18" s="24">
        <v>614</v>
      </c>
      <c r="AI18" s="23" t="e">
        <f>AH18+'28.04'!AI18</f>
        <v>#REF!</v>
      </c>
      <c r="AJ18" s="24">
        <v>4804</v>
      </c>
      <c r="AK18" s="23" t="e">
        <f>AJ18+'28.04'!AK18</f>
        <v>#REF!</v>
      </c>
      <c r="AL18" s="22">
        <v>5102</v>
      </c>
      <c r="AM18" s="23" t="e">
        <f>AL18+'28.04'!AM18</f>
        <v>#REF!</v>
      </c>
      <c r="AN18" s="22">
        <v>337184</v>
      </c>
      <c r="AO18" s="23" t="e">
        <f>AN18+'28.04'!AO18</f>
        <v>#REF!</v>
      </c>
      <c r="AP18" s="17" t="s">
        <v>53</v>
      </c>
      <c r="AQ18" s="19">
        <f t="shared" si="6"/>
        <v>2</v>
      </c>
      <c r="AR18" s="20" t="e">
        <f t="shared" si="7"/>
        <v>#REF!</v>
      </c>
      <c r="AS18" s="22">
        <v>0</v>
      </c>
      <c r="AT18" s="23" t="e">
        <f>AS18+'28.04'!AT18</f>
        <v>#REF!</v>
      </c>
      <c r="AU18" s="22">
        <v>0</v>
      </c>
      <c r="AV18" s="23" t="e">
        <f>AU18+'28.04'!AV18</f>
        <v>#REF!</v>
      </c>
      <c r="AW18" s="22">
        <v>0</v>
      </c>
      <c r="AX18" s="23" t="e">
        <f>AW18+'28.04'!AX18</f>
        <v>#REF!</v>
      </c>
      <c r="AY18" s="22">
        <v>0</v>
      </c>
      <c r="AZ18" s="23" t="e">
        <f>AY18+'28.04'!AZ18</f>
        <v>#REF!</v>
      </c>
      <c r="BA18" s="22">
        <v>2</v>
      </c>
      <c r="BB18" s="23" t="e">
        <f>BA18+'28.04'!BB18</f>
        <v>#REF!</v>
      </c>
      <c r="BC18" s="19">
        <f t="shared" si="9"/>
        <v>3327</v>
      </c>
      <c r="BD18" s="20" t="e">
        <f t="shared" si="10"/>
        <v>#REF!</v>
      </c>
      <c r="BE18" s="22">
        <v>1</v>
      </c>
      <c r="BF18" s="23" t="e">
        <f>BE18+'28.04'!BF18</f>
        <v>#REF!</v>
      </c>
      <c r="BG18" s="22">
        <v>0</v>
      </c>
      <c r="BH18" s="23" t="e">
        <f>BG18+'28.04'!BH18</f>
        <v>#REF!</v>
      </c>
      <c r="BI18" s="22">
        <v>3114</v>
      </c>
      <c r="BJ18" s="23" t="e">
        <f>BI18+'28.04'!BJ18</f>
        <v>#REF!</v>
      </c>
      <c r="BK18" s="22">
        <v>212</v>
      </c>
      <c r="BL18" s="23" t="e">
        <f>BK18+'28.04'!BL18</f>
        <v>#REF!</v>
      </c>
      <c r="BM18" s="22">
        <v>0</v>
      </c>
      <c r="BN18" s="23" t="e">
        <f>BM18+'28.04'!BN18</f>
        <v>#REF!</v>
      </c>
      <c r="BO18" s="36">
        <v>442</v>
      </c>
      <c r="BP18" s="37">
        <v>10</v>
      </c>
      <c r="BQ18" s="23" t="e">
        <f>BP18+'28.04'!BQ18</f>
        <v>#REF!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52</v>
      </c>
      <c r="D19" s="31" t="e">
        <f t="shared" si="2"/>
        <v>#REF!</v>
      </c>
      <c r="E19" s="33">
        <v>221</v>
      </c>
      <c r="F19" s="22">
        <v>17</v>
      </c>
      <c r="G19" s="23" t="e">
        <f>F19+'28.04'!G19</f>
        <v>#REF!</v>
      </c>
      <c r="H19" s="33">
        <v>5</v>
      </c>
      <c r="I19" s="34">
        <v>0</v>
      </c>
      <c r="J19" s="23" t="e">
        <f>I19+'28.04'!J19</f>
        <v>#REF!</v>
      </c>
      <c r="K19" s="33">
        <v>4</v>
      </c>
      <c r="L19" s="22">
        <v>0</v>
      </c>
      <c r="M19" s="23" t="e">
        <f>L19+'28.04'!M19</f>
        <v>#REF!</v>
      </c>
      <c r="N19" s="33">
        <v>313</v>
      </c>
      <c r="O19" s="22">
        <v>0</v>
      </c>
      <c r="P19" s="23" t="e">
        <f>O19+'28.04'!P19</f>
        <v>#REF!</v>
      </c>
      <c r="Q19" s="33">
        <v>203</v>
      </c>
      <c r="R19" s="22">
        <v>0</v>
      </c>
      <c r="S19" s="23" t="e">
        <f>R19+'28.04'!S19</f>
        <v>#REF!</v>
      </c>
      <c r="T19" s="33">
        <v>241</v>
      </c>
      <c r="U19" s="22">
        <v>0</v>
      </c>
      <c r="V19" s="23" t="e">
        <f>U19+'28.04'!V19</f>
        <v>#REF!</v>
      </c>
      <c r="W19" s="33">
        <v>14</v>
      </c>
      <c r="X19" s="22">
        <v>16</v>
      </c>
      <c r="Y19" s="23" t="e">
        <f>X19+'28.04'!Y19</f>
        <v>#REF!</v>
      </c>
      <c r="Z19" s="33">
        <v>7</v>
      </c>
      <c r="AA19" s="22">
        <v>0</v>
      </c>
      <c r="AB19" s="23" t="e">
        <f>AA19+'28.04'!AB19</f>
        <v>#REF!</v>
      </c>
      <c r="AC19" s="33">
        <v>32</v>
      </c>
      <c r="AD19" s="22">
        <v>19</v>
      </c>
      <c r="AE19" s="23" t="e">
        <f>AD19+'28.04'!AE19</f>
        <v>#REF!</v>
      </c>
      <c r="AF19" s="19">
        <f t="shared" si="3"/>
        <v>3900</v>
      </c>
      <c r="AG19" s="20" t="e">
        <f t="shared" si="4"/>
        <v>#REF!</v>
      </c>
      <c r="AH19" s="24">
        <v>400</v>
      </c>
      <c r="AI19" s="23" t="e">
        <f>AH19+'28.04'!AI19</f>
        <v>#REF!</v>
      </c>
      <c r="AJ19" s="24">
        <v>1000</v>
      </c>
      <c r="AK19" s="23" t="e">
        <f>AJ19+'28.04'!AK19</f>
        <v>#REF!</v>
      </c>
      <c r="AL19" s="22">
        <v>500</v>
      </c>
      <c r="AM19" s="23" t="e">
        <f>AL19+'28.04'!AM19</f>
        <v>#REF!</v>
      </c>
      <c r="AN19" s="22">
        <v>2000</v>
      </c>
      <c r="AO19" s="23" t="e">
        <f>AN19+'28.04'!AO19</f>
        <v>#REF!</v>
      </c>
      <c r="AP19" s="28" t="s">
        <v>54</v>
      </c>
      <c r="AQ19" s="19">
        <f t="shared" si="6"/>
        <v>0</v>
      </c>
      <c r="AR19" s="20" t="e">
        <f t="shared" si="7"/>
        <v>#REF!</v>
      </c>
      <c r="AS19" s="34">
        <v>0</v>
      </c>
      <c r="AT19" s="23" t="e">
        <f>AS19+'28.04'!AT19</f>
        <v>#REF!</v>
      </c>
      <c r="AU19" s="34">
        <v>0</v>
      </c>
      <c r="AV19" s="23" t="e">
        <f>AU19+'28.04'!AV19</f>
        <v>#REF!</v>
      </c>
      <c r="AW19" s="34">
        <v>0</v>
      </c>
      <c r="AX19" s="23" t="e">
        <f>AW19+'28.04'!AX19</f>
        <v>#REF!</v>
      </c>
      <c r="AY19" s="34">
        <v>0</v>
      </c>
      <c r="AZ19" s="23" t="e">
        <f>AY19+'28.04'!AZ19</f>
        <v>#REF!</v>
      </c>
      <c r="BA19" s="34">
        <v>0</v>
      </c>
      <c r="BB19" s="23" t="e">
        <f>BA19+'28.04'!BB19</f>
        <v>#REF!</v>
      </c>
      <c r="BC19" s="19">
        <f t="shared" si="9"/>
        <v>1415</v>
      </c>
      <c r="BD19" s="20" t="e">
        <f t="shared" si="10"/>
        <v>#REF!</v>
      </c>
      <c r="BE19" s="22">
        <v>15</v>
      </c>
      <c r="BF19" s="23" t="e">
        <f>BE19+'28.04'!BF19</f>
        <v>#REF!</v>
      </c>
      <c r="BG19" s="34">
        <v>0</v>
      </c>
      <c r="BH19" s="23" t="e">
        <f>BG19+'28.04'!BH19</f>
        <v>#REF!</v>
      </c>
      <c r="BI19" s="22">
        <v>1200</v>
      </c>
      <c r="BJ19" s="23" t="e">
        <f>BI19+'28.04'!BJ19</f>
        <v>#REF!</v>
      </c>
      <c r="BK19" s="22">
        <v>200</v>
      </c>
      <c r="BL19" s="23" t="e">
        <f>BK19+'28.04'!BL19</f>
        <v>#REF!</v>
      </c>
      <c r="BM19" s="22">
        <v>0</v>
      </c>
      <c r="BN19" s="23" t="e">
        <f>BM19+'28.04'!BN19</f>
        <v>#REF!</v>
      </c>
      <c r="BO19" s="36">
        <v>2898</v>
      </c>
      <c r="BP19" s="37">
        <v>0</v>
      </c>
      <c r="BQ19" s="23" t="e">
        <f>BP19+'28.04'!BQ19</f>
        <v>#REF!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355</v>
      </c>
      <c r="D20" s="31" t="e">
        <f t="shared" si="2"/>
        <v>#REF!</v>
      </c>
      <c r="E20" s="32">
        <v>723</v>
      </c>
      <c r="F20" s="22">
        <v>194</v>
      </c>
      <c r="G20" s="23" t="e">
        <f>F20+'28.04'!G20</f>
        <v>#REF!</v>
      </c>
      <c r="H20" s="33">
        <v>5</v>
      </c>
      <c r="I20" s="34">
        <v>1</v>
      </c>
      <c r="J20" s="23" t="e">
        <f>I20+'28.04'!J20</f>
        <v>#REF!</v>
      </c>
      <c r="K20" s="33">
        <v>3</v>
      </c>
      <c r="L20" s="22">
        <v>0</v>
      </c>
      <c r="M20" s="23" t="e">
        <f>L20+'28.04'!M20</f>
        <v>#REF!</v>
      </c>
      <c r="N20" s="33">
        <v>975</v>
      </c>
      <c r="O20" s="22">
        <v>72</v>
      </c>
      <c r="P20" s="23" t="e">
        <f>O20+'28.04'!P20</f>
        <v>#REF!</v>
      </c>
      <c r="Q20" s="61">
        <v>1862</v>
      </c>
      <c r="R20" s="22">
        <v>1</v>
      </c>
      <c r="S20" s="23" t="e">
        <f>R20+'28.04'!S20</f>
        <v>#REF!</v>
      </c>
      <c r="T20" s="33">
        <v>35</v>
      </c>
      <c r="U20" s="22">
        <v>1</v>
      </c>
      <c r="V20" s="23" t="e">
        <f>U20+'28.04'!V20</f>
        <v>#REF!</v>
      </c>
      <c r="W20" s="33">
        <v>64</v>
      </c>
      <c r="X20" s="22">
        <v>1</v>
      </c>
      <c r="Y20" s="23" t="e">
        <f>X20+'28.04'!Y20</f>
        <v>#REF!</v>
      </c>
      <c r="Z20" s="33">
        <v>15</v>
      </c>
      <c r="AA20" s="22">
        <v>1</v>
      </c>
      <c r="AB20" s="23" t="e">
        <f>AA20+'28.04'!AB20</f>
        <v>#REF!</v>
      </c>
      <c r="AC20" s="33">
        <v>1546</v>
      </c>
      <c r="AD20" s="22">
        <v>84</v>
      </c>
      <c r="AE20" s="23" t="e">
        <f>AD20+'28.04'!AE20</f>
        <v>#REF!</v>
      </c>
      <c r="AF20" s="19">
        <f t="shared" si="3"/>
        <v>18090</v>
      </c>
      <c r="AG20" s="20" t="e">
        <f t="shared" si="4"/>
        <v>#REF!</v>
      </c>
      <c r="AH20" s="24">
        <v>8330</v>
      </c>
      <c r="AI20" s="23" t="e">
        <f>AH20+'28.04'!AI20</f>
        <v>#REF!</v>
      </c>
      <c r="AJ20" s="24">
        <v>8660</v>
      </c>
      <c r="AK20" s="23" t="e">
        <f>AJ20+'28.04'!AK20</f>
        <v>#REF!</v>
      </c>
      <c r="AL20" s="22">
        <v>550</v>
      </c>
      <c r="AM20" s="23" t="e">
        <f>AL20+'28.04'!AM20</f>
        <v>#REF!</v>
      </c>
      <c r="AN20" s="22">
        <v>550</v>
      </c>
      <c r="AO20" s="23" t="e">
        <f>AN20+'28.04'!AO20</f>
        <v>#REF!</v>
      </c>
      <c r="AP20" s="28" t="s">
        <v>55</v>
      </c>
      <c r="AQ20" s="19">
        <f t="shared" si="6"/>
        <v>161</v>
      </c>
      <c r="AR20" s="20" t="e">
        <f t="shared" si="7"/>
        <v>#REF!</v>
      </c>
      <c r="AS20" s="34">
        <v>1</v>
      </c>
      <c r="AT20" s="23" t="e">
        <f>AS20+'28.04'!AT20</f>
        <v>#REF!</v>
      </c>
      <c r="AU20" s="34">
        <v>0</v>
      </c>
      <c r="AV20" s="23" t="e">
        <f>AU20+'28.04'!AV20</f>
        <v>#REF!</v>
      </c>
      <c r="AW20" s="34">
        <v>0</v>
      </c>
      <c r="AX20" s="23" t="e">
        <f>AW20+'28.04'!AX20</f>
        <v>#REF!</v>
      </c>
      <c r="AY20" s="34">
        <v>0</v>
      </c>
      <c r="AZ20" s="23" t="e">
        <f>AY20+'28.04'!AZ20</f>
        <v>#REF!</v>
      </c>
      <c r="BA20" s="34">
        <v>160</v>
      </c>
      <c r="BB20" s="23" t="e">
        <f>BA20+'28.04'!BB20</f>
        <v>#REF!</v>
      </c>
      <c r="BC20" s="19">
        <f t="shared" si="9"/>
        <v>3532</v>
      </c>
      <c r="BD20" s="20" t="e">
        <f t="shared" si="10"/>
        <v>#REF!</v>
      </c>
      <c r="BE20" s="22">
        <v>552</v>
      </c>
      <c r="BF20" s="23" t="e">
        <f>BE20+'28.04'!BF20</f>
        <v>#REF!</v>
      </c>
      <c r="BG20" s="34">
        <v>0</v>
      </c>
      <c r="BH20" s="23" t="e">
        <f>BG20+'28.04'!BH20</f>
        <v>#REF!</v>
      </c>
      <c r="BI20" s="22">
        <v>1535</v>
      </c>
      <c r="BJ20" s="23" t="e">
        <f>BI20+'28.04'!BJ20</f>
        <v>#REF!</v>
      </c>
      <c r="BK20" s="22">
        <v>1445</v>
      </c>
      <c r="BL20" s="23" t="e">
        <f>BK20+'28.04'!BL20</f>
        <v>#REF!</v>
      </c>
      <c r="BM20" s="22">
        <v>0</v>
      </c>
      <c r="BN20" s="23" t="e">
        <f>BM20+'28.04'!BN20</f>
        <v>#REF!</v>
      </c>
      <c r="BO20" s="36">
        <v>5854</v>
      </c>
      <c r="BP20" s="37">
        <v>0</v>
      </c>
      <c r="BQ20" s="23" t="e">
        <f>BP20+'28.04'!BQ20</f>
        <v>#REF!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185</v>
      </c>
      <c r="D21" s="31" t="e">
        <f t="shared" si="2"/>
        <v>#REF!</v>
      </c>
      <c r="E21" s="32">
        <v>1017</v>
      </c>
      <c r="F21" s="22">
        <v>165</v>
      </c>
      <c r="G21" s="23" t="e">
        <f>F21+'28.04'!G21</f>
        <v>#REF!</v>
      </c>
      <c r="H21" s="33">
        <v>8</v>
      </c>
      <c r="I21" s="34">
        <v>4</v>
      </c>
      <c r="J21" s="23" t="e">
        <f>I21+'28.04'!J21</f>
        <v>#REF!</v>
      </c>
      <c r="K21" s="33">
        <v>4</v>
      </c>
      <c r="L21" s="22">
        <v>0</v>
      </c>
      <c r="M21" s="23" t="e">
        <f>L21+'28.04'!M21</f>
        <v>#REF!</v>
      </c>
      <c r="N21" s="33">
        <v>963</v>
      </c>
      <c r="O21" s="22">
        <v>0</v>
      </c>
      <c r="P21" s="23" t="e">
        <f>O21+'28.04'!P21</f>
        <v>#REF!</v>
      </c>
      <c r="Q21" s="33">
        <v>912</v>
      </c>
      <c r="R21" s="22">
        <v>0</v>
      </c>
      <c r="S21" s="23" t="e">
        <f>R21+'28.04'!S21</f>
        <v>#REF!</v>
      </c>
      <c r="T21" s="33">
        <v>199</v>
      </c>
      <c r="U21" s="22">
        <v>4</v>
      </c>
      <c r="V21" s="23" t="e">
        <f>U21+'28.04'!V21</f>
        <v>#REF!</v>
      </c>
      <c r="W21" s="33">
        <v>101</v>
      </c>
      <c r="X21" s="22">
        <v>10</v>
      </c>
      <c r="Y21" s="23" t="e">
        <f>X21+'28.04'!Y21</f>
        <v>#REF!</v>
      </c>
      <c r="Z21" s="33">
        <v>42</v>
      </c>
      <c r="AA21" s="22">
        <v>0</v>
      </c>
      <c r="AB21" s="23" t="e">
        <f>AA21+'28.04'!AB21</f>
        <v>#REF!</v>
      </c>
      <c r="AC21" s="33">
        <v>20</v>
      </c>
      <c r="AD21" s="22">
        <v>2</v>
      </c>
      <c r="AE21" s="23" t="e">
        <f>AD21+'28.04'!AE21</f>
        <v>#REF!</v>
      </c>
      <c r="AF21" s="19">
        <f t="shared" si="3"/>
        <v>1750000</v>
      </c>
      <c r="AG21" s="20" t="e">
        <f t="shared" si="4"/>
        <v>#REF!</v>
      </c>
      <c r="AH21" s="24">
        <v>2000</v>
      </c>
      <c r="AI21" s="23" t="e">
        <f>AH21+'28.04'!AI21</f>
        <v>#REF!</v>
      </c>
      <c r="AJ21" s="24">
        <v>248000</v>
      </c>
      <c r="AK21" s="23" t="e">
        <f>AJ21+'28.04'!AK21</f>
        <v>#REF!</v>
      </c>
      <c r="AL21" s="22">
        <v>15000</v>
      </c>
      <c r="AM21" s="23" t="e">
        <f>AL21+'28.04'!AM21</f>
        <v>#REF!</v>
      </c>
      <c r="AN21" s="22">
        <v>1485000</v>
      </c>
      <c r="AO21" s="23" t="e">
        <f>AN21+'28.04'!AO21</f>
        <v>#REF!</v>
      </c>
      <c r="AP21" s="28" t="s">
        <v>58</v>
      </c>
      <c r="AQ21" s="19">
        <f t="shared" si="6"/>
        <v>14</v>
      </c>
      <c r="AR21" s="20" t="e">
        <f t="shared" si="7"/>
        <v>#REF!</v>
      </c>
      <c r="AS21" s="34">
        <v>0</v>
      </c>
      <c r="AT21" s="23" t="e">
        <f>AS21+'28.04'!AT21</f>
        <v>#REF!</v>
      </c>
      <c r="AU21" s="34">
        <v>4</v>
      </c>
      <c r="AV21" s="23" t="e">
        <f>AU21+'28.04'!AV21</f>
        <v>#REF!</v>
      </c>
      <c r="AW21" s="34">
        <v>0</v>
      </c>
      <c r="AX21" s="23" t="e">
        <f>AW21+'28.04'!AX21</f>
        <v>#REF!</v>
      </c>
      <c r="AY21" s="34">
        <v>0</v>
      </c>
      <c r="AZ21" s="23" t="e">
        <f>AY21+'28.04'!AZ21</f>
        <v>#REF!</v>
      </c>
      <c r="BA21" s="34">
        <v>10</v>
      </c>
      <c r="BB21" s="23" t="e">
        <f>BA21+'28.04'!BB21</f>
        <v>#REF!</v>
      </c>
      <c r="BC21" s="19">
        <f t="shared" si="9"/>
        <v>10040</v>
      </c>
      <c r="BD21" s="20" t="e">
        <f t="shared" si="10"/>
        <v>#REF!</v>
      </c>
      <c r="BE21" s="22">
        <v>40</v>
      </c>
      <c r="BF21" s="23" t="e">
        <f>BE21+'28.04'!BF21</f>
        <v>#REF!</v>
      </c>
      <c r="BG21" s="34">
        <v>0</v>
      </c>
      <c r="BH21" s="23" t="e">
        <f>BG21+'28.04'!BH21</f>
        <v>#REF!</v>
      </c>
      <c r="BI21" s="22">
        <v>10000</v>
      </c>
      <c r="BJ21" s="23" t="e">
        <f>BI21+'28.04'!BJ21</f>
        <v>#REF!</v>
      </c>
      <c r="BK21" s="22">
        <v>0</v>
      </c>
      <c r="BL21" s="23" t="e">
        <f>BK21+'28.04'!BL21</f>
        <v>#REF!</v>
      </c>
      <c r="BM21" s="22">
        <v>0</v>
      </c>
      <c r="BN21" s="23" t="e">
        <f>BM21+'28.04'!BN21</f>
        <v>#REF!</v>
      </c>
      <c r="BO21" s="36">
        <v>68</v>
      </c>
      <c r="BP21" s="37">
        <v>2</v>
      </c>
      <c r="BQ21" s="23" t="e">
        <f>BP21+'28.04'!BQ21</f>
        <v>#REF!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1883</v>
      </c>
      <c r="D22" s="31" t="e">
        <f t="shared" si="2"/>
        <v>#REF!</v>
      </c>
      <c r="E22" s="32">
        <v>509</v>
      </c>
      <c r="F22" s="22">
        <v>455</v>
      </c>
      <c r="G22" s="23" t="e">
        <f>F22+'28.04'!G22</f>
        <v>#REF!</v>
      </c>
      <c r="H22" s="33">
        <v>8</v>
      </c>
      <c r="I22" s="34">
        <v>7</v>
      </c>
      <c r="J22" s="23" t="e">
        <f>I22+'28.04'!J22</f>
        <v>#REF!</v>
      </c>
      <c r="K22" s="33">
        <v>21</v>
      </c>
      <c r="L22" s="22">
        <v>0</v>
      </c>
      <c r="M22" s="23" t="e">
        <f>L22+'28.04'!M22</f>
        <v>#REF!</v>
      </c>
      <c r="N22" s="33">
        <v>560</v>
      </c>
      <c r="O22" s="22">
        <v>30</v>
      </c>
      <c r="P22" s="23" t="e">
        <f>O22+'28.04'!P22</f>
        <v>#REF!</v>
      </c>
      <c r="Q22" s="33">
        <v>375</v>
      </c>
      <c r="R22" s="22">
        <v>40</v>
      </c>
      <c r="S22" s="23" t="e">
        <f>R22+'28.04'!S22</f>
        <v>#REF!</v>
      </c>
      <c r="T22" s="33">
        <v>165</v>
      </c>
      <c r="U22" s="22">
        <v>35</v>
      </c>
      <c r="V22" s="23" t="e">
        <f>U22+'28.04'!V22</f>
        <v>#REF!</v>
      </c>
      <c r="W22" s="33">
        <v>28</v>
      </c>
      <c r="X22" s="22">
        <v>65</v>
      </c>
      <c r="Y22" s="23" t="e">
        <f>X22+'28.04'!Y22</f>
        <v>#REF!</v>
      </c>
      <c r="Z22" s="33">
        <v>9</v>
      </c>
      <c r="AA22" s="22">
        <v>0</v>
      </c>
      <c r="AB22" s="23" t="e">
        <f>AA22+'28.04'!AB22</f>
        <v>#REF!</v>
      </c>
      <c r="AC22" s="33">
        <v>112</v>
      </c>
      <c r="AD22" s="22">
        <v>1251</v>
      </c>
      <c r="AE22" s="23" t="e">
        <f>AD22+'28.04'!AE22</f>
        <v>#REF!</v>
      </c>
      <c r="AF22" s="19">
        <f t="shared" si="3"/>
        <v>698469</v>
      </c>
      <c r="AG22" s="20" t="e">
        <f t="shared" si="4"/>
        <v>#REF!</v>
      </c>
      <c r="AH22" s="24">
        <v>1018</v>
      </c>
      <c r="AI22" s="23" t="e">
        <f>AH22+'28.04'!AI22</f>
        <v>#REF!</v>
      </c>
      <c r="AJ22" s="24">
        <v>9000</v>
      </c>
      <c r="AK22" s="23" t="e">
        <f>AJ22+'28.04'!AK22</f>
        <v>#REF!</v>
      </c>
      <c r="AL22" s="22">
        <v>8451</v>
      </c>
      <c r="AM22" s="23" t="e">
        <f>AL22+'28.04'!AM22</f>
        <v>#REF!</v>
      </c>
      <c r="AN22" s="22">
        <v>680000</v>
      </c>
      <c r="AO22" s="23" t="e">
        <f>AN22+'28.04'!AO22</f>
        <v>#REF!</v>
      </c>
      <c r="AP22" s="28" t="s">
        <v>59</v>
      </c>
      <c r="AQ22" s="19">
        <f t="shared" si="6"/>
        <v>2010</v>
      </c>
      <c r="AR22" s="20" t="e">
        <f t="shared" si="7"/>
        <v>#REF!</v>
      </c>
      <c r="AS22" s="34">
        <v>0</v>
      </c>
      <c r="AT22" s="23" t="e">
        <f>AS22+'28.04'!AT22</f>
        <v>#REF!</v>
      </c>
      <c r="AU22" s="34">
        <v>0</v>
      </c>
      <c r="AV22" s="23" t="e">
        <f>AU22+'28.04'!AV22</f>
        <v>#REF!</v>
      </c>
      <c r="AW22" s="34">
        <v>0</v>
      </c>
      <c r="AX22" s="23" t="e">
        <f>AW22+'28.04'!AX22</f>
        <v>#REF!</v>
      </c>
      <c r="AY22" s="34">
        <v>0</v>
      </c>
      <c r="AZ22" s="23" t="e">
        <f>AY22+'28.04'!AZ22</f>
        <v>#REF!</v>
      </c>
      <c r="BA22" s="34">
        <v>2010</v>
      </c>
      <c r="BB22" s="23" t="e">
        <f>BA22+'28.04'!BB22</f>
        <v>#REF!</v>
      </c>
      <c r="BC22" s="19">
        <f t="shared" si="9"/>
        <v>9892</v>
      </c>
      <c r="BD22" s="20" t="e">
        <f t="shared" si="10"/>
        <v>#REF!</v>
      </c>
      <c r="BE22" s="22">
        <v>6</v>
      </c>
      <c r="BF22" s="23" t="e">
        <f>BE22+'28.04'!BF22</f>
        <v>#REF!</v>
      </c>
      <c r="BG22" s="34">
        <v>5</v>
      </c>
      <c r="BH22" s="23" t="e">
        <f>BG22+'28.04'!BH22</f>
        <v>#REF!</v>
      </c>
      <c r="BI22" s="22">
        <v>9854</v>
      </c>
      <c r="BJ22" s="23" t="e">
        <f>BI22+'28.04'!BJ22</f>
        <v>#REF!</v>
      </c>
      <c r="BK22" s="22">
        <v>27</v>
      </c>
      <c r="BL22" s="23" t="e">
        <f>BK22+'28.04'!BL22</f>
        <v>#REF!</v>
      </c>
      <c r="BM22" s="22">
        <v>0</v>
      </c>
      <c r="BN22" s="23" t="e">
        <f>BM22+'28.04'!BN22</f>
        <v>#REF!</v>
      </c>
      <c r="BO22" s="36">
        <v>26</v>
      </c>
      <c r="BP22" s="37">
        <v>2</v>
      </c>
      <c r="BQ22" s="23" t="e">
        <f>BP22+'28.04'!BQ22</f>
        <v>#REF!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4237</v>
      </c>
      <c r="D23" s="65" t="e">
        <f t="shared" si="2"/>
        <v>#REF!</v>
      </c>
      <c r="E23" s="66">
        <f>+E18+E19+E22+E17+E16+E15+E14+E13+E12+E11+E10+E9+E8</f>
        <v>7282</v>
      </c>
      <c r="F23" s="67">
        <f t="shared" ref="F23:J23" si="12">SUM(F8:F22)</f>
        <v>1821</v>
      </c>
      <c r="G23" s="68" t="e">
        <f t="shared" si="12"/>
        <v>#REF!</v>
      </c>
      <c r="H23" s="66">
        <f>+H18+H19+H22+H17+H16+H15+H14+H13+H12+H11+H10+H9+H8</f>
        <v>271</v>
      </c>
      <c r="I23" s="67">
        <f t="shared" si="12"/>
        <v>25</v>
      </c>
      <c r="J23" s="68" t="e">
        <f t="shared" si="12"/>
        <v>#REF!</v>
      </c>
      <c r="K23" s="66">
        <f>+K18+K19+K22+K17+K16+K15+K14+K13+K12+K11+K10+K9+K8</f>
        <v>163</v>
      </c>
      <c r="L23" s="67">
        <f t="shared" ref="L23:P23" si="13">SUM(L8:L22)</f>
        <v>24</v>
      </c>
      <c r="M23" s="68" t="e">
        <f t="shared" si="13"/>
        <v>#REF!</v>
      </c>
      <c r="N23" s="66">
        <f>+N18+N19+N22+N17+N16+N15+N14+N13+N12+N11+N10+N9+N8</f>
        <v>8607</v>
      </c>
      <c r="O23" s="67">
        <f t="shared" si="13"/>
        <v>169</v>
      </c>
      <c r="P23" s="68" t="e">
        <f t="shared" si="13"/>
        <v>#REF!</v>
      </c>
      <c r="Q23" s="66">
        <f>+Q18+Q19+Q22+Q17+Q16+Q15+Q14+Q13+Q12+Q11+Q10+Q9+Q8</f>
        <v>7474</v>
      </c>
      <c r="R23" s="67">
        <f t="shared" ref="R23:V23" si="14">SUM(R8:R22)</f>
        <v>52</v>
      </c>
      <c r="S23" s="68" t="e">
        <f t="shared" si="14"/>
        <v>#REF!</v>
      </c>
      <c r="T23" s="66">
        <f>+T18+T19+T22+T17+T16+T15+T14+T13+T12+T11+T10+T9+T8</f>
        <v>4115</v>
      </c>
      <c r="U23" s="67">
        <f t="shared" si="14"/>
        <v>47</v>
      </c>
      <c r="V23" s="68" t="e">
        <f t="shared" si="14"/>
        <v>#REF!</v>
      </c>
      <c r="W23" s="66">
        <f>+W18+W19+W22+W17+W16+W15+W14+W13+W12+W11+W10+W9+W8</f>
        <v>604</v>
      </c>
      <c r="X23" s="67">
        <f t="shared" ref="X23:AB23" si="15">SUM(X8:X22)</f>
        <v>525</v>
      </c>
      <c r="Y23" s="68" t="e">
        <f t="shared" si="15"/>
        <v>#REF!</v>
      </c>
      <c r="Z23" s="66">
        <f>+Z18+Z19+Z22+Z17+Z16+Z15+Z14+Z13+Z12+Z11+Z10+Z9+Z8</f>
        <v>1629</v>
      </c>
      <c r="AA23" s="67">
        <f t="shared" si="15"/>
        <v>14</v>
      </c>
      <c r="AB23" s="68" t="e">
        <f t="shared" si="15"/>
        <v>#REF!</v>
      </c>
      <c r="AC23" s="66">
        <f>+AC18+AC19+AC22+AC17+AC16+AC15+AC14+AC13+AC12+AC11+AC10+AC9+AC8</f>
        <v>64846</v>
      </c>
      <c r="AD23" s="67">
        <f t="shared" ref="AD23:AO23" si="16">SUM(AD8:AD22)</f>
        <v>1560</v>
      </c>
      <c r="AE23" s="68" t="e">
        <f t="shared" si="16"/>
        <v>#REF!</v>
      </c>
      <c r="AF23" s="64">
        <f t="shared" si="16"/>
        <v>3811667</v>
      </c>
      <c r="AG23" s="64" t="e">
        <f t="shared" si="16"/>
        <v>#REF!</v>
      </c>
      <c r="AH23" s="67">
        <f t="shared" si="16"/>
        <v>30444</v>
      </c>
      <c r="AI23" s="68" t="e">
        <f t="shared" si="16"/>
        <v>#REF!</v>
      </c>
      <c r="AJ23" s="67">
        <f t="shared" si="16"/>
        <v>410243</v>
      </c>
      <c r="AK23" s="68" t="e">
        <f t="shared" si="16"/>
        <v>#REF!</v>
      </c>
      <c r="AL23" s="67">
        <f t="shared" si="16"/>
        <v>412699</v>
      </c>
      <c r="AM23" s="68" t="e">
        <f t="shared" si="16"/>
        <v>#REF!</v>
      </c>
      <c r="AN23" s="67">
        <f t="shared" si="16"/>
        <v>2958281</v>
      </c>
      <c r="AO23" s="68" t="e">
        <f t="shared" si="16"/>
        <v>#REF!</v>
      </c>
      <c r="AP23" s="62" t="s">
        <v>12</v>
      </c>
      <c r="AQ23" s="64">
        <f t="shared" ref="AQ23:BP23" si="17">SUM(AQ8:AQ22)</f>
        <v>2301</v>
      </c>
      <c r="AR23" s="64" t="e">
        <f t="shared" si="17"/>
        <v>#REF!</v>
      </c>
      <c r="AS23" s="67">
        <f t="shared" si="17"/>
        <v>3</v>
      </c>
      <c r="AT23" s="68" t="e">
        <f t="shared" si="17"/>
        <v>#REF!</v>
      </c>
      <c r="AU23" s="67">
        <f t="shared" si="17"/>
        <v>7</v>
      </c>
      <c r="AV23" s="68" t="e">
        <f t="shared" si="17"/>
        <v>#REF!</v>
      </c>
      <c r="AW23" s="67">
        <f t="shared" si="17"/>
        <v>1</v>
      </c>
      <c r="AX23" s="68" t="e">
        <f t="shared" si="17"/>
        <v>#REF!</v>
      </c>
      <c r="AY23" s="67">
        <f t="shared" si="17"/>
        <v>1</v>
      </c>
      <c r="AZ23" s="68" t="e">
        <f t="shared" si="17"/>
        <v>#REF!</v>
      </c>
      <c r="BA23" s="67">
        <f t="shared" si="17"/>
        <v>2289</v>
      </c>
      <c r="BB23" s="68" t="e">
        <f t="shared" si="17"/>
        <v>#REF!</v>
      </c>
      <c r="BC23" s="64">
        <f t="shared" si="17"/>
        <v>45732</v>
      </c>
      <c r="BD23" s="64" t="e">
        <f t="shared" si="17"/>
        <v>#REF!</v>
      </c>
      <c r="BE23" s="67">
        <f t="shared" si="17"/>
        <v>1511</v>
      </c>
      <c r="BF23" s="68" t="e">
        <f t="shared" si="17"/>
        <v>#REF!</v>
      </c>
      <c r="BG23" s="67">
        <f t="shared" si="17"/>
        <v>40</v>
      </c>
      <c r="BH23" s="68" t="e">
        <f t="shared" si="17"/>
        <v>#REF!</v>
      </c>
      <c r="BI23" s="67">
        <f t="shared" si="17"/>
        <v>40358</v>
      </c>
      <c r="BJ23" s="68" t="e">
        <f t="shared" si="17"/>
        <v>#REF!</v>
      </c>
      <c r="BK23" s="67">
        <f t="shared" si="17"/>
        <v>3823</v>
      </c>
      <c r="BL23" s="68" t="e">
        <f t="shared" si="17"/>
        <v>#REF!</v>
      </c>
      <c r="BM23" s="67">
        <f t="shared" si="17"/>
        <v>0</v>
      </c>
      <c r="BN23" s="68" t="e">
        <f t="shared" si="17"/>
        <v>#REF!</v>
      </c>
      <c r="BO23" s="69">
        <f t="shared" si="17"/>
        <v>37704</v>
      </c>
      <c r="BP23" s="70">
        <f t="shared" si="17"/>
        <v>41</v>
      </c>
      <c r="BQ23" s="23">
        <f>BP23+'20.04'!BP23</f>
        <v>67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BU23"/>
  <sheetViews>
    <sheetView zoomScale="85" zoomScaleNormal="85" workbookViewId="0">
      <pane xSplit="4" ySplit="8" topLeftCell="AS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64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4</v>
      </c>
      <c r="E9" s="32">
        <v>452</v>
      </c>
      <c r="F9" s="22">
        <v>3</v>
      </c>
      <c r="G9" s="23">
        <f>+F9</f>
        <v>3</v>
      </c>
      <c r="H9" s="33">
        <v>12</v>
      </c>
      <c r="I9" s="34">
        <v>1</v>
      </c>
      <c r="J9" s="23">
        <f>+I9</f>
        <v>1</v>
      </c>
      <c r="K9" s="33">
        <v>2</v>
      </c>
      <c r="L9" s="22">
        <v>0</v>
      </c>
      <c r="M9" s="23">
        <f>+L9</f>
        <v>0</v>
      </c>
      <c r="N9" s="33">
        <v>735</v>
      </c>
      <c r="O9" s="22">
        <v>0</v>
      </c>
      <c r="P9" s="23">
        <f>+O9</f>
        <v>0</v>
      </c>
      <c r="Q9" s="33">
        <v>502</v>
      </c>
      <c r="R9" s="22">
        <v>0</v>
      </c>
      <c r="S9" s="23">
        <f>+R9</f>
        <v>0</v>
      </c>
      <c r="T9" s="33">
        <v>197</v>
      </c>
      <c r="U9" s="22">
        <v>0</v>
      </c>
      <c r="V9" s="23">
        <f>+U9</f>
        <v>0</v>
      </c>
      <c r="W9" s="33">
        <v>47</v>
      </c>
      <c r="X9" s="22">
        <v>0</v>
      </c>
      <c r="Y9" s="23">
        <f>+X9</f>
        <v>0</v>
      </c>
      <c r="Z9" s="33">
        <v>34</v>
      </c>
      <c r="AA9" s="22">
        <v>0</v>
      </c>
      <c r="AB9" s="23">
        <f>+AA9</f>
        <v>0</v>
      </c>
      <c r="AC9" s="33">
        <v>1860</v>
      </c>
      <c r="AD9" s="22">
        <v>0</v>
      </c>
      <c r="AE9" s="23">
        <f>+AD9</f>
        <v>0</v>
      </c>
      <c r="AF9" s="19">
        <f t="shared" si="1"/>
        <v>8555</v>
      </c>
      <c r="AG9" s="20">
        <f t="shared" si="1"/>
        <v>8555</v>
      </c>
      <c r="AH9" s="24">
        <v>115</v>
      </c>
      <c r="AI9" s="23">
        <f>+AH9</f>
        <v>115</v>
      </c>
      <c r="AJ9" s="24">
        <v>310</v>
      </c>
      <c r="AK9" s="23">
        <f>+AJ9</f>
        <v>310</v>
      </c>
      <c r="AL9" s="22">
        <v>1310</v>
      </c>
      <c r="AM9" s="23">
        <f>+AL9</f>
        <v>1310</v>
      </c>
      <c r="AN9" s="22">
        <v>6820</v>
      </c>
      <c r="AO9" s="23">
        <f>+AN9</f>
        <v>6820</v>
      </c>
      <c r="AP9" s="28" t="s">
        <v>43</v>
      </c>
      <c r="AQ9" s="19">
        <f t="shared" si="3"/>
        <v>773</v>
      </c>
      <c r="AR9" s="20">
        <f t="shared" si="3"/>
        <v>773</v>
      </c>
      <c r="AS9" s="34">
        <v>0</v>
      </c>
      <c r="AT9" s="23">
        <f>+AS9</f>
        <v>0</v>
      </c>
      <c r="AU9" s="34">
        <v>0</v>
      </c>
      <c r="AV9" s="23">
        <f>+AU9</f>
        <v>0</v>
      </c>
      <c r="AW9" s="34">
        <v>1</v>
      </c>
      <c r="AX9" s="23">
        <f>+AW9</f>
        <v>1</v>
      </c>
      <c r="AY9" s="34">
        <v>0</v>
      </c>
      <c r="AZ9" s="23">
        <f>+AY9</f>
        <v>0</v>
      </c>
      <c r="BA9" s="34">
        <v>772</v>
      </c>
      <c r="BB9" s="23">
        <f>+BA9</f>
        <v>772</v>
      </c>
      <c r="BC9" s="19">
        <f t="shared" si="5"/>
        <v>201</v>
      </c>
      <c r="BD9" s="20">
        <f t="shared" si="5"/>
        <v>201</v>
      </c>
      <c r="BE9" s="22">
        <v>1</v>
      </c>
      <c r="BF9" s="23">
        <f>+BE9</f>
        <v>1</v>
      </c>
      <c r="BG9" s="34">
        <v>0</v>
      </c>
      <c r="BH9" s="23">
        <f>+BG9</f>
        <v>0</v>
      </c>
      <c r="BI9" s="22">
        <v>200</v>
      </c>
      <c r="BJ9" s="23">
        <f>+BI9</f>
        <v>200</v>
      </c>
      <c r="BK9" s="22">
        <v>0</v>
      </c>
      <c r="BL9" s="23">
        <f>+BK9</f>
        <v>0</v>
      </c>
      <c r="BM9" s="22">
        <v>0</v>
      </c>
      <c r="BN9" s="23">
        <f>+BM9</f>
        <v>0</v>
      </c>
      <c r="BO9" s="36">
        <v>14</v>
      </c>
      <c r="BP9" s="37">
        <v>0</v>
      </c>
      <c r="BQ9" s="23">
        <f>+BP9</f>
        <v>0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97</v>
      </c>
      <c r="D10" s="31">
        <f t="shared" si="0"/>
        <v>97</v>
      </c>
      <c r="E10" s="32">
        <v>585</v>
      </c>
      <c r="F10" s="22">
        <v>19</v>
      </c>
      <c r="G10" s="23">
        <f t="shared" ref="G10:G22" si="7">+F10</f>
        <v>19</v>
      </c>
      <c r="H10" s="33">
        <v>93</v>
      </c>
      <c r="I10" s="34">
        <v>2</v>
      </c>
      <c r="J10" s="23">
        <f t="shared" ref="J10:J22" si="8">+I10</f>
        <v>2</v>
      </c>
      <c r="K10" s="33">
        <v>34</v>
      </c>
      <c r="L10" s="22">
        <v>1</v>
      </c>
      <c r="M10" s="23">
        <f t="shared" ref="M10:M22" si="9">+L10</f>
        <v>1</v>
      </c>
      <c r="N10" s="33">
        <v>352</v>
      </c>
      <c r="O10" s="22">
        <v>6</v>
      </c>
      <c r="P10" s="23">
        <f t="shared" ref="P10:P22" si="10">+O10</f>
        <v>6</v>
      </c>
      <c r="Q10" s="33">
        <v>549</v>
      </c>
      <c r="R10" s="22">
        <v>11</v>
      </c>
      <c r="S10" s="23">
        <f t="shared" ref="S10:S22" si="11">+R10</f>
        <v>11</v>
      </c>
      <c r="T10" s="33">
        <v>198</v>
      </c>
      <c r="U10" s="22">
        <v>5</v>
      </c>
      <c r="V10" s="23">
        <f t="shared" ref="V10:V22" si="12">+U10</f>
        <v>5</v>
      </c>
      <c r="W10" s="38">
        <v>55</v>
      </c>
      <c r="X10" s="22">
        <v>0</v>
      </c>
      <c r="Y10" s="23">
        <f t="shared" ref="Y10:Y22" si="13">+X10</f>
        <v>0</v>
      </c>
      <c r="Z10" s="38">
        <v>71</v>
      </c>
      <c r="AA10" s="22">
        <v>2</v>
      </c>
      <c r="AB10" s="23">
        <f t="shared" ref="AB10:AB22" si="14">+AA10</f>
        <v>2</v>
      </c>
      <c r="AC10" s="38">
        <v>1690</v>
      </c>
      <c r="AD10" s="22">
        <v>51</v>
      </c>
      <c r="AE10" s="23">
        <f t="shared" ref="AE10:AE22" si="15">+AD10</f>
        <v>51</v>
      </c>
      <c r="AF10" s="19">
        <f t="shared" si="1"/>
        <v>116777</v>
      </c>
      <c r="AG10" s="20">
        <f t="shared" si="1"/>
        <v>116777</v>
      </c>
      <c r="AH10" s="24">
        <v>1256</v>
      </c>
      <c r="AI10" s="23">
        <f t="shared" ref="AI10:AI22" si="16">+AH10</f>
        <v>1256</v>
      </c>
      <c r="AJ10" s="24">
        <v>5332</v>
      </c>
      <c r="AK10" s="23">
        <f t="shared" ref="AK10:AK22" si="17">+AJ10</f>
        <v>5332</v>
      </c>
      <c r="AL10" s="22">
        <v>13861</v>
      </c>
      <c r="AM10" s="23">
        <f t="shared" ref="AM10:AM22" si="18">+AL10</f>
        <v>13861</v>
      </c>
      <c r="AN10" s="22">
        <v>96328</v>
      </c>
      <c r="AO10" s="23">
        <f t="shared" ref="AO10:AO22" si="19">+AN10</f>
        <v>96328</v>
      </c>
      <c r="AP10" s="28" t="s">
        <v>44</v>
      </c>
      <c r="AQ10" s="19">
        <f t="shared" si="3"/>
        <v>8</v>
      </c>
      <c r="AR10" s="20">
        <f t="shared" si="3"/>
        <v>8</v>
      </c>
      <c r="AS10" s="34">
        <v>2</v>
      </c>
      <c r="AT10" s="23">
        <f t="shared" ref="AT10:AT22" si="20">+AS10</f>
        <v>2</v>
      </c>
      <c r="AU10" s="34">
        <v>1</v>
      </c>
      <c r="AV10" s="23">
        <f t="shared" ref="AV10:AV22" si="21">+AU10</f>
        <v>1</v>
      </c>
      <c r="AW10" s="34">
        <v>0</v>
      </c>
      <c r="AX10" s="23">
        <f t="shared" ref="AX10:AX22" si="22">+AW10</f>
        <v>0</v>
      </c>
      <c r="AY10" s="34">
        <v>0</v>
      </c>
      <c r="AZ10" s="23">
        <f t="shared" ref="AZ10:AZ22" si="23">+AY10</f>
        <v>0</v>
      </c>
      <c r="BA10" s="34">
        <v>5</v>
      </c>
      <c r="BB10" s="23">
        <f t="shared" ref="BB10:BB22" si="24">+BA10</f>
        <v>5</v>
      </c>
      <c r="BC10" s="19">
        <f t="shared" si="5"/>
        <v>4387</v>
      </c>
      <c r="BD10" s="20">
        <f t="shared" si="5"/>
        <v>4387</v>
      </c>
      <c r="BE10" s="22">
        <v>595</v>
      </c>
      <c r="BF10" s="23">
        <f t="shared" ref="BF10:BF22" si="25">+BE10</f>
        <v>595</v>
      </c>
      <c r="BG10" s="34">
        <v>1</v>
      </c>
      <c r="BH10" s="23">
        <f t="shared" ref="BH10:BH22" si="26">+BG10</f>
        <v>1</v>
      </c>
      <c r="BI10" s="22">
        <v>2700</v>
      </c>
      <c r="BJ10" s="23">
        <f t="shared" ref="BJ10:BJ22" si="27">+BI10</f>
        <v>2700</v>
      </c>
      <c r="BK10" s="22">
        <v>1091</v>
      </c>
      <c r="BL10" s="23">
        <f t="shared" ref="BL10:BL22" si="28">+BK10</f>
        <v>1091</v>
      </c>
      <c r="BM10" s="22">
        <v>0</v>
      </c>
      <c r="BN10" s="23">
        <f t="shared" ref="BN10:BN22" si="29">+BM10</f>
        <v>0</v>
      </c>
      <c r="BO10" s="36">
        <v>32</v>
      </c>
      <c r="BP10" s="37">
        <v>0</v>
      </c>
      <c r="BQ10" s="23">
        <f t="shared" ref="BQ10:BQ22" si="30">+BP10</f>
        <v>0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49</v>
      </c>
      <c r="D11" s="31">
        <f t="shared" si="0"/>
        <v>49</v>
      </c>
      <c r="E11" s="32">
        <v>883</v>
      </c>
      <c r="F11" s="22">
        <v>27</v>
      </c>
      <c r="G11" s="23">
        <f t="shared" si="7"/>
        <v>27</v>
      </c>
      <c r="H11" s="33">
        <v>16</v>
      </c>
      <c r="I11" s="34">
        <v>0</v>
      </c>
      <c r="J11" s="23">
        <f t="shared" si="8"/>
        <v>0</v>
      </c>
      <c r="K11" s="33">
        <v>3</v>
      </c>
      <c r="L11" s="22">
        <v>0</v>
      </c>
      <c r="M11" s="23">
        <f t="shared" si="9"/>
        <v>0</v>
      </c>
      <c r="N11" s="33">
        <v>875</v>
      </c>
      <c r="O11" s="22">
        <v>0</v>
      </c>
      <c r="P11" s="23">
        <f t="shared" si="10"/>
        <v>0</v>
      </c>
      <c r="Q11" s="33">
        <v>2424</v>
      </c>
      <c r="R11" s="22">
        <v>0</v>
      </c>
      <c r="S11" s="23">
        <f t="shared" si="11"/>
        <v>0</v>
      </c>
      <c r="T11" s="33">
        <v>69</v>
      </c>
      <c r="U11" s="22">
        <v>0</v>
      </c>
      <c r="V11" s="23">
        <f t="shared" si="12"/>
        <v>0</v>
      </c>
      <c r="W11" s="38">
        <v>133</v>
      </c>
      <c r="X11" s="22">
        <v>21</v>
      </c>
      <c r="Y11" s="23">
        <f t="shared" si="13"/>
        <v>21</v>
      </c>
      <c r="Z11" s="38">
        <v>1116</v>
      </c>
      <c r="AA11" s="22">
        <v>0</v>
      </c>
      <c r="AB11" s="23">
        <f t="shared" si="14"/>
        <v>0</v>
      </c>
      <c r="AC11" s="38">
        <v>9862</v>
      </c>
      <c r="AD11" s="22">
        <v>1</v>
      </c>
      <c r="AE11" s="23">
        <f t="shared" si="15"/>
        <v>1</v>
      </c>
      <c r="AF11" s="19">
        <f t="shared" si="1"/>
        <v>40100</v>
      </c>
      <c r="AG11" s="20">
        <f t="shared" si="1"/>
        <v>40100</v>
      </c>
      <c r="AH11" s="24">
        <v>1900</v>
      </c>
      <c r="AI11" s="23">
        <f t="shared" si="16"/>
        <v>1900</v>
      </c>
      <c r="AJ11" s="24">
        <v>6200</v>
      </c>
      <c r="AK11" s="23">
        <f t="shared" si="17"/>
        <v>6200</v>
      </c>
      <c r="AL11" s="22">
        <v>10000</v>
      </c>
      <c r="AM11" s="23">
        <f t="shared" si="18"/>
        <v>10000</v>
      </c>
      <c r="AN11" s="22">
        <v>22000</v>
      </c>
      <c r="AO11" s="23">
        <f t="shared" si="19"/>
        <v>22000</v>
      </c>
      <c r="AP11" s="28" t="s">
        <v>45</v>
      </c>
      <c r="AQ11" s="19">
        <f t="shared" si="3"/>
        <v>2</v>
      </c>
      <c r="AR11" s="20">
        <f t="shared" si="3"/>
        <v>2</v>
      </c>
      <c r="AS11" s="34">
        <v>0</v>
      </c>
      <c r="AT11" s="23">
        <f t="shared" si="20"/>
        <v>0</v>
      </c>
      <c r="AU11" s="34">
        <v>0</v>
      </c>
      <c r="AV11" s="23">
        <f t="shared" si="21"/>
        <v>0</v>
      </c>
      <c r="AW11" s="34">
        <v>0</v>
      </c>
      <c r="AX11" s="23">
        <f t="shared" si="22"/>
        <v>0</v>
      </c>
      <c r="AY11" s="34">
        <v>0</v>
      </c>
      <c r="AZ11" s="23">
        <f t="shared" si="23"/>
        <v>0</v>
      </c>
      <c r="BA11" s="34">
        <v>2</v>
      </c>
      <c r="BB11" s="23">
        <f t="shared" si="24"/>
        <v>2</v>
      </c>
      <c r="BC11" s="19">
        <f t="shared" si="5"/>
        <v>1332</v>
      </c>
      <c r="BD11" s="20">
        <f t="shared" si="5"/>
        <v>1332</v>
      </c>
      <c r="BE11" s="22">
        <v>1</v>
      </c>
      <c r="BF11" s="23">
        <f t="shared" si="25"/>
        <v>1</v>
      </c>
      <c r="BG11" s="34">
        <v>3</v>
      </c>
      <c r="BH11" s="23">
        <f t="shared" si="26"/>
        <v>3</v>
      </c>
      <c r="BI11" s="22">
        <v>1300</v>
      </c>
      <c r="BJ11" s="23">
        <f t="shared" si="27"/>
        <v>1300</v>
      </c>
      <c r="BK11" s="22">
        <v>28</v>
      </c>
      <c r="BL11" s="23">
        <f t="shared" si="28"/>
        <v>28</v>
      </c>
      <c r="BM11" s="22">
        <v>0</v>
      </c>
      <c r="BN11" s="23">
        <f t="shared" si="29"/>
        <v>0</v>
      </c>
      <c r="BO11" s="36">
        <v>11506</v>
      </c>
      <c r="BP11" s="37">
        <v>2</v>
      </c>
      <c r="BQ11" s="23">
        <f t="shared" si="30"/>
        <v>2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254</v>
      </c>
      <c r="D12" s="31">
        <f t="shared" si="0"/>
        <v>254</v>
      </c>
      <c r="E12" s="32">
        <v>909</v>
      </c>
      <c r="F12" s="22">
        <v>83</v>
      </c>
      <c r="G12" s="23">
        <f t="shared" si="7"/>
        <v>83</v>
      </c>
      <c r="H12" s="33">
        <v>80</v>
      </c>
      <c r="I12" s="34">
        <v>6</v>
      </c>
      <c r="J12" s="23">
        <f t="shared" si="8"/>
        <v>6</v>
      </c>
      <c r="K12" s="33">
        <v>5</v>
      </c>
      <c r="L12" s="22">
        <v>0</v>
      </c>
      <c r="M12" s="23">
        <f t="shared" si="9"/>
        <v>0</v>
      </c>
      <c r="N12" s="33">
        <v>820</v>
      </c>
      <c r="O12" s="22">
        <v>31</v>
      </c>
      <c r="P12" s="23">
        <f t="shared" si="10"/>
        <v>31</v>
      </c>
      <c r="Q12" s="33">
        <v>549</v>
      </c>
      <c r="R12" s="22">
        <v>0</v>
      </c>
      <c r="S12" s="23">
        <f t="shared" si="11"/>
        <v>0</v>
      </c>
      <c r="T12" s="33">
        <v>992</v>
      </c>
      <c r="U12" s="22">
        <v>0</v>
      </c>
      <c r="V12" s="23">
        <f t="shared" si="12"/>
        <v>0</v>
      </c>
      <c r="W12" s="33">
        <v>38</v>
      </c>
      <c r="X12" s="22">
        <v>95</v>
      </c>
      <c r="Y12" s="23">
        <f t="shared" si="13"/>
        <v>95</v>
      </c>
      <c r="Z12" s="33">
        <v>68</v>
      </c>
      <c r="AA12" s="22">
        <v>0</v>
      </c>
      <c r="AB12" s="23">
        <f t="shared" si="14"/>
        <v>0</v>
      </c>
      <c r="AC12" s="33">
        <v>26703</v>
      </c>
      <c r="AD12" s="22">
        <v>39</v>
      </c>
      <c r="AE12" s="23">
        <f t="shared" si="15"/>
        <v>39</v>
      </c>
      <c r="AF12" s="19">
        <f t="shared" si="1"/>
        <v>5103</v>
      </c>
      <c r="AG12" s="20">
        <f t="shared" si="1"/>
        <v>5103</v>
      </c>
      <c r="AH12" s="24">
        <v>957</v>
      </c>
      <c r="AI12" s="23">
        <f t="shared" si="16"/>
        <v>957</v>
      </c>
      <c r="AJ12" s="24">
        <v>1046</v>
      </c>
      <c r="AK12" s="23">
        <f t="shared" si="17"/>
        <v>1046</v>
      </c>
      <c r="AL12" s="22">
        <v>1550</v>
      </c>
      <c r="AM12" s="23">
        <f t="shared" si="18"/>
        <v>1550</v>
      </c>
      <c r="AN12" s="22">
        <v>1550</v>
      </c>
      <c r="AO12" s="23">
        <f t="shared" si="19"/>
        <v>1550</v>
      </c>
      <c r="AP12" s="28" t="s">
        <v>46</v>
      </c>
      <c r="AQ12" s="19">
        <f t="shared" si="3"/>
        <v>75</v>
      </c>
      <c r="AR12" s="20">
        <f t="shared" si="3"/>
        <v>75</v>
      </c>
      <c r="AS12" s="34">
        <v>0</v>
      </c>
      <c r="AT12" s="23">
        <f t="shared" si="20"/>
        <v>0</v>
      </c>
      <c r="AU12" s="34">
        <v>0</v>
      </c>
      <c r="AV12" s="23">
        <f t="shared" si="21"/>
        <v>0</v>
      </c>
      <c r="AW12" s="34">
        <v>0</v>
      </c>
      <c r="AX12" s="23">
        <f t="shared" si="22"/>
        <v>0</v>
      </c>
      <c r="AY12" s="34">
        <v>0</v>
      </c>
      <c r="AZ12" s="23">
        <f t="shared" si="23"/>
        <v>0</v>
      </c>
      <c r="BA12" s="34">
        <v>75</v>
      </c>
      <c r="BB12" s="23">
        <f t="shared" si="24"/>
        <v>75</v>
      </c>
      <c r="BC12" s="19">
        <f t="shared" si="5"/>
        <v>2660</v>
      </c>
      <c r="BD12" s="20">
        <f t="shared" si="5"/>
        <v>2660</v>
      </c>
      <c r="BE12" s="22">
        <v>250</v>
      </c>
      <c r="BF12" s="23">
        <f t="shared" si="25"/>
        <v>250</v>
      </c>
      <c r="BG12" s="34">
        <v>10</v>
      </c>
      <c r="BH12" s="23">
        <f t="shared" si="26"/>
        <v>10</v>
      </c>
      <c r="BI12" s="22">
        <v>2200</v>
      </c>
      <c r="BJ12" s="23">
        <f t="shared" si="27"/>
        <v>2200</v>
      </c>
      <c r="BK12" s="22">
        <v>200</v>
      </c>
      <c r="BL12" s="23">
        <f t="shared" si="28"/>
        <v>200</v>
      </c>
      <c r="BM12" s="22">
        <v>0</v>
      </c>
      <c r="BN12" s="23">
        <f t="shared" si="29"/>
        <v>0</v>
      </c>
      <c r="BO12" s="36"/>
      <c r="BP12" s="37">
        <v>2</v>
      </c>
      <c r="BQ12" s="23">
        <f t="shared" si="30"/>
        <v>2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109</v>
      </c>
      <c r="D13" s="31">
        <f t="shared" si="0"/>
        <v>109</v>
      </c>
      <c r="E13" s="32">
        <v>516</v>
      </c>
      <c r="F13" s="22">
        <v>1</v>
      </c>
      <c r="G13" s="23">
        <f t="shared" si="7"/>
        <v>1</v>
      </c>
      <c r="H13" s="33">
        <v>10</v>
      </c>
      <c r="I13" s="34">
        <v>0</v>
      </c>
      <c r="J13" s="23">
        <f t="shared" si="8"/>
        <v>0</v>
      </c>
      <c r="K13" s="33">
        <v>38</v>
      </c>
      <c r="L13" s="22">
        <v>0</v>
      </c>
      <c r="M13" s="23">
        <f t="shared" si="9"/>
        <v>0</v>
      </c>
      <c r="N13" s="33">
        <v>581</v>
      </c>
      <c r="O13" s="22">
        <v>1</v>
      </c>
      <c r="P13" s="23">
        <f t="shared" si="10"/>
        <v>1</v>
      </c>
      <c r="Q13" s="33">
        <v>525</v>
      </c>
      <c r="R13" s="22">
        <v>0</v>
      </c>
      <c r="S13" s="23">
        <f t="shared" si="11"/>
        <v>0</v>
      </c>
      <c r="T13" s="33">
        <v>263</v>
      </c>
      <c r="U13" s="22">
        <v>0</v>
      </c>
      <c r="V13" s="23">
        <f t="shared" si="12"/>
        <v>0</v>
      </c>
      <c r="W13" s="33">
        <v>43</v>
      </c>
      <c r="X13" s="22">
        <v>0</v>
      </c>
      <c r="Y13" s="23">
        <f t="shared" si="13"/>
        <v>0</v>
      </c>
      <c r="Z13" s="33">
        <v>17</v>
      </c>
      <c r="AA13" s="22">
        <v>0</v>
      </c>
      <c r="AB13" s="23">
        <f t="shared" si="14"/>
        <v>0</v>
      </c>
      <c r="AC13" s="33">
        <v>51</v>
      </c>
      <c r="AD13" s="22">
        <v>107</v>
      </c>
      <c r="AE13" s="23">
        <f t="shared" si="15"/>
        <v>107</v>
      </c>
      <c r="AF13" s="19">
        <f t="shared" si="1"/>
        <v>91300</v>
      </c>
      <c r="AG13" s="20">
        <f t="shared" si="1"/>
        <v>91300</v>
      </c>
      <c r="AH13" s="24">
        <v>4000</v>
      </c>
      <c r="AI13" s="23">
        <f t="shared" si="16"/>
        <v>4000</v>
      </c>
      <c r="AJ13" s="24">
        <v>38300</v>
      </c>
      <c r="AK13" s="23">
        <f t="shared" si="17"/>
        <v>38300</v>
      </c>
      <c r="AL13" s="22">
        <v>20000</v>
      </c>
      <c r="AM13" s="23">
        <f t="shared" si="18"/>
        <v>20000</v>
      </c>
      <c r="AN13" s="22">
        <v>29000</v>
      </c>
      <c r="AO13" s="23">
        <f t="shared" si="19"/>
        <v>29000</v>
      </c>
      <c r="AP13" s="28" t="s">
        <v>47</v>
      </c>
      <c r="AQ13" s="19">
        <f t="shared" si="3"/>
        <v>52</v>
      </c>
      <c r="AR13" s="20">
        <f t="shared" si="3"/>
        <v>52</v>
      </c>
      <c r="AS13" s="34">
        <v>1</v>
      </c>
      <c r="AT13" s="23">
        <f t="shared" si="20"/>
        <v>1</v>
      </c>
      <c r="AU13" s="34">
        <v>1</v>
      </c>
      <c r="AV13" s="23">
        <f t="shared" si="21"/>
        <v>1</v>
      </c>
      <c r="AW13" s="34">
        <v>0</v>
      </c>
      <c r="AX13" s="23">
        <f t="shared" si="22"/>
        <v>0</v>
      </c>
      <c r="AY13" s="34">
        <v>0</v>
      </c>
      <c r="AZ13" s="23">
        <f t="shared" si="23"/>
        <v>0</v>
      </c>
      <c r="BA13" s="34">
        <v>50</v>
      </c>
      <c r="BB13" s="23">
        <f t="shared" si="24"/>
        <v>50</v>
      </c>
      <c r="BC13" s="19">
        <f t="shared" si="5"/>
        <v>25737</v>
      </c>
      <c r="BD13" s="20">
        <f t="shared" si="5"/>
        <v>25737</v>
      </c>
      <c r="BE13" s="22">
        <v>516</v>
      </c>
      <c r="BF13" s="23">
        <f t="shared" si="25"/>
        <v>516</v>
      </c>
      <c r="BG13" s="34">
        <v>21</v>
      </c>
      <c r="BH13" s="23">
        <f t="shared" si="26"/>
        <v>21</v>
      </c>
      <c r="BI13" s="22">
        <v>25000</v>
      </c>
      <c r="BJ13" s="23">
        <f t="shared" si="27"/>
        <v>25000</v>
      </c>
      <c r="BK13" s="22">
        <v>200</v>
      </c>
      <c r="BL13" s="23">
        <f t="shared" si="28"/>
        <v>200</v>
      </c>
      <c r="BM13" s="22">
        <v>0</v>
      </c>
      <c r="BN13" s="23">
        <f t="shared" si="29"/>
        <v>0</v>
      </c>
      <c r="BO13" s="36"/>
      <c r="BP13" s="37">
        <v>0</v>
      </c>
      <c r="BQ13" s="23">
        <f t="shared" si="30"/>
        <v>0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175</v>
      </c>
      <c r="D14" s="42">
        <f t="shared" si="0"/>
        <v>175</v>
      </c>
      <c r="E14" s="43">
        <v>304</v>
      </c>
      <c r="F14" s="22">
        <v>120</v>
      </c>
      <c r="G14" s="23">
        <f t="shared" si="7"/>
        <v>120</v>
      </c>
      <c r="H14" s="44">
        <v>5</v>
      </c>
      <c r="I14" s="45">
        <v>0</v>
      </c>
      <c r="J14" s="23">
        <f t="shared" si="8"/>
        <v>0</v>
      </c>
      <c r="K14" s="44">
        <v>34</v>
      </c>
      <c r="L14" s="22">
        <v>0</v>
      </c>
      <c r="M14" s="23">
        <f t="shared" si="9"/>
        <v>0</v>
      </c>
      <c r="N14" s="44">
        <v>583</v>
      </c>
      <c r="O14" s="22">
        <v>0</v>
      </c>
      <c r="P14" s="23">
        <f t="shared" si="10"/>
        <v>0</v>
      </c>
      <c r="Q14" s="44">
        <v>254</v>
      </c>
      <c r="R14" s="22">
        <v>0</v>
      </c>
      <c r="S14" s="23">
        <f t="shared" si="11"/>
        <v>0</v>
      </c>
      <c r="T14" s="44">
        <v>196</v>
      </c>
      <c r="U14" s="22">
        <v>0</v>
      </c>
      <c r="V14" s="23">
        <f t="shared" si="12"/>
        <v>0</v>
      </c>
      <c r="W14" s="44">
        <v>30</v>
      </c>
      <c r="X14" s="22">
        <v>40</v>
      </c>
      <c r="Y14" s="23">
        <f t="shared" si="13"/>
        <v>40</v>
      </c>
      <c r="Z14" s="44">
        <v>10</v>
      </c>
      <c r="AA14" s="22">
        <v>0</v>
      </c>
      <c r="AB14" s="23">
        <f t="shared" si="14"/>
        <v>0</v>
      </c>
      <c r="AC14" s="44">
        <v>2500</v>
      </c>
      <c r="AD14" s="22">
        <v>15</v>
      </c>
      <c r="AE14" s="23">
        <f t="shared" si="15"/>
        <v>15</v>
      </c>
      <c r="AF14" s="19">
        <f t="shared" si="1"/>
        <v>119800</v>
      </c>
      <c r="AG14" s="20">
        <f t="shared" si="1"/>
        <v>119800</v>
      </c>
      <c r="AH14" s="24">
        <v>3800</v>
      </c>
      <c r="AI14" s="23">
        <f t="shared" si="16"/>
        <v>3800</v>
      </c>
      <c r="AJ14" s="24">
        <v>6000</v>
      </c>
      <c r="AK14" s="23">
        <f t="shared" si="17"/>
        <v>6000</v>
      </c>
      <c r="AL14" s="22">
        <v>8000</v>
      </c>
      <c r="AM14" s="23">
        <f t="shared" si="18"/>
        <v>8000</v>
      </c>
      <c r="AN14" s="22">
        <v>102000</v>
      </c>
      <c r="AO14" s="23">
        <f t="shared" si="19"/>
        <v>102000</v>
      </c>
      <c r="AP14" s="39" t="s">
        <v>48</v>
      </c>
      <c r="AQ14" s="19">
        <f t="shared" si="3"/>
        <v>6</v>
      </c>
      <c r="AR14" s="20">
        <f t="shared" si="3"/>
        <v>6</v>
      </c>
      <c r="AS14" s="45">
        <v>0</v>
      </c>
      <c r="AT14" s="23">
        <f t="shared" si="20"/>
        <v>0</v>
      </c>
      <c r="AU14" s="45">
        <v>0</v>
      </c>
      <c r="AV14" s="23">
        <f t="shared" si="21"/>
        <v>0</v>
      </c>
      <c r="AW14" s="45">
        <v>0</v>
      </c>
      <c r="AX14" s="23">
        <f t="shared" si="22"/>
        <v>0</v>
      </c>
      <c r="AY14" s="45">
        <v>0</v>
      </c>
      <c r="AZ14" s="23">
        <f t="shared" si="23"/>
        <v>0</v>
      </c>
      <c r="BA14" s="45">
        <v>6</v>
      </c>
      <c r="BB14" s="23">
        <f t="shared" si="24"/>
        <v>6</v>
      </c>
      <c r="BC14" s="19">
        <f t="shared" si="5"/>
        <v>4321</v>
      </c>
      <c r="BD14" s="20">
        <f t="shared" si="5"/>
        <v>4321</v>
      </c>
      <c r="BE14" s="22">
        <v>5</v>
      </c>
      <c r="BF14" s="23">
        <f t="shared" si="25"/>
        <v>5</v>
      </c>
      <c r="BG14" s="45">
        <v>4</v>
      </c>
      <c r="BH14" s="23">
        <f t="shared" si="26"/>
        <v>4</v>
      </c>
      <c r="BI14" s="22">
        <v>4300</v>
      </c>
      <c r="BJ14" s="23">
        <f t="shared" si="27"/>
        <v>4300</v>
      </c>
      <c r="BK14" s="22">
        <v>6</v>
      </c>
      <c r="BL14" s="23">
        <f t="shared" si="28"/>
        <v>6</v>
      </c>
      <c r="BM14" s="22">
        <v>6</v>
      </c>
      <c r="BN14" s="23">
        <f t="shared" si="29"/>
        <v>6</v>
      </c>
      <c r="BO14" s="48">
        <v>22</v>
      </c>
      <c r="BP14" s="49">
        <v>0</v>
      </c>
      <c r="BQ14" s="23">
        <f t="shared" si="30"/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442</v>
      </c>
      <c r="D15" s="53">
        <f t="shared" si="0"/>
        <v>442</v>
      </c>
      <c r="E15" s="54">
        <v>776</v>
      </c>
      <c r="F15" s="55">
        <v>320</v>
      </c>
      <c r="G15" s="23">
        <f t="shared" si="7"/>
        <v>320</v>
      </c>
      <c r="H15" s="56">
        <v>9</v>
      </c>
      <c r="I15" s="57">
        <v>0</v>
      </c>
      <c r="J15" s="23">
        <f t="shared" si="8"/>
        <v>0</v>
      </c>
      <c r="K15" s="56">
        <v>6</v>
      </c>
      <c r="L15" s="55">
        <v>0</v>
      </c>
      <c r="M15" s="23">
        <f t="shared" si="9"/>
        <v>0</v>
      </c>
      <c r="N15" s="56">
        <v>1305</v>
      </c>
      <c r="O15" s="55">
        <v>0</v>
      </c>
      <c r="P15" s="23">
        <f t="shared" si="10"/>
        <v>0</v>
      </c>
      <c r="Q15" s="56">
        <v>447</v>
      </c>
      <c r="R15" s="55">
        <v>0</v>
      </c>
      <c r="S15" s="23">
        <f t="shared" si="11"/>
        <v>0</v>
      </c>
      <c r="T15" s="56">
        <v>337</v>
      </c>
      <c r="U15" s="55">
        <v>0</v>
      </c>
      <c r="V15" s="23">
        <f t="shared" si="12"/>
        <v>0</v>
      </c>
      <c r="W15" s="56">
        <v>78</v>
      </c>
      <c r="X15" s="55">
        <v>0</v>
      </c>
      <c r="Y15" s="23">
        <f t="shared" si="13"/>
        <v>0</v>
      </c>
      <c r="Z15" s="56">
        <v>141</v>
      </c>
      <c r="AA15" s="55">
        <v>0</v>
      </c>
      <c r="AB15" s="23">
        <f t="shared" si="14"/>
        <v>0</v>
      </c>
      <c r="AC15" s="56">
        <v>798</v>
      </c>
      <c r="AD15" s="55">
        <v>122</v>
      </c>
      <c r="AE15" s="23">
        <f t="shared" si="15"/>
        <v>122</v>
      </c>
      <c r="AF15" s="58">
        <f t="shared" si="1"/>
        <v>1329428</v>
      </c>
      <c r="AG15" s="59">
        <f t="shared" si="1"/>
        <v>1329428</v>
      </c>
      <c r="AH15" s="60">
        <v>885</v>
      </c>
      <c r="AI15" s="23">
        <f t="shared" si="16"/>
        <v>885</v>
      </c>
      <c r="AJ15" s="60">
        <v>3329</v>
      </c>
      <c r="AK15" s="23">
        <f t="shared" si="17"/>
        <v>3329</v>
      </c>
      <c r="AL15" s="55">
        <v>662607</v>
      </c>
      <c r="AM15" s="23">
        <f t="shared" si="18"/>
        <v>662607</v>
      </c>
      <c r="AN15" s="55">
        <v>662607</v>
      </c>
      <c r="AO15" s="23">
        <f t="shared" si="19"/>
        <v>662607</v>
      </c>
      <c r="AP15" s="50" t="s">
        <v>49</v>
      </c>
      <c r="AQ15" s="58">
        <f t="shared" si="3"/>
        <v>2</v>
      </c>
      <c r="AR15" s="59">
        <f t="shared" si="3"/>
        <v>2</v>
      </c>
      <c r="AS15" s="57">
        <v>0</v>
      </c>
      <c r="AT15" s="23">
        <f t="shared" si="20"/>
        <v>0</v>
      </c>
      <c r="AU15" s="57">
        <v>0</v>
      </c>
      <c r="AV15" s="23">
        <f t="shared" si="21"/>
        <v>0</v>
      </c>
      <c r="AW15" s="57">
        <v>0</v>
      </c>
      <c r="AX15" s="23">
        <f t="shared" si="22"/>
        <v>0</v>
      </c>
      <c r="AY15" s="57">
        <v>0</v>
      </c>
      <c r="AZ15" s="23">
        <f t="shared" si="23"/>
        <v>0</v>
      </c>
      <c r="BA15" s="57">
        <v>2</v>
      </c>
      <c r="BB15" s="23">
        <f t="shared" si="24"/>
        <v>2</v>
      </c>
      <c r="BC15" s="58">
        <f t="shared" si="5"/>
        <v>1475</v>
      </c>
      <c r="BD15" s="59">
        <f t="shared" si="5"/>
        <v>1475</v>
      </c>
      <c r="BE15" s="55">
        <v>62</v>
      </c>
      <c r="BF15" s="23">
        <f t="shared" si="25"/>
        <v>62</v>
      </c>
      <c r="BG15" s="57">
        <v>2</v>
      </c>
      <c r="BH15" s="23">
        <f t="shared" si="26"/>
        <v>2</v>
      </c>
      <c r="BI15" s="55">
        <v>695</v>
      </c>
      <c r="BJ15" s="23">
        <f t="shared" si="27"/>
        <v>695</v>
      </c>
      <c r="BK15" s="55">
        <v>695</v>
      </c>
      <c r="BL15" s="23">
        <f t="shared" si="28"/>
        <v>695</v>
      </c>
      <c r="BM15" s="55">
        <v>21</v>
      </c>
      <c r="BN15" s="23">
        <f t="shared" si="29"/>
        <v>21</v>
      </c>
      <c r="BO15" s="36">
        <v>6274</v>
      </c>
      <c r="BP15" s="37">
        <v>2</v>
      </c>
      <c r="BQ15" s="23">
        <f t="shared" si="30"/>
        <v>2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136</v>
      </c>
      <c r="D16" s="31">
        <f t="shared" si="0"/>
        <v>136</v>
      </c>
      <c r="E16" s="32">
        <v>310</v>
      </c>
      <c r="F16" s="22">
        <v>43</v>
      </c>
      <c r="G16" s="23">
        <f t="shared" si="7"/>
        <v>43</v>
      </c>
      <c r="H16" s="33">
        <v>5</v>
      </c>
      <c r="I16" s="34">
        <v>0</v>
      </c>
      <c r="J16" s="23">
        <f t="shared" si="8"/>
        <v>0</v>
      </c>
      <c r="K16" s="33">
        <v>3</v>
      </c>
      <c r="L16" s="22">
        <v>0</v>
      </c>
      <c r="M16" s="23">
        <f t="shared" si="9"/>
        <v>0</v>
      </c>
      <c r="N16" s="33">
        <v>384</v>
      </c>
      <c r="O16" s="22">
        <v>0</v>
      </c>
      <c r="P16" s="23">
        <f t="shared" si="10"/>
        <v>0</v>
      </c>
      <c r="Q16" s="33">
        <v>245</v>
      </c>
      <c r="R16" s="22">
        <v>0</v>
      </c>
      <c r="S16" s="23">
        <f t="shared" si="11"/>
        <v>0</v>
      </c>
      <c r="T16" s="33">
        <v>397</v>
      </c>
      <c r="U16" s="22">
        <v>0</v>
      </c>
      <c r="V16" s="23">
        <f t="shared" si="12"/>
        <v>0</v>
      </c>
      <c r="W16" s="33">
        <v>24</v>
      </c>
      <c r="X16" s="22">
        <v>52</v>
      </c>
      <c r="Y16" s="23">
        <f t="shared" si="13"/>
        <v>52</v>
      </c>
      <c r="Z16" s="33">
        <v>18</v>
      </c>
      <c r="AA16" s="22">
        <v>0</v>
      </c>
      <c r="AB16" s="23">
        <f t="shared" si="14"/>
        <v>0</v>
      </c>
      <c r="AC16" s="33">
        <v>18515</v>
      </c>
      <c r="AD16" s="22">
        <v>41</v>
      </c>
      <c r="AE16" s="23">
        <f t="shared" si="15"/>
        <v>41</v>
      </c>
      <c r="AF16" s="19">
        <f t="shared" si="1"/>
        <v>73335</v>
      </c>
      <c r="AG16" s="20">
        <f t="shared" si="1"/>
        <v>73335</v>
      </c>
      <c r="AH16" s="24">
        <v>224</v>
      </c>
      <c r="AI16" s="23">
        <f t="shared" si="16"/>
        <v>224</v>
      </c>
      <c r="AJ16" s="24">
        <v>1033</v>
      </c>
      <c r="AK16" s="23">
        <f t="shared" si="17"/>
        <v>1033</v>
      </c>
      <c r="AL16" s="22">
        <v>1457</v>
      </c>
      <c r="AM16" s="23">
        <f t="shared" si="18"/>
        <v>1457</v>
      </c>
      <c r="AN16" s="22">
        <v>70621</v>
      </c>
      <c r="AO16" s="23">
        <f t="shared" si="19"/>
        <v>70621</v>
      </c>
      <c r="AP16" s="28" t="s">
        <v>51</v>
      </c>
      <c r="AQ16" s="19">
        <f t="shared" si="3"/>
        <v>55</v>
      </c>
      <c r="AR16" s="20">
        <f t="shared" si="3"/>
        <v>55</v>
      </c>
      <c r="AS16" s="34">
        <v>0</v>
      </c>
      <c r="AT16" s="23">
        <f t="shared" si="20"/>
        <v>0</v>
      </c>
      <c r="AU16" s="34">
        <v>0</v>
      </c>
      <c r="AV16" s="23">
        <f t="shared" si="21"/>
        <v>0</v>
      </c>
      <c r="AW16" s="34">
        <v>0</v>
      </c>
      <c r="AX16" s="23">
        <f t="shared" si="22"/>
        <v>0</v>
      </c>
      <c r="AY16" s="34">
        <v>0</v>
      </c>
      <c r="AZ16" s="23">
        <f t="shared" si="23"/>
        <v>0</v>
      </c>
      <c r="BA16" s="34">
        <v>55</v>
      </c>
      <c r="BB16" s="23">
        <f t="shared" si="24"/>
        <v>55</v>
      </c>
      <c r="BC16" s="19">
        <f t="shared" si="5"/>
        <v>1148</v>
      </c>
      <c r="BD16" s="20">
        <f t="shared" si="5"/>
        <v>1148</v>
      </c>
      <c r="BE16" s="22">
        <v>72</v>
      </c>
      <c r="BF16" s="23">
        <f t="shared" si="25"/>
        <v>72</v>
      </c>
      <c r="BG16" s="34">
        <v>0</v>
      </c>
      <c r="BH16" s="23">
        <f t="shared" si="26"/>
        <v>0</v>
      </c>
      <c r="BI16" s="22">
        <v>1027</v>
      </c>
      <c r="BJ16" s="23">
        <f t="shared" si="27"/>
        <v>1027</v>
      </c>
      <c r="BK16" s="22">
        <v>49</v>
      </c>
      <c r="BL16" s="23">
        <f t="shared" si="28"/>
        <v>49</v>
      </c>
      <c r="BM16" s="22">
        <v>0</v>
      </c>
      <c r="BN16" s="23">
        <f t="shared" si="29"/>
        <v>0</v>
      </c>
      <c r="BO16" s="36">
        <v>2546</v>
      </c>
      <c r="BP16" s="37">
        <v>0</v>
      </c>
      <c r="BQ16" s="23">
        <f t="shared" si="30"/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200</v>
      </c>
      <c r="D17" s="31">
        <f t="shared" si="0"/>
        <v>200</v>
      </c>
      <c r="E17" s="32">
        <v>754</v>
      </c>
      <c r="F17" s="22">
        <v>150</v>
      </c>
      <c r="G17" s="23">
        <f t="shared" si="7"/>
        <v>150</v>
      </c>
      <c r="H17" s="33">
        <v>9</v>
      </c>
      <c r="I17" s="34">
        <v>0</v>
      </c>
      <c r="J17" s="23">
        <f t="shared" si="8"/>
        <v>0</v>
      </c>
      <c r="K17" s="33">
        <v>5</v>
      </c>
      <c r="L17" s="22">
        <v>0</v>
      </c>
      <c r="M17" s="23">
        <f t="shared" si="9"/>
        <v>0</v>
      </c>
      <c r="N17" s="33">
        <v>768</v>
      </c>
      <c r="O17" s="22">
        <v>0</v>
      </c>
      <c r="P17" s="23">
        <f t="shared" si="10"/>
        <v>0</v>
      </c>
      <c r="Q17" s="33">
        <v>624</v>
      </c>
      <c r="R17" s="22">
        <v>0</v>
      </c>
      <c r="S17" s="23">
        <f t="shared" si="11"/>
        <v>0</v>
      </c>
      <c r="T17" s="33">
        <v>742</v>
      </c>
      <c r="U17" s="22">
        <v>0</v>
      </c>
      <c r="V17" s="23">
        <f t="shared" si="12"/>
        <v>0</v>
      </c>
      <c r="W17" s="33">
        <v>54</v>
      </c>
      <c r="X17" s="22">
        <v>30</v>
      </c>
      <c r="Y17" s="23">
        <f t="shared" si="13"/>
        <v>30</v>
      </c>
      <c r="Z17" s="33">
        <v>66</v>
      </c>
      <c r="AA17" s="22">
        <v>0</v>
      </c>
      <c r="AB17" s="23">
        <f t="shared" si="14"/>
        <v>0</v>
      </c>
      <c r="AC17" s="33">
        <v>2580</v>
      </c>
      <c r="AD17" s="22">
        <v>20</v>
      </c>
      <c r="AE17" s="23">
        <f t="shared" si="15"/>
        <v>20</v>
      </c>
      <c r="AF17" s="19">
        <f t="shared" si="1"/>
        <v>116000</v>
      </c>
      <c r="AG17" s="20">
        <f t="shared" si="1"/>
        <v>116000</v>
      </c>
      <c r="AH17" s="24">
        <v>8000</v>
      </c>
      <c r="AI17" s="23">
        <f t="shared" si="16"/>
        <v>8000</v>
      </c>
      <c r="AJ17" s="24">
        <v>13000</v>
      </c>
      <c r="AK17" s="23">
        <f t="shared" si="17"/>
        <v>13000</v>
      </c>
      <c r="AL17" s="22">
        <v>26000</v>
      </c>
      <c r="AM17" s="23">
        <f t="shared" si="18"/>
        <v>26000</v>
      </c>
      <c r="AN17" s="22">
        <v>69000</v>
      </c>
      <c r="AO17" s="23">
        <f t="shared" si="19"/>
        <v>69000</v>
      </c>
      <c r="AP17" s="28" t="s">
        <v>52</v>
      </c>
      <c r="AQ17" s="19">
        <f t="shared" si="3"/>
        <v>16</v>
      </c>
      <c r="AR17" s="20">
        <f t="shared" si="3"/>
        <v>16</v>
      </c>
      <c r="AS17" s="34">
        <v>1</v>
      </c>
      <c r="AT17" s="23">
        <f t="shared" si="20"/>
        <v>1</v>
      </c>
      <c r="AU17" s="34">
        <v>1</v>
      </c>
      <c r="AV17" s="23">
        <f t="shared" si="21"/>
        <v>1</v>
      </c>
      <c r="AW17" s="34">
        <v>0</v>
      </c>
      <c r="AX17" s="23">
        <f t="shared" si="22"/>
        <v>0</v>
      </c>
      <c r="AY17" s="34">
        <v>0</v>
      </c>
      <c r="AZ17" s="23">
        <f t="shared" si="23"/>
        <v>0</v>
      </c>
      <c r="BA17" s="34">
        <v>14</v>
      </c>
      <c r="BB17" s="23">
        <f t="shared" si="24"/>
        <v>14</v>
      </c>
      <c r="BC17" s="19">
        <f t="shared" si="5"/>
        <v>1743</v>
      </c>
      <c r="BD17" s="20">
        <f t="shared" si="5"/>
        <v>1743</v>
      </c>
      <c r="BE17" s="22">
        <v>38</v>
      </c>
      <c r="BF17" s="23">
        <f t="shared" si="25"/>
        <v>38</v>
      </c>
      <c r="BG17" s="34">
        <v>2</v>
      </c>
      <c r="BH17" s="23">
        <f t="shared" si="26"/>
        <v>2</v>
      </c>
      <c r="BI17" s="22">
        <v>1500</v>
      </c>
      <c r="BJ17" s="23">
        <f t="shared" si="27"/>
        <v>1500</v>
      </c>
      <c r="BK17" s="22">
        <v>200</v>
      </c>
      <c r="BL17" s="23">
        <f t="shared" si="28"/>
        <v>200</v>
      </c>
      <c r="BM17" s="22">
        <v>3</v>
      </c>
      <c r="BN17" s="23">
        <f t="shared" si="29"/>
        <v>3</v>
      </c>
      <c r="BO17" s="36">
        <v>8022</v>
      </c>
      <c r="BP17" s="37">
        <v>7</v>
      </c>
      <c r="BQ17" s="23">
        <f t="shared" si="30"/>
        <v>7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484</v>
      </c>
      <c r="D18" s="20">
        <f t="shared" si="0"/>
        <v>484</v>
      </c>
      <c r="E18" s="21">
        <v>1063</v>
      </c>
      <c r="F18" s="22">
        <v>299</v>
      </c>
      <c r="G18" s="23">
        <f t="shared" si="7"/>
        <v>299</v>
      </c>
      <c r="H18" s="21">
        <v>19</v>
      </c>
      <c r="I18" s="22">
        <v>0</v>
      </c>
      <c r="J18" s="23">
        <f t="shared" si="8"/>
        <v>0</v>
      </c>
      <c r="K18" s="21">
        <v>8</v>
      </c>
      <c r="L18" s="22">
        <v>0</v>
      </c>
      <c r="M18" s="23">
        <f t="shared" si="9"/>
        <v>0</v>
      </c>
      <c r="N18" s="21">
        <v>1331</v>
      </c>
      <c r="O18" s="22">
        <v>0</v>
      </c>
      <c r="P18" s="23">
        <f t="shared" si="10"/>
        <v>0</v>
      </c>
      <c r="Q18" s="21">
        <v>777</v>
      </c>
      <c r="R18" s="22">
        <v>0</v>
      </c>
      <c r="S18" s="23">
        <f t="shared" si="11"/>
        <v>0</v>
      </c>
      <c r="T18" s="21">
        <v>318</v>
      </c>
      <c r="U18" s="22">
        <v>0</v>
      </c>
      <c r="V18" s="23">
        <f t="shared" si="12"/>
        <v>0</v>
      </c>
      <c r="W18" s="21">
        <v>60</v>
      </c>
      <c r="X18" s="22">
        <v>185</v>
      </c>
      <c r="Y18" s="23">
        <f t="shared" si="13"/>
        <v>185</v>
      </c>
      <c r="Z18" s="21">
        <v>72</v>
      </c>
      <c r="AA18" s="22">
        <v>0</v>
      </c>
      <c r="AB18" s="23">
        <f t="shared" si="14"/>
        <v>0</v>
      </c>
      <c r="AC18" s="21">
        <v>143</v>
      </c>
      <c r="AD18" s="22">
        <v>0</v>
      </c>
      <c r="AE18" s="23">
        <f t="shared" si="15"/>
        <v>0</v>
      </c>
      <c r="AF18" s="19">
        <f t="shared" si="1"/>
        <v>306157</v>
      </c>
      <c r="AG18" s="20">
        <f t="shared" si="1"/>
        <v>306157</v>
      </c>
      <c r="AH18" s="24">
        <v>572</v>
      </c>
      <c r="AI18" s="23">
        <f t="shared" si="16"/>
        <v>572</v>
      </c>
      <c r="AJ18" s="24">
        <v>4440</v>
      </c>
      <c r="AK18" s="23">
        <f t="shared" si="17"/>
        <v>4440</v>
      </c>
      <c r="AL18" s="22">
        <v>4817</v>
      </c>
      <c r="AM18" s="23">
        <f t="shared" si="18"/>
        <v>4817</v>
      </c>
      <c r="AN18" s="22">
        <v>296328</v>
      </c>
      <c r="AO18" s="23">
        <f t="shared" si="19"/>
        <v>296328</v>
      </c>
      <c r="AP18" s="17" t="s">
        <v>53</v>
      </c>
      <c r="AQ18" s="19">
        <f t="shared" si="3"/>
        <v>3</v>
      </c>
      <c r="AR18" s="20">
        <f t="shared" si="3"/>
        <v>3</v>
      </c>
      <c r="AS18" s="22">
        <v>0</v>
      </c>
      <c r="AT18" s="23">
        <f t="shared" si="20"/>
        <v>0</v>
      </c>
      <c r="AU18" s="22">
        <v>0</v>
      </c>
      <c r="AV18" s="23">
        <f t="shared" si="21"/>
        <v>0</v>
      </c>
      <c r="AW18" s="22">
        <v>0</v>
      </c>
      <c r="AX18" s="23">
        <f t="shared" si="22"/>
        <v>0</v>
      </c>
      <c r="AY18" s="22">
        <v>0</v>
      </c>
      <c r="AZ18" s="23">
        <f t="shared" si="23"/>
        <v>0</v>
      </c>
      <c r="BA18" s="22">
        <v>3</v>
      </c>
      <c r="BB18" s="23">
        <f t="shared" si="24"/>
        <v>3</v>
      </c>
      <c r="BC18" s="19">
        <f t="shared" si="5"/>
        <v>3071</v>
      </c>
      <c r="BD18" s="20">
        <f t="shared" si="5"/>
        <v>3071</v>
      </c>
      <c r="BE18" s="22">
        <v>1</v>
      </c>
      <c r="BF18" s="23">
        <f t="shared" si="25"/>
        <v>1</v>
      </c>
      <c r="BG18" s="22">
        <v>0</v>
      </c>
      <c r="BH18" s="23">
        <f t="shared" si="26"/>
        <v>0</v>
      </c>
      <c r="BI18" s="22">
        <v>2872</v>
      </c>
      <c r="BJ18" s="23">
        <f t="shared" si="27"/>
        <v>2872</v>
      </c>
      <c r="BK18" s="22">
        <v>198</v>
      </c>
      <c r="BL18" s="23">
        <f t="shared" si="28"/>
        <v>198</v>
      </c>
      <c r="BM18" s="22">
        <v>0</v>
      </c>
      <c r="BN18" s="23">
        <f t="shared" si="29"/>
        <v>0</v>
      </c>
      <c r="BO18" s="36">
        <v>442</v>
      </c>
      <c r="BP18" s="37">
        <v>3</v>
      </c>
      <c r="BQ18" s="23">
        <f t="shared" si="30"/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31</v>
      </c>
      <c r="D19" s="31">
        <f t="shared" si="0"/>
        <v>31</v>
      </c>
      <c r="E19" s="33">
        <v>221</v>
      </c>
      <c r="F19" s="22">
        <v>8</v>
      </c>
      <c r="G19" s="23">
        <f t="shared" si="7"/>
        <v>8</v>
      </c>
      <c r="H19" s="33">
        <v>5</v>
      </c>
      <c r="I19" s="34">
        <v>0</v>
      </c>
      <c r="J19" s="23">
        <f t="shared" si="8"/>
        <v>0</v>
      </c>
      <c r="K19" s="33">
        <v>4</v>
      </c>
      <c r="L19" s="22">
        <v>0</v>
      </c>
      <c r="M19" s="23">
        <f t="shared" si="9"/>
        <v>0</v>
      </c>
      <c r="N19" s="33">
        <v>313</v>
      </c>
      <c r="O19" s="22">
        <v>0</v>
      </c>
      <c r="P19" s="23">
        <f t="shared" si="10"/>
        <v>0</v>
      </c>
      <c r="Q19" s="33">
        <v>203</v>
      </c>
      <c r="R19" s="22">
        <v>0</v>
      </c>
      <c r="S19" s="23">
        <f t="shared" si="11"/>
        <v>0</v>
      </c>
      <c r="T19" s="33">
        <v>241</v>
      </c>
      <c r="U19" s="22">
        <v>0</v>
      </c>
      <c r="V19" s="23">
        <f t="shared" si="12"/>
        <v>0</v>
      </c>
      <c r="W19" s="33">
        <v>14</v>
      </c>
      <c r="X19" s="22">
        <v>11</v>
      </c>
      <c r="Y19" s="23">
        <f t="shared" si="13"/>
        <v>11</v>
      </c>
      <c r="Z19" s="33">
        <v>7</v>
      </c>
      <c r="AA19" s="22">
        <v>0</v>
      </c>
      <c r="AB19" s="23">
        <f t="shared" si="14"/>
        <v>0</v>
      </c>
      <c r="AC19" s="33">
        <v>32</v>
      </c>
      <c r="AD19" s="22">
        <v>12</v>
      </c>
      <c r="AE19" s="23">
        <f t="shared" si="15"/>
        <v>12</v>
      </c>
      <c r="AF19" s="19">
        <f t="shared" si="1"/>
        <v>2300</v>
      </c>
      <c r="AG19" s="20">
        <f t="shared" si="1"/>
        <v>2300</v>
      </c>
      <c r="AH19" s="24">
        <v>450</v>
      </c>
      <c r="AI19" s="23">
        <f t="shared" si="16"/>
        <v>450</v>
      </c>
      <c r="AJ19" s="24">
        <v>450</v>
      </c>
      <c r="AK19" s="23">
        <f t="shared" si="17"/>
        <v>450</v>
      </c>
      <c r="AL19" s="22">
        <v>700</v>
      </c>
      <c r="AM19" s="23">
        <f t="shared" si="18"/>
        <v>700</v>
      </c>
      <c r="AN19" s="22">
        <v>700</v>
      </c>
      <c r="AO19" s="23">
        <f t="shared" si="19"/>
        <v>700</v>
      </c>
      <c r="AP19" s="28" t="s">
        <v>54</v>
      </c>
      <c r="AQ19" s="19">
        <f t="shared" si="3"/>
        <v>0</v>
      </c>
      <c r="AR19" s="20">
        <f t="shared" si="3"/>
        <v>0</v>
      </c>
      <c r="AS19" s="34">
        <v>0</v>
      </c>
      <c r="AT19" s="23">
        <f t="shared" si="20"/>
        <v>0</v>
      </c>
      <c r="AU19" s="34">
        <v>0</v>
      </c>
      <c r="AV19" s="23">
        <f t="shared" si="21"/>
        <v>0</v>
      </c>
      <c r="AW19" s="34">
        <v>0</v>
      </c>
      <c r="AX19" s="23">
        <f t="shared" si="22"/>
        <v>0</v>
      </c>
      <c r="AY19" s="34">
        <v>0</v>
      </c>
      <c r="AZ19" s="23">
        <f t="shared" si="23"/>
        <v>0</v>
      </c>
      <c r="BA19" s="34">
        <v>0</v>
      </c>
      <c r="BB19" s="23">
        <f t="shared" si="24"/>
        <v>0</v>
      </c>
      <c r="BC19" s="19">
        <f t="shared" si="5"/>
        <v>922</v>
      </c>
      <c r="BD19" s="20">
        <f t="shared" si="5"/>
        <v>922</v>
      </c>
      <c r="BE19" s="22">
        <v>14</v>
      </c>
      <c r="BF19" s="23">
        <f t="shared" si="25"/>
        <v>14</v>
      </c>
      <c r="BG19" s="34">
        <v>0</v>
      </c>
      <c r="BH19" s="23">
        <f t="shared" si="26"/>
        <v>0</v>
      </c>
      <c r="BI19" s="22">
        <v>800</v>
      </c>
      <c r="BJ19" s="23">
        <f t="shared" si="27"/>
        <v>800</v>
      </c>
      <c r="BK19" s="22">
        <v>100</v>
      </c>
      <c r="BL19" s="23">
        <f t="shared" si="28"/>
        <v>100</v>
      </c>
      <c r="BM19" s="22">
        <v>8</v>
      </c>
      <c r="BN19" s="23">
        <f t="shared" si="29"/>
        <v>8</v>
      </c>
      <c r="BO19" s="36">
        <v>2898</v>
      </c>
      <c r="BP19" s="37">
        <v>0</v>
      </c>
      <c r="BQ19" s="23">
        <f t="shared" si="30"/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251</v>
      </c>
      <c r="D20" s="31">
        <f t="shared" si="0"/>
        <v>251</v>
      </c>
      <c r="E20" s="32">
        <v>723</v>
      </c>
      <c r="F20" s="22">
        <v>160</v>
      </c>
      <c r="G20" s="23">
        <f t="shared" si="7"/>
        <v>160</v>
      </c>
      <c r="H20" s="33">
        <v>5</v>
      </c>
      <c r="I20" s="34">
        <v>1</v>
      </c>
      <c r="J20" s="23">
        <f t="shared" si="8"/>
        <v>1</v>
      </c>
      <c r="K20" s="33">
        <v>3</v>
      </c>
      <c r="L20" s="22">
        <v>0</v>
      </c>
      <c r="M20" s="23">
        <f t="shared" si="9"/>
        <v>0</v>
      </c>
      <c r="N20" s="33">
        <v>975</v>
      </c>
      <c r="O20" s="22">
        <v>42</v>
      </c>
      <c r="P20" s="23">
        <f t="shared" si="10"/>
        <v>42</v>
      </c>
      <c r="Q20" s="61">
        <v>1862</v>
      </c>
      <c r="R20" s="22">
        <v>1</v>
      </c>
      <c r="S20" s="23">
        <f t="shared" si="11"/>
        <v>1</v>
      </c>
      <c r="T20" s="33">
        <v>35</v>
      </c>
      <c r="U20" s="22">
        <v>1</v>
      </c>
      <c r="V20" s="23">
        <f t="shared" si="12"/>
        <v>1</v>
      </c>
      <c r="W20" s="33">
        <v>64</v>
      </c>
      <c r="X20" s="22">
        <v>1</v>
      </c>
      <c r="Y20" s="23">
        <f t="shared" si="13"/>
        <v>1</v>
      </c>
      <c r="Z20" s="33">
        <v>15</v>
      </c>
      <c r="AA20" s="22">
        <v>1</v>
      </c>
      <c r="AB20" s="23">
        <f t="shared" si="14"/>
        <v>1</v>
      </c>
      <c r="AC20" s="33">
        <v>1546</v>
      </c>
      <c r="AD20" s="22">
        <v>44</v>
      </c>
      <c r="AE20" s="23">
        <f t="shared" si="15"/>
        <v>44</v>
      </c>
      <c r="AF20" s="19">
        <f t="shared" si="1"/>
        <v>16550</v>
      </c>
      <c r="AG20" s="20">
        <f t="shared" si="1"/>
        <v>16550</v>
      </c>
      <c r="AH20" s="24">
        <v>7840</v>
      </c>
      <c r="AI20" s="23">
        <f t="shared" si="16"/>
        <v>7840</v>
      </c>
      <c r="AJ20" s="24">
        <v>7790</v>
      </c>
      <c r="AK20" s="23">
        <f t="shared" si="17"/>
        <v>7790</v>
      </c>
      <c r="AL20" s="22">
        <v>460</v>
      </c>
      <c r="AM20" s="23">
        <f t="shared" si="18"/>
        <v>460</v>
      </c>
      <c r="AN20" s="22">
        <v>460</v>
      </c>
      <c r="AO20" s="23">
        <f t="shared" si="19"/>
        <v>460</v>
      </c>
      <c r="AP20" s="28" t="s">
        <v>55</v>
      </c>
      <c r="AQ20" s="19">
        <f t="shared" si="3"/>
        <v>137</v>
      </c>
      <c r="AR20" s="20">
        <f t="shared" si="3"/>
        <v>137</v>
      </c>
      <c r="AS20" s="34">
        <v>1</v>
      </c>
      <c r="AT20" s="23">
        <f t="shared" si="20"/>
        <v>1</v>
      </c>
      <c r="AU20" s="34">
        <v>0</v>
      </c>
      <c r="AV20" s="23">
        <f t="shared" si="21"/>
        <v>0</v>
      </c>
      <c r="AW20" s="34">
        <v>0</v>
      </c>
      <c r="AX20" s="23">
        <f t="shared" si="22"/>
        <v>0</v>
      </c>
      <c r="AY20" s="34">
        <v>0</v>
      </c>
      <c r="AZ20" s="23">
        <f t="shared" si="23"/>
        <v>0</v>
      </c>
      <c r="BA20" s="34">
        <v>136</v>
      </c>
      <c r="BB20" s="23">
        <f t="shared" si="24"/>
        <v>136</v>
      </c>
      <c r="BC20" s="19">
        <f t="shared" si="5"/>
        <v>2923</v>
      </c>
      <c r="BD20" s="20">
        <f t="shared" si="5"/>
        <v>2923</v>
      </c>
      <c r="BE20" s="22">
        <v>2</v>
      </c>
      <c r="BF20" s="23">
        <f t="shared" si="25"/>
        <v>2</v>
      </c>
      <c r="BG20" s="34">
        <v>0</v>
      </c>
      <c r="BH20" s="23">
        <f t="shared" si="26"/>
        <v>0</v>
      </c>
      <c r="BI20" s="22">
        <v>1510</v>
      </c>
      <c r="BJ20" s="23">
        <f t="shared" si="27"/>
        <v>1510</v>
      </c>
      <c r="BK20" s="22">
        <v>1410</v>
      </c>
      <c r="BL20" s="23">
        <f t="shared" si="28"/>
        <v>1410</v>
      </c>
      <c r="BM20" s="22">
        <v>1</v>
      </c>
      <c r="BN20" s="23">
        <f t="shared" si="29"/>
        <v>1</v>
      </c>
      <c r="BO20" s="36">
        <v>5854</v>
      </c>
      <c r="BP20" s="73" t="s">
        <v>65</v>
      </c>
      <c r="BQ20" s="74" t="str">
        <f t="shared" si="30"/>
        <v>02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375</v>
      </c>
      <c r="D21" s="31">
        <f t="shared" si="0"/>
        <v>375</v>
      </c>
      <c r="E21" s="32">
        <v>1017</v>
      </c>
      <c r="F21" s="22">
        <v>150</v>
      </c>
      <c r="G21" s="23">
        <f t="shared" si="7"/>
        <v>150</v>
      </c>
      <c r="H21" s="33">
        <v>8</v>
      </c>
      <c r="I21" s="34">
        <v>4</v>
      </c>
      <c r="J21" s="23">
        <f t="shared" si="8"/>
        <v>4</v>
      </c>
      <c r="K21" s="33">
        <v>4</v>
      </c>
      <c r="L21" s="22">
        <v>0</v>
      </c>
      <c r="M21" s="23">
        <f t="shared" si="9"/>
        <v>0</v>
      </c>
      <c r="N21" s="33">
        <v>963</v>
      </c>
      <c r="O21" s="22">
        <v>3</v>
      </c>
      <c r="P21" s="23">
        <f t="shared" si="10"/>
        <v>3</v>
      </c>
      <c r="Q21" s="33">
        <v>912</v>
      </c>
      <c r="R21" s="22">
        <v>0</v>
      </c>
      <c r="S21" s="23">
        <f t="shared" si="11"/>
        <v>0</v>
      </c>
      <c r="T21" s="33">
        <v>199</v>
      </c>
      <c r="U21" s="22">
        <v>7</v>
      </c>
      <c r="V21" s="23">
        <f t="shared" si="12"/>
        <v>7</v>
      </c>
      <c r="W21" s="33">
        <v>101</v>
      </c>
      <c r="X21" s="22">
        <v>0</v>
      </c>
      <c r="Y21" s="23">
        <f t="shared" si="13"/>
        <v>0</v>
      </c>
      <c r="Z21" s="33">
        <v>42</v>
      </c>
      <c r="AA21" s="22">
        <v>0</v>
      </c>
      <c r="AB21" s="23">
        <f t="shared" si="14"/>
        <v>0</v>
      </c>
      <c r="AC21" s="33">
        <v>20</v>
      </c>
      <c r="AD21" s="22">
        <v>211</v>
      </c>
      <c r="AE21" s="23">
        <f t="shared" si="15"/>
        <v>211</v>
      </c>
      <c r="AF21" s="19">
        <f t="shared" si="1"/>
        <v>950000</v>
      </c>
      <c r="AG21" s="20">
        <f t="shared" si="1"/>
        <v>950000</v>
      </c>
      <c r="AH21" s="24">
        <v>1000</v>
      </c>
      <c r="AI21" s="23">
        <f t="shared" si="16"/>
        <v>1000</v>
      </c>
      <c r="AJ21" s="24">
        <v>149000</v>
      </c>
      <c r="AK21" s="23">
        <f t="shared" si="17"/>
        <v>149000</v>
      </c>
      <c r="AL21" s="22">
        <v>1500</v>
      </c>
      <c r="AM21" s="23">
        <f t="shared" si="18"/>
        <v>1500</v>
      </c>
      <c r="AN21" s="22">
        <v>798500</v>
      </c>
      <c r="AO21" s="23">
        <f t="shared" si="19"/>
        <v>798500</v>
      </c>
      <c r="AP21" s="28" t="s">
        <v>58</v>
      </c>
      <c r="AQ21" s="19">
        <f t="shared" si="3"/>
        <v>4</v>
      </c>
      <c r="AR21" s="20">
        <f t="shared" si="3"/>
        <v>4</v>
      </c>
      <c r="AS21" s="34">
        <v>0</v>
      </c>
      <c r="AT21" s="23">
        <f t="shared" si="20"/>
        <v>0</v>
      </c>
      <c r="AU21" s="34">
        <v>4</v>
      </c>
      <c r="AV21" s="23">
        <f t="shared" si="21"/>
        <v>4</v>
      </c>
      <c r="AW21" s="34">
        <v>0</v>
      </c>
      <c r="AX21" s="23">
        <f t="shared" si="22"/>
        <v>0</v>
      </c>
      <c r="AY21" s="34">
        <v>0</v>
      </c>
      <c r="AZ21" s="23">
        <f t="shared" si="23"/>
        <v>0</v>
      </c>
      <c r="BA21" s="34">
        <v>0</v>
      </c>
      <c r="BB21" s="23">
        <f t="shared" si="24"/>
        <v>0</v>
      </c>
      <c r="BC21" s="19">
        <f t="shared" si="5"/>
        <v>1050</v>
      </c>
      <c r="BD21" s="20">
        <f t="shared" si="5"/>
        <v>1050</v>
      </c>
      <c r="BE21" s="22">
        <v>50</v>
      </c>
      <c r="BF21" s="23">
        <f t="shared" si="25"/>
        <v>50</v>
      </c>
      <c r="BG21" s="34">
        <v>0</v>
      </c>
      <c r="BH21" s="23">
        <f t="shared" si="26"/>
        <v>0</v>
      </c>
      <c r="BI21" s="22">
        <v>1000</v>
      </c>
      <c r="BJ21" s="23">
        <f t="shared" si="27"/>
        <v>1000</v>
      </c>
      <c r="BK21" s="22">
        <v>0</v>
      </c>
      <c r="BL21" s="23">
        <f t="shared" si="28"/>
        <v>0</v>
      </c>
      <c r="BM21" s="22">
        <v>0</v>
      </c>
      <c r="BN21" s="23">
        <f t="shared" si="29"/>
        <v>0</v>
      </c>
      <c r="BO21" s="36">
        <v>68</v>
      </c>
      <c r="BP21" s="37">
        <v>1</v>
      </c>
      <c r="BQ21" s="23">
        <f t="shared" si="30"/>
        <v>1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1540</v>
      </c>
      <c r="D22" s="31">
        <f t="shared" si="0"/>
        <v>1540</v>
      </c>
      <c r="E22" s="32">
        <v>509</v>
      </c>
      <c r="F22" s="22">
        <v>38</v>
      </c>
      <c r="G22" s="23">
        <f t="shared" si="7"/>
        <v>38</v>
      </c>
      <c r="H22" s="33">
        <v>8</v>
      </c>
      <c r="I22" s="34">
        <v>0</v>
      </c>
      <c r="J22" s="23">
        <f t="shared" si="8"/>
        <v>0</v>
      </c>
      <c r="K22" s="33">
        <v>21</v>
      </c>
      <c r="L22" s="22">
        <v>0</v>
      </c>
      <c r="M22" s="23">
        <f t="shared" si="9"/>
        <v>0</v>
      </c>
      <c r="N22" s="33">
        <v>560</v>
      </c>
      <c r="O22" s="22">
        <v>71</v>
      </c>
      <c r="P22" s="23">
        <f t="shared" si="10"/>
        <v>71</v>
      </c>
      <c r="Q22" s="33">
        <v>375</v>
      </c>
      <c r="R22" s="22">
        <v>0</v>
      </c>
      <c r="S22" s="23">
        <f t="shared" si="11"/>
        <v>0</v>
      </c>
      <c r="T22" s="33">
        <v>165</v>
      </c>
      <c r="U22" s="22">
        <v>30</v>
      </c>
      <c r="V22" s="23">
        <f t="shared" si="12"/>
        <v>30</v>
      </c>
      <c r="W22" s="33">
        <v>28</v>
      </c>
      <c r="X22" s="22">
        <v>38</v>
      </c>
      <c r="Y22" s="23">
        <f t="shared" si="13"/>
        <v>38</v>
      </c>
      <c r="Z22" s="33">
        <v>9</v>
      </c>
      <c r="AA22" s="22">
        <v>0</v>
      </c>
      <c r="AB22" s="23">
        <f t="shared" si="14"/>
        <v>0</v>
      </c>
      <c r="AC22" s="33">
        <v>112</v>
      </c>
      <c r="AD22" s="22">
        <v>1363</v>
      </c>
      <c r="AE22" s="23">
        <f t="shared" si="15"/>
        <v>1363</v>
      </c>
      <c r="AF22" s="19">
        <f t="shared" si="1"/>
        <v>706058</v>
      </c>
      <c r="AG22" s="20">
        <f t="shared" si="1"/>
        <v>706058</v>
      </c>
      <c r="AH22" s="24">
        <v>943</v>
      </c>
      <c r="AI22" s="23">
        <f t="shared" si="16"/>
        <v>943</v>
      </c>
      <c r="AJ22" s="24">
        <v>7000</v>
      </c>
      <c r="AK22" s="23">
        <f t="shared" si="17"/>
        <v>7000</v>
      </c>
      <c r="AL22" s="22">
        <v>2541</v>
      </c>
      <c r="AM22" s="23">
        <f t="shared" si="18"/>
        <v>2541</v>
      </c>
      <c r="AN22" s="22">
        <v>695574</v>
      </c>
      <c r="AO22" s="23">
        <f t="shared" si="19"/>
        <v>695574</v>
      </c>
      <c r="AP22" s="28" t="s">
        <v>59</v>
      </c>
      <c r="AQ22" s="19">
        <f t="shared" si="3"/>
        <v>2989</v>
      </c>
      <c r="AR22" s="20">
        <f t="shared" si="3"/>
        <v>2989</v>
      </c>
      <c r="AS22" s="34">
        <v>2</v>
      </c>
      <c r="AT22" s="23">
        <f t="shared" si="20"/>
        <v>2</v>
      </c>
      <c r="AU22" s="34">
        <v>2</v>
      </c>
      <c r="AV22" s="23">
        <f t="shared" si="21"/>
        <v>2</v>
      </c>
      <c r="AW22" s="34">
        <v>1</v>
      </c>
      <c r="AX22" s="23">
        <f t="shared" si="22"/>
        <v>1</v>
      </c>
      <c r="AY22" s="34">
        <v>0</v>
      </c>
      <c r="AZ22" s="23">
        <f t="shared" si="23"/>
        <v>0</v>
      </c>
      <c r="BA22" s="34">
        <v>2984</v>
      </c>
      <c r="BB22" s="23">
        <f t="shared" si="24"/>
        <v>2984</v>
      </c>
      <c r="BC22" s="19">
        <f t="shared" si="5"/>
        <v>9821</v>
      </c>
      <c r="BD22" s="20">
        <f t="shared" si="5"/>
        <v>9821</v>
      </c>
      <c r="BE22" s="22">
        <v>3</v>
      </c>
      <c r="BF22" s="23">
        <f t="shared" si="25"/>
        <v>3</v>
      </c>
      <c r="BG22" s="34">
        <v>180</v>
      </c>
      <c r="BH22" s="23">
        <f t="shared" si="26"/>
        <v>180</v>
      </c>
      <c r="BI22" s="22">
        <v>9584</v>
      </c>
      <c r="BJ22" s="23">
        <f t="shared" si="27"/>
        <v>9584</v>
      </c>
      <c r="BK22" s="22">
        <v>54</v>
      </c>
      <c r="BL22" s="23">
        <f t="shared" si="28"/>
        <v>54</v>
      </c>
      <c r="BM22" s="22">
        <v>0</v>
      </c>
      <c r="BN22" s="23">
        <f t="shared" si="29"/>
        <v>0</v>
      </c>
      <c r="BO22" s="36">
        <v>26</v>
      </c>
      <c r="BP22" s="37">
        <v>320</v>
      </c>
      <c r="BQ22" s="23">
        <f t="shared" si="30"/>
        <v>320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4147</v>
      </c>
      <c r="D23" s="65">
        <f t="shared" si="0"/>
        <v>4147</v>
      </c>
      <c r="E23" s="66">
        <f>+E18+E19+E22+E17+E16+E15+E14+E13+E12+E11+E10+E9+E8</f>
        <v>7282</v>
      </c>
      <c r="F23" s="67">
        <f t="shared" ref="F23:J23" si="31">SUM(F8:F22)</f>
        <v>1421</v>
      </c>
      <c r="G23" s="68">
        <f t="shared" si="31"/>
        <v>1421</v>
      </c>
      <c r="H23" s="66">
        <f>+H18+H19+H22+H17+H16+H15+H14+H13+H12+H11+H10+H9+H8</f>
        <v>271</v>
      </c>
      <c r="I23" s="67">
        <f t="shared" si="31"/>
        <v>14</v>
      </c>
      <c r="J23" s="68">
        <f t="shared" si="31"/>
        <v>14</v>
      </c>
      <c r="K23" s="66">
        <f>+K18+K19+K22+K17+K16+K15+K14+K13+K12+K11+K10+K9+K8</f>
        <v>163</v>
      </c>
      <c r="L23" s="67">
        <f t="shared" ref="L23:P23" si="32">SUM(L8:L22)</f>
        <v>1</v>
      </c>
      <c r="M23" s="68">
        <f t="shared" si="32"/>
        <v>1</v>
      </c>
      <c r="N23" s="66">
        <f>+N18+N19+N22+N17+N16+N15+N14+N13+N12+N11+N10+N9+N8</f>
        <v>8607</v>
      </c>
      <c r="O23" s="67">
        <f t="shared" si="32"/>
        <v>154</v>
      </c>
      <c r="P23" s="68">
        <f t="shared" si="32"/>
        <v>154</v>
      </c>
      <c r="Q23" s="66">
        <f>+Q18+Q19+Q22+Q17+Q16+Q15+Q14+Q13+Q12+Q11+Q10+Q9+Q8</f>
        <v>7474</v>
      </c>
      <c r="R23" s="67">
        <f t="shared" ref="R23:V23" si="33">SUM(R8:R22)</f>
        <v>12</v>
      </c>
      <c r="S23" s="68">
        <f t="shared" si="33"/>
        <v>12</v>
      </c>
      <c r="T23" s="66">
        <f>+T18+T19+T22+T17+T16+T15+T14+T13+T12+T11+T10+T9+T8</f>
        <v>4115</v>
      </c>
      <c r="U23" s="67">
        <f t="shared" si="33"/>
        <v>43</v>
      </c>
      <c r="V23" s="68">
        <f t="shared" si="33"/>
        <v>43</v>
      </c>
      <c r="W23" s="66">
        <f>+W18+W19+W22+W17+W16+W15+W14+W13+W12+W11+W10+W9+W8</f>
        <v>604</v>
      </c>
      <c r="X23" s="67">
        <f t="shared" ref="X23:AB23" si="34">SUM(X8:X22)</f>
        <v>473</v>
      </c>
      <c r="Y23" s="68">
        <f t="shared" si="34"/>
        <v>473</v>
      </c>
      <c r="Z23" s="66">
        <f>+Z18+Z19+Z22+Z17+Z16+Z15+Z14+Z13+Z12+Z11+Z10+Z9+Z8</f>
        <v>1629</v>
      </c>
      <c r="AA23" s="67">
        <f t="shared" si="34"/>
        <v>3</v>
      </c>
      <c r="AB23" s="68">
        <f t="shared" si="34"/>
        <v>3</v>
      </c>
      <c r="AC23" s="66">
        <f>+AC18+AC19+AC22+AC17+AC16+AC15+AC14+AC13+AC12+AC11+AC10+AC9+AC8</f>
        <v>64846</v>
      </c>
      <c r="AD23" s="67">
        <f t="shared" ref="AD23:AO23" si="35">SUM(AD8:AD22)</f>
        <v>2026</v>
      </c>
      <c r="AE23" s="68">
        <f t="shared" si="35"/>
        <v>2026</v>
      </c>
      <c r="AF23" s="64">
        <f t="shared" si="35"/>
        <v>3881463</v>
      </c>
      <c r="AG23" s="64">
        <f t="shared" si="35"/>
        <v>3881463</v>
      </c>
      <c r="AH23" s="67">
        <f t="shared" si="35"/>
        <v>31942</v>
      </c>
      <c r="AI23" s="68">
        <f t="shared" si="35"/>
        <v>31942</v>
      </c>
      <c r="AJ23" s="67">
        <f t="shared" si="35"/>
        <v>243230</v>
      </c>
      <c r="AK23" s="68">
        <f t="shared" si="35"/>
        <v>243230</v>
      </c>
      <c r="AL23" s="67">
        <f t="shared" si="35"/>
        <v>754803</v>
      </c>
      <c r="AM23" s="68">
        <f t="shared" si="35"/>
        <v>754803</v>
      </c>
      <c r="AN23" s="67">
        <f t="shared" si="35"/>
        <v>2851488</v>
      </c>
      <c r="AO23" s="68">
        <f t="shared" si="35"/>
        <v>2851488</v>
      </c>
      <c r="AP23" s="62" t="s">
        <v>12</v>
      </c>
      <c r="AQ23" s="64">
        <f t="shared" ref="AQ23:BP23" si="36">SUM(AQ8:AQ22)</f>
        <v>4122</v>
      </c>
      <c r="AR23" s="64">
        <f t="shared" si="36"/>
        <v>4122</v>
      </c>
      <c r="AS23" s="67">
        <f t="shared" si="36"/>
        <v>7</v>
      </c>
      <c r="AT23" s="68">
        <f t="shared" si="36"/>
        <v>7</v>
      </c>
      <c r="AU23" s="67">
        <f t="shared" si="36"/>
        <v>9</v>
      </c>
      <c r="AV23" s="68">
        <f t="shared" si="36"/>
        <v>9</v>
      </c>
      <c r="AW23" s="67">
        <f t="shared" si="36"/>
        <v>2</v>
      </c>
      <c r="AX23" s="68">
        <f t="shared" si="36"/>
        <v>2</v>
      </c>
      <c r="AY23" s="67">
        <f t="shared" si="36"/>
        <v>0</v>
      </c>
      <c r="AZ23" s="68">
        <f t="shared" si="36"/>
        <v>0</v>
      </c>
      <c r="BA23" s="67">
        <f t="shared" si="36"/>
        <v>4104</v>
      </c>
      <c r="BB23" s="68">
        <f t="shared" si="36"/>
        <v>4104</v>
      </c>
      <c r="BC23" s="64">
        <f t="shared" si="36"/>
        <v>60791</v>
      </c>
      <c r="BD23" s="64">
        <f t="shared" si="36"/>
        <v>60791</v>
      </c>
      <c r="BE23" s="67">
        <f t="shared" si="36"/>
        <v>1610</v>
      </c>
      <c r="BF23" s="68">
        <f t="shared" si="36"/>
        <v>1610</v>
      </c>
      <c r="BG23" s="67">
        <f t="shared" si="36"/>
        <v>223</v>
      </c>
      <c r="BH23" s="68">
        <f t="shared" si="36"/>
        <v>223</v>
      </c>
      <c r="BI23" s="67">
        <f t="shared" si="36"/>
        <v>54688</v>
      </c>
      <c r="BJ23" s="68">
        <f t="shared" si="36"/>
        <v>54688</v>
      </c>
      <c r="BK23" s="67">
        <f t="shared" si="36"/>
        <v>4231</v>
      </c>
      <c r="BL23" s="68">
        <f t="shared" si="36"/>
        <v>4231</v>
      </c>
      <c r="BM23" s="67">
        <f t="shared" si="36"/>
        <v>39</v>
      </c>
      <c r="BN23" s="68">
        <f t="shared" si="36"/>
        <v>39</v>
      </c>
      <c r="BO23" s="69">
        <f t="shared" si="36"/>
        <v>37704</v>
      </c>
      <c r="BP23" s="70">
        <f t="shared" si="36"/>
        <v>337</v>
      </c>
      <c r="BQ23" s="23">
        <f>BP23+'20.04'!BP23</f>
        <v>363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BU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66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8</v>
      </c>
      <c r="E9" s="32">
        <v>452</v>
      </c>
      <c r="F9" s="22">
        <v>2</v>
      </c>
      <c r="G9" s="23">
        <f>+F9+'01.05'!G9</f>
        <v>5</v>
      </c>
      <c r="H9" s="33">
        <v>12</v>
      </c>
      <c r="I9" s="34">
        <v>1</v>
      </c>
      <c r="J9" s="23">
        <f>+I9+'01.05'!J9</f>
        <v>2</v>
      </c>
      <c r="K9" s="33">
        <v>2</v>
      </c>
      <c r="L9" s="22">
        <v>0</v>
      </c>
      <c r="M9" s="23">
        <f>+L9+'01.05'!M9</f>
        <v>0</v>
      </c>
      <c r="N9" s="33">
        <v>735</v>
      </c>
      <c r="O9" s="22">
        <v>0</v>
      </c>
      <c r="P9" s="23">
        <f>+O9+'01.05'!P9</f>
        <v>0</v>
      </c>
      <c r="Q9" s="33">
        <v>502</v>
      </c>
      <c r="R9" s="22">
        <v>0</v>
      </c>
      <c r="S9" s="23">
        <f>+R9+'01.05'!S9</f>
        <v>0</v>
      </c>
      <c r="T9" s="33">
        <v>197</v>
      </c>
      <c r="U9" s="22">
        <v>0</v>
      </c>
      <c r="V9" s="23">
        <f>+U9+'01.05'!V9</f>
        <v>0</v>
      </c>
      <c r="W9" s="33">
        <v>47</v>
      </c>
      <c r="X9" s="22">
        <v>1</v>
      </c>
      <c r="Y9" s="23">
        <f>+X9+'01.05'!Y9</f>
        <v>1</v>
      </c>
      <c r="Z9" s="33">
        <v>34</v>
      </c>
      <c r="AA9" s="22">
        <v>0</v>
      </c>
      <c r="AB9" s="23">
        <f>+AA9+'01.05'!AB9</f>
        <v>0</v>
      </c>
      <c r="AC9" s="33">
        <v>1860</v>
      </c>
      <c r="AD9" s="22">
        <v>0</v>
      </c>
      <c r="AE9" s="23">
        <f>+AD9+'01.05'!AE9</f>
        <v>0</v>
      </c>
      <c r="AF9" s="19">
        <f t="shared" si="1"/>
        <v>8850</v>
      </c>
      <c r="AG9" s="20">
        <f t="shared" si="1"/>
        <v>17405</v>
      </c>
      <c r="AH9" s="24">
        <v>110</v>
      </c>
      <c r="AI9" s="23">
        <f>+AH9+'01.05'!AI9</f>
        <v>225</v>
      </c>
      <c r="AJ9" s="24">
        <v>540</v>
      </c>
      <c r="AK9" s="23">
        <f>+AJ9+'01.05'!AK9</f>
        <v>850</v>
      </c>
      <c r="AL9" s="22">
        <v>1000</v>
      </c>
      <c r="AM9" s="23">
        <f>+AL9+'01.05'!AM9</f>
        <v>2310</v>
      </c>
      <c r="AN9" s="22">
        <v>7200</v>
      </c>
      <c r="AO9" s="23">
        <f>+AN9+'01.05'!AO9</f>
        <v>14020</v>
      </c>
      <c r="AP9" s="28" t="s">
        <v>43</v>
      </c>
      <c r="AQ9" s="19">
        <f t="shared" si="3"/>
        <v>58</v>
      </c>
      <c r="AR9" s="20">
        <f t="shared" si="3"/>
        <v>831</v>
      </c>
      <c r="AS9" s="34">
        <v>0</v>
      </c>
      <c r="AT9" s="23">
        <f>+AS9+'01.05'!AT9</f>
        <v>0</v>
      </c>
      <c r="AU9" s="34">
        <v>0</v>
      </c>
      <c r="AV9" s="23">
        <f>+AU9+'01.05'!AV9</f>
        <v>0</v>
      </c>
      <c r="AW9" s="34">
        <v>0</v>
      </c>
      <c r="AX9" s="23">
        <f>+AW9+'01.05'!AX9</f>
        <v>1</v>
      </c>
      <c r="AY9" s="34">
        <v>0</v>
      </c>
      <c r="AZ9" s="23">
        <f>+AY9+'01.05'!AZ9</f>
        <v>0</v>
      </c>
      <c r="BA9" s="34">
        <v>58</v>
      </c>
      <c r="BB9" s="23">
        <f>+BA9+'01.05'!BB9</f>
        <v>830</v>
      </c>
      <c r="BC9" s="19">
        <f t="shared" si="5"/>
        <v>201</v>
      </c>
      <c r="BD9" s="20">
        <f t="shared" si="5"/>
        <v>402</v>
      </c>
      <c r="BE9" s="22">
        <v>1</v>
      </c>
      <c r="BF9" s="23">
        <f>+BE9+'01.05'!BF9</f>
        <v>2</v>
      </c>
      <c r="BG9" s="34">
        <v>0</v>
      </c>
      <c r="BH9" s="23">
        <f>+BG9+'01.05'!BH9</f>
        <v>0</v>
      </c>
      <c r="BI9" s="22">
        <v>200</v>
      </c>
      <c r="BJ9" s="23">
        <f>+BI9+'01.05'!BJ9</f>
        <v>400</v>
      </c>
      <c r="BK9" s="22">
        <v>0</v>
      </c>
      <c r="BL9" s="23">
        <f>+BK9+'01.05'!BL9</f>
        <v>0</v>
      </c>
      <c r="BM9" s="22">
        <v>0</v>
      </c>
      <c r="BN9" s="23">
        <f>+BM9+'01.05'!BN9</f>
        <v>0</v>
      </c>
      <c r="BO9" s="36">
        <v>14</v>
      </c>
      <c r="BP9" s="37">
        <v>0</v>
      </c>
      <c r="BQ9" s="23">
        <f>+BP9+'01.05'!BQ9</f>
        <v>0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115</v>
      </c>
      <c r="D10" s="31">
        <f t="shared" si="0"/>
        <v>212</v>
      </c>
      <c r="E10" s="32">
        <v>585</v>
      </c>
      <c r="F10" s="22">
        <v>8</v>
      </c>
      <c r="G10" s="23">
        <f>+F10+'01.05'!G10</f>
        <v>27</v>
      </c>
      <c r="H10" s="33">
        <v>93</v>
      </c>
      <c r="I10" s="34">
        <v>1</v>
      </c>
      <c r="J10" s="23">
        <f>+I10+'01.05'!J10</f>
        <v>3</v>
      </c>
      <c r="K10" s="33">
        <v>34</v>
      </c>
      <c r="L10" s="22">
        <v>0</v>
      </c>
      <c r="M10" s="23">
        <f>+L10+'01.05'!M10</f>
        <v>1</v>
      </c>
      <c r="N10" s="33">
        <v>352</v>
      </c>
      <c r="O10" s="22">
        <v>7</v>
      </c>
      <c r="P10" s="23">
        <f>+O10+'01.05'!P10</f>
        <v>13</v>
      </c>
      <c r="Q10" s="33">
        <v>549</v>
      </c>
      <c r="R10" s="22">
        <v>0</v>
      </c>
      <c r="S10" s="23">
        <f>+R10+'01.05'!S10</f>
        <v>11</v>
      </c>
      <c r="T10" s="33">
        <v>198</v>
      </c>
      <c r="U10" s="22">
        <v>3</v>
      </c>
      <c r="V10" s="23">
        <f>+U10+'01.05'!V10</f>
        <v>8</v>
      </c>
      <c r="W10" s="38">
        <v>55</v>
      </c>
      <c r="X10" s="22">
        <v>10</v>
      </c>
      <c r="Y10" s="23">
        <f>+X10+'01.05'!Y10</f>
        <v>10</v>
      </c>
      <c r="Z10" s="38">
        <v>71</v>
      </c>
      <c r="AA10" s="22">
        <v>1</v>
      </c>
      <c r="AB10" s="23">
        <f>+AA10+'01.05'!AB10</f>
        <v>3</v>
      </c>
      <c r="AC10" s="38">
        <v>1690</v>
      </c>
      <c r="AD10" s="22">
        <v>85</v>
      </c>
      <c r="AE10" s="23">
        <f>+AD10+'01.05'!AE10</f>
        <v>136</v>
      </c>
      <c r="AF10" s="19">
        <f t="shared" si="1"/>
        <v>115049</v>
      </c>
      <c r="AG10" s="20">
        <f t="shared" si="1"/>
        <v>231826</v>
      </c>
      <c r="AH10" s="24">
        <v>1045</v>
      </c>
      <c r="AI10" s="23">
        <f>+AH10+'01.05'!AI10</f>
        <v>2301</v>
      </c>
      <c r="AJ10" s="24">
        <v>5652</v>
      </c>
      <c r="AK10" s="23">
        <f>+AJ10+'01.05'!AK10</f>
        <v>10984</v>
      </c>
      <c r="AL10" s="22">
        <v>14684</v>
      </c>
      <c r="AM10" s="23">
        <f>+AL10+'01.05'!AM10</f>
        <v>28545</v>
      </c>
      <c r="AN10" s="22">
        <v>93668</v>
      </c>
      <c r="AO10" s="23">
        <f>+AN10+'01.05'!AO10</f>
        <v>189996</v>
      </c>
      <c r="AP10" s="28" t="s">
        <v>44</v>
      </c>
      <c r="AQ10" s="19">
        <f t="shared" si="3"/>
        <v>3</v>
      </c>
      <c r="AR10" s="20">
        <f t="shared" si="3"/>
        <v>11</v>
      </c>
      <c r="AS10" s="34">
        <v>0</v>
      </c>
      <c r="AT10" s="23">
        <f>+AS10+'01.05'!AT10</f>
        <v>2</v>
      </c>
      <c r="AU10" s="34">
        <v>0</v>
      </c>
      <c r="AV10" s="23">
        <f>+AU10+'01.05'!AV10</f>
        <v>1</v>
      </c>
      <c r="AW10" s="34">
        <v>0</v>
      </c>
      <c r="AX10" s="23">
        <f>+AW10+'01.05'!AX10</f>
        <v>0</v>
      </c>
      <c r="AY10" s="34">
        <v>0</v>
      </c>
      <c r="AZ10" s="23">
        <f>+AY10+'01.05'!AZ10</f>
        <v>0</v>
      </c>
      <c r="BA10" s="34">
        <v>3</v>
      </c>
      <c r="BB10" s="23">
        <f>+BA10+'01.05'!BB10</f>
        <v>8</v>
      </c>
      <c r="BC10" s="19">
        <f t="shared" si="5"/>
        <v>4227</v>
      </c>
      <c r="BD10" s="20">
        <f t="shared" si="5"/>
        <v>8614</v>
      </c>
      <c r="BE10" s="22">
        <v>589</v>
      </c>
      <c r="BF10" s="23">
        <f>+BE10+'01.05'!BF10</f>
        <v>1184</v>
      </c>
      <c r="BG10" s="34">
        <v>0</v>
      </c>
      <c r="BH10" s="23">
        <f>+BG10+'01.05'!BH10</f>
        <v>1</v>
      </c>
      <c r="BI10" s="22">
        <v>2418</v>
      </c>
      <c r="BJ10" s="23">
        <f>+BI10+'01.05'!BJ10</f>
        <v>5118</v>
      </c>
      <c r="BK10" s="22">
        <v>1220</v>
      </c>
      <c r="BL10" s="23">
        <f>+BK10+'01.05'!BL10</f>
        <v>2311</v>
      </c>
      <c r="BM10" s="22">
        <v>0</v>
      </c>
      <c r="BN10" s="23">
        <f>+BM10+'01.05'!BN10</f>
        <v>0</v>
      </c>
      <c r="BO10" s="36">
        <v>32</v>
      </c>
      <c r="BP10" s="37">
        <v>0</v>
      </c>
      <c r="BQ10" s="23">
        <f>+BP10+'01.05'!BQ10</f>
        <v>0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41</v>
      </c>
      <c r="D11" s="31">
        <f t="shared" si="0"/>
        <v>90</v>
      </c>
      <c r="E11" s="32">
        <v>883</v>
      </c>
      <c r="F11" s="22">
        <v>21</v>
      </c>
      <c r="G11" s="23">
        <f>+F11+'01.05'!G11</f>
        <v>48</v>
      </c>
      <c r="H11" s="33">
        <v>16</v>
      </c>
      <c r="I11" s="34">
        <v>0</v>
      </c>
      <c r="J11" s="23">
        <f>+I11+'01.05'!J11</f>
        <v>0</v>
      </c>
      <c r="K11" s="33">
        <v>3</v>
      </c>
      <c r="L11" s="22">
        <v>0</v>
      </c>
      <c r="M11" s="23">
        <f>+L11+'01.05'!M11</f>
        <v>0</v>
      </c>
      <c r="N11" s="33">
        <v>875</v>
      </c>
      <c r="O11" s="22">
        <v>0</v>
      </c>
      <c r="P11" s="23">
        <f>+O11+'01.05'!P11</f>
        <v>0</v>
      </c>
      <c r="Q11" s="33">
        <v>2424</v>
      </c>
      <c r="R11" s="22">
        <v>0</v>
      </c>
      <c r="S11" s="23">
        <f>+R11+'01.05'!S11</f>
        <v>0</v>
      </c>
      <c r="T11" s="33">
        <v>69</v>
      </c>
      <c r="U11" s="22">
        <v>0</v>
      </c>
      <c r="V11" s="23">
        <f>+U11+'01.05'!V11</f>
        <v>0</v>
      </c>
      <c r="W11" s="38">
        <v>133</v>
      </c>
      <c r="X11" s="22">
        <v>19</v>
      </c>
      <c r="Y11" s="23">
        <f>+X11+'01.05'!Y11</f>
        <v>40</v>
      </c>
      <c r="Z11" s="38">
        <v>1116</v>
      </c>
      <c r="AA11" s="22">
        <v>0</v>
      </c>
      <c r="AB11" s="23">
        <f>+AA11+'01.05'!AB11</f>
        <v>0</v>
      </c>
      <c r="AC11" s="38">
        <v>9862</v>
      </c>
      <c r="AD11" s="22">
        <v>1</v>
      </c>
      <c r="AE11" s="23">
        <f>+AD11+'01.05'!AE11</f>
        <v>2</v>
      </c>
      <c r="AF11" s="19">
        <f t="shared" si="1"/>
        <v>26100</v>
      </c>
      <c r="AG11" s="20">
        <f t="shared" si="1"/>
        <v>66200</v>
      </c>
      <c r="AH11" s="24">
        <v>3100</v>
      </c>
      <c r="AI11" s="23">
        <f>+AH11+'01.05'!AI11</f>
        <v>5000</v>
      </c>
      <c r="AJ11" s="24">
        <v>2000</v>
      </c>
      <c r="AK11" s="23">
        <f>+AJ11+'01.05'!AK11</f>
        <v>8200</v>
      </c>
      <c r="AL11" s="22">
        <v>8000</v>
      </c>
      <c r="AM11" s="23">
        <f>+AL11+'01.05'!AM11</f>
        <v>18000</v>
      </c>
      <c r="AN11" s="22">
        <v>13000</v>
      </c>
      <c r="AO11" s="23">
        <f>+AN11+'01.05'!AO11</f>
        <v>35000</v>
      </c>
      <c r="AP11" s="28" t="s">
        <v>45</v>
      </c>
      <c r="AQ11" s="19">
        <f t="shared" si="3"/>
        <v>3</v>
      </c>
      <c r="AR11" s="20">
        <f t="shared" si="3"/>
        <v>5</v>
      </c>
      <c r="AS11" s="34">
        <v>0</v>
      </c>
      <c r="AT11" s="23">
        <f>+AS11+'01.05'!AT11</f>
        <v>0</v>
      </c>
      <c r="AU11" s="34">
        <v>0</v>
      </c>
      <c r="AV11" s="23">
        <f>+AU11+'01.05'!AV11</f>
        <v>0</v>
      </c>
      <c r="AW11" s="34">
        <v>0</v>
      </c>
      <c r="AX11" s="23">
        <f>+AW11+'01.05'!AX11</f>
        <v>0</v>
      </c>
      <c r="AY11" s="34">
        <v>0</v>
      </c>
      <c r="AZ11" s="23">
        <f>+AY11+'01.05'!AZ11</f>
        <v>0</v>
      </c>
      <c r="BA11" s="34">
        <v>3</v>
      </c>
      <c r="BB11" s="23">
        <f>+BA11+'01.05'!BB11</f>
        <v>5</v>
      </c>
      <c r="BC11" s="19">
        <f t="shared" si="5"/>
        <v>924</v>
      </c>
      <c r="BD11" s="20">
        <f t="shared" si="5"/>
        <v>2256</v>
      </c>
      <c r="BE11" s="22">
        <v>1</v>
      </c>
      <c r="BF11" s="23">
        <f>+BE11+'01.05'!BF11</f>
        <v>2</v>
      </c>
      <c r="BG11" s="34">
        <v>2</v>
      </c>
      <c r="BH11" s="23">
        <f>+BG11+'01.05'!BH11</f>
        <v>5</v>
      </c>
      <c r="BI11" s="22">
        <v>900</v>
      </c>
      <c r="BJ11" s="23">
        <f>+BI11+'01.05'!BJ11</f>
        <v>2200</v>
      </c>
      <c r="BK11" s="22">
        <v>21</v>
      </c>
      <c r="BL11" s="23">
        <f>+BK11+'01.05'!BL11</f>
        <v>49</v>
      </c>
      <c r="BM11" s="22"/>
      <c r="BN11" s="23">
        <f>+BM11+'01.05'!BN11</f>
        <v>0</v>
      </c>
      <c r="BO11" s="36">
        <v>11506</v>
      </c>
      <c r="BP11" s="37">
        <v>3</v>
      </c>
      <c r="BQ11" s="23">
        <f>+BP11+'01.05'!BQ11</f>
        <v>5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219</v>
      </c>
      <c r="D12" s="31">
        <f t="shared" si="0"/>
        <v>473</v>
      </c>
      <c r="E12" s="32">
        <v>909</v>
      </c>
      <c r="F12" s="22">
        <v>52</v>
      </c>
      <c r="G12" s="23">
        <f>+F12+'01.05'!G12</f>
        <v>135</v>
      </c>
      <c r="H12" s="33">
        <v>80</v>
      </c>
      <c r="I12" s="34">
        <v>5</v>
      </c>
      <c r="J12" s="23">
        <f>+I12+'01.05'!J12</f>
        <v>11</v>
      </c>
      <c r="K12" s="33">
        <v>5</v>
      </c>
      <c r="L12" s="22">
        <v>0</v>
      </c>
      <c r="M12" s="23">
        <f>+L12+'01.05'!M12</f>
        <v>0</v>
      </c>
      <c r="N12" s="33">
        <v>820</v>
      </c>
      <c r="O12" s="22">
        <v>27</v>
      </c>
      <c r="P12" s="23">
        <f>+O12+'01.05'!P12</f>
        <v>58</v>
      </c>
      <c r="Q12" s="33">
        <v>549</v>
      </c>
      <c r="R12" s="22">
        <v>0</v>
      </c>
      <c r="S12" s="23">
        <f>+R12+'01.05'!S12</f>
        <v>0</v>
      </c>
      <c r="T12" s="33">
        <v>992</v>
      </c>
      <c r="U12" s="22">
        <v>0</v>
      </c>
      <c r="V12" s="23">
        <f>+U12+'01.05'!V12</f>
        <v>0</v>
      </c>
      <c r="W12" s="33">
        <v>38</v>
      </c>
      <c r="X12" s="22">
        <v>114</v>
      </c>
      <c r="Y12" s="23">
        <f>+X12+'01.05'!Y12</f>
        <v>209</v>
      </c>
      <c r="Z12" s="33">
        <v>68</v>
      </c>
      <c r="AA12" s="22">
        <v>0</v>
      </c>
      <c r="AB12" s="23">
        <f>+AA12+'01.05'!AB12</f>
        <v>0</v>
      </c>
      <c r="AC12" s="33">
        <v>26703</v>
      </c>
      <c r="AD12" s="22">
        <v>21</v>
      </c>
      <c r="AE12" s="23">
        <f>+AD12+'01.05'!AE12</f>
        <v>60</v>
      </c>
      <c r="AF12" s="19">
        <f t="shared" si="1"/>
        <v>5103</v>
      </c>
      <c r="AG12" s="20">
        <f t="shared" si="1"/>
        <v>10206</v>
      </c>
      <c r="AH12" s="24">
        <v>957</v>
      </c>
      <c r="AI12" s="23">
        <f>+AH12+'01.05'!AI12</f>
        <v>1914</v>
      </c>
      <c r="AJ12" s="24">
        <v>1046</v>
      </c>
      <c r="AK12" s="23">
        <f>+AJ12+'01.05'!AK12</f>
        <v>2092</v>
      </c>
      <c r="AL12" s="22">
        <v>1550</v>
      </c>
      <c r="AM12" s="23">
        <f>+AL12+'01.05'!AM12</f>
        <v>3100</v>
      </c>
      <c r="AN12" s="22">
        <v>1550</v>
      </c>
      <c r="AO12" s="23">
        <f>+AN12+'01.05'!AO12</f>
        <v>3100</v>
      </c>
      <c r="AP12" s="28" t="s">
        <v>46</v>
      </c>
      <c r="AQ12" s="19">
        <f t="shared" si="3"/>
        <v>75</v>
      </c>
      <c r="AR12" s="20">
        <f t="shared" si="3"/>
        <v>150</v>
      </c>
      <c r="AS12" s="34">
        <v>0</v>
      </c>
      <c r="AT12" s="23">
        <f>+AS12+'01.05'!AT12</f>
        <v>0</v>
      </c>
      <c r="AU12" s="34">
        <v>0</v>
      </c>
      <c r="AV12" s="23">
        <f>+AU12+'01.05'!AV12</f>
        <v>0</v>
      </c>
      <c r="AW12" s="34">
        <v>0</v>
      </c>
      <c r="AX12" s="23">
        <f>+AW12+'01.05'!AX12</f>
        <v>0</v>
      </c>
      <c r="AY12" s="34">
        <v>0</v>
      </c>
      <c r="AZ12" s="23">
        <f>+AY12+'01.05'!AZ12</f>
        <v>0</v>
      </c>
      <c r="BA12" s="34">
        <v>75</v>
      </c>
      <c r="BB12" s="23">
        <f>+BA12+'01.05'!BB12</f>
        <v>150</v>
      </c>
      <c r="BC12" s="19">
        <f t="shared" si="5"/>
        <v>2660</v>
      </c>
      <c r="BD12" s="20">
        <f t="shared" si="5"/>
        <v>5320</v>
      </c>
      <c r="BE12" s="22">
        <v>250</v>
      </c>
      <c r="BF12" s="23">
        <f>+BE12+'01.05'!BF12</f>
        <v>500</v>
      </c>
      <c r="BG12" s="34">
        <v>10</v>
      </c>
      <c r="BH12" s="23">
        <f>+BG12+'01.05'!BH12</f>
        <v>20</v>
      </c>
      <c r="BI12" s="22">
        <v>2200</v>
      </c>
      <c r="BJ12" s="23">
        <f>+BI12+'01.05'!BJ12</f>
        <v>4400</v>
      </c>
      <c r="BK12" s="22">
        <v>200</v>
      </c>
      <c r="BL12" s="23">
        <f>+BK12+'01.05'!BL12</f>
        <v>400</v>
      </c>
      <c r="BM12" s="22">
        <v>0</v>
      </c>
      <c r="BN12" s="23">
        <f>+BM12+'01.05'!BN12</f>
        <v>0</v>
      </c>
      <c r="BO12" s="36"/>
      <c r="BP12" s="37">
        <v>2</v>
      </c>
      <c r="BQ12" s="23">
        <f>+BP12+'01.05'!BQ12</f>
        <v>4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113</v>
      </c>
      <c r="E13" s="32">
        <v>516</v>
      </c>
      <c r="F13" s="22">
        <v>1</v>
      </c>
      <c r="G13" s="23">
        <f>+F13+'01.05'!G13</f>
        <v>2</v>
      </c>
      <c r="H13" s="33">
        <v>10</v>
      </c>
      <c r="I13" s="34">
        <v>2</v>
      </c>
      <c r="J13" s="23">
        <f>+I13+'01.05'!J13</f>
        <v>2</v>
      </c>
      <c r="K13" s="33">
        <v>38</v>
      </c>
      <c r="L13" s="22">
        <v>0</v>
      </c>
      <c r="M13" s="23">
        <f>+L13+'01.05'!M13</f>
        <v>0</v>
      </c>
      <c r="N13" s="33">
        <v>581</v>
      </c>
      <c r="O13" s="22">
        <v>0</v>
      </c>
      <c r="P13" s="23">
        <f>+O13+'01.05'!P13</f>
        <v>1</v>
      </c>
      <c r="Q13" s="33">
        <v>525</v>
      </c>
      <c r="R13" s="22">
        <v>0</v>
      </c>
      <c r="S13" s="23">
        <f>+R13+'01.05'!S13</f>
        <v>0</v>
      </c>
      <c r="T13" s="33">
        <v>263</v>
      </c>
      <c r="U13" s="22">
        <v>0</v>
      </c>
      <c r="V13" s="23">
        <f>+U13+'01.05'!V13</f>
        <v>0</v>
      </c>
      <c r="W13" s="33">
        <v>43</v>
      </c>
      <c r="X13" s="22">
        <v>0</v>
      </c>
      <c r="Y13" s="23">
        <f>+X13+'01.05'!Y13</f>
        <v>0</v>
      </c>
      <c r="Z13" s="33">
        <v>17</v>
      </c>
      <c r="AA13" s="22">
        <v>0</v>
      </c>
      <c r="AB13" s="23">
        <f>+AA13+'01.05'!AB13</f>
        <v>0</v>
      </c>
      <c r="AC13" s="33">
        <v>51</v>
      </c>
      <c r="AD13" s="22">
        <v>1</v>
      </c>
      <c r="AE13" s="23">
        <f>+AD13+'01.05'!AE13</f>
        <v>108</v>
      </c>
      <c r="AF13" s="19">
        <f t="shared" si="1"/>
        <v>335000</v>
      </c>
      <c r="AG13" s="20">
        <f t="shared" si="1"/>
        <v>426300</v>
      </c>
      <c r="AH13" s="24">
        <v>2000</v>
      </c>
      <c r="AI13" s="23">
        <f>+AH13+'01.05'!AI13</f>
        <v>6000</v>
      </c>
      <c r="AJ13" s="24">
        <v>13000</v>
      </c>
      <c r="AK13" s="23">
        <f>+AJ13+'01.05'!AK13</f>
        <v>51300</v>
      </c>
      <c r="AL13" s="22">
        <v>30000</v>
      </c>
      <c r="AM13" s="23">
        <f>+AL13+'01.05'!AM13</f>
        <v>50000</v>
      </c>
      <c r="AN13" s="22">
        <v>290000</v>
      </c>
      <c r="AO13" s="23">
        <f>+AN13+'01.05'!AO13</f>
        <v>319000</v>
      </c>
      <c r="AP13" s="28" t="s">
        <v>47</v>
      </c>
      <c r="AQ13" s="19">
        <f t="shared" si="3"/>
        <v>14</v>
      </c>
      <c r="AR13" s="20">
        <f t="shared" si="3"/>
        <v>66</v>
      </c>
      <c r="AS13" s="34">
        <v>1</v>
      </c>
      <c r="AT13" s="23">
        <f>+AS13+'01.05'!AT13</f>
        <v>2</v>
      </c>
      <c r="AU13" s="34">
        <v>1</v>
      </c>
      <c r="AV13" s="23">
        <f>+AU13+'01.05'!AV13</f>
        <v>2</v>
      </c>
      <c r="AW13" s="34">
        <v>0</v>
      </c>
      <c r="AX13" s="23">
        <f>+AW13+'01.05'!AX13</f>
        <v>0</v>
      </c>
      <c r="AY13" s="34">
        <v>0</v>
      </c>
      <c r="AZ13" s="23">
        <f>+AY13+'01.05'!AZ13</f>
        <v>0</v>
      </c>
      <c r="BA13" s="34">
        <v>12</v>
      </c>
      <c r="BB13" s="23">
        <f>+BA13+'01.05'!BB13</f>
        <v>62</v>
      </c>
      <c r="BC13" s="19">
        <f t="shared" si="5"/>
        <v>7628</v>
      </c>
      <c r="BD13" s="20">
        <f t="shared" si="5"/>
        <v>33365</v>
      </c>
      <c r="BE13" s="22">
        <v>516</v>
      </c>
      <c r="BF13" s="23">
        <f>+BE13+'01.05'!BF13</f>
        <v>1032</v>
      </c>
      <c r="BG13" s="34">
        <v>12</v>
      </c>
      <c r="BH13" s="23">
        <f>+BG13+'01.05'!BH13</f>
        <v>33</v>
      </c>
      <c r="BI13" s="22">
        <v>7000</v>
      </c>
      <c r="BJ13" s="23">
        <f>+BI13+'01.05'!BJ13</f>
        <v>32000</v>
      </c>
      <c r="BK13" s="22">
        <v>100</v>
      </c>
      <c r="BL13" s="23">
        <f>+BK13+'01.05'!BL13</f>
        <v>300</v>
      </c>
      <c r="BM13" s="22">
        <v>0</v>
      </c>
      <c r="BN13" s="23">
        <f>+BM13+'01.05'!BN13</f>
        <v>0</v>
      </c>
      <c r="BO13" s="36"/>
      <c r="BP13" s="37">
        <v>0</v>
      </c>
      <c r="BQ13" s="23">
        <f>+BP13+'01.05'!BQ13</f>
        <v>0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102</v>
      </c>
      <c r="D14" s="42">
        <f t="shared" si="0"/>
        <v>277</v>
      </c>
      <c r="E14" s="43">
        <v>304</v>
      </c>
      <c r="F14" s="22">
        <v>84</v>
      </c>
      <c r="G14" s="23">
        <f>+F14+'01.05'!G14</f>
        <v>204</v>
      </c>
      <c r="H14" s="44">
        <v>5</v>
      </c>
      <c r="I14" s="45">
        <v>0</v>
      </c>
      <c r="J14" s="23">
        <f>+I14+'01.05'!J14</f>
        <v>0</v>
      </c>
      <c r="K14" s="44">
        <v>34</v>
      </c>
      <c r="L14" s="22">
        <v>0</v>
      </c>
      <c r="M14" s="23">
        <f>+L14+'01.05'!M14</f>
        <v>0</v>
      </c>
      <c r="N14" s="44">
        <v>583</v>
      </c>
      <c r="O14" s="22">
        <v>0</v>
      </c>
      <c r="P14" s="23">
        <f>+O14+'01.05'!P14</f>
        <v>0</v>
      </c>
      <c r="Q14" s="44">
        <v>254</v>
      </c>
      <c r="R14" s="22">
        <v>0</v>
      </c>
      <c r="S14" s="23">
        <f>+R14+'01.05'!S14</f>
        <v>0</v>
      </c>
      <c r="T14" s="44">
        <v>196</v>
      </c>
      <c r="U14" s="22">
        <v>0</v>
      </c>
      <c r="V14" s="23">
        <f>+U14+'01.05'!V14</f>
        <v>0</v>
      </c>
      <c r="W14" s="44">
        <v>30</v>
      </c>
      <c r="X14" s="22">
        <v>15</v>
      </c>
      <c r="Y14" s="23">
        <f>+X14+'01.05'!Y14</f>
        <v>55</v>
      </c>
      <c r="Z14" s="44">
        <v>10</v>
      </c>
      <c r="AA14" s="22">
        <v>0</v>
      </c>
      <c r="AB14" s="23">
        <f>+AA14+'01.05'!AB14</f>
        <v>0</v>
      </c>
      <c r="AC14" s="44">
        <v>2500</v>
      </c>
      <c r="AD14" s="22">
        <v>3</v>
      </c>
      <c r="AE14" s="23">
        <f>+AD14+'01.05'!AE14</f>
        <v>18</v>
      </c>
      <c r="AF14" s="19">
        <f t="shared" si="1"/>
        <v>108870</v>
      </c>
      <c r="AG14" s="20">
        <f t="shared" si="1"/>
        <v>228670</v>
      </c>
      <c r="AH14" s="24">
        <v>2640</v>
      </c>
      <c r="AI14" s="23">
        <f>+AH14+'01.05'!AI14</f>
        <v>6440</v>
      </c>
      <c r="AJ14" s="24">
        <v>5150</v>
      </c>
      <c r="AK14" s="23">
        <f>+AJ14+'01.05'!AK14</f>
        <v>11150</v>
      </c>
      <c r="AL14" s="22">
        <v>5200</v>
      </c>
      <c r="AM14" s="23">
        <f>+AL14+'01.05'!AM14</f>
        <v>13200</v>
      </c>
      <c r="AN14" s="22">
        <v>95880</v>
      </c>
      <c r="AO14" s="23">
        <f>+AN14+'01.05'!AO14</f>
        <v>197880</v>
      </c>
      <c r="AP14" s="39" t="s">
        <v>48</v>
      </c>
      <c r="AQ14" s="19">
        <f t="shared" si="3"/>
        <v>4</v>
      </c>
      <c r="AR14" s="20">
        <f t="shared" si="3"/>
        <v>10</v>
      </c>
      <c r="AS14" s="45">
        <v>0</v>
      </c>
      <c r="AT14" s="23">
        <f>+AS14+'01.05'!AT14</f>
        <v>0</v>
      </c>
      <c r="AU14" s="45">
        <v>0</v>
      </c>
      <c r="AV14" s="23">
        <f>+AU14+'01.05'!AV14</f>
        <v>0</v>
      </c>
      <c r="AW14" s="45">
        <v>0</v>
      </c>
      <c r="AX14" s="23">
        <f>+AW14+'01.05'!AX14</f>
        <v>0</v>
      </c>
      <c r="AY14" s="45">
        <v>0</v>
      </c>
      <c r="AZ14" s="23">
        <f>+AY14+'01.05'!AZ14</f>
        <v>0</v>
      </c>
      <c r="BA14" s="45">
        <v>4</v>
      </c>
      <c r="BB14" s="23">
        <f>+BA14+'01.05'!BB14</f>
        <v>10</v>
      </c>
      <c r="BC14" s="19">
        <f t="shared" si="5"/>
        <v>3515</v>
      </c>
      <c r="BD14" s="20">
        <f t="shared" si="5"/>
        <v>7836</v>
      </c>
      <c r="BE14" s="22">
        <v>4</v>
      </c>
      <c r="BF14" s="23">
        <f>+BE14+'01.05'!BF14</f>
        <v>9</v>
      </c>
      <c r="BG14" s="45">
        <v>2</v>
      </c>
      <c r="BH14" s="23">
        <f>+BG14+'01.05'!BH14</f>
        <v>6</v>
      </c>
      <c r="BI14" s="22">
        <v>3500</v>
      </c>
      <c r="BJ14" s="23">
        <f>+BI14+'01.05'!BJ14</f>
        <v>7800</v>
      </c>
      <c r="BK14" s="22">
        <v>5</v>
      </c>
      <c r="BL14" s="23">
        <f>+BK14+'01.05'!BL14</f>
        <v>11</v>
      </c>
      <c r="BM14" s="22">
        <v>4</v>
      </c>
      <c r="BN14" s="23">
        <f>+BM14+'01.05'!BN14</f>
        <v>10</v>
      </c>
      <c r="BO14" s="48">
        <v>22</v>
      </c>
      <c r="BP14" s="49">
        <v>0</v>
      </c>
      <c r="BQ14" s="23">
        <f>+BP14+'01.05'!BQ14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491</v>
      </c>
      <c r="D15" s="53">
        <f t="shared" si="0"/>
        <v>933</v>
      </c>
      <c r="E15" s="54">
        <v>776</v>
      </c>
      <c r="F15" s="55">
        <v>354</v>
      </c>
      <c r="G15" s="23">
        <f>+F15+'01.05'!G15</f>
        <v>674</v>
      </c>
      <c r="H15" s="56">
        <v>9</v>
      </c>
      <c r="I15" s="57">
        <v>0</v>
      </c>
      <c r="J15" s="23">
        <f>+I15+'01.05'!J15</f>
        <v>0</v>
      </c>
      <c r="K15" s="56">
        <v>6</v>
      </c>
      <c r="L15" s="55">
        <v>0</v>
      </c>
      <c r="M15" s="23">
        <f>+L15+'01.05'!M15</f>
        <v>0</v>
      </c>
      <c r="N15" s="56">
        <v>1305</v>
      </c>
      <c r="O15" s="55">
        <v>0</v>
      </c>
      <c r="P15" s="23">
        <f>+O15+'01.05'!P15</f>
        <v>0</v>
      </c>
      <c r="Q15" s="56">
        <v>447</v>
      </c>
      <c r="R15" s="55">
        <v>0</v>
      </c>
      <c r="S15" s="23">
        <f>+R15+'01.05'!S15</f>
        <v>0</v>
      </c>
      <c r="T15" s="56">
        <v>337</v>
      </c>
      <c r="U15" s="55">
        <v>0</v>
      </c>
      <c r="V15" s="23">
        <f>+U15+'01.05'!V15</f>
        <v>0</v>
      </c>
      <c r="W15" s="56">
        <v>78</v>
      </c>
      <c r="X15" s="55">
        <v>0</v>
      </c>
      <c r="Y15" s="23">
        <f>+X15+'01.05'!Y15</f>
        <v>0</v>
      </c>
      <c r="Z15" s="56">
        <v>141</v>
      </c>
      <c r="AA15" s="55">
        <v>0</v>
      </c>
      <c r="AB15" s="23">
        <f>+AA15+'01.05'!AB15</f>
        <v>0</v>
      </c>
      <c r="AC15" s="56">
        <v>798</v>
      </c>
      <c r="AD15" s="55">
        <v>137</v>
      </c>
      <c r="AE15" s="23">
        <f>+AD15+'01.05'!AE15</f>
        <v>259</v>
      </c>
      <c r="AF15" s="58">
        <f t="shared" si="1"/>
        <v>1530520</v>
      </c>
      <c r="AG15" s="59">
        <f t="shared" si="1"/>
        <v>2859948</v>
      </c>
      <c r="AH15" s="60">
        <v>996</v>
      </c>
      <c r="AI15" s="23">
        <f>+AH15+'01.05'!AI15</f>
        <v>1881</v>
      </c>
      <c r="AJ15" s="60">
        <v>3422</v>
      </c>
      <c r="AK15" s="23">
        <f>+AJ15+'01.05'!AK15</f>
        <v>6751</v>
      </c>
      <c r="AL15" s="55">
        <v>763051</v>
      </c>
      <c r="AM15" s="23">
        <f>+AL15+'01.05'!AM15</f>
        <v>1425658</v>
      </c>
      <c r="AN15" s="55">
        <v>763051</v>
      </c>
      <c r="AO15" s="23">
        <f>+AN15+'01.05'!AO15</f>
        <v>1425658</v>
      </c>
      <c r="AP15" s="50" t="s">
        <v>49</v>
      </c>
      <c r="AQ15" s="58">
        <f t="shared" si="3"/>
        <v>2</v>
      </c>
      <c r="AR15" s="59">
        <f t="shared" si="3"/>
        <v>4</v>
      </c>
      <c r="AS15" s="57">
        <v>0</v>
      </c>
      <c r="AT15" s="23">
        <f>+AS15+'01.05'!AT15</f>
        <v>0</v>
      </c>
      <c r="AU15" s="57">
        <v>0</v>
      </c>
      <c r="AV15" s="23">
        <f>+AU15+'01.05'!AV15</f>
        <v>0</v>
      </c>
      <c r="AW15" s="57">
        <v>0</v>
      </c>
      <c r="AX15" s="23">
        <f>+AW15+'01.05'!AX15</f>
        <v>0</v>
      </c>
      <c r="AY15" s="57">
        <v>0</v>
      </c>
      <c r="AZ15" s="23">
        <f>+AY15+'01.05'!AZ15</f>
        <v>0</v>
      </c>
      <c r="BA15" s="57">
        <v>2</v>
      </c>
      <c r="BB15" s="23">
        <f>+BA15+'01.05'!BB15</f>
        <v>4</v>
      </c>
      <c r="BC15" s="58">
        <f t="shared" si="5"/>
        <v>1529</v>
      </c>
      <c r="BD15" s="59">
        <f t="shared" si="5"/>
        <v>3004</v>
      </c>
      <c r="BE15" s="55">
        <v>72</v>
      </c>
      <c r="BF15" s="23">
        <f>+BE15+'01.05'!BF15</f>
        <v>134</v>
      </c>
      <c r="BG15" s="57">
        <v>2</v>
      </c>
      <c r="BH15" s="23">
        <f>+BG15+'01.05'!BH15</f>
        <v>4</v>
      </c>
      <c r="BI15" s="55">
        <v>718</v>
      </c>
      <c r="BJ15" s="23">
        <f>+BI15+'01.05'!BJ15</f>
        <v>1413</v>
      </c>
      <c r="BK15" s="55">
        <v>718</v>
      </c>
      <c r="BL15" s="23">
        <f>+BK15+'01.05'!BL15</f>
        <v>1413</v>
      </c>
      <c r="BM15" s="55">
        <v>19</v>
      </c>
      <c r="BN15" s="23">
        <f>+BM15+'01.05'!BN15</f>
        <v>40</v>
      </c>
      <c r="BO15" s="36">
        <v>6274</v>
      </c>
      <c r="BP15" s="37">
        <v>2</v>
      </c>
      <c r="BQ15" s="23">
        <f>+BP15+'01.05'!BQ15</f>
        <v>4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139</v>
      </c>
      <c r="D16" s="31">
        <f t="shared" si="0"/>
        <v>275</v>
      </c>
      <c r="E16" s="32">
        <v>310</v>
      </c>
      <c r="F16" s="22">
        <v>39</v>
      </c>
      <c r="G16" s="23">
        <f>+F16+'01.05'!G16</f>
        <v>82</v>
      </c>
      <c r="H16" s="33">
        <v>5</v>
      </c>
      <c r="I16" s="34">
        <v>0</v>
      </c>
      <c r="J16" s="23">
        <f>+I16+'01.05'!J16</f>
        <v>0</v>
      </c>
      <c r="K16" s="33">
        <v>3</v>
      </c>
      <c r="L16" s="22">
        <v>0</v>
      </c>
      <c r="M16" s="23">
        <f>+L16+'01.05'!M16</f>
        <v>0</v>
      </c>
      <c r="N16" s="33">
        <v>384</v>
      </c>
      <c r="O16" s="22">
        <v>0</v>
      </c>
      <c r="P16" s="23">
        <f>+O16+'01.05'!P16</f>
        <v>0</v>
      </c>
      <c r="Q16" s="33">
        <v>245</v>
      </c>
      <c r="R16" s="22">
        <v>0</v>
      </c>
      <c r="S16" s="23">
        <f>+R16+'01.05'!S16</f>
        <v>0</v>
      </c>
      <c r="T16" s="33">
        <v>397</v>
      </c>
      <c r="U16" s="22">
        <v>0</v>
      </c>
      <c r="V16" s="23">
        <f>+U16+'01.05'!V16</f>
        <v>0</v>
      </c>
      <c r="W16" s="33">
        <v>24</v>
      </c>
      <c r="X16" s="22">
        <v>48</v>
      </c>
      <c r="Y16" s="23">
        <f>+X16+'01.05'!Y16</f>
        <v>100</v>
      </c>
      <c r="Z16" s="33">
        <v>18</v>
      </c>
      <c r="AA16" s="22">
        <v>0</v>
      </c>
      <c r="AB16" s="23">
        <f>+AA16+'01.05'!AB16</f>
        <v>0</v>
      </c>
      <c r="AC16" s="33">
        <v>18515</v>
      </c>
      <c r="AD16" s="22">
        <v>52</v>
      </c>
      <c r="AE16" s="23">
        <f>+AD16+'01.05'!AE16</f>
        <v>93</v>
      </c>
      <c r="AF16" s="19">
        <f t="shared" si="1"/>
        <v>72992</v>
      </c>
      <c r="AG16" s="20">
        <f t="shared" si="1"/>
        <v>146327</v>
      </c>
      <c r="AH16" s="24">
        <v>184</v>
      </c>
      <c r="AI16" s="23">
        <f>+AH16+'01.05'!AI16</f>
        <v>408</v>
      </c>
      <c r="AJ16" s="24">
        <v>973</v>
      </c>
      <c r="AK16" s="23">
        <f>+AJ16+'01.05'!AK16</f>
        <v>2006</v>
      </c>
      <c r="AL16" s="22">
        <v>1572</v>
      </c>
      <c r="AM16" s="23">
        <f>+AL16+'01.05'!AM16</f>
        <v>3029</v>
      </c>
      <c r="AN16" s="22">
        <v>70263</v>
      </c>
      <c r="AO16" s="23">
        <f>+AN16+'01.05'!AO16</f>
        <v>140884</v>
      </c>
      <c r="AP16" s="28" t="s">
        <v>51</v>
      </c>
      <c r="AQ16" s="19">
        <f t="shared" si="3"/>
        <v>55</v>
      </c>
      <c r="AR16" s="20">
        <f t="shared" si="3"/>
        <v>110</v>
      </c>
      <c r="AS16" s="34">
        <v>0</v>
      </c>
      <c r="AT16" s="23">
        <f>+AS16+'01.05'!AT16</f>
        <v>0</v>
      </c>
      <c r="AU16" s="34">
        <v>0</v>
      </c>
      <c r="AV16" s="23">
        <f>+AU16+'01.05'!AV16</f>
        <v>0</v>
      </c>
      <c r="AW16" s="34">
        <v>0</v>
      </c>
      <c r="AX16" s="23">
        <f>+AW16+'01.05'!AX16</f>
        <v>0</v>
      </c>
      <c r="AY16" s="34">
        <v>0</v>
      </c>
      <c r="AZ16" s="23">
        <f>+AY16+'01.05'!AZ16</f>
        <v>0</v>
      </c>
      <c r="BA16" s="34">
        <v>55</v>
      </c>
      <c r="BB16" s="23">
        <f>+BA16+'01.05'!BB16</f>
        <v>110</v>
      </c>
      <c r="BC16" s="19">
        <f t="shared" si="5"/>
        <v>1314</v>
      </c>
      <c r="BD16" s="20">
        <f t="shared" si="5"/>
        <v>2462</v>
      </c>
      <c r="BE16" s="22">
        <v>76</v>
      </c>
      <c r="BF16" s="23">
        <f>+BE16+'01.05'!BF16</f>
        <v>148</v>
      </c>
      <c r="BG16" s="34">
        <v>0</v>
      </c>
      <c r="BH16" s="23">
        <f>+BG16+'01.05'!BH16</f>
        <v>0</v>
      </c>
      <c r="BI16" s="22">
        <v>1187</v>
      </c>
      <c r="BJ16" s="23">
        <f>+BI16+'01.05'!BJ16</f>
        <v>2214</v>
      </c>
      <c r="BK16" s="22">
        <v>51</v>
      </c>
      <c r="BL16" s="23">
        <f>+BK16+'01.05'!BL16</f>
        <v>100</v>
      </c>
      <c r="BM16" s="22">
        <v>0</v>
      </c>
      <c r="BN16" s="23">
        <f>+BM16+'01.05'!BN16</f>
        <v>0</v>
      </c>
      <c r="BO16" s="36">
        <v>2546</v>
      </c>
      <c r="BP16" s="37">
        <v>0</v>
      </c>
      <c r="BQ16" s="23">
        <f>+BP16+'01.05'!BQ16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170</v>
      </c>
      <c r="D17" s="31">
        <f t="shared" si="0"/>
        <v>370</v>
      </c>
      <c r="E17" s="32">
        <v>754</v>
      </c>
      <c r="F17" s="22">
        <v>140</v>
      </c>
      <c r="G17" s="23">
        <f>+F17+'01.05'!G17</f>
        <v>290</v>
      </c>
      <c r="H17" s="33">
        <v>9</v>
      </c>
      <c r="I17" s="34">
        <v>0</v>
      </c>
      <c r="J17" s="23">
        <f>+I17+'01.05'!J17</f>
        <v>0</v>
      </c>
      <c r="K17" s="33">
        <v>5</v>
      </c>
      <c r="L17" s="22">
        <v>0</v>
      </c>
      <c r="M17" s="23">
        <f>+L17+'01.05'!M17</f>
        <v>0</v>
      </c>
      <c r="N17" s="33">
        <v>768</v>
      </c>
      <c r="O17" s="22">
        <v>0</v>
      </c>
      <c r="P17" s="23">
        <f>+O17+'01.05'!P17</f>
        <v>0</v>
      </c>
      <c r="Q17" s="33">
        <v>624</v>
      </c>
      <c r="R17" s="22">
        <v>0</v>
      </c>
      <c r="S17" s="23">
        <f>+R17+'01.05'!S17</f>
        <v>0</v>
      </c>
      <c r="T17" s="33">
        <v>742</v>
      </c>
      <c r="U17" s="22">
        <v>0</v>
      </c>
      <c r="V17" s="23">
        <f>+U17+'01.05'!V17</f>
        <v>0</v>
      </c>
      <c r="W17" s="33">
        <v>54</v>
      </c>
      <c r="X17" s="22">
        <v>20</v>
      </c>
      <c r="Y17" s="23">
        <f>+X17+'01.05'!Y17</f>
        <v>50</v>
      </c>
      <c r="Z17" s="33">
        <v>66</v>
      </c>
      <c r="AA17" s="22">
        <v>0</v>
      </c>
      <c r="AB17" s="23">
        <f>+AA17+'01.05'!AB17</f>
        <v>0</v>
      </c>
      <c r="AC17" s="33">
        <v>2580</v>
      </c>
      <c r="AD17" s="22">
        <v>10</v>
      </c>
      <c r="AE17" s="23">
        <f>+AD17+'01.05'!AE17</f>
        <v>30</v>
      </c>
      <c r="AF17" s="19">
        <f t="shared" si="1"/>
        <v>104000</v>
      </c>
      <c r="AG17" s="20">
        <f t="shared" si="1"/>
        <v>220000</v>
      </c>
      <c r="AH17" s="24">
        <v>7000</v>
      </c>
      <c r="AI17" s="23">
        <f>+AH17+'01.05'!AI17</f>
        <v>15000</v>
      </c>
      <c r="AJ17" s="24">
        <v>10000</v>
      </c>
      <c r="AK17" s="23">
        <f>+AJ17+'01.05'!AK17</f>
        <v>23000</v>
      </c>
      <c r="AL17" s="22">
        <v>22000</v>
      </c>
      <c r="AM17" s="23">
        <f>+AL17+'01.05'!AM17</f>
        <v>48000</v>
      </c>
      <c r="AN17" s="22">
        <v>65000</v>
      </c>
      <c r="AO17" s="23">
        <f>+AN17+'01.05'!AO17</f>
        <v>134000</v>
      </c>
      <c r="AP17" s="28" t="s">
        <v>52</v>
      </c>
      <c r="AQ17" s="19">
        <f t="shared" si="3"/>
        <v>19</v>
      </c>
      <c r="AR17" s="20">
        <f t="shared" si="3"/>
        <v>35</v>
      </c>
      <c r="AS17" s="34">
        <v>2</v>
      </c>
      <c r="AT17" s="23">
        <f>+AS17+'01.05'!AT17</f>
        <v>3</v>
      </c>
      <c r="AU17" s="34">
        <v>1</v>
      </c>
      <c r="AV17" s="23">
        <f>+AU17+'01.05'!AV17</f>
        <v>2</v>
      </c>
      <c r="AW17" s="34">
        <v>0</v>
      </c>
      <c r="AX17" s="23">
        <f>+AW17+'01.05'!AX17</f>
        <v>0</v>
      </c>
      <c r="AY17" s="34">
        <v>0</v>
      </c>
      <c r="AZ17" s="23">
        <f>+AY17+'01.05'!AZ17</f>
        <v>0</v>
      </c>
      <c r="BA17" s="34">
        <v>16</v>
      </c>
      <c r="BB17" s="23">
        <f>+BA17+'01.05'!BB17</f>
        <v>30</v>
      </c>
      <c r="BC17" s="19">
        <f t="shared" si="5"/>
        <v>1311</v>
      </c>
      <c r="BD17" s="20">
        <f t="shared" si="5"/>
        <v>3054</v>
      </c>
      <c r="BE17" s="22">
        <v>40</v>
      </c>
      <c r="BF17" s="23">
        <f>+BE17+'01.05'!BF17</f>
        <v>78</v>
      </c>
      <c r="BG17" s="34">
        <v>1</v>
      </c>
      <c r="BH17" s="23">
        <f>+BG17+'01.05'!BH17</f>
        <v>3</v>
      </c>
      <c r="BI17" s="22">
        <v>1100</v>
      </c>
      <c r="BJ17" s="23">
        <f>+BI17+'01.05'!BJ17</f>
        <v>2600</v>
      </c>
      <c r="BK17" s="22">
        <v>170</v>
      </c>
      <c r="BL17" s="23">
        <f>+BK17+'01.05'!BL17</f>
        <v>370</v>
      </c>
      <c r="BM17" s="22">
        <v>0</v>
      </c>
      <c r="BN17" s="23">
        <f>+BM17+'01.05'!BN17</f>
        <v>3</v>
      </c>
      <c r="BO17" s="36">
        <v>8022</v>
      </c>
      <c r="BP17" s="37">
        <v>7</v>
      </c>
      <c r="BQ17" s="23">
        <f>+BP17+'01.05'!BQ17</f>
        <v>14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407</v>
      </c>
      <c r="D18" s="20">
        <f t="shared" si="0"/>
        <v>891</v>
      </c>
      <c r="E18" s="21">
        <v>1063</v>
      </c>
      <c r="F18" s="22">
        <v>210</v>
      </c>
      <c r="G18" s="23">
        <f>+F18+'01.05'!G18</f>
        <v>509</v>
      </c>
      <c r="H18" s="21">
        <v>19</v>
      </c>
      <c r="I18" s="22">
        <v>0</v>
      </c>
      <c r="J18" s="23">
        <f>+I18+'01.05'!J18</f>
        <v>0</v>
      </c>
      <c r="K18" s="21">
        <v>8</v>
      </c>
      <c r="L18" s="22">
        <v>0</v>
      </c>
      <c r="M18" s="23">
        <f>+L18+'01.05'!M18</f>
        <v>0</v>
      </c>
      <c r="N18" s="21">
        <v>1331</v>
      </c>
      <c r="O18" s="22">
        <v>0</v>
      </c>
      <c r="P18" s="23">
        <f>+O18+'01.05'!P18</f>
        <v>0</v>
      </c>
      <c r="Q18" s="21">
        <v>777</v>
      </c>
      <c r="R18" s="22">
        <v>0</v>
      </c>
      <c r="S18" s="23">
        <f>+R18+'01.05'!S18</f>
        <v>0</v>
      </c>
      <c r="T18" s="21">
        <v>318</v>
      </c>
      <c r="U18" s="22">
        <v>0</v>
      </c>
      <c r="V18" s="23">
        <f>+U18+'01.05'!V18</f>
        <v>0</v>
      </c>
      <c r="W18" s="21">
        <v>60</v>
      </c>
      <c r="X18" s="22">
        <v>197</v>
      </c>
      <c r="Y18" s="23">
        <f>+X18+'01.05'!Y18</f>
        <v>382</v>
      </c>
      <c r="Z18" s="21">
        <v>72</v>
      </c>
      <c r="AA18" s="22">
        <v>0</v>
      </c>
      <c r="AB18" s="23">
        <f>+AA18+'01.05'!AB18</f>
        <v>0</v>
      </c>
      <c r="AC18" s="21">
        <v>143</v>
      </c>
      <c r="AD18" s="22">
        <v>0</v>
      </c>
      <c r="AE18" s="23">
        <f>+AD18+'01.05'!AE18</f>
        <v>0</v>
      </c>
      <c r="AF18" s="19">
        <f t="shared" si="1"/>
        <v>306139</v>
      </c>
      <c r="AG18" s="20">
        <f t="shared" si="1"/>
        <v>612296</v>
      </c>
      <c r="AH18" s="24">
        <v>570</v>
      </c>
      <c r="AI18" s="23">
        <f>+AH18+'01.05'!AI18</f>
        <v>1142</v>
      </c>
      <c r="AJ18" s="24">
        <v>4432</v>
      </c>
      <c r="AK18" s="23">
        <f>+AJ18+'01.05'!AK18</f>
        <v>8872</v>
      </c>
      <c r="AL18" s="22">
        <v>4812</v>
      </c>
      <c r="AM18" s="23">
        <f>+AL18+'01.05'!AM18</f>
        <v>9629</v>
      </c>
      <c r="AN18" s="22">
        <v>296325</v>
      </c>
      <c r="AO18" s="23">
        <f>+AN18+'01.05'!AO18</f>
        <v>592653</v>
      </c>
      <c r="AP18" s="17" t="s">
        <v>53</v>
      </c>
      <c r="AQ18" s="19">
        <f t="shared" si="3"/>
        <v>1</v>
      </c>
      <c r="AR18" s="20">
        <f t="shared" si="3"/>
        <v>4</v>
      </c>
      <c r="AS18" s="22">
        <v>0</v>
      </c>
      <c r="AT18" s="23">
        <f>+AS18+'01.05'!AT18</f>
        <v>0</v>
      </c>
      <c r="AU18" s="22">
        <v>0</v>
      </c>
      <c r="AV18" s="23">
        <f>+AU18+'01.05'!AV18</f>
        <v>0</v>
      </c>
      <c r="AW18" s="22">
        <v>0</v>
      </c>
      <c r="AX18" s="23">
        <f>+AW18+'01.05'!AX18</f>
        <v>0</v>
      </c>
      <c r="AY18" s="22">
        <v>0</v>
      </c>
      <c r="AZ18" s="23">
        <f>+AY18+'01.05'!AZ18</f>
        <v>0</v>
      </c>
      <c r="BA18" s="22">
        <v>1</v>
      </c>
      <c r="BB18" s="23">
        <f>+BA18+'01.05'!BB18</f>
        <v>4</v>
      </c>
      <c r="BC18" s="19">
        <f t="shared" si="5"/>
        <v>2137</v>
      </c>
      <c r="BD18" s="20">
        <f t="shared" si="5"/>
        <v>5208</v>
      </c>
      <c r="BE18" s="22">
        <v>1</v>
      </c>
      <c r="BF18" s="23">
        <f>+BE18+'01.05'!BF18</f>
        <v>2</v>
      </c>
      <c r="BG18" s="22">
        <v>0</v>
      </c>
      <c r="BH18" s="23">
        <f>+BG18+'01.05'!BH18</f>
        <v>0</v>
      </c>
      <c r="BI18" s="22">
        <v>2024</v>
      </c>
      <c r="BJ18" s="23">
        <f>+BI18+'01.05'!BJ18</f>
        <v>4896</v>
      </c>
      <c r="BK18" s="22">
        <v>112</v>
      </c>
      <c r="BL18" s="23">
        <f>+BK18+'01.05'!BL18</f>
        <v>310</v>
      </c>
      <c r="BM18" s="22">
        <v>0</v>
      </c>
      <c r="BN18" s="23">
        <f>+BM18+'01.05'!BN18</f>
        <v>0</v>
      </c>
      <c r="BO18" s="36">
        <v>442</v>
      </c>
      <c r="BP18" s="37">
        <v>3</v>
      </c>
      <c r="BQ18" s="23">
        <f>+BP18+'01.05'!BQ18</f>
        <v>6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26</v>
      </c>
      <c r="D19" s="31">
        <f t="shared" si="0"/>
        <v>57</v>
      </c>
      <c r="E19" s="33">
        <v>221</v>
      </c>
      <c r="F19" s="22">
        <v>5</v>
      </c>
      <c r="G19" s="23">
        <f>+F19+'01.05'!G19</f>
        <v>13</v>
      </c>
      <c r="H19" s="33">
        <v>5</v>
      </c>
      <c r="I19" s="34">
        <v>0</v>
      </c>
      <c r="J19" s="23">
        <f>+I19+'01.05'!J19</f>
        <v>0</v>
      </c>
      <c r="K19" s="33">
        <v>4</v>
      </c>
      <c r="L19" s="22">
        <v>0</v>
      </c>
      <c r="M19" s="23">
        <f>+L19+'01.05'!M19</f>
        <v>0</v>
      </c>
      <c r="N19" s="33">
        <v>313</v>
      </c>
      <c r="O19" s="22">
        <v>0</v>
      </c>
      <c r="P19" s="23">
        <f>+O19+'01.05'!P19</f>
        <v>0</v>
      </c>
      <c r="Q19" s="33">
        <v>203</v>
      </c>
      <c r="R19" s="22">
        <v>0</v>
      </c>
      <c r="S19" s="23">
        <f>+R19+'01.05'!S19</f>
        <v>0</v>
      </c>
      <c r="T19" s="33">
        <v>241</v>
      </c>
      <c r="U19" s="22">
        <v>0</v>
      </c>
      <c r="V19" s="23">
        <f>+U19+'01.05'!V19</f>
        <v>0</v>
      </c>
      <c r="W19" s="33">
        <v>14</v>
      </c>
      <c r="X19" s="22">
        <v>8</v>
      </c>
      <c r="Y19" s="23">
        <f>+X19+'01.05'!Y19</f>
        <v>19</v>
      </c>
      <c r="Z19" s="33">
        <v>7</v>
      </c>
      <c r="AA19" s="22">
        <v>0</v>
      </c>
      <c r="AB19" s="23">
        <f>+AA19+'01.05'!AB19</f>
        <v>0</v>
      </c>
      <c r="AC19" s="33">
        <v>32</v>
      </c>
      <c r="AD19" s="22">
        <v>13</v>
      </c>
      <c r="AE19" s="23">
        <f>+AD19+'01.05'!AE19</f>
        <v>25</v>
      </c>
      <c r="AF19" s="19">
        <f t="shared" si="1"/>
        <v>2100</v>
      </c>
      <c r="AG19" s="20">
        <f t="shared" si="1"/>
        <v>4400</v>
      </c>
      <c r="AH19" s="24">
        <v>400</v>
      </c>
      <c r="AI19" s="23">
        <f>+AH19+'01.05'!AI19</f>
        <v>850</v>
      </c>
      <c r="AJ19" s="24">
        <v>400</v>
      </c>
      <c r="AK19" s="23">
        <f>+AJ19+'01.05'!AK19</f>
        <v>850</v>
      </c>
      <c r="AL19" s="22">
        <v>650</v>
      </c>
      <c r="AM19" s="23">
        <f>+AL19+'01.05'!AM19</f>
        <v>1350</v>
      </c>
      <c r="AN19" s="22">
        <v>650</v>
      </c>
      <c r="AO19" s="23">
        <f>+AN19+'01.05'!AO19</f>
        <v>1350</v>
      </c>
      <c r="AP19" s="28" t="s">
        <v>54</v>
      </c>
      <c r="AQ19" s="19">
        <f t="shared" si="3"/>
        <v>0</v>
      </c>
      <c r="AR19" s="20">
        <f t="shared" si="3"/>
        <v>0</v>
      </c>
      <c r="AS19" s="34">
        <v>0</v>
      </c>
      <c r="AT19" s="23">
        <f>+AS19+'01.05'!AT19</f>
        <v>0</v>
      </c>
      <c r="AU19" s="34">
        <v>0</v>
      </c>
      <c r="AV19" s="23">
        <f>+AU19+'01.05'!AV19</f>
        <v>0</v>
      </c>
      <c r="AW19" s="34">
        <v>0</v>
      </c>
      <c r="AX19" s="23">
        <f>+AW19+'01.05'!AX19</f>
        <v>0</v>
      </c>
      <c r="AY19" s="34">
        <v>0</v>
      </c>
      <c r="AZ19" s="23">
        <f>+AY19+'01.05'!AZ19</f>
        <v>0</v>
      </c>
      <c r="BA19" s="34">
        <v>0</v>
      </c>
      <c r="BB19" s="23">
        <f>+BA19+'01.05'!BB19</f>
        <v>0</v>
      </c>
      <c r="BC19" s="19">
        <f t="shared" si="5"/>
        <v>711</v>
      </c>
      <c r="BD19" s="20">
        <f t="shared" si="5"/>
        <v>1633</v>
      </c>
      <c r="BE19" s="22">
        <v>11</v>
      </c>
      <c r="BF19" s="23">
        <f>+BE19+'01.05'!BF19</f>
        <v>25</v>
      </c>
      <c r="BG19" s="34">
        <v>0</v>
      </c>
      <c r="BH19" s="23">
        <f>+BG19+'01.05'!BH19</f>
        <v>0</v>
      </c>
      <c r="BI19" s="22">
        <v>600</v>
      </c>
      <c r="BJ19" s="23">
        <f>+BI19+'01.05'!BJ19</f>
        <v>1400</v>
      </c>
      <c r="BK19" s="22">
        <v>100</v>
      </c>
      <c r="BL19" s="23">
        <f>+BK19+'01.05'!BL19</f>
        <v>200</v>
      </c>
      <c r="BM19" s="22">
        <v>0</v>
      </c>
      <c r="BN19" s="23">
        <f>+BM19+'01.05'!BN19</f>
        <v>8</v>
      </c>
      <c r="BO19" s="36">
        <v>2898</v>
      </c>
      <c r="BP19" s="37">
        <v>0</v>
      </c>
      <c r="BQ19" s="23">
        <f>+BP19+'01.05'!BQ19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247</v>
      </c>
      <c r="D20" s="31">
        <f t="shared" si="0"/>
        <v>498</v>
      </c>
      <c r="E20" s="32">
        <v>723</v>
      </c>
      <c r="F20" s="22">
        <v>142</v>
      </c>
      <c r="G20" s="23">
        <f>+F20+'01.05'!G20</f>
        <v>302</v>
      </c>
      <c r="H20" s="33">
        <v>5</v>
      </c>
      <c r="I20" s="34">
        <v>1</v>
      </c>
      <c r="J20" s="23">
        <f>+I20+'01.05'!J20</f>
        <v>2</v>
      </c>
      <c r="K20" s="33">
        <v>3</v>
      </c>
      <c r="L20" s="22">
        <v>0</v>
      </c>
      <c r="M20" s="23">
        <f>+L20+'01.05'!M20</f>
        <v>0</v>
      </c>
      <c r="N20" s="33">
        <v>975</v>
      </c>
      <c r="O20" s="22">
        <v>51</v>
      </c>
      <c r="P20" s="23">
        <f>+O20+'01.05'!P20</f>
        <v>93</v>
      </c>
      <c r="Q20" s="61">
        <v>1862</v>
      </c>
      <c r="R20" s="22">
        <v>1</v>
      </c>
      <c r="S20" s="23">
        <f>+R20+'01.05'!S20</f>
        <v>2</v>
      </c>
      <c r="T20" s="33">
        <v>35</v>
      </c>
      <c r="U20" s="22">
        <v>1</v>
      </c>
      <c r="V20" s="23">
        <f>+U20+'01.05'!V20</f>
        <v>2</v>
      </c>
      <c r="W20" s="33">
        <v>64</v>
      </c>
      <c r="X20" s="22">
        <v>1</v>
      </c>
      <c r="Y20" s="23">
        <f>+X20+'01.05'!Y20</f>
        <v>2</v>
      </c>
      <c r="Z20" s="33">
        <v>15</v>
      </c>
      <c r="AA20" s="22">
        <v>1</v>
      </c>
      <c r="AB20" s="23">
        <f>+AA20+'01.05'!AB20</f>
        <v>2</v>
      </c>
      <c r="AC20" s="33">
        <v>1546</v>
      </c>
      <c r="AD20" s="22">
        <v>49</v>
      </c>
      <c r="AE20" s="23">
        <f>+AD20+'01.05'!AE20</f>
        <v>93</v>
      </c>
      <c r="AF20" s="19">
        <f t="shared" si="1"/>
        <v>16090</v>
      </c>
      <c r="AG20" s="20">
        <f t="shared" si="1"/>
        <v>32640</v>
      </c>
      <c r="AH20" s="24">
        <v>7360</v>
      </c>
      <c r="AI20" s="23">
        <f>+AH20+'01.05'!AI20</f>
        <v>15200</v>
      </c>
      <c r="AJ20" s="24">
        <v>7730</v>
      </c>
      <c r="AK20" s="23">
        <f>+AJ20+'01.05'!AK20</f>
        <v>15520</v>
      </c>
      <c r="AL20" s="22">
        <v>500</v>
      </c>
      <c r="AM20" s="23">
        <f>+AL20+'01.05'!AM20</f>
        <v>960</v>
      </c>
      <c r="AN20" s="22">
        <v>500</v>
      </c>
      <c r="AO20" s="23">
        <f>+AN20+'01.05'!AO20</f>
        <v>960</v>
      </c>
      <c r="AP20" s="28" t="s">
        <v>55</v>
      </c>
      <c r="AQ20" s="19">
        <f t="shared" si="3"/>
        <v>126</v>
      </c>
      <c r="AR20" s="20">
        <f t="shared" si="3"/>
        <v>263</v>
      </c>
      <c r="AS20" s="34">
        <v>1</v>
      </c>
      <c r="AT20" s="23">
        <f>+AS20+'01.05'!AT20</f>
        <v>2</v>
      </c>
      <c r="AU20" s="34">
        <v>0</v>
      </c>
      <c r="AV20" s="23">
        <f>+AU20+'01.05'!AV20</f>
        <v>0</v>
      </c>
      <c r="AW20" s="34">
        <v>0</v>
      </c>
      <c r="AX20" s="23">
        <f>+AW20+'01.05'!AX20</f>
        <v>0</v>
      </c>
      <c r="AY20" s="34">
        <v>0</v>
      </c>
      <c r="AZ20" s="23">
        <f>+AY20+'01.05'!AZ20</f>
        <v>0</v>
      </c>
      <c r="BA20" s="34">
        <v>125</v>
      </c>
      <c r="BB20" s="23">
        <f>+BA20+'01.05'!BB20</f>
        <v>261</v>
      </c>
      <c r="BC20" s="19">
        <f t="shared" si="5"/>
        <v>3042</v>
      </c>
      <c r="BD20" s="20">
        <f t="shared" si="5"/>
        <v>5965</v>
      </c>
      <c r="BE20" s="22">
        <v>2</v>
      </c>
      <c r="BF20" s="23">
        <f>+BE20+'01.05'!BF20</f>
        <v>4</v>
      </c>
      <c r="BG20" s="34">
        <v>0</v>
      </c>
      <c r="BH20" s="23">
        <f>+BG20+'01.05'!BH20</f>
        <v>0</v>
      </c>
      <c r="BI20" s="22">
        <v>1554</v>
      </c>
      <c r="BJ20" s="23">
        <f>+BI20+'01.05'!BJ20</f>
        <v>3064</v>
      </c>
      <c r="BK20" s="22">
        <v>1485</v>
      </c>
      <c r="BL20" s="23">
        <f>+BK20+'01.05'!BL20</f>
        <v>2895</v>
      </c>
      <c r="BM20" s="22">
        <v>1</v>
      </c>
      <c r="BN20" s="23">
        <f>+BM20+'01.05'!BN20</f>
        <v>2</v>
      </c>
      <c r="BO20" s="36">
        <v>5854</v>
      </c>
      <c r="BP20" s="37">
        <v>0</v>
      </c>
      <c r="BQ20" s="23">
        <f>+BP20+'01.05'!BQ20</f>
        <v>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227</v>
      </c>
      <c r="D21" s="31">
        <f t="shared" si="0"/>
        <v>602</v>
      </c>
      <c r="E21" s="32">
        <v>1017</v>
      </c>
      <c r="F21" s="22">
        <v>200</v>
      </c>
      <c r="G21" s="23">
        <f>+F21+'01.05'!G21</f>
        <v>350</v>
      </c>
      <c r="H21" s="33">
        <v>8</v>
      </c>
      <c r="I21" s="34">
        <v>2</v>
      </c>
      <c r="J21" s="23">
        <f>+I21+'01.05'!J21</f>
        <v>6</v>
      </c>
      <c r="K21" s="33">
        <v>4</v>
      </c>
      <c r="L21" s="22">
        <v>0</v>
      </c>
      <c r="M21" s="23">
        <f>+L21+'01.05'!M21</f>
        <v>0</v>
      </c>
      <c r="N21" s="33">
        <v>963</v>
      </c>
      <c r="O21" s="22">
        <v>3</v>
      </c>
      <c r="P21" s="23">
        <f>+O21+'01.05'!P21</f>
        <v>6</v>
      </c>
      <c r="Q21" s="33">
        <v>912</v>
      </c>
      <c r="R21" s="22">
        <v>0</v>
      </c>
      <c r="S21" s="23">
        <f>+R21+'01.05'!S21</f>
        <v>0</v>
      </c>
      <c r="T21" s="33">
        <v>199</v>
      </c>
      <c r="U21" s="22">
        <v>2</v>
      </c>
      <c r="V21" s="23">
        <f>+U21+'01.05'!V21</f>
        <v>9</v>
      </c>
      <c r="W21" s="33">
        <v>101</v>
      </c>
      <c r="X21" s="22">
        <v>10</v>
      </c>
      <c r="Y21" s="23">
        <f>+X21+'01.05'!Y21</f>
        <v>10</v>
      </c>
      <c r="Z21" s="33">
        <v>42</v>
      </c>
      <c r="AA21" s="22">
        <v>0</v>
      </c>
      <c r="AB21" s="23">
        <f>+AA21+'01.05'!AB21</f>
        <v>0</v>
      </c>
      <c r="AC21" s="33">
        <v>20</v>
      </c>
      <c r="AD21" s="22">
        <v>10</v>
      </c>
      <c r="AE21" s="23">
        <f>+AD21+'01.05'!AE21</f>
        <v>221</v>
      </c>
      <c r="AF21" s="19">
        <f t="shared" si="1"/>
        <v>1032000</v>
      </c>
      <c r="AG21" s="20">
        <f t="shared" si="1"/>
        <v>1982000</v>
      </c>
      <c r="AH21" s="24">
        <v>2000</v>
      </c>
      <c r="AI21" s="23">
        <f>+AH21+'01.05'!AI21</f>
        <v>3000</v>
      </c>
      <c r="AJ21" s="24">
        <v>230000</v>
      </c>
      <c r="AK21" s="23">
        <f>+AJ21+'01.05'!AK21</f>
        <v>379000</v>
      </c>
      <c r="AL21" s="22">
        <v>1500</v>
      </c>
      <c r="AM21" s="23">
        <f>+AL21+'01.05'!AM21</f>
        <v>3000</v>
      </c>
      <c r="AN21" s="22">
        <v>798500</v>
      </c>
      <c r="AO21" s="23">
        <f>+AN21+'01.05'!AO21</f>
        <v>1597000</v>
      </c>
      <c r="AP21" s="28" t="s">
        <v>58</v>
      </c>
      <c r="AQ21" s="19">
        <f t="shared" si="3"/>
        <v>9</v>
      </c>
      <c r="AR21" s="20">
        <f t="shared" si="3"/>
        <v>13</v>
      </c>
      <c r="AS21" s="34">
        <v>0</v>
      </c>
      <c r="AT21" s="23">
        <f>+AS21+'01.05'!AT21</f>
        <v>0</v>
      </c>
      <c r="AU21" s="34">
        <v>4</v>
      </c>
      <c r="AV21" s="23">
        <f>+AU21+'01.05'!AV21</f>
        <v>8</v>
      </c>
      <c r="AW21" s="34">
        <v>0</v>
      </c>
      <c r="AX21" s="23">
        <f>+AW21+'01.05'!AX21</f>
        <v>0</v>
      </c>
      <c r="AY21" s="34">
        <v>0</v>
      </c>
      <c r="AZ21" s="23">
        <f>+AY21+'01.05'!AZ21</f>
        <v>0</v>
      </c>
      <c r="BA21" s="34">
        <v>5</v>
      </c>
      <c r="BB21" s="23">
        <f>+BA21+'01.05'!BB21</f>
        <v>5</v>
      </c>
      <c r="BC21" s="19">
        <f t="shared" si="5"/>
        <v>10050</v>
      </c>
      <c r="BD21" s="20">
        <f t="shared" si="5"/>
        <v>11100</v>
      </c>
      <c r="BE21" s="22">
        <v>50</v>
      </c>
      <c r="BF21" s="23">
        <f>+BE21+'01.05'!BF21</f>
        <v>100</v>
      </c>
      <c r="BG21" s="34">
        <v>0</v>
      </c>
      <c r="BH21" s="23">
        <f>+BG21+'01.05'!BH21</f>
        <v>0</v>
      </c>
      <c r="BI21" s="22">
        <v>10000</v>
      </c>
      <c r="BJ21" s="23">
        <f>+BI21+'01.05'!BJ21</f>
        <v>11000</v>
      </c>
      <c r="BK21" s="22">
        <v>0</v>
      </c>
      <c r="BL21" s="23">
        <f>+BK21+'01.05'!BL21</f>
        <v>0</v>
      </c>
      <c r="BM21" s="22">
        <v>0</v>
      </c>
      <c r="BN21" s="23">
        <f>+BM21+'01.05'!BN21</f>
        <v>0</v>
      </c>
      <c r="BO21" s="36">
        <v>68</v>
      </c>
      <c r="BP21" s="37">
        <v>1</v>
      </c>
      <c r="BQ21" s="23">
        <f>+BP21+'01.05'!BQ21</f>
        <v>2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2058</v>
      </c>
      <c r="D22" s="31">
        <f t="shared" si="0"/>
        <v>3598</v>
      </c>
      <c r="E22" s="32">
        <v>509</v>
      </c>
      <c r="F22" s="22">
        <v>451</v>
      </c>
      <c r="G22" s="23">
        <f>+F22+'01.05'!G22</f>
        <v>489</v>
      </c>
      <c r="H22" s="33">
        <v>8</v>
      </c>
      <c r="I22" s="34">
        <v>0</v>
      </c>
      <c r="J22" s="23">
        <f>+I22+'01.05'!J22</f>
        <v>0</v>
      </c>
      <c r="K22" s="33">
        <v>21</v>
      </c>
      <c r="L22" s="22">
        <v>0</v>
      </c>
      <c r="M22" s="23">
        <f>+L22+'01.05'!M22</f>
        <v>0</v>
      </c>
      <c r="N22" s="33">
        <v>560</v>
      </c>
      <c r="O22" s="22">
        <v>56</v>
      </c>
      <c r="P22" s="23">
        <f>+O22+'01.05'!P22</f>
        <v>127</v>
      </c>
      <c r="Q22" s="33">
        <v>375</v>
      </c>
      <c r="R22" s="22">
        <v>0</v>
      </c>
      <c r="S22" s="23">
        <f>+R22+'01.05'!S22</f>
        <v>0</v>
      </c>
      <c r="T22" s="33">
        <v>165</v>
      </c>
      <c r="U22" s="22">
        <v>25</v>
      </c>
      <c r="V22" s="23">
        <f>+U22+'01.05'!V22</f>
        <v>55</v>
      </c>
      <c r="W22" s="33">
        <v>28</v>
      </c>
      <c r="X22" s="22">
        <v>28</v>
      </c>
      <c r="Y22" s="23">
        <f>+X22+'01.05'!Y22</f>
        <v>66</v>
      </c>
      <c r="Z22" s="33">
        <v>9</v>
      </c>
      <c r="AA22" s="22">
        <v>0</v>
      </c>
      <c r="AB22" s="23">
        <f>+AA22+'01.05'!AB22</f>
        <v>0</v>
      </c>
      <c r="AC22" s="33">
        <v>112</v>
      </c>
      <c r="AD22" s="22">
        <v>1498</v>
      </c>
      <c r="AE22" s="23">
        <f>+AD22+'01.05'!AE22</f>
        <v>2861</v>
      </c>
      <c r="AF22" s="19">
        <f t="shared" si="1"/>
        <v>55763</v>
      </c>
      <c r="AG22" s="20">
        <f t="shared" si="1"/>
        <v>761821</v>
      </c>
      <c r="AH22" s="24">
        <v>1542</v>
      </c>
      <c r="AI22" s="23">
        <f>+AH22+'01.05'!AI22</f>
        <v>2485</v>
      </c>
      <c r="AJ22" s="24">
        <v>6000</v>
      </c>
      <c r="AK22" s="23">
        <f>+AJ22+'01.05'!AK22</f>
        <v>13000</v>
      </c>
      <c r="AL22" s="22">
        <v>1230</v>
      </c>
      <c r="AM22" s="23">
        <f>+AL22+'01.05'!AM22</f>
        <v>3771</v>
      </c>
      <c r="AN22" s="22">
        <v>46991</v>
      </c>
      <c r="AO22" s="23">
        <f>+AN22+'01.05'!AO22</f>
        <v>742565</v>
      </c>
      <c r="AP22" s="28" t="s">
        <v>59</v>
      </c>
      <c r="AQ22" s="19">
        <f t="shared" si="3"/>
        <v>2454</v>
      </c>
      <c r="AR22" s="20">
        <f t="shared" si="3"/>
        <v>5443</v>
      </c>
      <c r="AS22" s="34">
        <v>1</v>
      </c>
      <c r="AT22" s="23">
        <f>+AS22+'01.05'!AT22</f>
        <v>3</v>
      </c>
      <c r="AU22" s="34">
        <v>1</v>
      </c>
      <c r="AV22" s="23">
        <f>+AU22+'01.05'!AV22</f>
        <v>3</v>
      </c>
      <c r="AW22" s="34">
        <v>1</v>
      </c>
      <c r="AX22" s="23">
        <f>+AW22+'01.05'!AX22</f>
        <v>2</v>
      </c>
      <c r="AY22" s="34">
        <v>0</v>
      </c>
      <c r="AZ22" s="23">
        <f>+AY22+'01.05'!AZ22</f>
        <v>0</v>
      </c>
      <c r="BA22" s="34">
        <v>2451</v>
      </c>
      <c r="BB22" s="23">
        <f>+BA22+'01.05'!BB22</f>
        <v>5435</v>
      </c>
      <c r="BC22" s="19">
        <f t="shared" si="5"/>
        <v>8553</v>
      </c>
      <c r="BD22" s="20">
        <f t="shared" si="5"/>
        <v>18374</v>
      </c>
      <c r="BE22" s="22">
        <v>9</v>
      </c>
      <c r="BF22" s="23">
        <f>+BE22+'01.05'!BF22</f>
        <v>12</v>
      </c>
      <c r="BG22" s="34">
        <v>25</v>
      </c>
      <c r="BH22" s="23">
        <f>+BG22+'01.05'!BH22</f>
        <v>205</v>
      </c>
      <c r="BI22" s="22">
        <v>8451</v>
      </c>
      <c r="BJ22" s="23">
        <f>+BI22+'01.05'!BJ22</f>
        <v>18035</v>
      </c>
      <c r="BK22" s="22">
        <v>68</v>
      </c>
      <c r="BL22" s="23">
        <f>+BK22+'01.05'!BL22</f>
        <v>122</v>
      </c>
      <c r="BM22" s="22">
        <v>0</v>
      </c>
      <c r="BN22" s="23">
        <f>+BM22+'01.05'!BN22</f>
        <v>0</v>
      </c>
      <c r="BO22" s="36">
        <v>26</v>
      </c>
      <c r="BP22" s="37">
        <v>125</v>
      </c>
      <c r="BQ22" s="23">
        <f>+BP22+'01.05'!BQ22</f>
        <v>445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4250</v>
      </c>
      <c r="D23" s="65">
        <f t="shared" si="0"/>
        <v>8397</v>
      </c>
      <c r="E23" s="66">
        <f>+E18+E19+E22+E17+E16+E15+E14+E13+E12+E11+E10+E9+E8</f>
        <v>7282</v>
      </c>
      <c r="F23" s="67">
        <f t="shared" ref="F23:J23" si="7">SUM(F8:F22)</f>
        <v>1709</v>
      </c>
      <c r="G23" s="68">
        <f t="shared" si="7"/>
        <v>3130</v>
      </c>
      <c r="H23" s="66">
        <f>+H18+H19+H22+H17+H16+H15+H14+H13+H12+H11+H10+H9+H8</f>
        <v>271</v>
      </c>
      <c r="I23" s="67">
        <f t="shared" si="7"/>
        <v>12</v>
      </c>
      <c r="J23" s="68">
        <f t="shared" si="7"/>
        <v>26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1</v>
      </c>
      <c r="N23" s="66">
        <f>+N18+N19+N22+N17+N16+N15+N14+N13+N12+N11+N10+N9+N8</f>
        <v>8607</v>
      </c>
      <c r="O23" s="67">
        <f t="shared" si="8"/>
        <v>144</v>
      </c>
      <c r="P23" s="68">
        <f t="shared" si="8"/>
        <v>298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13</v>
      </c>
      <c r="T23" s="66">
        <f>+T18+T19+T22+T17+T16+T15+T14+T13+T12+T11+T10+T9+T8</f>
        <v>4115</v>
      </c>
      <c r="U23" s="67">
        <f t="shared" si="9"/>
        <v>31</v>
      </c>
      <c r="V23" s="68">
        <f t="shared" si="9"/>
        <v>74</v>
      </c>
      <c r="W23" s="66">
        <f>+W18+W19+W22+W17+W16+W15+W14+W13+W12+W11+W10+W9+W8</f>
        <v>604</v>
      </c>
      <c r="X23" s="67">
        <f t="shared" ref="X23:AB23" si="10">SUM(X8:X22)</f>
        <v>471</v>
      </c>
      <c r="Y23" s="68">
        <f t="shared" si="10"/>
        <v>944</v>
      </c>
      <c r="Z23" s="66">
        <f>+Z18+Z19+Z22+Z17+Z16+Z15+Z14+Z13+Z12+Z11+Z10+Z9+Z8</f>
        <v>1629</v>
      </c>
      <c r="AA23" s="67">
        <f t="shared" si="10"/>
        <v>2</v>
      </c>
      <c r="AB23" s="68">
        <f t="shared" si="10"/>
        <v>5</v>
      </c>
      <c r="AC23" s="66">
        <f>+AC18+AC19+AC22+AC17+AC16+AC15+AC14+AC13+AC12+AC11+AC10+AC9+AC8</f>
        <v>64846</v>
      </c>
      <c r="AD23" s="67">
        <f t="shared" ref="AD23:AO23" si="11">SUM(AD8:AD22)</f>
        <v>1880</v>
      </c>
      <c r="AE23" s="68">
        <f t="shared" si="11"/>
        <v>3906</v>
      </c>
      <c r="AF23" s="64">
        <f t="shared" si="11"/>
        <v>3718576</v>
      </c>
      <c r="AG23" s="64">
        <f t="shared" si="11"/>
        <v>7600039</v>
      </c>
      <c r="AH23" s="67">
        <f t="shared" si="11"/>
        <v>29904</v>
      </c>
      <c r="AI23" s="68">
        <f t="shared" si="11"/>
        <v>61846</v>
      </c>
      <c r="AJ23" s="67">
        <f t="shared" si="11"/>
        <v>290345</v>
      </c>
      <c r="AK23" s="68">
        <f t="shared" si="11"/>
        <v>533575</v>
      </c>
      <c r="AL23" s="67">
        <f t="shared" si="11"/>
        <v>855749</v>
      </c>
      <c r="AM23" s="68">
        <f t="shared" si="11"/>
        <v>1610552</v>
      </c>
      <c r="AN23" s="67">
        <f t="shared" si="11"/>
        <v>2542578</v>
      </c>
      <c r="AO23" s="68">
        <f t="shared" si="11"/>
        <v>5394066</v>
      </c>
      <c r="AP23" s="62" t="s">
        <v>12</v>
      </c>
      <c r="AQ23" s="64">
        <f t="shared" ref="AQ23:BP23" si="12">SUM(AQ8:AQ22)</f>
        <v>2823</v>
      </c>
      <c r="AR23" s="64">
        <f t="shared" si="12"/>
        <v>6945</v>
      </c>
      <c r="AS23" s="67">
        <f t="shared" si="12"/>
        <v>5</v>
      </c>
      <c r="AT23" s="68">
        <f t="shared" si="12"/>
        <v>12</v>
      </c>
      <c r="AU23" s="67">
        <f t="shared" si="12"/>
        <v>7</v>
      </c>
      <c r="AV23" s="68">
        <f t="shared" si="12"/>
        <v>16</v>
      </c>
      <c r="AW23" s="67">
        <f t="shared" si="12"/>
        <v>1</v>
      </c>
      <c r="AX23" s="68">
        <f t="shared" si="12"/>
        <v>3</v>
      </c>
      <c r="AY23" s="67">
        <f t="shared" si="12"/>
        <v>0</v>
      </c>
      <c r="AZ23" s="68">
        <f t="shared" si="12"/>
        <v>0</v>
      </c>
      <c r="BA23" s="67">
        <f t="shared" si="12"/>
        <v>2810</v>
      </c>
      <c r="BB23" s="68">
        <f t="shared" si="12"/>
        <v>6914</v>
      </c>
      <c r="BC23" s="64">
        <f t="shared" si="12"/>
        <v>47802</v>
      </c>
      <c r="BD23" s="64">
        <f t="shared" si="12"/>
        <v>108593</v>
      </c>
      <c r="BE23" s="67">
        <f t="shared" si="12"/>
        <v>1622</v>
      </c>
      <c r="BF23" s="68">
        <f t="shared" si="12"/>
        <v>3232</v>
      </c>
      <c r="BG23" s="67">
        <f t="shared" si="12"/>
        <v>54</v>
      </c>
      <c r="BH23" s="68">
        <f t="shared" si="12"/>
        <v>277</v>
      </c>
      <c r="BI23" s="67">
        <f t="shared" si="12"/>
        <v>41852</v>
      </c>
      <c r="BJ23" s="68">
        <f t="shared" si="12"/>
        <v>96540</v>
      </c>
      <c r="BK23" s="67">
        <f t="shared" si="12"/>
        <v>4250</v>
      </c>
      <c r="BL23" s="68">
        <f t="shared" si="12"/>
        <v>8481</v>
      </c>
      <c r="BM23" s="67">
        <f t="shared" si="12"/>
        <v>24</v>
      </c>
      <c r="BN23" s="68">
        <f t="shared" si="12"/>
        <v>63</v>
      </c>
      <c r="BO23" s="69">
        <f t="shared" si="12"/>
        <v>37704</v>
      </c>
      <c r="BP23" s="70">
        <f t="shared" si="12"/>
        <v>143</v>
      </c>
      <c r="BQ23" s="23">
        <f>BP23+'20.04'!BP23</f>
        <v>169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BU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67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7</v>
      </c>
      <c r="D9" s="31">
        <f t="shared" si="0"/>
        <v>15</v>
      </c>
      <c r="E9" s="32">
        <v>452</v>
      </c>
      <c r="F9" s="22">
        <v>1</v>
      </c>
      <c r="G9" s="23">
        <f>F9+'02.05'!G9</f>
        <v>6</v>
      </c>
      <c r="H9" s="33">
        <v>12</v>
      </c>
      <c r="I9" s="34">
        <v>0</v>
      </c>
      <c r="J9" s="23">
        <f>I9+'02.05'!J9</f>
        <v>2</v>
      </c>
      <c r="K9" s="33">
        <v>2</v>
      </c>
      <c r="L9" s="22">
        <v>0</v>
      </c>
      <c r="M9" s="23">
        <f>L9+'02.05'!M9</f>
        <v>0</v>
      </c>
      <c r="N9" s="33">
        <v>735</v>
      </c>
      <c r="O9" s="22">
        <v>0</v>
      </c>
      <c r="P9" s="23">
        <f>O9+'02.05'!P9</f>
        <v>0</v>
      </c>
      <c r="Q9" s="33">
        <v>502</v>
      </c>
      <c r="R9" s="22">
        <v>0</v>
      </c>
      <c r="S9" s="23">
        <f>R9+'02.05'!S9</f>
        <v>0</v>
      </c>
      <c r="T9" s="33">
        <v>197</v>
      </c>
      <c r="U9" s="22">
        <v>0</v>
      </c>
      <c r="V9" s="23">
        <f>U9+'02.05'!V9</f>
        <v>0</v>
      </c>
      <c r="W9" s="33">
        <v>47</v>
      </c>
      <c r="X9" s="22">
        <v>6</v>
      </c>
      <c r="Y9" s="23">
        <f>X9+'02.05'!Y9</f>
        <v>7</v>
      </c>
      <c r="Z9" s="33">
        <v>34</v>
      </c>
      <c r="AA9" s="22">
        <v>0</v>
      </c>
      <c r="AB9" s="23">
        <f>AA9+'02.05'!AB9</f>
        <v>0</v>
      </c>
      <c r="AC9" s="33">
        <v>1860</v>
      </c>
      <c r="AD9" s="22">
        <v>0</v>
      </c>
      <c r="AE9" s="23">
        <f>AD9+'02.05'!AE9</f>
        <v>0</v>
      </c>
      <c r="AF9" s="19">
        <f t="shared" si="1"/>
        <v>10000</v>
      </c>
      <c r="AG9" s="20">
        <f t="shared" si="1"/>
        <v>27405</v>
      </c>
      <c r="AH9" s="24">
        <v>60</v>
      </c>
      <c r="AI9" s="23">
        <f>AH9+'02.05'!AI9</f>
        <v>285</v>
      </c>
      <c r="AJ9" s="24">
        <v>1740</v>
      </c>
      <c r="AK9" s="23">
        <f>AJ9+'02.05'!AK9</f>
        <v>2590</v>
      </c>
      <c r="AL9" s="22">
        <v>600</v>
      </c>
      <c r="AM9" s="23">
        <f>AL9+'02.05'!AM9</f>
        <v>2910</v>
      </c>
      <c r="AN9" s="22">
        <v>7600</v>
      </c>
      <c r="AO9" s="23">
        <f>AN9+'02.05'!AO9</f>
        <v>21620</v>
      </c>
      <c r="AP9" s="28" t="s">
        <v>43</v>
      </c>
      <c r="AQ9" s="19">
        <f t="shared" si="3"/>
        <v>27</v>
      </c>
      <c r="AR9" s="20">
        <f t="shared" si="3"/>
        <v>858</v>
      </c>
      <c r="AS9" s="34">
        <v>0</v>
      </c>
      <c r="AT9" s="23">
        <f>AS9+'02.05'!AT9</f>
        <v>0</v>
      </c>
      <c r="AU9" s="34">
        <v>2</v>
      </c>
      <c r="AV9" s="23">
        <f>AU9+'02.05'!AV9</f>
        <v>2</v>
      </c>
      <c r="AW9" s="34">
        <v>0</v>
      </c>
      <c r="AX9" s="23">
        <f>AW9+'02.05'!AX9</f>
        <v>1</v>
      </c>
      <c r="AY9" s="34">
        <v>0</v>
      </c>
      <c r="AZ9" s="23">
        <f>AY9+'02.05'!AZ9</f>
        <v>0</v>
      </c>
      <c r="BA9" s="34">
        <v>25</v>
      </c>
      <c r="BB9" s="23">
        <f>BA9+'02.05'!BB9</f>
        <v>855</v>
      </c>
      <c r="BC9" s="19">
        <f t="shared" si="5"/>
        <v>606</v>
      </c>
      <c r="BD9" s="20">
        <f t="shared" si="5"/>
        <v>1008</v>
      </c>
      <c r="BE9" s="22">
        <v>1</v>
      </c>
      <c r="BF9" s="23">
        <f>BE9+'02.05'!BF9</f>
        <v>3</v>
      </c>
      <c r="BG9" s="34">
        <v>0</v>
      </c>
      <c r="BH9" s="23">
        <f>BG9+'02.05'!BH9</f>
        <v>0</v>
      </c>
      <c r="BI9" s="22">
        <v>600</v>
      </c>
      <c r="BJ9" s="23">
        <f>BI9+'02.05'!BJ9</f>
        <v>1000</v>
      </c>
      <c r="BK9" s="22">
        <v>0</v>
      </c>
      <c r="BL9" s="23">
        <f>BK9+'02.05'!BL9</f>
        <v>0</v>
      </c>
      <c r="BM9" s="22">
        <v>5</v>
      </c>
      <c r="BN9" s="23">
        <f>BM9+'02.05'!BN9</f>
        <v>5</v>
      </c>
      <c r="BO9" s="36">
        <v>14</v>
      </c>
      <c r="BP9" s="37">
        <v>0</v>
      </c>
      <c r="BQ9" s="23">
        <f>BP9+'02.05'!BQ9</f>
        <v>0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63</v>
      </c>
      <c r="D10" s="31">
        <f t="shared" si="0"/>
        <v>275</v>
      </c>
      <c r="E10" s="32">
        <v>585</v>
      </c>
      <c r="F10" s="22">
        <v>3</v>
      </c>
      <c r="G10" s="23">
        <f>F10+'02.05'!G10</f>
        <v>30</v>
      </c>
      <c r="H10" s="33">
        <v>93</v>
      </c>
      <c r="I10" s="34">
        <v>0</v>
      </c>
      <c r="J10" s="23">
        <f>I10+'02.05'!J10</f>
        <v>3</v>
      </c>
      <c r="K10" s="33">
        <v>34</v>
      </c>
      <c r="L10" s="22">
        <v>0</v>
      </c>
      <c r="M10" s="23">
        <f>L10+'02.05'!M10</f>
        <v>1</v>
      </c>
      <c r="N10" s="33">
        <v>352</v>
      </c>
      <c r="O10" s="22">
        <v>0</v>
      </c>
      <c r="P10" s="23">
        <f>O10+'02.05'!P10</f>
        <v>13</v>
      </c>
      <c r="Q10" s="33">
        <v>549</v>
      </c>
      <c r="R10" s="22">
        <v>0</v>
      </c>
      <c r="S10" s="23">
        <f>R10+'02.05'!S10</f>
        <v>11</v>
      </c>
      <c r="T10" s="33">
        <v>198</v>
      </c>
      <c r="U10" s="22">
        <v>0</v>
      </c>
      <c r="V10" s="23">
        <f>U10+'02.05'!V10</f>
        <v>8</v>
      </c>
      <c r="W10" s="38">
        <v>55</v>
      </c>
      <c r="X10" s="22">
        <v>12</v>
      </c>
      <c r="Y10" s="23">
        <f>X10+'02.05'!Y10</f>
        <v>22</v>
      </c>
      <c r="Z10" s="38">
        <v>71</v>
      </c>
      <c r="AA10" s="22">
        <v>0</v>
      </c>
      <c r="AB10" s="23">
        <f>AA10+'02.05'!AB10</f>
        <v>3</v>
      </c>
      <c r="AC10" s="38">
        <v>1690</v>
      </c>
      <c r="AD10" s="22">
        <v>48</v>
      </c>
      <c r="AE10" s="23">
        <f>AD10+'02.05'!AE10</f>
        <v>184</v>
      </c>
      <c r="AF10" s="19">
        <f t="shared" si="1"/>
        <v>102753</v>
      </c>
      <c r="AG10" s="20">
        <f t="shared" si="1"/>
        <v>334579</v>
      </c>
      <c r="AH10" s="24">
        <v>370</v>
      </c>
      <c r="AI10" s="23">
        <f>AH10+'02.05'!AI10</f>
        <v>2671</v>
      </c>
      <c r="AJ10" s="24">
        <v>3186</v>
      </c>
      <c r="AK10" s="23">
        <f>AJ10+'02.05'!AK10</f>
        <v>14170</v>
      </c>
      <c r="AL10" s="22">
        <v>8473</v>
      </c>
      <c r="AM10" s="23">
        <f>AL10+'02.05'!AM10</f>
        <v>37018</v>
      </c>
      <c r="AN10" s="22">
        <v>90724</v>
      </c>
      <c r="AO10" s="23">
        <f>AN10+'02.05'!AO10</f>
        <v>280720</v>
      </c>
      <c r="AP10" s="28" t="s">
        <v>44</v>
      </c>
      <c r="AQ10" s="19">
        <f t="shared" si="3"/>
        <v>2</v>
      </c>
      <c r="AR10" s="20">
        <f t="shared" si="3"/>
        <v>13</v>
      </c>
      <c r="AS10" s="34">
        <v>0</v>
      </c>
      <c r="AT10" s="23">
        <f>AS10+'02.05'!AT10</f>
        <v>2</v>
      </c>
      <c r="AU10" s="34">
        <v>0</v>
      </c>
      <c r="AV10" s="23">
        <f>AU10+'02.05'!AV10</f>
        <v>1</v>
      </c>
      <c r="AW10" s="34">
        <v>0</v>
      </c>
      <c r="AX10" s="23">
        <f>AW10+'02.05'!AX10</f>
        <v>0</v>
      </c>
      <c r="AY10" s="34">
        <v>0</v>
      </c>
      <c r="AZ10" s="23">
        <f>AY10+'02.05'!AZ10</f>
        <v>0</v>
      </c>
      <c r="BA10" s="34">
        <v>2</v>
      </c>
      <c r="BB10" s="23">
        <f>BA10+'02.05'!BB10</f>
        <v>10</v>
      </c>
      <c r="BC10" s="19">
        <f t="shared" si="5"/>
        <v>3144</v>
      </c>
      <c r="BD10" s="20">
        <f t="shared" si="5"/>
        <v>11758</v>
      </c>
      <c r="BE10" s="22">
        <v>476</v>
      </c>
      <c r="BF10" s="23">
        <f>BE10+'02.05'!BF10</f>
        <v>1660</v>
      </c>
      <c r="BG10" s="34">
        <v>0</v>
      </c>
      <c r="BH10" s="23">
        <f>BG10+'02.05'!BH10</f>
        <v>1</v>
      </c>
      <c r="BI10" s="22">
        <v>1837</v>
      </c>
      <c r="BJ10" s="23">
        <f>BI10+'02.05'!BJ10</f>
        <v>6955</v>
      </c>
      <c r="BK10" s="22">
        <v>831</v>
      </c>
      <c r="BL10" s="23">
        <f>BK10+'02.05'!BL10</f>
        <v>3142</v>
      </c>
      <c r="BM10" s="22">
        <v>0</v>
      </c>
      <c r="BN10" s="23">
        <f>BM10+'02.05'!BN10</f>
        <v>0</v>
      </c>
      <c r="BO10" s="36">
        <v>32</v>
      </c>
      <c r="BP10" s="37">
        <v>1</v>
      </c>
      <c r="BQ10" s="23">
        <f>BP10+'02.05'!BQ10</f>
        <v>1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40</v>
      </c>
      <c r="D11" s="31">
        <f t="shared" si="0"/>
        <v>130</v>
      </c>
      <c r="E11" s="32">
        <v>883</v>
      </c>
      <c r="F11" s="22">
        <v>19</v>
      </c>
      <c r="G11" s="23">
        <f>F11+'02.05'!G11</f>
        <v>67</v>
      </c>
      <c r="H11" s="33">
        <v>16</v>
      </c>
      <c r="I11" s="34">
        <v>0</v>
      </c>
      <c r="J11" s="23">
        <f>I11+'02.05'!J11</f>
        <v>0</v>
      </c>
      <c r="K11" s="33">
        <v>3</v>
      </c>
      <c r="L11" s="22">
        <v>0</v>
      </c>
      <c r="M11" s="23">
        <f>L11+'02.05'!M11</f>
        <v>0</v>
      </c>
      <c r="N11" s="33">
        <v>875</v>
      </c>
      <c r="O11" s="22">
        <v>0</v>
      </c>
      <c r="P11" s="23">
        <f>O11+'02.05'!P11</f>
        <v>0</v>
      </c>
      <c r="Q11" s="33">
        <v>2424</v>
      </c>
      <c r="R11" s="22">
        <v>0</v>
      </c>
      <c r="S11" s="23">
        <f>R11+'02.05'!S11</f>
        <v>0</v>
      </c>
      <c r="T11" s="33">
        <v>69</v>
      </c>
      <c r="U11" s="22">
        <v>0</v>
      </c>
      <c r="V11" s="23">
        <f>U11+'02.05'!V11</f>
        <v>0</v>
      </c>
      <c r="W11" s="38">
        <v>133</v>
      </c>
      <c r="X11" s="22">
        <v>20</v>
      </c>
      <c r="Y11" s="23">
        <f>X11+'02.05'!Y11</f>
        <v>60</v>
      </c>
      <c r="Z11" s="38">
        <v>1116</v>
      </c>
      <c r="AA11" s="22">
        <v>0</v>
      </c>
      <c r="AB11" s="23">
        <f>AA11+'02.05'!AB11</f>
        <v>0</v>
      </c>
      <c r="AC11" s="38">
        <v>9862</v>
      </c>
      <c r="AD11" s="22">
        <v>1</v>
      </c>
      <c r="AE11" s="23">
        <f>AD11+'02.05'!AE11</f>
        <v>3</v>
      </c>
      <c r="AF11" s="19">
        <f t="shared" si="1"/>
        <v>25000</v>
      </c>
      <c r="AG11" s="20">
        <f t="shared" si="1"/>
        <v>91200</v>
      </c>
      <c r="AH11" s="24">
        <v>3000</v>
      </c>
      <c r="AI11" s="23">
        <f>AH11+'02.05'!AI11</f>
        <v>8000</v>
      </c>
      <c r="AJ11" s="24">
        <v>2000</v>
      </c>
      <c r="AK11" s="23">
        <f>AJ11+'02.05'!AK11</f>
        <v>10200</v>
      </c>
      <c r="AL11" s="22">
        <v>7900</v>
      </c>
      <c r="AM11" s="23">
        <f>AL11+'02.05'!AM11</f>
        <v>25900</v>
      </c>
      <c r="AN11" s="22">
        <v>12100</v>
      </c>
      <c r="AO11" s="23">
        <f>AN11+'02.05'!AO11</f>
        <v>47100</v>
      </c>
      <c r="AP11" s="28" t="s">
        <v>45</v>
      </c>
      <c r="AQ11" s="19">
        <f t="shared" si="3"/>
        <v>2</v>
      </c>
      <c r="AR11" s="20">
        <f t="shared" si="3"/>
        <v>7</v>
      </c>
      <c r="AS11" s="34">
        <v>0</v>
      </c>
      <c r="AT11" s="23">
        <f>AS11+'02.05'!AT11</f>
        <v>0</v>
      </c>
      <c r="AU11" s="34">
        <v>0</v>
      </c>
      <c r="AV11" s="23">
        <f>AU11+'02.05'!AV11</f>
        <v>0</v>
      </c>
      <c r="AW11" s="34">
        <v>0</v>
      </c>
      <c r="AX11" s="23">
        <f>AW11+'02.05'!AX11</f>
        <v>0</v>
      </c>
      <c r="AY11" s="34">
        <v>0</v>
      </c>
      <c r="AZ11" s="23">
        <f>AY11+'02.05'!AZ11</f>
        <v>0</v>
      </c>
      <c r="BA11" s="34">
        <v>2</v>
      </c>
      <c r="BB11" s="23">
        <f>BA11+'02.05'!BB11</f>
        <v>7</v>
      </c>
      <c r="BC11" s="19">
        <f t="shared" si="5"/>
        <v>867</v>
      </c>
      <c r="BD11" s="20">
        <f t="shared" si="5"/>
        <v>3123</v>
      </c>
      <c r="BE11" s="22">
        <v>2</v>
      </c>
      <c r="BF11" s="23">
        <f>BE11+'02.05'!BF11</f>
        <v>4</v>
      </c>
      <c r="BG11" s="34">
        <v>3</v>
      </c>
      <c r="BH11" s="23">
        <f>BG11+'02.05'!BH11</f>
        <v>8</v>
      </c>
      <c r="BI11" s="22">
        <v>840</v>
      </c>
      <c r="BJ11" s="23">
        <f>BI11+'02.05'!BJ11</f>
        <v>3040</v>
      </c>
      <c r="BK11" s="22">
        <v>22</v>
      </c>
      <c r="BL11" s="23">
        <f>BK11+'02.05'!BL11</f>
        <v>71</v>
      </c>
      <c r="BM11" s="22">
        <v>0</v>
      </c>
      <c r="BN11" s="23">
        <f>BM11+'02.05'!BN11</f>
        <v>0</v>
      </c>
      <c r="BO11" s="36">
        <v>11506</v>
      </c>
      <c r="BP11" s="37">
        <v>2</v>
      </c>
      <c r="BQ11" s="23">
        <f>BP11+'02.05'!BQ11</f>
        <v>7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199</v>
      </c>
      <c r="D12" s="31">
        <f t="shared" si="0"/>
        <v>672</v>
      </c>
      <c r="E12" s="32">
        <v>909</v>
      </c>
      <c r="F12" s="22">
        <v>63</v>
      </c>
      <c r="G12" s="23">
        <f>F12+'02.05'!G12</f>
        <v>198</v>
      </c>
      <c r="H12" s="33">
        <v>80</v>
      </c>
      <c r="I12" s="34">
        <v>0</v>
      </c>
      <c r="J12" s="23">
        <f>I12+'02.05'!J12</f>
        <v>11</v>
      </c>
      <c r="K12" s="33">
        <v>5</v>
      </c>
      <c r="L12" s="22">
        <v>0</v>
      </c>
      <c r="M12" s="23">
        <f>L12+'02.05'!M12</f>
        <v>0</v>
      </c>
      <c r="N12" s="33">
        <v>820</v>
      </c>
      <c r="O12" s="22">
        <v>0</v>
      </c>
      <c r="P12" s="23">
        <f>O12+'02.05'!P12</f>
        <v>58</v>
      </c>
      <c r="Q12" s="33">
        <v>549</v>
      </c>
      <c r="R12" s="22">
        <v>0</v>
      </c>
      <c r="S12" s="23">
        <f>R12+'02.05'!S12</f>
        <v>0</v>
      </c>
      <c r="T12" s="33">
        <v>992</v>
      </c>
      <c r="U12" s="22">
        <v>0</v>
      </c>
      <c r="V12" s="23">
        <f>U12+'02.05'!V12</f>
        <v>0</v>
      </c>
      <c r="W12" s="33">
        <v>38</v>
      </c>
      <c r="X12" s="22">
        <v>94</v>
      </c>
      <c r="Y12" s="23">
        <f>X12+'02.05'!Y12</f>
        <v>303</v>
      </c>
      <c r="Z12" s="33">
        <v>68</v>
      </c>
      <c r="AA12" s="22">
        <v>0</v>
      </c>
      <c r="AB12" s="23">
        <f>AA12+'02.05'!AB12</f>
        <v>0</v>
      </c>
      <c r="AC12" s="33">
        <v>26703</v>
      </c>
      <c r="AD12" s="22">
        <v>42</v>
      </c>
      <c r="AE12" s="23">
        <f>AD12+'02.05'!AE12</f>
        <v>102</v>
      </c>
      <c r="AF12" s="19">
        <f t="shared" si="1"/>
        <v>6420</v>
      </c>
      <c r="AG12" s="20">
        <f t="shared" si="1"/>
        <v>16626</v>
      </c>
      <c r="AH12" s="24">
        <v>613</v>
      </c>
      <c r="AI12" s="23">
        <f>AH12+'02.05'!AI12</f>
        <v>2527</v>
      </c>
      <c r="AJ12" s="24">
        <v>1307</v>
      </c>
      <c r="AK12" s="23">
        <f>AJ12+'02.05'!AK12</f>
        <v>3399</v>
      </c>
      <c r="AL12" s="22">
        <v>2250</v>
      </c>
      <c r="AM12" s="23">
        <f>AL12+'02.05'!AM12</f>
        <v>5350</v>
      </c>
      <c r="AN12" s="22">
        <v>2250</v>
      </c>
      <c r="AO12" s="23">
        <f>AN12+'02.05'!AO12</f>
        <v>5350</v>
      </c>
      <c r="AP12" s="28" t="s">
        <v>46</v>
      </c>
      <c r="AQ12" s="19">
        <f t="shared" si="3"/>
        <v>68</v>
      </c>
      <c r="AR12" s="20">
        <f t="shared" si="3"/>
        <v>218</v>
      </c>
      <c r="AS12" s="34">
        <v>0</v>
      </c>
      <c r="AT12" s="23">
        <f>AS12+'02.05'!AT12</f>
        <v>0</v>
      </c>
      <c r="AU12" s="34">
        <v>0</v>
      </c>
      <c r="AV12" s="23">
        <f>AU12+'02.05'!AV12</f>
        <v>0</v>
      </c>
      <c r="AW12" s="34">
        <v>0</v>
      </c>
      <c r="AX12" s="23">
        <f>AW12+'02.05'!AX12</f>
        <v>0</v>
      </c>
      <c r="AY12" s="34">
        <v>0</v>
      </c>
      <c r="AZ12" s="23">
        <f>AY12+'02.05'!AZ12</f>
        <v>0</v>
      </c>
      <c r="BA12" s="34">
        <v>68</v>
      </c>
      <c r="BB12" s="23">
        <f>BA12+'02.05'!BB12</f>
        <v>218</v>
      </c>
      <c r="BC12" s="19">
        <f t="shared" si="5"/>
        <v>3026</v>
      </c>
      <c r="BD12" s="20">
        <f t="shared" si="5"/>
        <v>8346</v>
      </c>
      <c r="BE12" s="22">
        <v>268</v>
      </c>
      <c r="BF12" s="23">
        <f>BE12+'02.05'!BF12</f>
        <v>768</v>
      </c>
      <c r="BG12" s="34">
        <v>8</v>
      </c>
      <c r="BH12" s="23">
        <f>BG12+'02.05'!BH12</f>
        <v>28</v>
      </c>
      <c r="BI12" s="22">
        <v>2500</v>
      </c>
      <c r="BJ12" s="23">
        <f>BI12+'02.05'!BJ12</f>
        <v>6900</v>
      </c>
      <c r="BK12" s="22">
        <v>250</v>
      </c>
      <c r="BL12" s="23">
        <f>BK12+'02.05'!BL12</f>
        <v>650</v>
      </c>
      <c r="BM12" s="22">
        <v>0</v>
      </c>
      <c r="BN12" s="23">
        <f>BM12+'02.05'!BN12</f>
        <v>0</v>
      </c>
      <c r="BO12" s="36"/>
      <c r="BP12" s="37">
        <v>0</v>
      </c>
      <c r="BQ12" s="23">
        <f>BP12+'02.05'!BQ12</f>
        <v>4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>
        <f t="shared" si="0"/>
        <v>115</v>
      </c>
      <c r="E13" s="32">
        <v>516</v>
      </c>
      <c r="F13" s="22">
        <v>1</v>
      </c>
      <c r="G13" s="23">
        <f>F13+'02.05'!G13</f>
        <v>3</v>
      </c>
      <c r="H13" s="33">
        <v>10</v>
      </c>
      <c r="I13" s="34">
        <v>0</v>
      </c>
      <c r="J13" s="23">
        <f>I13+'02.05'!J13</f>
        <v>2</v>
      </c>
      <c r="K13" s="33">
        <v>38</v>
      </c>
      <c r="L13" s="22">
        <v>0</v>
      </c>
      <c r="M13" s="23">
        <f>L13+'02.05'!M13</f>
        <v>0</v>
      </c>
      <c r="N13" s="33">
        <v>581</v>
      </c>
      <c r="O13" s="22">
        <v>0</v>
      </c>
      <c r="P13" s="23">
        <f>O13+'02.05'!P13</f>
        <v>1</v>
      </c>
      <c r="Q13" s="33">
        <v>525</v>
      </c>
      <c r="R13" s="22">
        <v>0</v>
      </c>
      <c r="S13" s="23">
        <f>R13+'02.05'!S13</f>
        <v>0</v>
      </c>
      <c r="T13" s="33">
        <v>263</v>
      </c>
      <c r="U13" s="22">
        <v>0</v>
      </c>
      <c r="V13" s="23">
        <f>U13+'02.05'!V13</f>
        <v>0</v>
      </c>
      <c r="W13" s="33">
        <v>43</v>
      </c>
      <c r="X13" s="22">
        <v>0</v>
      </c>
      <c r="Y13" s="23">
        <f>X13+'02.05'!Y13</f>
        <v>0</v>
      </c>
      <c r="Z13" s="33">
        <v>17</v>
      </c>
      <c r="AA13" s="22">
        <v>0</v>
      </c>
      <c r="AB13" s="23">
        <f>AA13+'02.05'!AB13</f>
        <v>0</v>
      </c>
      <c r="AC13" s="33">
        <v>51</v>
      </c>
      <c r="AD13" s="22">
        <v>1</v>
      </c>
      <c r="AE13" s="23">
        <f>AD13+'02.05'!AE13</f>
        <v>109</v>
      </c>
      <c r="AF13" s="19">
        <f t="shared" si="1"/>
        <v>277000</v>
      </c>
      <c r="AG13" s="20">
        <f t="shared" si="1"/>
        <v>703300</v>
      </c>
      <c r="AH13" s="24">
        <v>1000</v>
      </c>
      <c r="AI13" s="23">
        <f>AH13+'02.05'!AI13</f>
        <v>7000</v>
      </c>
      <c r="AJ13" s="24">
        <v>6000</v>
      </c>
      <c r="AK13" s="23">
        <f>AJ13+'02.05'!AK13</f>
        <v>57300</v>
      </c>
      <c r="AL13" s="22">
        <v>20000</v>
      </c>
      <c r="AM13" s="23">
        <f>AL13+'02.05'!AM13</f>
        <v>70000</v>
      </c>
      <c r="AN13" s="22">
        <v>250000</v>
      </c>
      <c r="AO13" s="23">
        <f>AN13+'02.05'!AO13</f>
        <v>569000</v>
      </c>
      <c r="AP13" s="28" t="s">
        <v>47</v>
      </c>
      <c r="AQ13" s="19">
        <f t="shared" si="3"/>
        <v>20</v>
      </c>
      <c r="AR13" s="20">
        <f t="shared" si="3"/>
        <v>86</v>
      </c>
      <c r="AS13" s="34">
        <v>0</v>
      </c>
      <c r="AT13" s="23">
        <f>AS13+'02.05'!AT13</f>
        <v>2</v>
      </c>
      <c r="AU13" s="34">
        <v>0</v>
      </c>
      <c r="AV13" s="23">
        <f>AU13+'02.05'!AV13</f>
        <v>2</v>
      </c>
      <c r="AW13" s="34">
        <v>0</v>
      </c>
      <c r="AX13" s="23">
        <f>AW13+'02.05'!AX13</f>
        <v>0</v>
      </c>
      <c r="AY13" s="34">
        <v>0</v>
      </c>
      <c r="AZ13" s="23">
        <f>AY13+'02.05'!AZ13</f>
        <v>0</v>
      </c>
      <c r="BA13" s="34">
        <v>20</v>
      </c>
      <c r="BB13" s="23">
        <f>BA13+'02.05'!BB13</f>
        <v>82</v>
      </c>
      <c r="BC13" s="19">
        <f t="shared" si="5"/>
        <v>4576</v>
      </c>
      <c r="BD13" s="20">
        <f t="shared" si="5"/>
        <v>37941</v>
      </c>
      <c r="BE13" s="22">
        <v>516</v>
      </c>
      <c r="BF13" s="23">
        <f>BE13+'02.05'!BF13</f>
        <v>1548</v>
      </c>
      <c r="BG13" s="34">
        <v>10</v>
      </c>
      <c r="BH13" s="23">
        <f>BG13+'02.05'!BH13</f>
        <v>43</v>
      </c>
      <c r="BI13" s="22">
        <v>4000</v>
      </c>
      <c r="BJ13" s="23">
        <f>BI13+'02.05'!BJ13</f>
        <v>36000</v>
      </c>
      <c r="BK13" s="22">
        <v>50</v>
      </c>
      <c r="BL13" s="23">
        <f>BK13+'02.05'!BL13</f>
        <v>350</v>
      </c>
      <c r="BM13" s="22">
        <v>0</v>
      </c>
      <c r="BN13" s="23">
        <f>BM13+'02.05'!BN13</f>
        <v>0</v>
      </c>
      <c r="BO13" s="36"/>
      <c r="BP13" s="37">
        <v>1</v>
      </c>
      <c r="BQ13" s="23">
        <f>BP13+'02.05'!BQ13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94</v>
      </c>
      <c r="D14" s="42">
        <f t="shared" si="0"/>
        <v>371</v>
      </c>
      <c r="E14" s="43">
        <v>304</v>
      </c>
      <c r="F14" s="22">
        <v>78</v>
      </c>
      <c r="G14" s="23">
        <f>F14+'02.05'!G14</f>
        <v>282</v>
      </c>
      <c r="H14" s="44">
        <v>5</v>
      </c>
      <c r="I14" s="45">
        <v>0</v>
      </c>
      <c r="J14" s="23">
        <f>I14+'02.05'!J14</f>
        <v>0</v>
      </c>
      <c r="K14" s="44">
        <v>34</v>
      </c>
      <c r="L14" s="22">
        <v>0</v>
      </c>
      <c r="M14" s="23">
        <f>L14+'02.05'!M14</f>
        <v>0</v>
      </c>
      <c r="N14" s="44">
        <v>583</v>
      </c>
      <c r="O14" s="22">
        <v>0</v>
      </c>
      <c r="P14" s="23">
        <f>O14+'02.05'!P14</f>
        <v>0</v>
      </c>
      <c r="Q14" s="44">
        <v>254</v>
      </c>
      <c r="R14" s="22">
        <v>0</v>
      </c>
      <c r="S14" s="23">
        <f>R14+'02.05'!S14</f>
        <v>0</v>
      </c>
      <c r="T14" s="44">
        <v>196</v>
      </c>
      <c r="U14" s="22">
        <v>0</v>
      </c>
      <c r="V14" s="23">
        <f>U14+'02.05'!V14</f>
        <v>0</v>
      </c>
      <c r="W14" s="44">
        <v>30</v>
      </c>
      <c r="X14" s="22">
        <v>16</v>
      </c>
      <c r="Y14" s="23">
        <f>X14+'02.05'!Y14</f>
        <v>71</v>
      </c>
      <c r="Z14" s="44">
        <v>10</v>
      </c>
      <c r="AA14" s="22">
        <v>0</v>
      </c>
      <c r="AB14" s="23">
        <f>AA14+'02.05'!AB14</f>
        <v>0</v>
      </c>
      <c r="AC14" s="44">
        <v>2500</v>
      </c>
      <c r="AD14" s="22">
        <v>0</v>
      </c>
      <c r="AE14" s="23">
        <f>AD14+'02.05'!AE14</f>
        <v>18</v>
      </c>
      <c r="AF14" s="19">
        <f t="shared" si="1"/>
        <v>86830</v>
      </c>
      <c r="AG14" s="20">
        <f t="shared" si="1"/>
        <v>315500</v>
      </c>
      <c r="AH14" s="24">
        <v>780</v>
      </c>
      <c r="AI14" s="23">
        <f>AH14+'02.05'!AI14</f>
        <v>7220</v>
      </c>
      <c r="AJ14" s="24">
        <v>4300</v>
      </c>
      <c r="AK14" s="23">
        <f>AJ14+'02.05'!AK14</f>
        <v>15450</v>
      </c>
      <c r="AL14" s="22">
        <v>4550</v>
      </c>
      <c r="AM14" s="23">
        <f>AL14+'02.05'!AM14</f>
        <v>17750</v>
      </c>
      <c r="AN14" s="22">
        <v>77200</v>
      </c>
      <c r="AO14" s="23">
        <f>AN14+'02.05'!AO14</f>
        <v>275080</v>
      </c>
      <c r="AP14" s="39" t="s">
        <v>48</v>
      </c>
      <c r="AQ14" s="19">
        <f t="shared" si="3"/>
        <v>5</v>
      </c>
      <c r="AR14" s="20">
        <f t="shared" si="3"/>
        <v>15</v>
      </c>
      <c r="AS14" s="45">
        <v>0</v>
      </c>
      <c r="AT14" s="23">
        <f>AS14+'02.05'!AT14</f>
        <v>0</v>
      </c>
      <c r="AU14" s="45">
        <v>0</v>
      </c>
      <c r="AV14" s="23">
        <f>AU14+'02.05'!AV14</f>
        <v>0</v>
      </c>
      <c r="AW14" s="45">
        <v>0</v>
      </c>
      <c r="AX14" s="23">
        <f>AW14+'02.05'!AX14</f>
        <v>0</v>
      </c>
      <c r="AY14" s="45">
        <v>0</v>
      </c>
      <c r="AZ14" s="23">
        <f>AY14+'02.05'!AZ14</f>
        <v>0</v>
      </c>
      <c r="BA14" s="45">
        <v>5</v>
      </c>
      <c r="BB14" s="23">
        <f>BA14+'02.05'!BB14</f>
        <v>15</v>
      </c>
      <c r="BC14" s="19">
        <f t="shared" si="5"/>
        <v>3864</v>
      </c>
      <c r="BD14" s="20">
        <f t="shared" si="5"/>
        <v>11700</v>
      </c>
      <c r="BE14" s="22">
        <v>5</v>
      </c>
      <c r="BF14" s="23">
        <f>BE14+'02.05'!BF14</f>
        <v>14</v>
      </c>
      <c r="BG14" s="45">
        <v>2</v>
      </c>
      <c r="BH14" s="23">
        <f>BG14+'02.05'!BH14</f>
        <v>8</v>
      </c>
      <c r="BI14" s="22">
        <v>3850</v>
      </c>
      <c r="BJ14" s="23">
        <f>BI14+'02.05'!BJ14</f>
        <v>11650</v>
      </c>
      <c r="BK14" s="22">
        <v>4</v>
      </c>
      <c r="BL14" s="23">
        <f>BK14+'02.05'!BL14</f>
        <v>15</v>
      </c>
      <c r="BM14" s="22">
        <v>3</v>
      </c>
      <c r="BN14" s="23">
        <f>BM14+'02.05'!BN14</f>
        <v>13</v>
      </c>
      <c r="BO14" s="48">
        <v>22</v>
      </c>
      <c r="BP14" s="49">
        <v>0</v>
      </c>
      <c r="BQ14" s="23">
        <f>BP14+'02.05'!BQ14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549</v>
      </c>
      <c r="D15" s="53">
        <f t="shared" si="0"/>
        <v>1482</v>
      </c>
      <c r="E15" s="54">
        <v>776</v>
      </c>
      <c r="F15" s="55">
        <v>349</v>
      </c>
      <c r="G15" s="23">
        <f>F15+'02.05'!G15</f>
        <v>1023</v>
      </c>
      <c r="H15" s="56">
        <v>9</v>
      </c>
      <c r="I15" s="57">
        <v>0</v>
      </c>
      <c r="J15" s="23">
        <f>I15+'02.05'!J15</f>
        <v>0</v>
      </c>
      <c r="K15" s="56">
        <v>6</v>
      </c>
      <c r="L15" s="55">
        <v>0</v>
      </c>
      <c r="M15" s="23">
        <f>L15+'02.05'!M15</f>
        <v>0</v>
      </c>
      <c r="N15" s="56">
        <v>1305</v>
      </c>
      <c r="O15" s="55">
        <v>0</v>
      </c>
      <c r="P15" s="23">
        <f>O15+'02.05'!P15</f>
        <v>0</v>
      </c>
      <c r="Q15" s="56">
        <v>447</v>
      </c>
      <c r="R15" s="55">
        <v>0</v>
      </c>
      <c r="S15" s="23">
        <f>R15+'02.05'!S15</f>
        <v>0</v>
      </c>
      <c r="T15" s="56">
        <v>337</v>
      </c>
      <c r="U15" s="55">
        <v>0</v>
      </c>
      <c r="V15" s="23">
        <f>U15+'02.05'!V15</f>
        <v>0</v>
      </c>
      <c r="W15" s="56">
        <v>78</v>
      </c>
      <c r="X15" s="55">
        <v>0</v>
      </c>
      <c r="Y15" s="23">
        <f>X15+'02.05'!Y15</f>
        <v>0</v>
      </c>
      <c r="Z15" s="56">
        <v>141</v>
      </c>
      <c r="AA15" s="55">
        <v>0</v>
      </c>
      <c r="AB15" s="23">
        <f>AA15+'02.05'!AB15</f>
        <v>0</v>
      </c>
      <c r="AC15" s="56">
        <v>798</v>
      </c>
      <c r="AD15" s="55">
        <v>200</v>
      </c>
      <c r="AE15" s="23">
        <f>AD15+'02.05'!AE15</f>
        <v>459</v>
      </c>
      <c r="AF15" s="58">
        <f t="shared" si="1"/>
        <v>1530227</v>
      </c>
      <c r="AG15" s="59">
        <f t="shared" si="1"/>
        <v>4390175</v>
      </c>
      <c r="AH15" s="60">
        <v>981</v>
      </c>
      <c r="AI15" s="23">
        <f>AH15+'02.05'!AI15</f>
        <v>2862</v>
      </c>
      <c r="AJ15" s="60">
        <v>3144</v>
      </c>
      <c r="AK15" s="23">
        <f>AJ15+'02.05'!AK15</f>
        <v>9895</v>
      </c>
      <c r="AL15" s="55">
        <v>763051</v>
      </c>
      <c r="AM15" s="23">
        <f>AL15+'02.05'!AM15</f>
        <v>2188709</v>
      </c>
      <c r="AN15" s="55">
        <v>763051</v>
      </c>
      <c r="AO15" s="23">
        <f>AN15+'02.05'!AO15</f>
        <v>2188709</v>
      </c>
      <c r="AP15" s="50" t="s">
        <v>49</v>
      </c>
      <c r="AQ15" s="58">
        <f t="shared" si="3"/>
        <v>2</v>
      </c>
      <c r="AR15" s="59">
        <f t="shared" si="3"/>
        <v>6</v>
      </c>
      <c r="AS15" s="57">
        <v>0</v>
      </c>
      <c r="AT15" s="23">
        <f>AS15+'02.05'!AT15</f>
        <v>0</v>
      </c>
      <c r="AU15" s="57">
        <v>0</v>
      </c>
      <c r="AV15" s="23">
        <f>AU15+'02.05'!AV15</f>
        <v>0</v>
      </c>
      <c r="AW15" s="57">
        <v>0</v>
      </c>
      <c r="AX15" s="23">
        <f>AW15+'02.05'!AX15</f>
        <v>0</v>
      </c>
      <c r="AY15" s="57">
        <v>0</v>
      </c>
      <c r="AZ15" s="23">
        <f>AY15+'02.05'!AZ15</f>
        <v>0</v>
      </c>
      <c r="BA15" s="57">
        <v>2</v>
      </c>
      <c r="BB15" s="23">
        <f>BA15+'02.05'!BB15</f>
        <v>6</v>
      </c>
      <c r="BC15" s="58">
        <f t="shared" si="5"/>
        <v>1521</v>
      </c>
      <c r="BD15" s="59">
        <f t="shared" si="5"/>
        <v>4525</v>
      </c>
      <c r="BE15" s="55">
        <v>71</v>
      </c>
      <c r="BF15" s="23">
        <f>BE15+'02.05'!BF15</f>
        <v>205</v>
      </c>
      <c r="BG15" s="57">
        <v>2</v>
      </c>
      <c r="BH15" s="23">
        <f>BG15+'02.05'!BH15</f>
        <v>6</v>
      </c>
      <c r="BI15" s="55">
        <v>715</v>
      </c>
      <c r="BJ15" s="23">
        <f>BI15+'02.05'!BJ15</f>
        <v>2128</v>
      </c>
      <c r="BK15" s="55">
        <v>715</v>
      </c>
      <c r="BL15" s="23">
        <f>BK15+'02.05'!BL15</f>
        <v>2128</v>
      </c>
      <c r="BM15" s="55">
        <v>18</v>
      </c>
      <c r="BN15" s="23">
        <f>BM15+'02.05'!BN15</f>
        <v>58</v>
      </c>
      <c r="BO15" s="36">
        <v>6274</v>
      </c>
      <c r="BP15" s="37">
        <v>2</v>
      </c>
      <c r="BQ15" s="23">
        <f>BP15+'02.05'!BQ15</f>
        <v>6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131</v>
      </c>
      <c r="D16" s="31">
        <f t="shared" si="0"/>
        <v>406</v>
      </c>
      <c r="E16" s="32">
        <v>310</v>
      </c>
      <c r="F16" s="22">
        <v>40</v>
      </c>
      <c r="G16" s="23">
        <f>F16+'02.05'!G16</f>
        <v>122</v>
      </c>
      <c r="H16" s="33">
        <v>5</v>
      </c>
      <c r="I16" s="34">
        <v>0</v>
      </c>
      <c r="J16" s="23">
        <f>I16+'02.05'!J16</f>
        <v>0</v>
      </c>
      <c r="K16" s="33">
        <v>3</v>
      </c>
      <c r="L16" s="22">
        <v>0</v>
      </c>
      <c r="M16" s="23">
        <f>L16+'02.05'!M16</f>
        <v>0</v>
      </c>
      <c r="N16" s="33">
        <v>384</v>
      </c>
      <c r="O16" s="22">
        <v>0</v>
      </c>
      <c r="P16" s="23">
        <f>O16+'02.05'!P16</f>
        <v>0</v>
      </c>
      <c r="Q16" s="33">
        <v>245</v>
      </c>
      <c r="R16" s="22">
        <v>0</v>
      </c>
      <c r="S16" s="23">
        <f>R16+'02.05'!S16</f>
        <v>0</v>
      </c>
      <c r="T16" s="33">
        <v>397</v>
      </c>
      <c r="U16" s="22">
        <v>0</v>
      </c>
      <c r="V16" s="23">
        <f>U16+'02.05'!V16</f>
        <v>0</v>
      </c>
      <c r="W16" s="33">
        <v>24</v>
      </c>
      <c r="X16" s="22">
        <v>52</v>
      </c>
      <c r="Y16" s="23">
        <f>X16+'02.05'!Y16</f>
        <v>152</v>
      </c>
      <c r="Z16" s="33">
        <v>18</v>
      </c>
      <c r="AA16" s="22">
        <v>0</v>
      </c>
      <c r="AB16" s="23">
        <f>AA16+'02.05'!AB16</f>
        <v>0</v>
      </c>
      <c r="AC16" s="33">
        <v>18515</v>
      </c>
      <c r="AD16" s="22">
        <v>39</v>
      </c>
      <c r="AE16" s="23">
        <f>AD16+'02.05'!AE16</f>
        <v>132</v>
      </c>
      <c r="AF16" s="19">
        <f t="shared" si="1"/>
        <v>64311</v>
      </c>
      <c r="AG16" s="20">
        <f t="shared" si="1"/>
        <v>210638</v>
      </c>
      <c r="AH16" s="24">
        <v>147</v>
      </c>
      <c r="AI16" s="23">
        <f>AH16+'02.05'!AI16</f>
        <v>555</v>
      </c>
      <c r="AJ16" s="24">
        <v>1110</v>
      </c>
      <c r="AK16" s="23">
        <f>AJ16+'02.05'!AK16</f>
        <v>3116</v>
      </c>
      <c r="AL16" s="22">
        <v>1687</v>
      </c>
      <c r="AM16" s="23">
        <f>AL16+'02.05'!AM16</f>
        <v>4716</v>
      </c>
      <c r="AN16" s="22">
        <v>61367</v>
      </c>
      <c r="AO16" s="23">
        <f>AN16+'02.05'!AO16</f>
        <v>202251</v>
      </c>
      <c r="AP16" s="28" t="s">
        <v>51</v>
      </c>
      <c r="AQ16" s="19">
        <f t="shared" si="3"/>
        <v>64</v>
      </c>
      <c r="AR16" s="20">
        <f t="shared" si="3"/>
        <v>174</v>
      </c>
      <c r="AS16" s="34">
        <v>1</v>
      </c>
      <c r="AT16" s="23">
        <f>AS16+'02.05'!AT16</f>
        <v>1</v>
      </c>
      <c r="AU16" s="34">
        <v>0</v>
      </c>
      <c r="AV16" s="23">
        <f>AU16+'02.05'!AV16</f>
        <v>0</v>
      </c>
      <c r="AW16" s="34">
        <v>0</v>
      </c>
      <c r="AX16" s="23">
        <f>AW16+'02.05'!AX16</f>
        <v>0</v>
      </c>
      <c r="AY16" s="34">
        <v>0</v>
      </c>
      <c r="AZ16" s="23">
        <f>AY16+'02.05'!AZ16</f>
        <v>0</v>
      </c>
      <c r="BA16" s="34">
        <v>63</v>
      </c>
      <c r="BB16" s="23">
        <f>BA16+'02.05'!BB16</f>
        <v>173</v>
      </c>
      <c r="BC16" s="19">
        <f t="shared" si="5"/>
        <v>1190</v>
      </c>
      <c r="BD16" s="20">
        <f t="shared" si="5"/>
        <v>3652</v>
      </c>
      <c r="BE16" s="22">
        <v>57</v>
      </c>
      <c r="BF16" s="23">
        <f>BE16+'02.05'!BF16</f>
        <v>205</v>
      </c>
      <c r="BG16" s="34">
        <v>0</v>
      </c>
      <c r="BH16" s="23">
        <f>BG16+'02.05'!BH16</f>
        <v>0</v>
      </c>
      <c r="BI16" s="22">
        <v>1087</v>
      </c>
      <c r="BJ16" s="23">
        <f>BI16+'02.05'!BJ16</f>
        <v>3301</v>
      </c>
      <c r="BK16" s="22">
        <v>46</v>
      </c>
      <c r="BL16" s="23">
        <f>BK16+'02.05'!BL16</f>
        <v>146</v>
      </c>
      <c r="BM16" s="22">
        <v>0</v>
      </c>
      <c r="BN16" s="23">
        <f>BM16+'02.05'!BN16</f>
        <v>0</v>
      </c>
      <c r="BO16" s="36">
        <v>2546</v>
      </c>
      <c r="BP16" s="37">
        <v>0</v>
      </c>
      <c r="BQ16" s="23">
        <f>BP16+'02.05'!BQ16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165</v>
      </c>
      <c r="D17" s="31">
        <f t="shared" si="0"/>
        <v>535</v>
      </c>
      <c r="E17" s="32">
        <v>754</v>
      </c>
      <c r="F17" s="22">
        <v>140</v>
      </c>
      <c r="G17" s="23">
        <f>F17+'02.05'!G17</f>
        <v>430</v>
      </c>
      <c r="H17" s="33">
        <v>9</v>
      </c>
      <c r="I17" s="34">
        <v>0</v>
      </c>
      <c r="J17" s="23">
        <f>I17+'02.05'!J17</f>
        <v>0</v>
      </c>
      <c r="K17" s="33">
        <v>5</v>
      </c>
      <c r="L17" s="22">
        <v>0</v>
      </c>
      <c r="M17" s="23">
        <f>L17+'02.05'!M17</f>
        <v>0</v>
      </c>
      <c r="N17" s="33">
        <v>768</v>
      </c>
      <c r="O17" s="22">
        <v>0</v>
      </c>
      <c r="P17" s="23">
        <f>O17+'02.05'!P17</f>
        <v>0</v>
      </c>
      <c r="Q17" s="33">
        <v>624</v>
      </c>
      <c r="R17" s="22">
        <v>0</v>
      </c>
      <c r="S17" s="23">
        <f>R17+'02.05'!S17</f>
        <v>0</v>
      </c>
      <c r="T17" s="33">
        <v>742</v>
      </c>
      <c r="U17" s="22">
        <v>0</v>
      </c>
      <c r="V17" s="23">
        <f>U17+'02.05'!V17</f>
        <v>0</v>
      </c>
      <c r="W17" s="33">
        <v>54</v>
      </c>
      <c r="X17" s="22">
        <v>13</v>
      </c>
      <c r="Y17" s="23">
        <f>X17+'02.05'!Y17</f>
        <v>63</v>
      </c>
      <c r="Z17" s="33">
        <v>66</v>
      </c>
      <c r="AA17" s="22">
        <v>0</v>
      </c>
      <c r="AB17" s="23">
        <f>AA17+'02.05'!AB17</f>
        <v>0</v>
      </c>
      <c r="AC17" s="33">
        <v>2580</v>
      </c>
      <c r="AD17" s="22">
        <v>12</v>
      </c>
      <c r="AE17" s="23">
        <f>AD17+'02.05'!AE17</f>
        <v>42</v>
      </c>
      <c r="AF17" s="19">
        <f t="shared" si="1"/>
        <v>82000</v>
      </c>
      <c r="AG17" s="20">
        <f t="shared" si="1"/>
        <v>302000</v>
      </c>
      <c r="AH17" s="24">
        <v>5000</v>
      </c>
      <c r="AI17" s="23">
        <f>AH17+'02.05'!AI17</f>
        <v>20000</v>
      </c>
      <c r="AJ17" s="24">
        <v>7000</v>
      </c>
      <c r="AK17" s="23">
        <f>AJ17+'02.05'!AK17</f>
        <v>30000</v>
      </c>
      <c r="AL17" s="22">
        <v>15000</v>
      </c>
      <c r="AM17" s="23">
        <f>AL17+'02.05'!AM17</f>
        <v>63000</v>
      </c>
      <c r="AN17" s="22">
        <v>55000</v>
      </c>
      <c r="AO17" s="23">
        <f>AN17+'02.05'!AO17</f>
        <v>189000</v>
      </c>
      <c r="AP17" s="28" t="s">
        <v>52</v>
      </c>
      <c r="AQ17" s="19">
        <f t="shared" si="3"/>
        <v>2</v>
      </c>
      <c r="AR17" s="20">
        <f t="shared" si="3"/>
        <v>37</v>
      </c>
      <c r="AS17" s="34">
        <v>1</v>
      </c>
      <c r="AT17" s="23">
        <f>AS17+'02.05'!AT17</f>
        <v>4</v>
      </c>
      <c r="AU17" s="34">
        <v>1</v>
      </c>
      <c r="AV17" s="23">
        <f>AU17+'02.05'!AV17</f>
        <v>3</v>
      </c>
      <c r="AW17" s="34">
        <v>0</v>
      </c>
      <c r="AX17" s="23">
        <f>AW17+'02.05'!AX17</f>
        <v>0</v>
      </c>
      <c r="AY17" s="34">
        <v>0</v>
      </c>
      <c r="AZ17" s="23">
        <f>AY17+'02.05'!AZ17</f>
        <v>0</v>
      </c>
      <c r="BA17" s="34">
        <v>0</v>
      </c>
      <c r="BB17" s="23">
        <f>BA17+'02.05'!BB17</f>
        <v>30</v>
      </c>
      <c r="BC17" s="19">
        <f t="shared" si="5"/>
        <v>10</v>
      </c>
      <c r="BD17" s="20">
        <f t="shared" si="5"/>
        <v>3064</v>
      </c>
      <c r="BE17" s="22">
        <v>0</v>
      </c>
      <c r="BF17" s="23">
        <f>BE17+'02.05'!BF17</f>
        <v>78</v>
      </c>
      <c r="BG17" s="34">
        <v>0</v>
      </c>
      <c r="BH17" s="23">
        <f>BG17+'02.05'!BH17</f>
        <v>3</v>
      </c>
      <c r="BI17" s="22">
        <v>0</v>
      </c>
      <c r="BJ17" s="23">
        <f>BI17+'02.05'!BJ17</f>
        <v>2600</v>
      </c>
      <c r="BK17" s="22">
        <v>0</v>
      </c>
      <c r="BL17" s="23">
        <f>BK17+'02.05'!BL17</f>
        <v>370</v>
      </c>
      <c r="BM17" s="22">
        <v>10</v>
      </c>
      <c r="BN17" s="23">
        <f>BM17+'02.05'!BN17</f>
        <v>13</v>
      </c>
      <c r="BO17" s="36">
        <v>8022</v>
      </c>
      <c r="BP17" s="37">
        <v>0</v>
      </c>
      <c r="BQ17" s="23">
        <f>BP17+'02.05'!BQ17</f>
        <v>14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255</v>
      </c>
      <c r="D18" s="20">
        <f t="shared" si="0"/>
        <v>1146</v>
      </c>
      <c r="E18" s="21">
        <v>1063</v>
      </c>
      <c r="F18" s="22">
        <v>174</v>
      </c>
      <c r="G18" s="23">
        <f>F18+'02.05'!G18</f>
        <v>683</v>
      </c>
      <c r="H18" s="21">
        <v>19</v>
      </c>
      <c r="I18" s="22">
        <v>0</v>
      </c>
      <c r="J18" s="23">
        <f>I18+'02.05'!J18</f>
        <v>0</v>
      </c>
      <c r="K18" s="21">
        <v>8</v>
      </c>
      <c r="L18" s="22">
        <v>0</v>
      </c>
      <c r="M18" s="23">
        <f>L18+'02.05'!M18</f>
        <v>0</v>
      </c>
      <c r="N18" s="21">
        <v>1331</v>
      </c>
      <c r="O18" s="22">
        <v>0</v>
      </c>
      <c r="P18" s="23">
        <f>O18+'02.05'!P18</f>
        <v>0</v>
      </c>
      <c r="Q18" s="21">
        <v>777</v>
      </c>
      <c r="R18" s="22">
        <v>0</v>
      </c>
      <c r="S18" s="23">
        <f>R18+'02.05'!S18</f>
        <v>0</v>
      </c>
      <c r="T18" s="21">
        <v>318</v>
      </c>
      <c r="U18" s="22">
        <v>81</v>
      </c>
      <c r="V18" s="23">
        <f>U18+'02.05'!V18</f>
        <v>81</v>
      </c>
      <c r="W18" s="21">
        <v>60</v>
      </c>
      <c r="X18" s="22">
        <v>0</v>
      </c>
      <c r="Y18" s="23">
        <f>X18+'02.05'!Y18</f>
        <v>382</v>
      </c>
      <c r="Z18" s="21">
        <v>72</v>
      </c>
      <c r="AA18" s="22">
        <v>0</v>
      </c>
      <c r="AB18" s="23">
        <f>AA18+'02.05'!AB18</f>
        <v>0</v>
      </c>
      <c r="AC18" s="21">
        <v>143</v>
      </c>
      <c r="AD18" s="22">
        <v>0</v>
      </c>
      <c r="AE18" s="23">
        <f>AD18+'02.05'!AE18</f>
        <v>0</v>
      </c>
      <c r="AF18" s="19">
        <f t="shared" si="1"/>
        <v>114614</v>
      </c>
      <c r="AG18" s="20">
        <f t="shared" si="1"/>
        <v>726910</v>
      </c>
      <c r="AH18" s="24">
        <v>102</v>
      </c>
      <c r="AI18" s="23">
        <f>AH18+'02.05'!AI18</f>
        <v>1244</v>
      </c>
      <c r="AJ18" s="24">
        <v>2000</v>
      </c>
      <c r="AK18" s="23">
        <f>AJ18+'02.05'!AK18</f>
        <v>10872</v>
      </c>
      <c r="AL18" s="22">
        <v>2762</v>
      </c>
      <c r="AM18" s="23">
        <f>AL18+'02.05'!AM18</f>
        <v>12391</v>
      </c>
      <c r="AN18" s="22">
        <v>109750</v>
      </c>
      <c r="AO18" s="23">
        <f>AN18+'02.05'!AO18</f>
        <v>702403</v>
      </c>
      <c r="AP18" s="17" t="s">
        <v>53</v>
      </c>
      <c r="AQ18" s="19">
        <f t="shared" si="3"/>
        <v>3</v>
      </c>
      <c r="AR18" s="20">
        <f t="shared" si="3"/>
        <v>7</v>
      </c>
      <c r="AS18" s="22">
        <v>0</v>
      </c>
      <c r="AT18" s="23">
        <f>AS18+'02.05'!AT18</f>
        <v>0</v>
      </c>
      <c r="AU18" s="22">
        <v>0</v>
      </c>
      <c r="AV18" s="23">
        <f>AU18+'02.05'!AV18</f>
        <v>0</v>
      </c>
      <c r="AW18" s="22">
        <v>0</v>
      </c>
      <c r="AX18" s="23">
        <f>AW18+'02.05'!AX18</f>
        <v>0</v>
      </c>
      <c r="AY18" s="22">
        <v>0</v>
      </c>
      <c r="AZ18" s="23">
        <f>AY18+'02.05'!AZ18</f>
        <v>0</v>
      </c>
      <c r="BA18" s="22">
        <v>3</v>
      </c>
      <c r="BB18" s="23">
        <f>BA18+'02.05'!BB18</f>
        <v>7</v>
      </c>
      <c r="BC18" s="19">
        <f t="shared" si="5"/>
        <v>323</v>
      </c>
      <c r="BD18" s="20">
        <f t="shared" si="5"/>
        <v>5531</v>
      </c>
      <c r="BE18" s="22">
        <v>1</v>
      </c>
      <c r="BF18" s="23">
        <f>BE18+'02.05'!BF18</f>
        <v>3</v>
      </c>
      <c r="BG18" s="22">
        <v>0</v>
      </c>
      <c r="BH18" s="23">
        <f>BG18+'02.05'!BH18</f>
        <v>0</v>
      </c>
      <c r="BI18" s="22">
        <v>287</v>
      </c>
      <c r="BJ18" s="23">
        <f>BI18+'02.05'!BJ18</f>
        <v>5183</v>
      </c>
      <c r="BK18" s="22">
        <v>35</v>
      </c>
      <c r="BL18" s="23">
        <f>BK18+'02.05'!BL18</f>
        <v>345</v>
      </c>
      <c r="BM18" s="22">
        <v>0</v>
      </c>
      <c r="BN18" s="23">
        <f>BM18+'02.05'!BN18</f>
        <v>0</v>
      </c>
      <c r="BO18" s="36">
        <v>442</v>
      </c>
      <c r="BP18" s="37">
        <v>3</v>
      </c>
      <c r="BQ18" s="23">
        <f>BP18+'02.05'!BQ18</f>
        <v>9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53</v>
      </c>
      <c r="D19" s="31">
        <f t="shared" si="0"/>
        <v>110</v>
      </c>
      <c r="E19" s="33">
        <v>221</v>
      </c>
      <c r="F19" s="22">
        <v>16</v>
      </c>
      <c r="G19" s="23">
        <f>F19+'02.05'!G19</f>
        <v>29</v>
      </c>
      <c r="H19" s="33">
        <v>5</v>
      </c>
      <c r="I19" s="34">
        <v>0</v>
      </c>
      <c r="J19" s="23">
        <f>I19+'02.05'!J19</f>
        <v>0</v>
      </c>
      <c r="K19" s="33">
        <v>4</v>
      </c>
      <c r="L19" s="22">
        <v>0</v>
      </c>
      <c r="M19" s="23">
        <f>L19+'02.05'!M19</f>
        <v>0</v>
      </c>
      <c r="N19" s="33">
        <v>313</v>
      </c>
      <c r="O19" s="22">
        <v>0</v>
      </c>
      <c r="P19" s="23">
        <f>O19+'02.05'!P19</f>
        <v>0</v>
      </c>
      <c r="Q19" s="33">
        <v>203</v>
      </c>
      <c r="R19" s="22">
        <v>0</v>
      </c>
      <c r="S19" s="23">
        <f>R19+'02.05'!S19</f>
        <v>0</v>
      </c>
      <c r="T19" s="33">
        <v>241</v>
      </c>
      <c r="U19" s="22">
        <v>0</v>
      </c>
      <c r="V19" s="23">
        <f>U19+'02.05'!V19</f>
        <v>0</v>
      </c>
      <c r="W19" s="33">
        <v>14</v>
      </c>
      <c r="X19" s="22">
        <v>18</v>
      </c>
      <c r="Y19" s="23">
        <f>X19+'02.05'!Y19</f>
        <v>37</v>
      </c>
      <c r="Z19" s="33">
        <v>7</v>
      </c>
      <c r="AA19" s="22">
        <v>0</v>
      </c>
      <c r="AB19" s="23">
        <f>AA19+'02.05'!AB19</f>
        <v>0</v>
      </c>
      <c r="AC19" s="33">
        <v>32</v>
      </c>
      <c r="AD19" s="22">
        <v>19</v>
      </c>
      <c r="AE19" s="23">
        <f>AD19+'02.05'!AE19</f>
        <v>44</v>
      </c>
      <c r="AF19" s="19">
        <f t="shared" si="1"/>
        <v>3900</v>
      </c>
      <c r="AG19" s="20">
        <f t="shared" si="1"/>
        <v>8300</v>
      </c>
      <c r="AH19" s="24">
        <v>700</v>
      </c>
      <c r="AI19" s="23">
        <f>AH19+'02.05'!AI19</f>
        <v>1550</v>
      </c>
      <c r="AJ19" s="24">
        <v>700</v>
      </c>
      <c r="AK19" s="23">
        <f>AJ19+'02.05'!AK19</f>
        <v>1550</v>
      </c>
      <c r="AL19" s="22">
        <v>1250</v>
      </c>
      <c r="AM19" s="23">
        <f>AL19+'02.05'!AM19</f>
        <v>2600</v>
      </c>
      <c r="AN19" s="22">
        <v>1250</v>
      </c>
      <c r="AO19" s="23">
        <f>AN19+'02.05'!AO19</f>
        <v>2600</v>
      </c>
      <c r="AP19" s="28" t="s">
        <v>54</v>
      </c>
      <c r="AQ19" s="19">
        <f t="shared" si="3"/>
        <v>0</v>
      </c>
      <c r="AR19" s="20">
        <f t="shared" si="3"/>
        <v>0</v>
      </c>
      <c r="AS19" s="34">
        <v>0</v>
      </c>
      <c r="AT19" s="23">
        <f>AS19+'02.05'!AT19</f>
        <v>0</v>
      </c>
      <c r="AU19" s="34">
        <v>0</v>
      </c>
      <c r="AV19" s="23">
        <f>AU19+'02.05'!AV19</f>
        <v>0</v>
      </c>
      <c r="AW19" s="34">
        <v>0</v>
      </c>
      <c r="AX19" s="23">
        <f>AW19+'02.05'!AX19</f>
        <v>0</v>
      </c>
      <c r="AY19" s="34">
        <v>0</v>
      </c>
      <c r="AZ19" s="23">
        <f>AY19+'02.05'!AZ19</f>
        <v>0</v>
      </c>
      <c r="BA19" s="34">
        <v>0</v>
      </c>
      <c r="BB19" s="23">
        <f>BA19+'02.05'!BB19</f>
        <v>0</v>
      </c>
      <c r="BC19" s="19">
        <f t="shared" si="5"/>
        <v>1421</v>
      </c>
      <c r="BD19" s="20">
        <f t="shared" si="5"/>
        <v>3054</v>
      </c>
      <c r="BE19" s="22">
        <v>15</v>
      </c>
      <c r="BF19" s="23">
        <f>BE19+'02.05'!BF19</f>
        <v>40</v>
      </c>
      <c r="BG19" s="34">
        <v>0</v>
      </c>
      <c r="BH19" s="23">
        <f>BG19+'02.05'!BH19</f>
        <v>0</v>
      </c>
      <c r="BI19" s="22">
        <v>1200</v>
      </c>
      <c r="BJ19" s="23">
        <f>BI19+'02.05'!BJ19</f>
        <v>2600</v>
      </c>
      <c r="BK19" s="22">
        <v>200</v>
      </c>
      <c r="BL19" s="23">
        <f>BK19+'02.05'!BL19</f>
        <v>400</v>
      </c>
      <c r="BM19" s="22">
        <v>6</v>
      </c>
      <c r="BN19" s="23">
        <f>BM19+'02.05'!BN19</f>
        <v>14</v>
      </c>
      <c r="BO19" s="36">
        <v>2898</v>
      </c>
      <c r="BP19" s="37">
        <v>0</v>
      </c>
      <c r="BQ19" s="23">
        <f>BP19+'02.05'!BQ19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235</v>
      </c>
      <c r="D20" s="31">
        <f t="shared" si="0"/>
        <v>733</v>
      </c>
      <c r="E20" s="32">
        <v>723</v>
      </c>
      <c r="F20" s="22">
        <v>135</v>
      </c>
      <c r="G20" s="23">
        <f>F20+'02.05'!G20</f>
        <v>437</v>
      </c>
      <c r="H20" s="33">
        <v>5</v>
      </c>
      <c r="I20" s="34">
        <v>1</v>
      </c>
      <c r="J20" s="23">
        <f>I20+'02.05'!J20</f>
        <v>3</v>
      </c>
      <c r="K20" s="33">
        <v>3</v>
      </c>
      <c r="L20" s="22">
        <v>0</v>
      </c>
      <c r="M20" s="23">
        <f>L20+'02.05'!M20</f>
        <v>0</v>
      </c>
      <c r="N20" s="33">
        <v>975</v>
      </c>
      <c r="O20" s="22">
        <v>51</v>
      </c>
      <c r="P20" s="23">
        <f>O20+'02.05'!P20</f>
        <v>144</v>
      </c>
      <c r="Q20" s="61">
        <v>1862</v>
      </c>
      <c r="R20" s="22">
        <v>1</v>
      </c>
      <c r="S20" s="23">
        <f>R20+'02.05'!S20</f>
        <v>3</v>
      </c>
      <c r="T20" s="33">
        <v>35</v>
      </c>
      <c r="U20" s="22">
        <v>1</v>
      </c>
      <c r="V20" s="23">
        <f>U20+'02.05'!V20</f>
        <v>3</v>
      </c>
      <c r="W20" s="33">
        <v>64</v>
      </c>
      <c r="X20" s="22">
        <v>1</v>
      </c>
      <c r="Y20" s="23">
        <f>X20+'02.05'!Y20</f>
        <v>3</v>
      </c>
      <c r="Z20" s="33">
        <v>15</v>
      </c>
      <c r="AA20" s="22">
        <v>1</v>
      </c>
      <c r="AB20" s="23">
        <f>AA20+'02.05'!AB20</f>
        <v>3</v>
      </c>
      <c r="AC20" s="33">
        <v>1546</v>
      </c>
      <c r="AD20" s="22">
        <v>44</v>
      </c>
      <c r="AE20" s="23">
        <f>AD20+'02.05'!AE20</f>
        <v>137</v>
      </c>
      <c r="AF20" s="19">
        <f t="shared" si="1"/>
        <v>15060</v>
      </c>
      <c r="AG20" s="20">
        <f t="shared" si="1"/>
        <v>47700</v>
      </c>
      <c r="AH20" s="24">
        <v>6730</v>
      </c>
      <c r="AI20" s="23">
        <f>AH20+'02.05'!AI20</f>
        <v>21930</v>
      </c>
      <c r="AJ20" s="24">
        <v>7330</v>
      </c>
      <c r="AK20" s="23">
        <f>AJ20+'02.05'!AK20</f>
        <v>22850</v>
      </c>
      <c r="AL20" s="22">
        <v>500</v>
      </c>
      <c r="AM20" s="23">
        <f>AL20+'02.05'!AM20</f>
        <v>1460</v>
      </c>
      <c r="AN20" s="22">
        <v>500</v>
      </c>
      <c r="AO20" s="23">
        <f>AN20+'02.05'!AO20</f>
        <v>1460</v>
      </c>
      <c r="AP20" s="28" t="s">
        <v>55</v>
      </c>
      <c r="AQ20" s="19">
        <f t="shared" si="3"/>
        <v>120</v>
      </c>
      <c r="AR20" s="20">
        <f t="shared" si="3"/>
        <v>383</v>
      </c>
      <c r="AS20" s="34">
        <v>1</v>
      </c>
      <c r="AT20" s="23">
        <f>AS20+'02.05'!AT20</f>
        <v>3</v>
      </c>
      <c r="AU20" s="34">
        <v>0</v>
      </c>
      <c r="AV20" s="23">
        <f>AU20+'02.05'!AV20</f>
        <v>0</v>
      </c>
      <c r="AW20" s="34">
        <v>0</v>
      </c>
      <c r="AX20" s="23">
        <f>AW20+'02.05'!AX20</f>
        <v>0</v>
      </c>
      <c r="AY20" s="34">
        <v>0</v>
      </c>
      <c r="AZ20" s="23">
        <f>AY20+'02.05'!AZ20</f>
        <v>0</v>
      </c>
      <c r="BA20" s="34">
        <v>119</v>
      </c>
      <c r="BB20" s="23">
        <f>BA20+'02.05'!BB20</f>
        <v>380</v>
      </c>
      <c r="BC20" s="19">
        <f t="shared" si="5"/>
        <v>2883</v>
      </c>
      <c r="BD20" s="20">
        <f t="shared" si="5"/>
        <v>8848</v>
      </c>
      <c r="BE20" s="22">
        <v>2</v>
      </c>
      <c r="BF20" s="23">
        <f>BE20+'02.05'!BF20</f>
        <v>6</v>
      </c>
      <c r="BG20" s="34">
        <v>0</v>
      </c>
      <c r="BH20" s="23">
        <f>BG20+'02.05'!BH20</f>
        <v>0</v>
      </c>
      <c r="BI20" s="22">
        <v>1490</v>
      </c>
      <c r="BJ20" s="23">
        <f>BI20+'02.05'!BJ20</f>
        <v>4554</v>
      </c>
      <c r="BK20" s="22">
        <v>1390</v>
      </c>
      <c r="BL20" s="23">
        <f>BK20+'02.05'!BL20</f>
        <v>4285</v>
      </c>
      <c r="BM20" s="22">
        <v>1</v>
      </c>
      <c r="BN20" s="23">
        <f>BM20+'02.05'!BN20</f>
        <v>3</v>
      </c>
      <c r="BO20" s="36">
        <v>5854</v>
      </c>
      <c r="BP20" s="37">
        <v>0</v>
      </c>
      <c r="BQ20" s="23">
        <f>BP20+'02.05'!BQ20</f>
        <v>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182</v>
      </c>
      <c r="D21" s="31">
        <f t="shared" si="0"/>
        <v>784</v>
      </c>
      <c r="E21" s="32">
        <v>1017</v>
      </c>
      <c r="F21" s="22">
        <v>150</v>
      </c>
      <c r="G21" s="23">
        <f>F21+'02.05'!G21</f>
        <v>500</v>
      </c>
      <c r="H21" s="33">
        <v>8</v>
      </c>
      <c r="I21" s="34">
        <v>3</v>
      </c>
      <c r="J21" s="23">
        <f>I21+'02.05'!J21</f>
        <v>9</v>
      </c>
      <c r="K21" s="33">
        <v>4</v>
      </c>
      <c r="L21" s="22">
        <v>0</v>
      </c>
      <c r="M21" s="23">
        <f>L21+'02.05'!M21</f>
        <v>0</v>
      </c>
      <c r="N21" s="33">
        <v>963</v>
      </c>
      <c r="O21" s="22">
        <v>2</v>
      </c>
      <c r="P21" s="23">
        <f>O21+'02.05'!P21</f>
        <v>8</v>
      </c>
      <c r="Q21" s="33">
        <v>912</v>
      </c>
      <c r="R21" s="22">
        <v>0</v>
      </c>
      <c r="S21" s="23">
        <f>R21+'02.05'!S21</f>
        <v>0</v>
      </c>
      <c r="T21" s="33">
        <v>199</v>
      </c>
      <c r="U21" s="22">
        <v>1</v>
      </c>
      <c r="V21" s="23">
        <f>U21+'02.05'!V21</f>
        <v>10</v>
      </c>
      <c r="W21" s="33">
        <v>101</v>
      </c>
      <c r="X21" s="22">
        <v>11</v>
      </c>
      <c r="Y21" s="23">
        <f>X21+'02.05'!Y21</f>
        <v>21</v>
      </c>
      <c r="Z21" s="33">
        <v>42</v>
      </c>
      <c r="AA21" s="22">
        <v>0</v>
      </c>
      <c r="AB21" s="23">
        <f>AA21+'02.05'!AB21</f>
        <v>0</v>
      </c>
      <c r="AC21" s="33">
        <v>20</v>
      </c>
      <c r="AD21" s="22">
        <v>15</v>
      </c>
      <c r="AE21" s="23">
        <f>AD21+'02.05'!AE21</f>
        <v>236</v>
      </c>
      <c r="AF21" s="19">
        <f t="shared" si="1"/>
        <v>970000</v>
      </c>
      <c r="AG21" s="20">
        <f t="shared" si="1"/>
        <v>2952000</v>
      </c>
      <c r="AH21" s="24">
        <v>1000</v>
      </c>
      <c r="AI21" s="23">
        <f>AH21+'02.05'!AI21</f>
        <v>4000</v>
      </c>
      <c r="AJ21" s="24">
        <v>119000</v>
      </c>
      <c r="AK21" s="23">
        <f>AJ21+'02.05'!AK21</f>
        <v>498000</v>
      </c>
      <c r="AL21" s="22">
        <v>1500</v>
      </c>
      <c r="AM21" s="23">
        <f>AL21+'02.05'!AM21</f>
        <v>4500</v>
      </c>
      <c r="AN21" s="22">
        <v>848500</v>
      </c>
      <c r="AO21" s="23">
        <f>AN21+'02.05'!AO21</f>
        <v>2445500</v>
      </c>
      <c r="AP21" s="28" t="s">
        <v>58</v>
      </c>
      <c r="AQ21" s="19">
        <f t="shared" si="3"/>
        <v>9</v>
      </c>
      <c r="AR21" s="20">
        <f t="shared" si="3"/>
        <v>22</v>
      </c>
      <c r="AS21" s="34">
        <v>0</v>
      </c>
      <c r="AT21" s="23">
        <f>AS21+'02.05'!AT21</f>
        <v>0</v>
      </c>
      <c r="AU21" s="34">
        <v>4</v>
      </c>
      <c r="AV21" s="23">
        <f>AU21+'02.05'!AV21</f>
        <v>12</v>
      </c>
      <c r="AW21" s="34">
        <v>0</v>
      </c>
      <c r="AX21" s="23">
        <f>AW21+'02.05'!AX21</f>
        <v>0</v>
      </c>
      <c r="AY21" s="34">
        <v>0</v>
      </c>
      <c r="AZ21" s="23">
        <f>AY21+'02.05'!AZ21</f>
        <v>0</v>
      </c>
      <c r="BA21" s="34">
        <v>5</v>
      </c>
      <c r="BB21" s="23">
        <f>BA21+'02.05'!BB21</f>
        <v>10</v>
      </c>
      <c r="BC21" s="19">
        <f t="shared" si="5"/>
        <v>1060</v>
      </c>
      <c r="BD21" s="20">
        <f t="shared" si="5"/>
        <v>12160</v>
      </c>
      <c r="BE21" s="22">
        <v>50</v>
      </c>
      <c r="BF21" s="23">
        <f>BE21+'02.05'!BF21</f>
        <v>150</v>
      </c>
      <c r="BG21" s="34">
        <v>0</v>
      </c>
      <c r="BH21" s="23">
        <f>BG21+'02.05'!BH21</f>
        <v>0</v>
      </c>
      <c r="BI21" s="22">
        <v>1000</v>
      </c>
      <c r="BJ21" s="23">
        <f>BI21+'02.05'!BJ21</f>
        <v>12000</v>
      </c>
      <c r="BK21" s="22">
        <v>0</v>
      </c>
      <c r="BL21" s="23">
        <f>BK21+'02.05'!BL21</f>
        <v>0</v>
      </c>
      <c r="BM21" s="22">
        <v>10</v>
      </c>
      <c r="BN21" s="23">
        <f>BM21+'02.05'!BN21</f>
        <v>10</v>
      </c>
      <c r="BO21" s="36">
        <v>68</v>
      </c>
      <c r="BP21" s="37">
        <v>2</v>
      </c>
      <c r="BQ21" s="23">
        <f>BP21+'02.05'!BQ21</f>
        <v>4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1557</v>
      </c>
      <c r="D22" s="31">
        <f t="shared" si="0"/>
        <v>5155</v>
      </c>
      <c r="E22" s="32">
        <v>509</v>
      </c>
      <c r="F22" s="22">
        <v>174</v>
      </c>
      <c r="G22" s="23">
        <f>F22+'02.05'!G22</f>
        <v>663</v>
      </c>
      <c r="H22" s="33">
        <v>8</v>
      </c>
      <c r="I22" s="34">
        <v>0</v>
      </c>
      <c r="J22" s="23">
        <f>I22+'02.05'!J22</f>
        <v>0</v>
      </c>
      <c r="K22" s="33">
        <v>21</v>
      </c>
      <c r="L22" s="22">
        <v>0</v>
      </c>
      <c r="M22" s="23">
        <f>L22+'02.05'!M22</f>
        <v>0</v>
      </c>
      <c r="N22" s="33">
        <v>560</v>
      </c>
      <c r="O22" s="22">
        <v>0</v>
      </c>
      <c r="P22" s="23">
        <f>O22+'02.05'!P22</f>
        <v>127</v>
      </c>
      <c r="Q22" s="33">
        <v>375</v>
      </c>
      <c r="R22" s="22">
        <v>0</v>
      </c>
      <c r="S22" s="23">
        <f>R22+'02.05'!S22</f>
        <v>0</v>
      </c>
      <c r="T22" s="33">
        <v>165</v>
      </c>
      <c r="U22" s="22">
        <v>0</v>
      </c>
      <c r="V22" s="23">
        <f>U22+'02.05'!V22</f>
        <v>55</v>
      </c>
      <c r="W22" s="33">
        <v>28</v>
      </c>
      <c r="X22" s="22">
        <v>45</v>
      </c>
      <c r="Y22" s="23">
        <f>X22+'02.05'!Y22</f>
        <v>111</v>
      </c>
      <c r="Z22" s="33">
        <v>9</v>
      </c>
      <c r="AA22" s="22">
        <v>0</v>
      </c>
      <c r="AB22" s="23">
        <f>AA22+'02.05'!AB22</f>
        <v>0</v>
      </c>
      <c r="AC22" s="33">
        <v>112</v>
      </c>
      <c r="AD22" s="22">
        <v>1338</v>
      </c>
      <c r="AE22" s="23">
        <f>AD22+'02.05'!AE22</f>
        <v>4199</v>
      </c>
      <c r="AF22" s="19">
        <f t="shared" si="1"/>
        <v>791218</v>
      </c>
      <c r="AG22" s="20">
        <f t="shared" si="1"/>
        <v>1553039</v>
      </c>
      <c r="AH22" s="24">
        <v>1461</v>
      </c>
      <c r="AI22" s="23">
        <f>AH22+'02.05'!AI22</f>
        <v>3946</v>
      </c>
      <c r="AJ22" s="24">
        <v>5534</v>
      </c>
      <c r="AK22" s="23">
        <f>AJ22+'02.05'!AK22</f>
        <v>18534</v>
      </c>
      <c r="AL22" s="22">
        <v>6851</v>
      </c>
      <c r="AM22" s="23">
        <f>AL22+'02.05'!AM22</f>
        <v>10622</v>
      </c>
      <c r="AN22" s="22">
        <v>777372</v>
      </c>
      <c r="AO22" s="23">
        <f>AN22+'02.05'!AO22</f>
        <v>1519937</v>
      </c>
      <c r="AP22" s="28" t="s">
        <v>59</v>
      </c>
      <c r="AQ22" s="19">
        <f t="shared" si="3"/>
        <v>3998</v>
      </c>
      <c r="AR22" s="20">
        <f t="shared" si="3"/>
        <v>9441</v>
      </c>
      <c r="AS22" s="34">
        <v>0</v>
      </c>
      <c r="AT22" s="23">
        <f>AS22+'02.05'!AT22</f>
        <v>3</v>
      </c>
      <c r="AU22" s="34">
        <v>0</v>
      </c>
      <c r="AV22" s="23">
        <f>AU22+'02.05'!AV22</f>
        <v>3</v>
      </c>
      <c r="AW22" s="34">
        <v>0</v>
      </c>
      <c r="AX22" s="23">
        <f>AW22+'02.05'!AX22</f>
        <v>2</v>
      </c>
      <c r="AY22" s="34">
        <v>0</v>
      </c>
      <c r="AZ22" s="23">
        <f>AY22+'02.05'!AZ22</f>
        <v>0</v>
      </c>
      <c r="BA22" s="34">
        <v>3998</v>
      </c>
      <c r="BB22" s="23">
        <f>BA22+'02.05'!BB22</f>
        <v>9433</v>
      </c>
      <c r="BC22" s="19">
        <f t="shared" si="5"/>
        <v>6577</v>
      </c>
      <c r="BD22" s="20">
        <f t="shared" si="5"/>
        <v>24951</v>
      </c>
      <c r="BE22" s="22">
        <v>8</v>
      </c>
      <c r="BF22" s="23">
        <f>BE22+'02.05'!BF22</f>
        <v>20</v>
      </c>
      <c r="BG22" s="34">
        <v>18</v>
      </c>
      <c r="BH22" s="23">
        <f>BG22+'02.05'!BH22</f>
        <v>223</v>
      </c>
      <c r="BI22" s="22">
        <v>6500</v>
      </c>
      <c r="BJ22" s="23">
        <f>BI22+'02.05'!BJ22</f>
        <v>24535</v>
      </c>
      <c r="BK22" s="22">
        <v>51</v>
      </c>
      <c r="BL22" s="23">
        <f>BK22+'02.05'!BL22</f>
        <v>173</v>
      </c>
      <c r="BM22" s="22">
        <v>0</v>
      </c>
      <c r="BN22" s="23">
        <f>BM22+'02.05'!BN22</f>
        <v>0</v>
      </c>
      <c r="BO22" s="36">
        <v>26</v>
      </c>
      <c r="BP22" s="37">
        <v>4</v>
      </c>
      <c r="BQ22" s="23">
        <f>BP22+'02.05'!BQ22</f>
        <v>449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3532</v>
      </c>
      <c r="D23" s="65">
        <f t="shared" si="0"/>
        <v>11929</v>
      </c>
      <c r="E23" s="66">
        <f>+E18+E19+E22+E17+E16+E15+E14+E13+E12+E11+E10+E9+E8</f>
        <v>7282</v>
      </c>
      <c r="F23" s="67">
        <f t="shared" ref="F23:J23" si="7">SUM(F8:F22)</f>
        <v>1343</v>
      </c>
      <c r="G23" s="68">
        <f t="shared" si="7"/>
        <v>4473</v>
      </c>
      <c r="H23" s="66">
        <f>+H18+H19+H22+H17+H16+H15+H14+H13+H12+H11+H10+H9+H8</f>
        <v>271</v>
      </c>
      <c r="I23" s="67">
        <f t="shared" si="7"/>
        <v>4</v>
      </c>
      <c r="J23" s="68">
        <f t="shared" si="7"/>
        <v>30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1</v>
      </c>
      <c r="N23" s="66">
        <f>+N18+N19+N22+N17+N16+N15+N14+N13+N12+N11+N10+N9+N8</f>
        <v>8607</v>
      </c>
      <c r="O23" s="67">
        <f t="shared" si="8"/>
        <v>53</v>
      </c>
      <c r="P23" s="68">
        <f t="shared" si="8"/>
        <v>351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14</v>
      </c>
      <c r="T23" s="66">
        <f>+T18+T19+T22+T17+T16+T15+T14+T13+T12+T11+T10+T9+T8</f>
        <v>4115</v>
      </c>
      <c r="U23" s="67">
        <f t="shared" si="9"/>
        <v>83</v>
      </c>
      <c r="V23" s="68">
        <f t="shared" si="9"/>
        <v>157</v>
      </c>
      <c r="W23" s="66">
        <f>+W18+W19+W22+W17+W16+W15+W14+W13+W12+W11+W10+W9+W8</f>
        <v>604</v>
      </c>
      <c r="X23" s="67">
        <f t="shared" ref="X23:AB23" si="10">SUM(X8:X22)</f>
        <v>288</v>
      </c>
      <c r="Y23" s="68">
        <f t="shared" si="10"/>
        <v>1232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6</v>
      </c>
      <c r="AC23" s="66">
        <f>+AC18+AC19+AC22+AC17+AC16+AC15+AC14+AC13+AC12+AC11+AC10+AC9+AC8</f>
        <v>64846</v>
      </c>
      <c r="AD23" s="67">
        <f t="shared" ref="AD23:AO23" si="11">SUM(AD8:AD22)</f>
        <v>1759</v>
      </c>
      <c r="AE23" s="68">
        <f t="shared" si="11"/>
        <v>5665</v>
      </c>
      <c r="AF23" s="64">
        <f t="shared" si="11"/>
        <v>4079333</v>
      </c>
      <c r="AG23" s="64">
        <f t="shared" si="11"/>
        <v>11679372</v>
      </c>
      <c r="AH23" s="67">
        <f t="shared" si="11"/>
        <v>21944</v>
      </c>
      <c r="AI23" s="68">
        <f t="shared" si="11"/>
        <v>83790</v>
      </c>
      <c r="AJ23" s="67">
        <f t="shared" si="11"/>
        <v>164351</v>
      </c>
      <c r="AK23" s="68">
        <f t="shared" si="11"/>
        <v>697926</v>
      </c>
      <c r="AL23" s="67">
        <f t="shared" si="11"/>
        <v>836374</v>
      </c>
      <c r="AM23" s="68">
        <f t="shared" si="11"/>
        <v>2446926</v>
      </c>
      <c r="AN23" s="67">
        <f t="shared" si="11"/>
        <v>3056664</v>
      </c>
      <c r="AO23" s="68">
        <f t="shared" si="11"/>
        <v>8450730</v>
      </c>
      <c r="AP23" s="62" t="s">
        <v>12</v>
      </c>
      <c r="AQ23" s="64">
        <f t="shared" ref="AQ23:BP23" si="12">SUM(AQ8:AQ22)</f>
        <v>4322</v>
      </c>
      <c r="AR23" s="64">
        <f t="shared" si="12"/>
        <v>11267</v>
      </c>
      <c r="AS23" s="67">
        <f t="shared" si="12"/>
        <v>3</v>
      </c>
      <c r="AT23" s="68">
        <f t="shared" si="12"/>
        <v>15</v>
      </c>
      <c r="AU23" s="67">
        <f t="shared" si="12"/>
        <v>7</v>
      </c>
      <c r="AV23" s="68">
        <f t="shared" si="12"/>
        <v>23</v>
      </c>
      <c r="AW23" s="67">
        <f t="shared" si="12"/>
        <v>0</v>
      </c>
      <c r="AX23" s="68">
        <f t="shared" si="12"/>
        <v>3</v>
      </c>
      <c r="AY23" s="67">
        <f t="shared" si="12"/>
        <v>0</v>
      </c>
      <c r="AZ23" s="68">
        <f t="shared" si="12"/>
        <v>0</v>
      </c>
      <c r="BA23" s="67">
        <f t="shared" si="12"/>
        <v>4312</v>
      </c>
      <c r="BB23" s="68">
        <f t="shared" si="12"/>
        <v>11226</v>
      </c>
      <c r="BC23" s="64">
        <f t="shared" si="12"/>
        <v>31068</v>
      </c>
      <c r="BD23" s="64">
        <f t="shared" si="12"/>
        <v>139661</v>
      </c>
      <c r="BE23" s="67">
        <f t="shared" si="12"/>
        <v>1472</v>
      </c>
      <c r="BF23" s="68">
        <f t="shared" si="12"/>
        <v>4704</v>
      </c>
      <c r="BG23" s="67">
        <f t="shared" si="12"/>
        <v>43</v>
      </c>
      <c r="BH23" s="68">
        <f t="shared" si="12"/>
        <v>320</v>
      </c>
      <c r="BI23" s="67">
        <f t="shared" si="12"/>
        <v>25906</v>
      </c>
      <c r="BJ23" s="68">
        <f t="shared" si="12"/>
        <v>122446</v>
      </c>
      <c r="BK23" s="67">
        <f t="shared" si="12"/>
        <v>3594</v>
      </c>
      <c r="BL23" s="68">
        <f t="shared" si="12"/>
        <v>12075</v>
      </c>
      <c r="BM23" s="67">
        <f t="shared" si="12"/>
        <v>53</v>
      </c>
      <c r="BN23" s="68">
        <f t="shared" si="12"/>
        <v>116</v>
      </c>
      <c r="BO23" s="69">
        <f t="shared" si="12"/>
        <v>37704</v>
      </c>
      <c r="BP23" s="70">
        <f t="shared" si="12"/>
        <v>15</v>
      </c>
      <c r="BQ23" s="23">
        <f>BP23+'20.04'!BP23</f>
        <v>41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BU23"/>
  <sheetViews>
    <sheetView zoomScaleNormal="100" workbookViewId="0">
      <pane xSplit="4" ySplit="8" topLeftCell="AS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68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19</v>
      </c>
      <c r="E9" s="32">
        <v>452</v>
      </c>
      <c r="F9" s="22">
        <v>2</v>
      </c>
      <c r="G9" s="23">
        <f>F9+'03.05'!G9</f>
        <v>8</v>
      </c>
      <c r="H9" s="33">
        <v>12</v>
      </c>
      <c r="I9" s="34">
        <v>1</v>
      </c>
      <c r="J9" s="23">
        <f>I9+'03.05'!J9</f>
        <v>3</v>
      </c>
      <c r="K9" s="33">
        <v>2</v>
      </c>
      <c r="L9" s="22">
        <v>0</v>
      </c>
      <c r="M9" s="23">
        <f>L9+'03.05'!M9</f>
        <v>0</v>
      </c>
      <c r="N9" s="33">
        <v>735</v>
      </c>
      <c r="O9" s="22">
        <v>0</v>
      </c>
      <c r="P9" s="23">
        <f>O9+'03.05'!P9</f>
        <v>0</v>
      </c>
      <c r="Q9" s="33">
        <v>502</v>
      </c>
      <c r="R9" s="22">
        <v>0</v>
      </c>
      <c r="S9" s="23">
        <f>R9+'03.05'!S9</f>
        <v>0</v>
      </c>
      <c r="T9" s="33">
        <v>197</v>
      </c>
      <c r="U9" s="22">
        <v>0</v>
      </c>
      <c r="V9" s="23">
        <f>U9+'03.05'!V9</f>
        <v>0</v>
      </c>
      <c r="W9" s="33">
        <v>47</v>
      </c>
      <c r="X9" s="22">
        <v>1</v>
      </c>
      <c r="Y9" s="23">
        <f>X9+'03.05'!Y9</f>
        <v>8</v>
      </c>
      <c r="Z9" s="33">
        <v>34</v>
      </c>
      <c r="AA9" s="22">
        <v>0</v>
      </c>
      <c r="AB9" s="23">
        <f>AA9+'03.05'!AB9</f>
        <v>0</v>
      </c>
      <c r="AC9" s="33">
        <v>1860</v>
      </c>
      <c r="AD9" s="22">
        <v>0</v>
      </c>
      <c r="AE9" s="23">
        <f>AD9+'03.05'!AE9</f>
        <v>0</v>
      </c>
      <c r="AF9" s="19">
        <f t="shared" si="1"/>
        <v>7100</v>
      </c>
      <c r="AG9" s="20">
        <f t="shared" si="1"/>
        <v>34505</v>
      </c>
      <c r="AH9" s="24">
        <v>130</v>
      </c>
      <c r="AI9" s="23">
        <f>AH9+'03.05'!AI9</f>
        <v>415</v>
      </c>
      <c r="AJ9" s="24">
        <v>370</v>
      </c>
      <c r="AK9" s="23">
        <f>AJ9+'03.05'!AK9</f>
        <v>2960</v>
      </c>
      <c r="AL9" s="22">
        <v>800</v>
      </c>
      <c r="AM9" s="23">
        <f>AL9+'03.05'!AM9</f>
        <v>3710</v>
      </c>
      <c r="AN9" s="22">
        <v>5800</v>
      </c>
      <c r="AO9" s="23">
        <f>AN9+'03.05'!AO9</f>
        <v>27420</v>
      </c>
      <c r="AP9" s="28" t="s">
        <v>43</v>
      </c>
      <c r="AQ9" s="19">
        <f t="shared" si="3"/>
        <v>56</v>
      </c>
      <c r="AR9" s="20">
        <f t="shared" si="3"/>
        <v>914</v>
      </c>
      <c r="AS9" s="34">
        <v>1</v>
      </c>
      <c r="AT9" s="23">
        <f>AS9+'03.05'!AT9</f>
        <v>1</v>
      </c>
      <c r="AU9" s="34">
        <v>0</v>
      </c>
      <c r="AV9" s="23">
        <f>AU9+'03.05'!AV9</f>
        <v>2</v>
      </c>
      <c r="AW9" s="34">
        <v>0</v>
      </c>
      <c r="AX9" s="23">
        <f>AW9+'03.05'!AX9</f>
        <v>1</v>
      </c>
      <c r="AY9" s="34">
        <v>0</v>
      </c>
      <c r="AZ9" s="23">
        <f>AY9+'03.05'!AZ9</f>
        <v>0</v>
      </c>
      <c r="BA9" s="34">
        <v>55</v>
      </c>
      <c r="BB9" s="23">
        <f>BA9+'03.05'!BB9</f>
        <v>910</v>
      </c>
      <c r="BC9" s="19">
        <f t="shared" si="5"/>
        <v>106</v>
      </c>
      <c r="BD9" s="20">
        <f t="shared" si="5"/>
        <v>1114</v>
      </c>
      <c r="BE9" s="22">
        <v>1</v>
      </c>
      <c r="BF9" s="23">
        <f>BE9+'03.05'!BF9</f>
        <v>4</v>
      </c>
      <c r="BG9" s="34">
        <v>0</v>
      </c>
      <c r="BH9" s="23">
        <f>BG9+'03.05'!BH9</f>
        <v>0</v>
      </c>
      <c r="BI9" s="22">
        <v>100</v>
      </c>
      <c r="BJ9" s="23">
        <f>BI9+'03.05'!BJ9</f>
        <v>1100</v>
      </c>
      <c r="BK9" s="22">
        <v>0</v>
      </c>
      <c r="BL9" s="23">
        <f>BK9+'03.05'!BL9</f>
        <v>0</v>
      </c>
      <c r="BM9" s="22">
        <v>5</v>
      </c>
      <c r="BN9" s="23">
        <f>BM9+'03.05'!BN9</f>
        <v>10</v>
      </c>
      <c r="BO9" s="36">
        <v>14</v>
      </c>
      <c r="BP9" s="37">
        <v>0</v>
      </c>
      <c r="BQ9" s="23">
        <f>BP9+'03.05'!BQ9</f>
        <v>0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117</v>
      </c>
      <c r="D10" s="31">
        <f t="shared" si="0"/>
        <v>392</v>
      </c>
      <c r="E10" s="32">
        <v>585</v>
      </c>
      <c r="F10" s="22">
        <v>16</v>
      </c>
      <c r="G10" s="23">
        <f>F10+'03.05'!G10</f>
        <v>46</v>
      </c>
      <c r="H10" s="33">
        <v>93</v>
      </c>
      <c r="I10" s="34">
        <v>3</v>
      </c>
      <c r="J10" s="23">
        <f>I10+'03.05'!J10</f>
        <v>6</v>
      </c>
      <c r="K10" s="33">
        <v>34</v>
      </c>
      <c r="L10" s="22">
        <v>2</v>
      </c>
      <c r="M10" s="23">
        <f>L10+'03.05'!M10</f>
        <v>3</v>
      </c>
      <c r="N10" s="33">
        <v>352</v>
      </c>
      <c r="O10" s="22">
        <v>14</v>
      </c>
      <c r="P10" s="23">
        <f>O10+'03.05'!P10</f>
        <v>27</v>
      </c>
      <c r="Q10" s="33">
        <v>549</v>
      </c>
      <c r="R10" s="22">
        <v>7</v>
      </c>
      <c r="S10" s="23">
        <f>R10+'03.05'!S10</f>
        <v>18</v>
      </c>
      <c r="T10" s="33">
        <v>198</v>
      </c>
      <c r="U10" s="22">
        <v>7</v>
      </c>
      <c r="V10" s="23">
        <f>U10+'03.05'!V10</f>
        <v>15</v>
      </c>
      <c r="W10" s="38">
        <v>55</v>
      </c>
      <c r="X10" s="22">
        <v>0</v>
      </c>
      <c r="Y10" s="23">
        <f>X10+'03.05'!Y10</f>
        <v>22</v>
      </c>
      <c r="Z10" s="38">
        <v>71</v>
      </c>
      <c r="AA10" s="22">
        <v>3</v>
      </c>
      <c r="AB10" s="23">
        <f>AA10+'03.05'!AB10</f>
        <v>6</v>
      </c>
      <c r="AC10" s="38">
        <v>1690</v>
      </c>
      <c r="AD10" s="22">
        <v>65</v>
      </c>
      <c r="AE10" s="23">
        <f>AD10+'03.05'!AE10</f>
        <v>249</v>
      </c>
      <c r="AF10" s="19">
        <f t="shared" si="1"/>
        <v>111822</v>
      </c>
      <c r="AG10" s="20">
        <f t="shared" si="1"/>
        <v>446401</v>
      </c>
      <c r="AH10" s="24">
        <v>1193</v>
      </c>
      <c r="AI10" s="23">
        <f>AH10+'03.05'!AI10</f>
        <v>3864</v>
      </c>
      <c r="AJ10" s="24">
        <v>4703</v>
      </c>
      <c r="AK10" s="23">
        <f>AJ10+'03.05'!AK10</f>
        <v>18873</v>
      </c>
      <c r="AL10" s="22">
        <v>15296</v>
      </c>
      <c r="AM10" s="23">
        <f>AL10+'03.05'!AM10</f>
        <v>52314</v>
      </c>
      <c r="AN10" s="22">
        <v>90630</v>
      </c>
      <c r="AO10" s="23">
        <f>AN10+'03.05'!AO10</f>
        <v>371350</v>
      </c>
      <c r="AP10" s="28" t="s">
        <v>44</v>
      </c>
      <c r="AQ10" s="19">
        <f t="shared" si="3"/>
        <v>6</v>
      </c>
      <c r="AR10" s="20">
        <f t="shared" si="3"/>
        <v>19</v>
      </c>
      <c r="AS10" s="34">
        <v>0</v>
      </c>
      <c r="AT10" s="23">
        <f>AS10+'03.05'!AT10</f>
        <v>2</v>
      </c>
      <c r="AU10" s="34">
        <v>0</v>
      </c>
      <c r="AV10" s="23">
        <f>AU10+'03.05'!AV10</f>
        <v>1</v>
      </c>
      <c r="AW10" s="34">
        <v>0</v>
      </c>
      <c r="AX10" s="23">
        <f>AW10+'03.05'!AX10</f>
        <v>0</v>
      </c>
      <c r="AY10" s="34">
        <v>0</v>
      </c>
      <c r="AZ10" s="23">
        <f>AY10+'03.05'!AZ10</f>
        <v>0</v>
      </c>
      <c r="BA10" s="34">
        <v>6</v>
      </c>
      <c r="BB10" s="23">
        <f>BA10+'03.05'!BB10</f>
        <v>16</v>
      </c>
      <c r="BC10" s="19">
        <f t="shared" si="5"/>
        <v>4292</v>
      </c>
      <c r="BD10" s="20">
        <f t="shared" si="5"/>
        <v>16050</v>
      </c>
      <c r="BE10" s="22">
        <v>573</v>
      </c>
      <c r="BF10" s="23">
        <f>BE10+'03.05'!BF10</f>
        <v>2233</v>
      </c>
      <c r="BG10" s="34">
        <v>0</v>
      </c>
      <c r="BH10" s="23">
        <f>BG10+'03.05'!BH10</f>
        <v>1</v>
      </c>
      <c r="BI10" s="22">
        <v>2506</v>
      </c>
      <c r="BJ10" s="23">
        <f>BI10+'03.05'!BJ10</f>
        <v>9461</v>
      </c>
      <c r="BK10" s="22">
        <v>1213</v>
      </c>
      <c r="BL10" s="23">
        <f>BK10+'03.05'!BL10</f>
        <v>4355</v>
      </c>
      <c r="BM10" s="22">
        <v>0</v>
      </c>
      <c r="BN10" s="23">
        <f>BM10+'03.05'!BN10</f>
        <v>0</v>
      </c>
      <c r="BO10" s="36">
        <v>32</v>
      </c>
      <c r="BP10" s="37">
        <v>3</v>
      </c>
      <c r="BQ10" s="23">
        <f>BP10+'03.05'!BQ10</f>
        <v>4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39</v>
      </c>
      <c r="D11" s="31">
        <f t="shared" si="0"/>
        <v>169</v>
      </c>
      <c r="E11" s="32">
        <v>883</v>
      </c>
      <c r="F11" s="22">
        <v>18</v>
      </c>
      <c r="G11" s="23">
        <f>F11+'03.05'!G11</f>
        <v>85</v>
      </c>
      <c r="H11" s="33">
        <v>16</v>
      </c>
      <c r="I11" s="34">
        <v>0</v>
      </c>
      <c r="J11" s="23">
        <f>I11+'03.05'!J11</f>
        <v>0</v>
      </c>
      <c r="K11" s="33">
        <v>3</v>
      </c>
      <c r="L11" s="22">
        <v>0</v>
      </c>
      <c r="M11" s="23">
        <f>L11+'03.05'!M11</f>
        <v>0</v>
      </c>
      <c r="N11" s="33">
        <v>875</v>
      </c>
      <c r="O11" s="22">
        <v>0</v>
      </c>
      <c r="P11" s="23">
        <f>O11+'03.05'!P11</f>
        <v>0</v>
      </c>
      <c r="Q11" s="33">
        <v>2424</v>
      </c>
      <c r="R11" s="22">
        <v>0</v>
      </c>
      <c r="S11" s="23">
        <f>R11+'03.05'!S11</f>
        <v>0</v>
      </c>
      <c r="T11" s="33">
        <v>69</v>
      </c>
      <c r="U11" s="22">
        <v>0</v>
      </c>
      <c r="V11" s="23">
        <f>U11+'03.05'!V11</f>
        <v>0</v>
      </c>
      <c r="W11" s="38">
        <v>133</v>
      </c>
      <c r="X11" s="22">
        <v>20</v>
      </c>
      <c r="Y11" s="23">
        <f>X11+'03.05'!Y11</f>
        <v>80</v>
      </c>
      <c r="Z11" s="38">
        <v>1116</v>
      </c>
      <c r="AA11" s="22">
        <v>0</v>
      </c>
      <c r="AB11" s="23">
        <f>AA11+'03.05'!AB11</f>
        <v>0</v>
      </c>
      <c r="AC11" s="38">
        <v>9862</v>
      </c>
      <c r="AD11" s="22">
        <v>1</v>
      </c>
      <c r="AE11" s="23">
        <f>AD11+'03.05'!AE11</f>
        <v>4</v>
      </c>
      <c r="AF11" s="19">
        <f t="shared" si="1"/>
        <v>24000</v>
      </c>
      <c r="AG11" s="20">
        <f t="shared" si="1"/>
        <v>115200</v>
      </c>
      <c r="AH11" s="24">
        <v>3100</v>
      </c>
      <c r="AI11" s="23">
        <f>AH11+'03.05'!AI11</f>
        <v>11100</v>
      </c>
      <c r="AJ11" s="24">
        <v>1900</v>
      </c>
      <c r="AK11" s="23">
        <f>AJ11+'03.05'!AK11</f>
        <v>12100</v>
      </c>
      <c r="AL11" s="22">
        <v>8900</v>
      </c>
      <c r="AM11" s="23">
        <f>AL11+'03.05'!AM11</f>
        <v>34800</v>
      </c>
      <c r="AN11" s="22">
        <v>10100</v>
      </c>
      <c r="AO11" s="23">
        <f>AN11+'03.05'!AO11</f>
        <v>57200</v>
      </c>
      <c r="AP11" s="28" t="s">
        <v>45</v>
      </c>
      <c r="AQ11" s="19">
        <f t="shared" si="3"/>
        <v>2</v>
      </c>
      <c r="AR11" s="20">
        <f t="shared" si="3"/>
        <v>9</v>
      </c>
      <c r="AS11" s="34">
        <v>0</v>
      </c>
      <c r="AT11" s="23">
        <f>AS11+'03.05'!AT11</f>
        <v>0</v>
      </c>
      <c r="AU11" s="34">
        <v>0</v>
      </c>
      <c r="AV11" s="23">
        <f>AU11+'03.05'!AV11</f>
        <v>0</v>
      </c>
      <c r="AW11" s="34">
        <v>0</v>
      </c>
      <c r="AX11" s="23">
        <f>AW11+'03.05'!AX11</f>
        <v>0</v>
      </c>
      <c r="AY11" s="34">
        <v>0</v>
      </c>
      <c r="AZ11" s="23">
        <f>AY11+'03.05'!AZ11</f>
        <v>0</v>
      </c>
      <c r="BA11" s="34">
        <v>2</v>
      </c>
      <c r="BB11" s="23">
        <f>BA11+'03.05'!BB11</f>
        <v>9</v>
      </c>
      <c r="BC11" s="19">
        <f t="shared" si="5"/>
        <v>774</v>
      </c>
      <c r="BD11" s="20">
        <f t="shared" si="5"/>
        <v>3897</v>
      </c>
      <c r="BE11" s="22">
        <v>1</v>
      </c>
      <c r="BF11" s="23">
        <f>BE11+'03.05'!BF11</f>
        <v>5</v>
      </c>
      <c r="BG11" s="34">
        <v>3</v>
      </c>
      <c r="BH11" s="23">
        <f>BG11+'03.05'!BH11</f>
        <v>11</v>
      </c>
      <c r="BI11" s="22">
        <v>750</v>
      </c>
      <c r="BJ11" s="23">
        <f>BI11+'03.05'!BJ11</f>
        <v>3790</v>
      </c>
      <c r="BK11" s="22">
        <v>20</v>
      </c>
      <c r="BL11" s="23">
        <f>BK11+'03.05'!BL11</f>
        <v>91</v>
      </c>
      <c r="BM11" s="22">
        <v>0</v>
      </c>
      <c r="BN11" s="23">
        <f>BM11+'03.05'!BN11</f>
        <v>0</v>
      </c>
      <c r="BO11" s="36">
        <v>11506</v>
      </c>
      <c r="BP11" s="37">
        <v>2</v>
      </c>
      <c r="BQ11" s="23">
        <f>BP11+'03.05'!BQ11</f>
        <v>9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214</v>
      </c>
      <c r="D12" s="31">
        <f t="shared" si="0"/>
        <v>886</v>
      </c>
      <c r="E12" s="32">
        <v>909</v>
      </c>
      <c r="F12" s="22">
        <v>55</v>
      </c>
      <c r="G12" s="23">
        <f>F12+'03.05'!G12</f>
        <v>253</v>
      </c>
      <c r="H12" s="33">
        <v>80</v>
      </c>
      <c r="I12" s="34">
        <v>0</v>
      </c>
      <c r="J12" s="23">
        <f>I12+'03.05'!J12</f>
        <v>11</v>
      </c>
      <c r="K12" s="33">
        <v>5</v>
      </c>
      <c r="L12" s="22">
        <v>0</v>
      </c>
      <c r="M12" s="23">
        <f>L12+'03.05'!M12</f>
        <v>0</v>
      </c>
      <c r="N12" s="33">
        <v>820</v>
      </c>
      <c r="O12" s="22">
        <v>0</v>
      </c>
      <c r="P12" s="23">
        <f>O12+'03.05'!P12</f>
        <v>58</v>
      </c>
      <c r="Q12" s="33">
        <v>549</v>
      </c>
      <c r="R12" s="22">
        <v>0</v>
      </c>
      <c r="S12" s="23">
        <f>R12+'03.05'!S12</f>
        <v>0</v>
      </c>
      <c r="T12" s="33">
        <v>992</v>
      </c>
      <c r="U12" s="22">
        <v>0</v>
      </c>
      <c r="V12" s="23">
        <f>U12+'03.05'!V12</f>
        <v>0</v>
      </c>
      <c r="W12" s="33">
        <v>38</v>
      </c>
      <c r="X12" s="22">
        <v>121</v>
      </c>
      <c r="Y12" s="23">
        <f>X12+'03.05'!Y12</f>
        <v>424</v>
      </c>
      <c r="Z12" s="33">
        <v>68</v>
      </c>
      <c r="AA12" s="22">
        <v>0</v>
      </c>
      <c r="AB12" s="23">
        <f>AA12+'03.05'!AB12</f>
        <v>0</v>
      </c>
      <c r="AC12" s="33">
        <v>26703</v>
      </c>
      <c r="AD12" s="22">
        <v>38</v>
      </c>
      <c r="AE12" s="23">
        <f>AD12+'03.05'!AE12</f>
        <v>140</v>
      </c>
      <c r="AF12" s="19">
        <f t="shared" si="1"/>
        <v>7112</v>
      </c>
      <c r="AG12" s="20">
        <f t="shared" si="1"/>
        <v>23738</v>
      </c>
      <c r="AH12" s="24">
        <v>412</v>
      </c>
      <c r="AI12" s="23">
        <f>AH12+'03.05'!AI12</f>
        <v>2939</v>
      </c>
      <c r="AJ12" s="24">
        <v>1600</v>
      </c>
      <c r="AK12" s="23">
        <f>AJ12+'03.05'!AK12</f>
        <v>4999</v>
      </c>
      <c r="AL12" s="22">
        <v>2550</v>
      </c>
      <c r="AM12" s="23">
        <f>AL12+'03.05'!AM12</f>
        <v>7900</v>
      </c>
      <c r="AN12" s="22">
        <v>2550</v>
      </c>
      <c r="AO12" s="23">
        <f>AN12+'03.05'!AO12</f>
        <v>7900</v>
      </c>
      <c r="AP12" s="28" t="s">
        <v>46</v>
      </c>
      <c r="AQ12" s="19">
        <f t="shared" si="3"/>
        <v>71</v>
      </c>
      <c r="AR12" s="20">
        <f t="shared" si="3"/>
        <v>289</v>
      </c>
      <c r="AS12" s="34">
        <v>0</v>
      </c>
      <c r="AT12" s="23">
        <f>AS12+'03.05'!AT12</f>
        <v>0</v>
      </c>
      <c r="AU12" s="34">
        <v>0</v>
      </c>
      <c r="AV12" s="23">
        <f>AU12+'03.05'!AV12</f>
        <v>0</v>
      </c>
      <c r="AW12" s="34">
        <v>0</v>
      </c>
      <c r="AX12" s="23">
        <f>AW12+'03.05'!AX12</f>
        <v>0</v>
      </c>
      <c r="AY12" s="34">
        <v>0</v>
      </c>
      <c r="AZ12" s="23">
        <f>AY12+'03.05'!AZ12</f>
        <v>0</v>
      </c>
      <c r="BA12" s="34">
        <v>71</v>
      </c>
      <c r="BB12" s="23">
        <f>BA12+'03.05'!BB12</f>
        <v>289</v>
      </c>
      <c r="BC12" s="19">
        <f t="shared" si="5"/>
        <v>3580</v>
      </c>
      <c r="BD12" s="20">
        <f t="shared" si="5"/>
        <v>11926</v>
      </c>
      <c r="BE12" s="22">
        <v>274</v>
      </c>
      <c r="BF12" s="23">
        <f>BE12+'03.05'!BF12</f>
        <v>1042</v>
      </c>
      <c r="BG12" s="34">
        <v>6</v>
      </c>
      <c r="BH12" s="23">
        <f>BG12+'03.05'!BH12</f>
        <v>34</v>
      </c>
      <c r="BI12" s="22">
        <v>3000</v>
      </c>
      <c r="BJ12" s="23">
        <f>BI12+'03.05'!BJ12</f>
        <v>9900</v>
      </c>
      <c r="BK12" s="22">
        <v>300</v>
      </c>
      <c r="BL12" s="23">
        <f>BK12+'03.05'!BL12</f>
        <v>950</v>
      </c>
      <c r="BM12" s="22">
        <v>0</v>
      </c>
      <c r="BN12" s="23">
        <f>BM12+'03.05'!BN12</f>
        <v>0</v>
      </c>
      <c r="BO12" s="36"/>
      <c r="BP12" s="37">
        <v>1</v>
      </c>
      <c r="BQ12" s="23">
        <f>BP12+'03.05'!BQ12</f>
        <v>5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118</v>
      </c>
      <c r="E13" s="32">
        <v>516</v>
      </c>
      <c r="F13" s="22">
        <v>1</v>
      </c>
      <c r="G13" s="23">
        <f>F13+'03.05'!G13</f>
        <v>4</v>
      </c>
      <c r="H13" s="33">
        <v>10</v>
      </c>
      <c r="I13" s="34">
        <v>0</v>
      </c>
      <c r="J13" s="23">
        <f>I13+'03.05'!J13</f>
        <v>2</v>
      </c>
      <c r="K13" s="33">
        <v>38</v>
      </c>
      <c r="L13" s="22">
        <v>0</v>
      </c>
      <c r="M13" s="23">
        <f>L13+'03.05'!M13</f>
        <v>0</v>
      </c>
      <c r="N13" s="33">
        <v>581</v>
      </c>
      <c r="O13" s="22">
        <v>1</v>
      </c>
      <c r="P13" s="23">
        <f>O13+'03.05'!P13</f>
        <v>2</v>
      </c>
      <c r="Q13" s="33">
        <v>525</v>
      </c>
      <c r="R13" s="22">
        <v>0</v>
      </c>
      <c r="S13" s="23">
        <f>R13+'03.05'!S13</f>
        <v>0</v>
      </c>
      <c r="T13" s="33">
        <v>263</v>
      </c>
      <c r="U13" s="22">
        <v>0</v>
      </c>
      <c r="V13" s="23">
        <f>U13+'03.05'!V13</f>
        <v>0</v>
      </c>
      <c r="W13" s="33">
        <v>43</v>
      </c>
      <c r="X13" s="22">
        <v>0</v>
      </c>
      <c r="Y13" s="23">
        <f>X13+'03.05'!Y13</f>
        <v>0</v>
      </c>
      <c r="Z13" s="33">
        <v>17</v>
      </c>
      <c r="AA13" s="22">
        <v>0</v>
      </c>
      <c r="AB13" s="23">
        <f>AA13+'03.05'!AB13</f>
        <v>0</v>
      </c>
      <c r="AC13" s="33">
        <v>51</v>
      </c>
      <c r="AD13" s="22">
        <v>1</v>
      </c>
      <c r="AE13" s="23">
        <f>AD13+'03.05'!AE13</f>
        <v>110</v>
      </c>
      <c r="AF13" s="19">
        <f t="shared" si="1"/>
        <v>290000</v>
      </c>
      <c r="AG13" s="20">
        <f t="shared" si="1"/>
        <v>993300</v>
      </c>
      <c r="AH13" s="24">
        <v>1000</v>
      </c>
      <c r="AI13" s="23">
        <f>AH13+'03.05'!AI13</f>
        <v>8000</v>
      </c>
      <c r="AJ13" s="24">
        <v>9000</v>
      </c>
      <c r="AK13" s="23">
        <f>AJ13+'03.05'!AK13</f>
        <v>66300</v>
      </c>
      <c r="AL13" s="22">
        <v>30000</v>
      </c>
      <c r="AM13" s="23">
        <f>AL13+'03.05'!AM13</f>
        <v>100000</v>
      </c>
      <c r="AN13" s="22">
        <v>250000</v>
      </c>
      <c r="AO13" s="23">
        <f>AN13+'03.05'!AO13</f>
        <v>819000</v>
      </c>
      <c r="AP13" s="28" t="s">
        <v>47</v>
      </c>
      <c r="AQ13" s="19">
        <f t="shared" si="3"/>
        <v>10</v>
      </c>
      <c r="AR13" s="20">
        <f t="shared" si="3"/>
        <v>96</v>
      </c>
      <c r="AS13" s="34">
        <v>0</v>
      </c>
      <c r="AT13" s="23">
        <f>AS13+'03.05'!AT13</f>
        <v>2</v>
      </c>
      <c r="AU13" s="34">
        <v>0</v>
      </c>
      <c r="AV13" s="23">
        <f>AU13+'03.05'!AV13</f>
        <v>2</v>
      </c>
      <c r="AW13" s="34">
        <v>0</v>
      </c>
      <c r="AX13" s="23">
        <f>AW13+'03.05'!AX13</f>
        <v>0</v>
      </c>
      <c r="AY13" s="34">
        <v>0</v>
      </c>
      <c r="AZ13" s="23">
        <f>AY13+'03.05'!AZ13</f>
        <v>0</v>
      </c>
      <c r="BA13" s="34">
        <v>10</v>
      </c>
      <c r="BB13" s="23">
        <f>BA13+'03.05'!BB13</f>
        <v>92</v>
      </c>
      <c r="BC13" s="19">
        <f t="shared" si="5"/>
        <v>6576</v>
      </c>
      <c r="BD13" s="20">
        <f t="shared" si="5"/>
        <v>44517</v>
      </c>
      <c r="BE13" s="22">
        <v>516</v>
      </c>
      <c r="BF13" s="23">
        <f>BE13+'03.05'!BF13</f>
        <v>2064</v>
      </c>
      <c r="BG13" s="34">
        <v>10</v>
      </c>
      <c r="BH13" s="23">
        <f>BG13+'03.05'!BH13</f>
        <v>53</v>
      </c>
      <c r="BI13" s="22">
        <v>6000</v>
      </c>
      <c r="BJ13" s="23">
        <f>BI13+'03.05'!BJ13</f>
        <v>42000</v>
      </c>
      <c r="BK13" s="22">
        <v>50</v>
      </c>
      <c r="BL13" s="23">
        <f>BK13+'03.05'!BL13</f>
        <v>400</v>
      </c>
      <c r="BM13" s="22">
        <v>0</v>
      </c>
      <c r="BN13" s="23">
        <f>BM13+'03.05'!BN13</f>
        <v>0</v>
      </c>
      <c r="BO13" s="36"/>
      <c r="BP13" s="37">
        <v>0</v>
      </c>
      <c r="BQ13" s="23">
        <f>BP13+'03.05'!BQ13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105</v>
      </c>
      <c r="D14" s="42">
        <f t="shared" si="0"/>
        <v>476</v>
      </c>
      <c r="E14" s="43">
        <v>304</v>
      </c>
      <c r="F14" s="22">
        <v>92</v>
      </c>
      <c r="G14" s="23">
        <f>F14+'03.05'!G14</f>
        <v>374</v>
      </c>
      <c r="H14" s="44">
        <v>5</v>
      </c>
      <c r="I14" s="45">
        <v>0</v>
      </c>
      <c r="J14" s="23">
        <f>I14+'03.05'!J14</f>
        <v>0</v>
      </c>
      <c r="K14" s="44">
        <v>34</v>
      </c>
      <c r="L14" s="22">
        <v>0</v>
      </c>
      <c r="M14" s="23">
        <f>L14+'03.05'!M14</f>
        <v>0</v>
      </c>
      <c r="N14" s="44">
        <v>583</v>
      </c>
      <c r="O14" s="22">
        <v>0</v>
      </c>
      <c r="P14" s="23">
        <f>O14+'03.05'!P14</f>
        <v>0</v>
      </c>
      <c r="Q14" s="44">
        <v>254</v>
      </c>
      <c r="R14" s="22">
        <v>0</v>
      </c>
      <c r="S14" s="23">
        <f>R14+'03.05'!S14</f>
        <v>0</v>
      </c>
      <c r="T14" s="44">
        <v>196</v>
      </c>
      <c r="U14" s="22">
        <v>0</v>
      </c>
      <c r="V14" s="23">
        <f>U14+'03.05'!V14</f>
        <v>0</v>
      </c>
      <c r="W14" s="44">
        <v>30</v>
      </c>
      <c r="X14" s="22">
        <v>11</v>
      </c>
      <c r="Y14" s="23">
        <f>X14+'03.05'!Y14</f>
        <v>82</v>
      </c>
      <c r="Z14" s="44">
        <v>10</v>
      </c>
      <c r="AA14" s="22">
        <v>0</v>
      </c>
      <c r="AB14" s="23">
        <f>AA14+'03.05'!AB14</f>
        <v>0</v>
      </c>
      <c r="AC14" s="44">
        <v>2500</v>
      </c>
      <c r="AD14" s="22">
        <v>2</v>
      </c>
      <c r="AE14" s="23">
        <f>AD14+'03.05'!AE14</f>
        <v>20</v>
      </c>
      <c r="AF14" s="19">
        <f t="shared" si="1"/>
        <v>97350</v>
      </c>
      <c r="AG14" s="20">
        <f t="shared" si="1"/>
        <v>412850</v>
      </c>
      <c r="AH14" s="24">
        <v>2450</v>
      </c>
      <c r="AI14" s="23">
        <f>AH14+'03.05'!AI14</f>
        <v>9670</v>
      </c>
      <c r="AJ14" s="24">
        <v>4700</v>
      </c>
      <c r="AK14" s="23">
        <f>AJ14+'03.05'!AK14</f>
        <v>20150</v>
      </c>
      <c r="AL14" s="22">
        <v>5600</v>
      </c>
      <c r="AM14" s="23">
        <f>AL14+'03.05'!AM14</f>
        <v>23350</v>
      </c>
      <c r="AN14" s="22">
        <v>84600</v>
      </c>
      <c r="AO14" s="23">
        <f>AN14+'03.05'!AO14</f>
        <v>359680</v>
      </c>
      <c r="AP14" s="39" t="s">
        <v>48</v>
      </c>
      <c r="AQ14" s="19">
        <f t="shared" si="3"/>
        <v>4</v>
      </c>
      <c r="AR14" s="20">
        <f t="shared" si="3"/>
        <v>19</v>
      </c>
      <c r="AS14" s="45">
        <v>0</v>
      </c>
      <c r="AT14" s="23">
        <f>AS14+'03.05'!AT14</f>
        <v>0</v>
      </c>
      <c r="AU14" s="45">
        <v>0</v>
      </c>
      <c r="AV14" s="23">
        <f>AU14+'03.05'!AV14</f>
        <v>0</v>
      </c>
      <c r="AW14" s="45">
        <v>0</v>
      </c>
      <c r="AX14" s="23">
        <f>AW14+'03.05'!AX14</f>
        <v>0</v>
      </c>
      <c r="AY14" s="45">
        <v>0</v>
      </c>
      <c r="AZ14" s="23">
        <f>AY14+'03.05'!AZ14</f>
        <v>0</v>
      </c>
      <c r="BA14" s="45">
        <v>4</v>
      </c>
      <c r="BB14" s="23">
        <f>BA14+'03.05'!BB14</f>
        <v>19</v>
      </c>
      <c r="BC14" s="19">
        <f t="shared" si="5"/>
        <v>3515</v>
      </c>
      <c r="BD14" s="20">
        <f t="shared" si="5"/>
        <v>15215</v>
      </c>
      <c r="BE14" s="22">
        <v>4</v>
      </c>
      <c r="BF14" s="23">
        <f>BE14+'03.05'!BF14</f>
        <v>18</v>
      </c>
      <c r="BG14" s="45">
        <v>3</v>
      </c>
      <c r="BH14" s="23">
        <f>BG14+'03.05'!BH14</f>
        <v>11</v>
      </c>
      <c r="BI14" s="22">
        <v>3500</v>
      </c>
      <c r="BJ14" s="23">
        <f>BI14+'03.05'!BJ14</f>
        <v>15150</v>
      </c>
      <c r="BK14" s="22">
        <v>6</v>
      </c>
      <c r="BL14" s="23">
        <f>BK14+'03.05'!BL14</f>
        <v>21</v>
      </c>
      <c r="BM14" s="22">
        <v>2</v>
      </c>
      <c r="BN14" s="23">
        <f>BM14+'03.05'!BN14</f>
        <v>15</v>
      </c>
      <c r="BO14" s="48">
        <v>22</v>
      </c>
      <c r="BP14" s="49">
        <v>0</v>
      </c>
      <c r="BQ14" s="23">
        <f>BP14+'03.05'!BQ14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411</v>
      </c>
      <c r="D15" s="53">
        <f t="shared" si="0"/>
        <v>1893</v>
      </c>
      <c r="E15" s="54">
        <v>776</v>
      </c>
      <c r="F15" s="55">
        <v>311</v>
      </c>
      <c r="G15" s="23">
        <f>F15+'03.05'!G15</f>
        <v>1334</v>
      </c>
      <c r="H15" s="56">
        <v>9</v>
      </c>
      <c r="I15" s="57">
        <v>0</v>
      </c>
      <c r="J15" s="23">
        <f>I15+'03.05'!J15</f>
        <v>0</v>
      </c>
      <c r="K15" s="56">
        <v>6</v>
      </c>
      <c r="L15" s="55">
        <v>0</v>
      </c>
      <c r="M15" s="23">
        <f>L15+'03.05'!M15</f>
        <v>0</v>
      </c>
      <c r="N15" s="56">
        <v>1305</v>
      </c>
      <c r="O15" s="55">
        <v>0</v>
      </c>
      <c r="P15" s="23">
        <f>O15+'03.05'!P15</f>
        <v>0</v>
      </c>
      <c r="Q15" s="56">
        <v>447</v>
      </c>
      <c r="R15" s="55">
        <v>0</v>
      </c>
      <c r="S15" s="23">
        <f>R15+'03.05'!S15</f>
        <v>0</v>
      </c>
      <c r="T15" s="56">
        <v>337</v>
      </c>
      <c r="U15" s="55">
        <v>0</v>
      </c>
      <c r="V15" s="23">
        <f>U15+'03.05'!V15</f>
        <v>0</v>
      </c>
      <c r="W15" s="56">
        <v>78</v>
      </c>
      <c r="X15" s="55">
        <v>0</v>
      </c>
      <c r="Y15" s="23">
        <f>X15+'03.05'!Y15</f>
        <v>0</v>
      </c>
      <c r="Z15" s="56">
        <v>141</v>
      </c>
      <c r="AA15" s="55">
        <v>0</v>
      </c>
      <c r="AB15" s="23">
        <f>AA15+'03.05'!AB15</f>
        <v>0</v>
      </c>
      <c r="AC15" s="56">
        <v>798</v>
      </c>
      <c r="AD15" s="55">
        <v>100</v>
      </c>
      <c r="AE15" s="23">
        <f>AD15+'03.05'!AE15</f>
        <v>559</v>
      </c>
      <c r="AF15" s="58">
        <f t="shared" si="1"/>
        <v>1784052</v>
      </c>
      <c r="AG15" s="59">
        <f t="shared" si="1"/>
        <v>6174227</v>
      </c>
      <c r="AH15" s="60">
        <v>810</v>
      </c>
      <c r="AI15" s="23">
        <f>AH15+'03.05'!AI15</f>
        <v>3672</v>
      </c>
      <c r="AJ15" s="60">
        <v>3111</v>
      </c>
      <c r="AK15" s="23">
        <f>AJ15+'03.05'!AK15</f>
        <v>13006</v>
      </c>
      <c r="AL15" s="55">
        <v>890066</v>
      </c>
      <c r="AM15" s="23">
        <f>AL15+'03.05'!AM15</f>
        <v>3078775</v>
      </c>
      <c r="AN15" s="55">
        <v>890065</v>
      </c>
      <c r="AO15" s="23">
        <f>AN15+'03.05'!AO15</f>
        <v>3078774</v>
      </c>
      <c r="AP15" s="50" t="s">
        <v>49</v>
      </c>
      <c r="AQ15" s="58">
        <f t="shared" si="3"/>
        <v>1</v>
      </c>
      <c r="AR15" s="59">
        <f t="shared" si="3"/>
        <v>7</v>
      </c>
      <c r="AS15" s="57">
        <v>0</v>
      </c>
      <c r="AT15" s="23">
        <f>AS15+'03.05'!AT15</f>
        <v>0</v>
      </c>
      <c r="AU15" s="57">
        <v>0</v>
      </c>
      <c r="AV15" s="23">
        <f>AU15+'03.05'!AV15</f>
        <v>0</v>
      </c>
      <c r="AW15" s="57">
        <v>0</v>
      </c>
      <c r="AX15" s="23">
        <f>AW15+'03.05'!AX15</f>
        <v>0</v>
      </c>
      <c r="AY15" s="57">
        <v>0</v>
      </c>
      <c r="AZ15" s="23">
        <f>AY15+'03.05'!AZ15</f>
        <v>0</v>
      </c>
      <c r="BA15" s="57">
        <v>1</v>
      </c>
      <c r="BB15" s="23">
        <f>BA15+'03.05'!BB15</f>
        <v>7</v>
      </c>
      <c r="BC15" s="58">
        <f t="shared" si="5"/>
        <v>1481</v>
      </c>
      <c r="BD15" s="59">
        <f t="shared" si="5"/>
        <v>6006</v>
      </c>
      <c r="BE15" s="55">
        <v>69</v>
      </c>
      <c r="BF15" s="23">
        <f>BE15+'03.05'!BF15</f>
        <v>274</v>
      </c>
      <c r="BG15" s="57">
        <v>1</v>
      </c>
      <c r="BH15" s="23">
        <f>BG15+'03.05'!BH15</f>
        <v>7</v>
      </c>
      <c r="BI15" s="55">
        <v>689</v>
      </c>
      <c r="BJ15" s="23">
        <f>BI15+'03.05'!BJ15</f>
        <v>2817</v>
      </c>
      <c r="BK15" s="55">
        <v>705</v>
      </c>
      <c r="BL15" s="23">
        <f>BK15+'03.05'!BL15</f>
        <v>2833</v>
      </c>
      <c r="BM15" s="55">
        <v>17</v>
      </c>
      <c r="BN15" s="23">
        <f>BM15+'03.05'!BN15</f>
        <v>75</v>
      </c>
      <c r="BO15" s="36">
        <v>6274</v>
      </c>
      <c r="BP15" s="37">
        <v>1</v>
      </c>
      <c r="BQ15" s="23">
        <f>BP15+'03.05'!BQ15</f>
        <v>7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136</v>
      </c>
      <c r="D16" s="31">
        <f t="shared" si="0"/>
        <v>542</v>
      </c>
      <c r="E16" s="32">
        <v>310</v>
      </c>
      <c r="F16" s="22">
        <v>46</v>
      </c>
      <c r="G16" s="23">
        <f>F16+'03.05'!G16</f>
        <v>168</v>
      </c>
      <c r="H16" s="33">
        <v>5</v>
      </c>
      <c r="I16" s="34">
        <v>0</v>
      </c>
      <c r="J16" s="23">
        <f>I16+'03.05'!J16</f>
        <v>0</v>
      </c>
      <c r="K16" s="33">
        <v>3</v>
      </c>
      <c r="L16" s="22">
        <v>0</v>
      </c>
      <c r="M16" s="23">
        <f>L16+'03.05'!M16</f>
        <v>0</v>
      </c>
      <c r="N16" s="33">
        <v>384</v>
      </c>
      <c r="O16" s="22">
        <v>0</v>
      </c>
      <c r="P16" s="23">
        <f>O16+'03.05'!P16</f>
        <v>0</v>
      </c>
      <c r="Q16" s="33">
        <v>245</v>
      </c>
      <c r="R16" s="22">
        <v>0</v>
      </c>
      <c r="S16" s="23">
        <f>R16+'03.05'!S16</f>
        <v>0</v>
      </c>
      <c r="T16" s="33">
        <v>397</v>
      </c>
      <c r="U16" s="22">
        <v>0</v>
      </c>
      <c r="V16" s="23">
        <f>U16+'03.05'!V16</f>
        <v>0</v>
      </c>
      <c r="W16" s="33">
        <v>24</v>
      </c>
      <c r="X16" s="22">
        <v>53</v>
      </c>
      <c r="Y16" s="23">
        <f>X16+'03.05'!Y16</f>
        <v>205</v>
      </c>
      <c r="Z16" s="33">
        <v>18</v>
      </c>
      <c r="AA16" s="22">
        <v>0</v>
      </c>
      <c r="AB16" s="23">
        <f>AA16+'03.05'!AB16</f>
        <v>0</v>
      </c>
      <c r="AC16" s="33">
        <v>18515</v>
      </c>
      <c r="AD16" s="22">
        <v>37</v>
      </c>
      <c r="AE16" s="23">
        <f>AD16+'03.05'!AE16</f>
        <v>169</v>
      </c>
      <c r="AF16" s="19">
        <f t="shared" si="1"/>
        <v>66407</v>
      </c>
      <c r="AG16" s="20">
        <f t="shared" si="1"/>
        <v>277045</v>
      </c>
      <c r="AH16" s="24">
        <v>153</v>
      </c>
      <c r="AI16" s="23">
        <f>AH16+'03.05'!AI16</f>
        <v>708</v>
      </c>
      <c r="AJ16" s="24">
        <v>1286</v>
      </c>
      <c r="AK16" s="23">
        <f>AJ16+'03.05'!AK16</f>
        <v>4402</v>
      </c>
      <c r="AL16" s="22">
        <v>1714</v>
      </c>
      <c r="AM16" s="23">
        <f>AL16+'03.05'!AM16</f>
        <v>6430</v>
      </c>
      <c r="AN16" s="22">
        <v>63254</v>
      </c>
      <c r="AO16" s="23">
        <f>AN16+'03.05'!AO16</f>
        <v>265505</v>
      </c>
      <c r="AP16" s="28" t="s">
        <v>51</v>
      </c>
      <c r="AQ16" s="19">
        <f t="shared" si="3"/>
        <v>59</v>
      </c>
      <c r="AR16" s="20">
        <f t="shared" si="3"/>
        <v>233</v>
      </c>
      <c r="AS16" s="34">
        <v>0</v>
      </c>
      <c r="AT16" s="23">
        <f>AS16+'03.05'!AT16</f>
        <v>1</v>
      </c>
      <c r="AU16" s="34">
        <v>0</v>
      </c>
      <c r="AV16" s="23">
        <f>AU16+'03.05'!AV16</f>
        <v>0</v>
      </c>
      <c r="AW16" s="34">
        <v>0</v>
      </c>
      <c r="AX16" s="23">
        <f>AW16+'03.05'!AX16</f>
        <v>0</v>
      </c>
      <c r="AY16" s="34">
        <v>0</v>
      </c>
      <c r="AZ16" s="23">
        <f>AY16+'03.05'!AZ16</f>
        <v>0</v>
      </c>
      <c r="BA16" s="34">
        <v>59</v>
      </c>
      <c r="BB16" s="23">
        <f>BA16+'03.05'!BB16</f>
        <v>232</v>
      </c>
      <c r="BC16" s="19">
        <f t="shared" si="5"/>
        <v>1283</v>
      </c>
      <c r="BD16" s="20">
        <f t="shared" si="5"/>
        <v>4935</v>
      </c>
      <c r="BE16" s="22">
        <v>46</v>
      </c>
      <c r="BF16" s="23">
        <f>BE16+'03.05'!BF16</f>
        <v>251</v>
      </c>
      <c r="BG16" s="34">
        <v>0</v>
      </c>
      <c r="BH16" s="23">
        <v>0</v>
      </c>
      <c r="BI16" s="22">
        <v>1187</v>
      </c>
      <c r="BJ16" s="23">
        <f>BI16+'03.05'!BJ16</f>
        <v>4488</v>
      </c>
      <c r="BK16" s="22">
        <v>44</v>
      </c>
      <c r="BL16" s="23">
        <f>BK16+'03.05'!BL16</f>
        <v>190</v>
      </c>
      <c r="BM16" s="22">
        <v>6</v>
      </c>
      <c r="BN16" s="23">
        <f>BM16+'03.05'!BN16</f>
        <v>6</v>
      </c>
      <c r="BO16" s="36">
        <v>2546</v>
      </c>
      <c r="BP16" s="37">
        <v>0</v>
      </c>
      <c r="BQ16" s="23">
        <f>BP16+'03.05'!BQ16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185</v>
      </c>
      <c r="D17" s="31">
        <f t="shared" si="0"/>
        <v>720</v>
      </c>
      <c r="E17" s="32">
        <v>754</v>
      </c>
      <c r="F17" s="22">
        <v>155</v>
      </c>
      <c r="G17" s="23">
        <f>F17+'03.05'!G17</f>
        <v>585</v>
      </c>
      <c r="H17" s="33">
        <v>9</v>
      </c>
      <c r="I17" s="34">
        <v>0</v>
      </c>
      <c r="J17" s="23">
        <f>I17+'03.05'!J17</f>
        <v>0</v>
      </c>
      <c r="K17" s="33">
        <v>5</v>
      </c>
      <c r="L17" s="22">
        <v>0</v>
      </c>
      <c r="M17" s="23">
        <f>L17+'03.05'!M17</f>
        <v>0</v>
      </c>
      <c r="N17" s="33">
        <v>768</v>
      </c>
      <c r="O17" s="22">
        <v>0</v>
      </c>
      <c r="P17" s="23">
        <f>O17+'03.05'!P17</f>
        <v>0</v>
      </c>
      <c r="Q17" s="33">
        <v>624</v>
      </c>
      <c r="R17" s="22">
        <v>0</v>
      </c>
      <c r="S17" s="23">
        <f>R17+'03.05'!S17</f>
        <v>0</v>
      </c>
      <c r="T17" s="33">
        <v>742</v>
      </c>
      <c r="U17" s="22">
        <v>0</v>
      </c>
      <c r="V17" s="23">
        <f>U17+'03.05'!V17</f>
        <v>0</v>
      </c>
      <c r="W17" s="33">
        <v>54</v>
      </c>
      <c r="X17" s="22">
        <v>18</v>
      </c>
      <c r="Y17" s="23">
        <f>X17+'03.05'!Y17</f>
        <v>81</v>
      </c>
      <c r="Z17" s="33">
        <v>66</v>
      </c>
      <c r="AA17" s="22">
        <v>0</v>
      </c>
      <c r="AB17" s="23">
        <f>AA17+'03.05'!AB17</f>
        <v>0</v>
      </c>
      <c r="AC17" s="33">
        <v>2580</v>
      </c>
      <c r="AD17" s="22">
        <v>12</v>
      </c>
      <c r="AE17" s="23">
        <f>AD17+'03.05'!AE17</f>
        <v>54</v>
      </c>
      <c r="AF17" s="19">
        <f t="shared" si="1"/>
        <v>100000</v>
      </c>
      <c r="AG17" s="20">
        <f t="shared" si="1"/>
        <v>402000</v>
      </c>
      <c r="AH17" s="24">
        <v>8000</v>
      </c>
      <c r="AI17" s="23">
        <f>AH17+'03.05'!AI17</f>
        <v>28000</v>
      </c>
      <c r="AJ17" s="24">
        <v>10000</v>
      </c>
      <c r="AK17" s="23">
        <f>AJ17+'03.05'!AK17</f>
        <v>40000</v>
      </c>
      <c r="AL17" s="22">
        <v>25000</v>
      </c>
      <c r="AM17" s="23">
        <f>AL17+'03.05'!AM17</f>
        <v>88000</v>
      </c>
      <c r="AN17" s="22">
        <v>57000</v>
      </c>
      <c r="AO17" s="23">
        <f>AN17+'03.05'!AO17</f>
        <v>246000</v>
      </c>
      <c r="AP17" s="28" t="s">
        <v>52</v>
      </c>
      <c r="AQ17" s="19">
        <f t="shared" si="3"/>
        <v>17</v>
      </c>
      <c r="AR17" s="20">
        <f t="shared" si="3"/>
        <v>54</v>
      </c>
      <c r="AS17" s="34">
        <v>1</v>
      </c>
      <c r="AT17" s="23">
        <f>AS17+'03.05'!AT17</f>
        <v>5</v>
      </c>
      <c r="AU17" s="34">
        <v>2</v>
      </c>
      <c r="AV17" s="23">
        <f>AU17+'03.05'!AV17</f>
        <v>5</v>
      </c>
      <c r="AW17" s="34">
        <v>0</v>
      </c>
      <c r="AX17" s="23">
        <f>AW17+'03.05'!AX17</f>
        <v>0</v>
      </c>
      <c r="AY17" s="34">
        <v>0</v>
      </c>
      <c r="AZ17" s="23">
        <f>AY17+'03.05'!AZ17</f>
        <v>0</v>
      </c>
      <c r="BA17" s="34">
        <v>14</v>
      </c>
      <c r="BB17" s="23">
        <f>BA17+'03.05'!BB17</f>
        <v>44</v>
      </c>
      <c r="BC17" s="19">
        <f t="shared" si="5"/>
        <v>1718</v>
      </c>
      <c r="BD17" s="20">
        <f t="shared" si="5"/>
        <v>4782</v>
      </c>
      <c r="BE17" s="22">
        <v>37</v>
      </c>
      <c r="BF17" s="23">
        <f>BE17+'03.05'!BF17</f>
        <v>115</v>
      </c>
      <c r="BG17" s="34">
        <v>1</v>
      </c>
      <c r="BH17" s="23">
        <f>BG17+'03.05'!BH17</f>
        <v>4</v>
      </c>
      <c r="BI17" s="22">
        <v>1500</v>
      </c>
      <c r="BJ17" s="23">
        <f>BI17+'03.05'!BJ17</f>
        <v>4100</v>
      </c>
      <c r="BK17" s="22">
        <v>180</v>
      </c>
      <c r="BL17" s="23">
        <f>BK17+'03.05'!BL17</f>
        <v>550</v>
      </c>
      <c r="BM17" s="22">
        <v>0</v>
      </c>
      <c r="BN17" s="23">
        <f>BM17+'03.05'!BN17</f>
        <v>13</v>
      </c>
      <c r="BO17" s="36">
        <v>8022</v>
      </c>
      <c r="BP17" s="37">
        <v>5</v>
      </c>
      <c r="BQ17" s="23">
        <f>BP17+'03.05'!BQ17</f>
        <v>19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255</v>
      </c>
      <c r="D18" s="20">
        <f t="shared" si="0"/>
        <v>1401</v>
      </c>
      <c r="E18" s="21">
        <v>1063</v>
      </c>
      <c r="F18" s="22">
        <v>174</v>
      </c>
      <c r="G18" s="23">
        <f>F18+'03.05'!G18</f>
        <v>857</v>
      </c>
      <c r="H18" s="21">
        <v>19</v>
      </c>
      <c r="I18" s="22">
        <v>0</v>
      </c>
      <c r="J18" s="23">
        <f>I18+'03.05'!J18</f>
        <v>0</v>
      </c>
      <c r="K18" s="21">
        <v>8</v>
      </c>
      <c r="L18" s="22">
        <v>0</v>
      </c>
      <c r="M18" s="23">
        <f>L18+'03.05'!M18</f>
        <v>0</v>
      </c>
      <c r="N18" s="21">
        <v>1331</v>
      </c>
      <c r="O18" s="22">
        <v>0</v>
      </c>
      <c r="P18" s="23">
        <f>O18+'03.05'!P18</f>
        <v>0</v>
      </c>
      <c r="Q18" s="21">
        <v>777</v>
      </c>
      <c r="R18" s="22">
        <v>0</v>
      </c>
      <c r="S18" s="23">
        <f>R18+'03.05'!S18</f>
        <v>0</v>
      </c>
      <c r="T18" s="21">
        <v>318</v>
      </c>
      <c r="U18" s="22">
        <v>0</v>
      </c>
      <c r="V18" s="23">
        <f>U18+'03.05'!V18</f>
        <v>81</v>
      </c>
      <c r="W18" s="21">
        <v>60</v>
      </c>
      <c r="X18" s="22">
        <v>81</v>
      </c>
      <c r="Y18" s="23">
        <f>X18+'03.05'!Y18</f>
        <v>463</v>
      </c>
      <c r="Z18" s="21">
        <v>72</v>
      </c>
      <c r="AA18" s="22">
        <v>0</v>
      </c>
      <c r="AB18" s="23">
        <f>AA18+'03.05'!AB18</f>
        <v>0</v>
      </c>
      <c r="AC18" s="21">
        <v>143</v>
      </c>
      <c r="AD18" s="22">
        <v>0</v>
      </c>
      <c r="AE18" s="23">
        <f>AD18+'03.05'!AE18</f>
        <v>0</v>
      </c>
      <c r="AF18" s="19">
        <f t="shared" si="1"/>
        <v>202007</v>
      </c>
      <c r="AG18" s="20">
        <f t="shared" si="1"/>
        <v>928917</v>
      </c>
      <c r="AH18" s="24">
        <v>785</v>
      </c>
      <c r="AI18" s="23">
        <f>AH18+'03.05'!AI18</f>
        <v>2029</v>
      </c>
      <c r="AJ18" s="24">
        <v>2297</v>
      </c>
      <c r="AK18" s="23">
        <f>AJ18+'03.05'!AK18</f>
        <v>13169</v>
      </c>
      <c r="AL18" s="22">
        <v>2762</v>
      </c>
      <c r="AM18" s="23">
        <f>AL18+'03.05'!AM18</f>
        <v>15153</v>
      </c>
      <c r="AN18" s="22">
        <v>196163</v>
      </c>
      <c r="AO18" s="23">
        <f>AN18+'03.05'!AO18</f>
        <v>898566</v>
      </c>
      <c r="AP18" s="17" t="s">
        <v>53</v>
      </c>
      <c r="AQ18" s="19">
        <f t="shared" si="3"/>
        <v>3</v>
      </c>
      <c r="AR18" s="20">
        <f t="shared" si="3"/>
        <v>10</v>
      </c>
      <c r="AS18" s="22">
        <v>1</v>
      </c>
      <c r="AT18" s="23">
        <f>AS18+'03.05'!AT18</f>
        <v>1</v>
      </c>
      <c r="AU18" s="22">
        <v>0</v>
      </c>
      <c r="AV18" s="23">
        <f>AU18+'03.05'!AV18</f>
        <v>0</v>
      </c>
      <c r="AW18" s="22">
        <v>0</v>
      </c>
      <c r="AX18" s="23">
        <f>AW18+'03.05'!AX18</f>
        <v>0</v>
      </c>
      <c r="AY18" s="22">
        <v>0</v>
      </c>
      <c r="AZ18" s="23">
        <f>AY18+'03.05'!AZ18</f>
        <v>0</v>
      </c>
      <c r="BA18" s="22">
        <v>2</v>
      </c>
      <c r="BB18" s="23">
        <f>BA18+'03.05'!BB18</f>
        <v>9</v>
      </c>
      <c r="BC18" s="19">
        <f t="shared" si="5"/>
        <v>314</v>
      </c>
      <c r="BD18" s="20">
        <f t="shared" si="5"/>
        <v>5845</v>
      </c>
      <c r="BE18" s="22">
        <v>1</v>
      </c>
      <c r="BF18" s="23">
        <f>BE18+'03.05'!BF18</f>
        <v>4</v>
      </c>
      <c r="BG18" s="22">
        <v>0</v>
      </c>
      <c r="BH18" s="23">
        <f>BG18+'03.05'!BH18</f>
        <v>0</v>
      </c>
      <c r="BI18" s="22">
        <v>254</v>
      </c>
      <c r="BJ18" s="23">
        <f>BI18+'03.05'!BJ18</f>
        <v>5437</v>
      </c>
      <c r="BK18" s="22">
        <v>59</v>
      </c>
      <c r="BL18" s="23">
        <f>BK18+'03.05'!BL18</f>
        <v>404</v>
      </c>
      <c r="BM18" s="22">
        <v>0</v>
      </c>
      <c r="BN18" s="23">
        <f>BM18+'03.05'!BN18</f>
        <v>0</v>
      </c>
      <c r="BO18" s="36">
        <v>442</v>
      </c>
      <c r="BP18" s="37">
        <v>1</v>
      </c>
      <c r="BQ18" s="23">
        <f>BP18+'03.05'!BQ18</f>
        <v>10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26</v>
      </c>
      <c r="D19" s="31">
        <f t="shared" si="0"/>
        <v>136</v>
      </c>
      <c r="E19" s="33">
        <v>221</v>
      </c>
      <c r="F19" s="22">
        <v>5</v>
      </c>
      <c r="G19" s="23">
        <f>F19+'03.05'!G19</f>
        <v>34</v>
      </c>
      <c r="H19" s="33">
        <v>5</v>
      </c>
      <c r="I19" s="34">
        <v>0</v>
      </c>
      <c r="J19" s="23">
        <f>I19+'03.05'!J19</f>
        <v>0</v>
      </c>
      <c r="K19" s="33">
        <v>4</v>
      </c>
      <c r="L19" s="22">
        <v>0</v>
      </c>
      <c r="M19" s="23">
        <f>L19+'03.05'!M19</f>
        <v>0</v>
      </c>
      <c r="N19" s="33">
        <v>313</v>
      </c>
      <c r="O19" s="22">
        <v>0</v>
      </c>
      <c r="P19" s="23">
        <f>O19+'03.05'!P19</f>
        <v>0</v>
      </c>
      <c r="Q19" s="33">
        <v>203</v>
      </c>
      <c r="R19" s="22">
        <v>0</v>
      </c>
      <c r="S19" s="23">
        <f>R19+'03.05'!S19</f>
        <v>0</v>
      </c>
      <c r="T19" s="33">
        <v>241</v>
      </c>
      <c r="U19" s="22">
        <v>0</v>
      </c>
      <c r="V19" s="23">
        <v>0</v>
      </c>
      <c r="W19" s="33">
        <v>14</v>
      </c>
      <c r="X19" s="22">
        <v>8</v>
      </c>
      <c r="Y19" s="23">
        <f>X19+'03.05'!Y19</f>
        <v>45</v>
      </c>
      <c r="Z19" s="33">
        <v>7</v>
      </c>
      <c r="AA19" s="22">
        <v>0</v>
      </c>
      <c r="AB19" s="23">
        <f>AA19+'03.05'!AB19</f>
        <v>0</v>
      </c>
      <c r="AC19" s="33">
        <v>32</v>
      </c>
      <c r="AD19" s="22">
        <v>13</v>
      </c>
      <c r="AE19" s="23">
        <f>AD19+'03.05'!AE19</f>
        <v>57</v>
      </c>
      <c r="AF19" s="19">
        <f t="shared" si="1"/>
        <v>2100</v>
      </c>
      <c r="AG19" s="20">
        <f t="shared" si="1"/>
        <v>10400</v>
      </c>
      <c r="AH19" s="24">
        <v>400</v>
      </c>
      <c r="AI19" s="23">
        <f>AH19+'03.05'!AI19</f>
        <v>1950</v>
      </c>
      <c r="AJ19" s="24">
        <v>400</v>
      </c>
      <c r="AK19" s="23">
        <f>AJ19+'03.05'!AK19</f>
        <v>1950</v>
      </c>
      <c r="AL19" s="22">
        <v>650</v>
      </c>
      <c r="AM19" s="23">
        <f>AL19+'03.05'!AM19</f>
        <v>3250</v>
      </c>
      <c r="AN19" s="22">
        <v>650</v>
      </c>
      <c r="AO19" s="23">
        <f>AN19+'03.05'!AO19</f>
        <v>3250</v>
      </c>
      <c r="AP19" s="28" t="s">
        <v>54</v>
      </c>
      <c r="AQ19" s="19">
        <f t="shared" si="3"/>
        <v>0</v>
      </c>
      <c r="AR19" s="20">
        <f t="shared" si="3"/>
        <v>0</v>
      </c>
      <c r="AS19" s="34">
        <v>0</v>
      </c>
      <c r="AT19" s="23">
        <f>AS19+'03.05'!AT19</f>
        <v>0</v>
      </c>
      <c r="AU19" s="34">
        <v>0</v>
      </c>
      <c r="AV19" s="23">
        <f>AU19+'03.05'!AV19</f>
        <v>0</v>
      </c>
      <c r="AW19" s="34">
        <v>0</v>
      </c>
      <c r="AX19" s="23">
        <f>AW19+'03.05'!AX19</f>
        <v>0</v>
      </c>
      <c r="AY19" s="34">
        <v>0</v>
      </c>
      <c r="AZ19" s="23">
        <f>AY19+'03.05'!AZ19</f>
        <v>0</v>
      </c>
      <c r="BA19" s="34">
        <v>0</v>
      </c>
      <c r="BB19" s="23">
        <f>BA19+'03.05'!BB19</f>
        <v>0</v>
      </c>
      <c r="BC19" s="19">
        <f t="shared" si="5"/>
        <v>711</v>
      </c>
      <c r="BD19" s="20">
        <f t="shared" si="5"/>
        <v>3765</v>
      </c>
      <c r="BE19" s="22">
        <v>11</v>
      </c>
      <c r="BF19" s="23">
        <f>BE19+'03.05'!BF19</f>
        <v>51</v>
      </c>
      <c r="BG19" s="34">
        <v>0</v>
      </c>
      <c r="BH19" s="23">
        <f>BG19+'03.05'!BH19</f>
        <v>0</v>
      </c>
      <c r="BI19" s="22">
        <v>600</v>
      </c>
      <c r="BJ19" s="23">
        <f>BI19+'03.05'!BJ19</f>
        <v>3200</v>
      </c>
      <c r="BK19" s="22">
        <v>100</v>
      </c>
      <c r="BL19" s="23">
        <f>BK19+'03.05'!BL19</f>
        <v>500</v>
      </c>
      <c r="BM19" s="22">
        <v>0</v>
      </c>
      <c r="BN19" s="23">
        <f>BM19+'03.05'!BN19</f>
        <v>14</v>
      </c>
      <c r="BO19" s="36">
        <v>2898</v>
      </c>
      <c r="BP19" s="37">
        <v>0</v>
      </c>
      <c r="BQ19" s="23">
        <f>BP19+'03.05'!BQ19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422</v>
      </c>
      <c r="D20" s="31">
        <f t="shared" si="0"/>
        <v>1155</v>
      </c>
      <c r="E20" s="32">
        <v>723</v>
      </c>
      <c r="F20" s="22">
        <v>256</v>
      </c>
      <c r="G20" s="23">
        <f>F20+'03.05'!G20</f>
        <v>693</v>
      </c>
      <c r="H20" s="33">
        <v>5</v>
      </c>
      <c r="I20" s="34">
        <v>1</v>
      </c>
      <c r="J20" s="23">
        <f>I20+'03.05'!J20</f>
        <v>4</v>
      </c>
      <c r="K20" s="33">
        <v>3</v>
      </c>
      <c r="L20" s="22">
        <v>0</v>
      </c>
      <c r="M20" s="23">
        <f>L20+'03.05'!M20</f>
        <v>0</v>
      </c>
      <c r="N20" s="33">
        <v>975</v>
      </c>
      <c r="O20" s="22">
        <v>83</v>
      </c>
      <c r="P20" s="23">
        <f>O20+'03.05'!P20</f>
        <v>227</v>
      </c>
      <c r="Q20" s="61">
        <v>1862</v>
      </c>
      <c r="R20" s="22">
        <v>1</v>
      </c>
      <c r="S20" s="23">
        <f>R20+'03.05'!S20</f>
        <v>4</v>
      </c>
      <c r="T20" s="33">
        <v>35</v>
      </c>
      <c r="U20" s="22">
        <v>1</v>
      </c>
      <c r="V20" s="23">
        <f>U20+'03.05'!V20</f>
        <v>4</v>
      </c>
      <c r="W20" s="33">
        <v>64</v>
      </c>
      <c r="X20" s="22">
        <v>1</v>
      </c>
      <c r="Y20" s="23">
        <f>X20+'03.05'!Y20</f>
        <v>4</v>
      </c>
      <c r="Z20" s="33">
        <v>15</v>
      </c>
      <c r="AA20" s="22">
        <v>1</v>
      </c>
      <c r="AB20" s="23">
        <f>AA20+'03.05'!AB20</f>
        <v>4</v>
      </c>
      <c r="AC20" s="33">
        <v>1546</v>
      </c>
      <c r="AD20" s="22">
        <v>78</v>
      </c>
      <c r="AE20" s="23">
        <f>AD20+'03.05'!AE20</f>
        <v>215</v>
      </c>
      <c r="AF20" s="19">
        <f t="shared" si="1"/>
        <v>27110</v>
      </c>
      <c r="AG20" s="20">
        <f t="shared" si="1"/>
        <v>74810</v>
      </c>
      <c r="AH20" s="24">
        <v>12430</v>
      </c>
      <c r="AI20" s="23">
        <f>AH20+'03.05'!AI20</f>
        <v>34360</v>
      </c>
      <c r="AJ20" s="24">
        <v>13780</v>
      </c>
      <c r="AK20" s="23">
        <f>AJ20+'03.05'!AK20</f>
        <v>36630</v>
      </c>
      <c r="AL20" s="22">
        <v>400</v>
      </c>
      <c r="AM20" s="23">
        <f>AL20+'03.05'!AM20</f>
        <v>1860</v>
      </c>
      <c r="AN20" s="22">
        <v>500</v>
      </c>
      <c r="AO20" s="23">
        <f>AN20+'03.05'!AO20</f>
        <v>1960</v>
      </c>
      <c r="AP20" s="28" t="s">
        <v>55</v>
      </c>
      <c r="AQ20" s="19">
        <f t="shared" si="3"/>
        <v>253</v>
      </c>
      <c r="AR20" s="20">
        <f t="shared" si="3"/>
        <v>636</v>
      </c>
      <c r="AS20" s="34">
        <v>1</v>
      </c>
      <c r="AT20" s="23">
        <f>AS20+'03.05'!AT20</f>
        <v>4</v>
      </c>
      <c r="AU20" s="34">
        <v>0</v>
      </c>
      <c r="AV20" s="23">
        <f>AU20+'03.05'!AV20</f>
        <v>0</v>
      </c>
      <c r="AW20" s="34">
        <v>0</v>
      </c>
      <c r="AX20" s="23">
        <f>AW20+'03.05'!AX20</f>
        <v>0</v>
      </c>
      <c r="AY20" s="34">
        <v>0</v>
      </c>
      <c r="AZ20" s="23">
        <f>AY20+'03.05'!AZ20</f>
        <v>0</v>
      </c>
      <c r="BA20" s="34">
        <v>252</v>
      </c>
      <c r="BB20" s="23">
        <f>BA20+'03.05'!BB20</f>
        <v>632</v>
      </c>
      <c r="BC20" s="19">
        <f t="shared" si="5"/>
        <v>5212</v>
      </c>
      <c r="BD20" s="20">
        <f t="shared" si="5"/>
        <v>14060</v>
      </c>
      <c r="BE20" s="22">
        <v>2</v>
      </c>
      <c r="BF20" s="23">
        <f>BE20+'03.05'!BF20</f>
        <v>8</v>
      </c>
      <c r="BG20" s="34">
        <v>0</v>
      </c>
      <c r="BH20" s="23">
        <f>BG20+'03.05'!BH20</f>
        <v>0</v>
      </c>
      <c r="BI20" s="22">
        <v>2580</v>
      </c>
      <c r="BJ20" s="23">
        <f>BI20+'03.05'!BJ20</f>
        <v>7134</v>
      </c>
      <c r="BK20" s="22">
        <v>2630</v>
      </c>
      <c r="BL20" s="23">
        <f>BK20+'03.05'!BL20</f>
        <v>6915</v>
      </c>
      <c r="BM20" s="22">
        <v>0</v>
      </c>
      <c r="BN20" s="23">
        <f>BM20+'03.05'!BN20</f>
        <v>3</v>
      </c>
      <c r="BO20" s="36">
        <v>5854</v>
      </c>
      <c r="BP20" s="37">
        <v>0</v>
      </c>
      <c r="BQ20" s="23">
        <f>BP20+'03.05'!BQ20</f>
        <v>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144</v>
      </c>
      <c r="D21" s="31">
        <f t="shared" si="0"/>
        <v>928</v>
      </c>
      <c r="E21" s="32">
        <v>1017</v>
      </c>
      <c r="F21" s="22">
        <v>120</v>
      </c>
      <c r="G21" s="23">
        <f>F21+'03.05'!G21</f>
        <v>620</v>
      </c>
      <c r="H21" s="33">
        <v>8</v>
      </c>
      <c r="I21" s="34">
        <v>4</v>
      </c>
      <c r="J21" s="23">
        <f>I21+'03.05'!J21</f>
        <v>13</v>
      </c>
      <c r="K21" s="33">
        <v>4</v>
      </c>
      <c r="L21" s="22">
        <v>0</v>
      </c>
      <c r="M21" s="23">
        <f>L21+'03.05'!M21</f>
        <v>0</v>
      </c>
      <c r="N21" s="33">
        <v>963</v>
      </c>
      <c r="O21" s="22">
        <v>3</v>
      </c>
      <c r="P21" s="23">
        <f>O21+'03.05'!P21</f>
        <v>11</v>
      </c>
      <c r="Q21" s="33">
        <v>912</v>
      </c>
      <c r="R21" s="22">
        <v>0</v>
      </c>
      <c r="S21" s="23">
        <f>R21+'03.05'!S21</f>
        <v>0</v>
      </c>
      <c r="T21" s="33">
        <v>199</v>
      </c>
      <c r="U21" s="22">
        <v>1</v>
      </c>
      <c r="V21" s="23">
        <f>U21+'03.05'!V21</f>
        <v>11</v>
      </c>
      <c r="W21" s="33">
        <v>101</v>
      </c>
      <c r="X21" s="22">
        <v>8</v>
      </c>
      <c r="Y21" s="23">
        <f>X21+'03.05'!Y21</f>
        <v>29</v>
      </c>
      <c r="Z21" s="33">
        <v>42</v>
      </c>
      <c r="AA21" s="22">
        <v>0</v>
      </c>
      <c r="AB21" s="23">
        <f>AA21+'03.05'!AB21</f>
        <v>0</v>
      </c>
      <c r="AC21" s="33">
        <v>20</v>
      </c>
      <c r="AD21" s="22">
        <v>8</v>
      </c>
      <c r="AE21" s="23">
        <f>AD21+'03.05'!AE21</f>
        <v>244</v>
      </c>
      <c r="AF21" s="19">
        <f t="shared" si="1"/>
        <v>1130000</v>
      </c>
      <c r="AG21" s="20">
        <f t="shared" si="1"/>
        <v>4082000</v>
      </c>
      <c r="AH21" s="24">
        <v>1000</v>
      </c>
      <c r="AI21" s="23">
        <f>AH21+'03.05'!AI21</f>
        <v>5000</v>
      </c>
      <c r="AJ21" s="24">
        <v>129000</v>
      </c>
      <c r="AK21" s="23">
        <f>AJ21+'03.05'!AK21</f>
        <v>627000</v>
      </c>
      <c r="AL21" s="22">
        <v>2000</v>
      </c>
      <c r="AM21" s="23">
        <f>AL21+'03.05'!AM21</f>
        <v>6500</v>
      </c>
      <c r="AN21" s="22">
        <v>998000</v>
      </c>
      <c r="AO21" s="23">
        <f>AN21+'03.05'!AO21</f>
        <v>3443500</v>
      </c>
      <c r="AP21" s="28" t="s">
        <v>58</v>
      </c>
      <c r="AQ21" s="19">
        <f t="shared" si="3"/>
        <v>8</v>
      </c>
      <c r="AR21" s="20">
        <f t="shared" si="3"/>
        <v>30</v>
      </c>
      <c r="AS21" s="34">
        <v>0</v>
      </c>
      <c r="AT21" s="23">
        <f>AS21+'03.05'!AT21</f>
        <v>0</v>
      </c>
      <c r="AU21" s="34">
        <v>4</v>
      </c>
      <c r="AV21" s="23">
        <f>AU21+'03.05'!AV21</f>
        <v>16</v>
      </c>
      <c r="AW21" s="34">
        <v>0</v>
      </c>
      <c r="AX21" s="23">
        <f>AW21+'03.05'!AX21</f>
        <v>0</v>
      </c>
      <c r="AY21" s="34">
        <v>0</v>
      </c>
      <c r="AZ21" s="23">
        <f>AY21+'03.05'!AZ21</f>
        <v>0</v>
      </c>
      <c r="BA21" s="34">
        <v>4</v>
      </c>
      <c r="BB21" s="23">
        <f>BA21+'03.05'!BB21</f>
        <v>14</v>
      </c>
      <c r="BC21" s="19">
        <f t="shared" si="5"/>
        <v>2042</v>
      </c>
      <c r="BD21" s="20">
        <f t="shared" si="5"/>
        <v>14202</v>
      </c>
      <c r="BE21" s="22">
        <v>35</v>
      </c>
      <c r="BF21" s="23">
        <f>BE21+'03.05'!BF21</f>
        <v>185</v>
      </c>
      <c r="BG21" s="34">
        <v>0</v>
      </c>
      <c r="BH21" s="23">
        <f>BG21+'03.05'!BH21</f>
        <v>0</v>
      </c>
      <c r="BI21" s="22">
        <v>2000</v>
      </c>
      <c r="BJ21" s="23">
        <f>BI21+'03.05'!BJ21</f>
        <v>14000</v>
      </c>
      <c r="BK21" s="22">
        <v>0</v>
      </c>
      <c r="BL21" s="23">
        <f>BK21+'03.05'!BL21</f>
        <v>0</v>
      </c>
      <c r="BM21" s="22">
        <v>7</v>
      </c>
      <c r="BN21" s="23">
        <f>BM21+'03.05'!BN21</f>
        <v>17</v>
      </c>
      <c r="BO21" s="36">
        <v>68</v>
      </c>
      <c r="BP21" s="37">
        <v>1</v>
      </c>
      <c r="BQ21" s="23">
        <f>BP21+'03.05'!BQ21</f>
        <v>5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2313</v>
      </c>
      <c r="D22" s="31">
        <f t="shared" si="0"/>
        <v>7468</v>
      </c>
      <c r="E22" s="32">
        <v>509</v>
      </c>
      <c r="F22" s="22">
        <v>462</v>
      </c>
      <c r="G22" s="23">
        <f>F22+'03.05'!G22</f>
        <v>1125</v>
      </c>
      <c r="H22" s="33">
        <v>8</v>
      </c>
      <c r="I22" s="34">
        <v>0</v>
      </c>
      <c r="J22" s="23">
        <f>I22+'03.05'!J22</f>
        <v>0</v>
      </c>
      <c r="K22" s="33">
        <v>21</v>
      </c>
      <c r="L22" s="22">
        <v>0</v>
      </c>
      <c r="M22" s="23">
        <f>L22+'03.05'!M22</f>
        <v>0</v>
      </c>
      <c r="N22" s="33">
        <v>560</v>
      </c>
      <c r="O22" s="22">
        <v>104</v>
      </c>
      <c r="P22" s="23">
        <f>O22+'03.05'!P22</f>
        <v>231</v>
      </c>
      <c r="Q22" s="33">
        <v>375</v>
      </c>
      <c r="R22" s="22">
        <v>0</v>
      </c>
      <c r="S22" s="23">
        <f>R22+'03.05'!S22</f>
        <v>0</v>
      </c>
      <c r="T22" s="33">
        <v>165</v>
      </c>
      <c r="U22" s="22">
        <v>80</v>
      </c>
      <c r="V22" s="23">
        <f>U22+'03.05'!V22</f>
        <v>135</v>
      </c>
      <c r="W22" s="33">
        <v>28</v>
      </c>
      <c r="X22" s="22">
        <v>120</v>
      </c>
      <c r="Y22" s="23">
        <f>X22+'03.05'!Y22</f>
        <v>231</v>
      </c>
      <c r="Z22" s="33">
        <v>9</v>
      </c>
      <c r="AA22" s="22">
        <v>0</v>
      </c>
      <c r="AB22" s="23">
        <f>AA22+'03.05'!AB22</f>
        <v>0</v>
      </c>
      <c r="AC22" s="33">
        <v>112</v>
      </c>
      <c r="AD22" s="22">
        <v>1547</v>
      </c>
      <c r="AE22" s="23">
        <f>AD22+'03.05'!AE22</f>
        <v>5746</v>
      </c>
      <c r="AF22" s="19">
        <f t="shared" si="1"/>
        <v>49294</v>
      </c>
      <c r="AG22" s="20">
        <f t="shared" si="1"/>
        <v>1602333</v>
      </c>
      <c r="AH22" s="24">
        <v>2415</v>
      </c>
      <c r="AI22" s="23">
        <f>AH22+'03.05'!AI22</f>
        <v>6361</v>
      </c>
      <c r="AJ22" s="24">
        <v>7217</v>
      </c>
      <c r="AK22" s="23">
        <f>AJ22+'03.05'!AK22</f>
        <v>25751</v>
      </c>
      <c r="AL22" s="22">
        <v>2522</v>
      </c>
      <c r="AM22" s="23">
        <f>AL22+'03.05'!AM22</f>
        <v>13144</v>
      </c>
      <c r="AN22" s="22">
        <v>37140</v>
      </c>
      <c r="AO22" s="23">
        <f>AN22+'03.05'!AO22</f>
        <v>1557077</v>
      </c>
      <c r="AP22" s="28" t="s">
        <v>59</v>
      </c>
      <c r="AQ22" s="19">
        <f t="shared" si="3"/>
        <v>4823</v>
      </c>
      <c r="AR22" s="20">
        <f t="shared" si="3"/>
        <v>14264</v>
      </c>
      <c r="AS22" s="34">
        <v>1</v>
      </c>
      <c r="AT22" s="23">
        <f>AS22+'03.05'!AT22</f>
        <v>4</v>
      </c>
      <c r="AU22" s="34">
        <v>1</v>
      </c>
      <c r="AV22" s="23">
        <f>AU22+'03.05'!AV22</f>
        <v>4</v>
      </c>
      <c r="AW22" s="34">
        <v>0</v>
      </c>
      <c r="AX22" s="23">
        <f>AW22+'03.05'!AX22</f>
        <v>2</v>
      </c>
      <c r="AY22" s="34">
        <v>1</v>
      </c>
      <c r="AZ22" s="23">
        <f>AY22+'03.05'!AZ22</f>
        <v>1</v>
      </c>
      <c r="BA22" s="34">
        <v>4820</v>
      </c>
      <c r="BB22" s="23">
        <f>BA22+'03.05'!BB22</f>
        <v>14253</v>
      </c>
      <c r="BC22" s="19">
        <f t="shared" si="5"/>
        <v>9198</v>
      </c>
      <c r="BD22" s="20">
        <f t="shared" si="5"/>
        <v>34149</v>
      </c>
      <c r="BE22" s="22">
        <v>4</v>
      </c>
      <c r="BF22" s="23">
        <f>BE22+'03.05'!BF22</f>
        <v>24</v>
      </c>
      <c r="BG22" s="34">
        <v>34</v>
      </c>
      <c r="BH22" s="23">
        <f>BG22+'03.05'!BH22</f>
        <v>257</v>
      </c>
      <c r="BI22" s="22">
        <v>9120</v>
      </c>
      <c r="BJ22" s="23">
        <f>BI22+'03.05'!BJ22</f>
        <v>33655</v>
      </c>
      <c r="BK22" s="22">
        <v>40</v>
      </c>
      <c r="BL22" s="23">
        <f>BK22+'03.05'!BL22</f>
        <v>213</v>
      </c>
      <c r="BM22" s="22">
        <v>0</v>
      </c>
      <c r="BN22" s="23">
        <f>BM22+'03.05'!BN22</f>
        <v>0</v>
      </c>
      <c r="BO22" s="36">
        <v>26</v>
      </c>
      <c r="BP22" s="37">
        <v>96</v>
      </c>
      <c r="BQ22" s="23">
        <f>BP22+'03.05'!BQ22</f>
        <v>545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4374</v>
      </c>
      <c r="D23" s="65">
        <f t="shared" si="0"/>
        <v>16303</v>
      </c>
      <c r="E23" s="66">
        <f>+E18+E19+E22+E17+E16+E15+E14+E13+E12+E11+E10+E9+E8</f>
        <v>7282</v>
      </c>
      <c r="F23" s="67">
        <f t="shared" ref="F23:J23" si="7">SUM(F8:F22)</f>
        <v>1713</v>
      </c>
      <c r="G23" s="68">
        <f t="shared" si="7"/>
        <v>6186</v>
      </c>
      <c r="H23" s="66">
        <f>+H18+H19+H22+H17+H16+H15+H14+H13+H12+H11+H10+H9+H8</f>
        <v>271</v>
      </c>
      <c r="I23" s="67">
        <f t="shared" si="7"/>
        <v>9</v>
      </c>
      <c r="J23" s="68">
        <f t="shared" si="7"/>
        <v>39</v>
      </c>
      <c r="K23" s="66">
        <f>+K18+K19+K22+K17+K16+K15+K14+K13+K12+K11+K10+K9+K8</f>
        <v>163</v>
      </c>
      <c r="L23" s="67">
        <f t="shared" ref="L23:P23" si="8">SUM(L8:L22)</f>
        <v>2</v>
      </c>
      <c r="M23" s="68">
        <f t="shared" si="8"/>
        <v>3</v>
      </c>
      <c r="N23" s="66">
        <f>+N18+N19+N22+N17+N16+N15+N14+N13+N12+N11+N10+N9+N8</f>
        <v>8607</v>
      </c>
      <c r="O23" s="67">
        <f t="shared" si="8"/>
        <v>205</v>
      </c>
      <c r="P23" s="68">
        <f t="shared" si="8"/>
        <v>556</v>
      </c>
      <c r="Q23" s="66">
        <f>+Q18+Q19+Q22+Q17+Q16+Q15+Q14+Q13+Q12+Q11+Q10+Q9+Q8</f>
        <v>7474</v>
      </c>
      <c r="R23" s="67">
        <f t="shared" ref="R23:V23" si="9">SUM(R8:R22)</f>
        <v>8</v>
      </c>
      <c r="S23" s="68">
        <f t="shared" si="9"/>
        <v>22</v>
      </c>
      <c r="T23" s="66">
        <f>+T18+T19+T22+T17+T16+T15+T14+T13+T12+T11+T10+T9+T8</f>
        <v>4115</v>
      </c>
      <c r="U23" s="67">
        <f t="shared" si="9"/>
        <v>89</v>
      </c>
      <c r="V23" s="68">
        <f t="shared" si="9"/>
        <v>246</v>
      </c>
      <c r="W23" s="66">
        <f>+W18+W19+W22+W17+W16+W15+W14+W13+W12+W11+W10+W9+W8</f>
        <v>604</v>
      </c>
      <c r="X23" s="67">
        <f t="shared" ref="X23:AB23" si="10">SUM(X8:X22)</f>
        <v>442</v>
      </c>
      <c r="Y23" s="68">
        <f t="shared" si="10"/>
        <v>1674</v>
      </c>
      <c r="Z23" s="66">
        <f>+Z18+Z19+Z22+Z17+Z16+Z15+Z14+Z13+Z12+Z11+Z10+Z9+Z8</f>
        <v>1629</v>
      </c>
      <c r="AA23" s="67">
        <f t="shared" si="10"/>
        <v>4</v>
      </c>
      <c r="AB23" s="68">
        <f t="shared" si="10"/>
        <v>10</v>
      </c>
      <c r="AC23" s="66">
        <f>+AC18+AC19+AC22+AC17+AC16+AC15+AC14+AC13+AC12+AC11+AC10+AC9+AC8</f>
        <v>64846</v>
      </c>
      <c r="AD23" s="67">
        <f t="shared" ref="AD23:AO23" si="11">SUM(AD8:AD22)</f>
        <v>1902</v>
      </c>
      <c r="AE23" s="68">
        <f t="shared" si="11"/>
        <v>7567</v>
      </c>
      <c r="AF23" s="64">
        <f t="shared" si="11"/>
        <v>3898354</v>
      </c>
      <c r="AG23" s="64">
        <f t="shared" si="11"/>
        <v>15577726</v>
      </c>
      <c r="AH23" s="67">
        <f t="shared" si="11"/>
        <v>34278</v>
      </c>
      <c r="AI23" s="68">
        <f t="shared" si="11"/>
        <v>118068</v>
      </c>
      <c r="AJ23" s="67">
        <f t="shared" si="11"/>
        <v>189364</v>
      </c>
      <c r="AK23" s="68">
        <f t="shared" si="11"/>
        <v>887290</v>
      </c>
      <c r="AL23" s="67">
        <f t="shared" si="11"/>
        <v>988260</v>
      </c>
      <c r="AM23" s="68">
        <f t="shared" si="11"/>
        <v>3435186</v>
      </c>
      <c r="AN23" s="67">
        <f t="shared" si="11"/>
        <v>2686452</v>
      </c>
      <c r="AO23" s="68">
        <f t="shared" si="11"/>
        <v>11137182</v>
      </c>
      <c r="AP23" s="62" t="s">
        <v>12</v>
      </c>
      <c r="AQ23" s="64">
        <f t="shared" ref="AQ23:BP23" si="12">SUM(AQ8:AQ22)</f>
        <v>5313</v>
      </c>
      <c r="AR23" s="64">
        <f t="shared" si="12"/>
        <v>16580</v>
      </c>
      <c r="AS23" s="67">
        <f t="shared" si="12"/>
        <v>5</v>
      </c>
      <c r="AT23" s="68">
        <f t="shared" si="12"/>
        <v>20</v>
      </c>
      <c r="AU23" s="67">
        <f t="shared" si="12"/>
        <v>7</v>
      </c>
      <c r="AV23" s="68">
        <f t="shared" si="12"/>
        <v>30</v>
      </c>
      <c r="AW23" s="67">
        <f t="shared" si="12"/>
        <v>0</v>
      </c>
      <c r="AX23" s="68">
        <f t="shared" si="12"/>
        <v>3</v>
      </c>
      <c r="AY23" s="67">
        <f t="shared" si="12"/>
        <v>1</v>
      </c>
      <c r="AZ23" s="68">
        <f t="shared" si="12"/>
        <v>1</v>
      </c>
      <c r="BA23" s="67">
        <f t="shared" si="12"/>
        <v>5300</v>
      </c>
      <c r="BB23" s="68">
        <f t="shared" si="12"/>
        <v>16526</v>
      </c>
      <c r="BC23" s="64">
        <f t="shared" si="12"/>
        <v>40802</v>
      </c>
      <c r="BD23" s="64">
        <f t="shared" si="12"/>
        <v>180463</v>
      </c>
      <c r="BE23" s="67">
        <f t="shared" si="12"/>
        <v>1574</v>
      </c>
      <c r="BF23" s="68">
        <f t="shared" si="12"/>
        <v>6278</v>
      </c>
      <c r="BG23" s="67">
        <f t="shared" si="12"/>
        <v>58</v>
      </c>
      <c r="BH23" s="68">
        <f t="shared" si="12"/>
        <v>378</v>
      </c>
      <c r="BI23" s="67">
        <f t="shared" si="12"/>
        <v>33786</v>
      </c>
      <c r="BJ23" s="68">
        <f t="shared" si="12"/>
        <v>156232</v>
      </c>
      <c r="BK23" s="67">
        <f t="shared" si="12"/>
        <v>5347</v>
      </c>
      <c r="BL23" s="68">
        <f t="shared" si="12"/>
        <v>17422</v>
      </c>
      <c r="BM23" s="67">
        <f t="shared" si="12"/>
        <v>37</v>
      </c>
      <c r="BN23" s="68">
        <f t="shared" si="12"/>
        <v>153</v>
      </c>
      <c r="BO23" s="69">
        <f t="shared" si="12"/>
        <v>37704</v>
      </c>
      <c r="BP23" s="70">
        <f t="shared" si="12"/>
        <v>110</v>
      </c>
      <c r="BQ23" s="23">
        <f>BP23+'20.04'!BP23</f>
        <v>136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BU23"/>
  <sheetViews>
    <sheetView zoomScaleNormal="100" workbookViewId="0">
      <pane xSplit="4" ySplit="8" topLeftCell="AS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5</v>
      </c>
      <c r="D9" s="31">
        <f t="shared" si="0"/>
        <v>24</v>
      </c>
      <c r="E9" s="32">
        <v>452</v>
      </c>
      <c r="F9" s="22">
        <v>3</v>
      </c>
      <c r="G9" s="23">
        <f>F9+'04.05'!G9</f>
        <v>11</v>
      </c>
      <c r="H9" s="33">
        <v>12</v>
      </c>
      <c r="I9" s="34">
        <v>2</v>
      </c>
      <c r="J9" s="23">
        <f>I9+'04.05'!J9</f>
        <v>5</v>
      </c>
      <c r="K9" s="33">
        <v>2</v>
      </c>
      <c r="L9" s="22">
        <v>0</v>
      </c>
      <c r="M9" s="23">
        <f>L9+'04.05'!M9</f>
        <v>0</v>
      </c>
      <c r="N9" s="33">
        <v>735</v>
      </c>
      <c r="O9" s="22">
        <v>0</v>
      </c>
      <c r="P9" s="23">
        <f>O9+'04.05'!P9</f>
        <v>0</v>
      </c>
      <c r="Q9" s="33">
        <v>502</v>
      </c>
      <c r="R9" s="22">
        <v>0</v>
      </c>
      <c r="S9" s="23">
        <f>R9+'04.05'!S9</f>
        <v>0</v>
      </c>
      <c r="T9" s="33">
        <v>197</v>
      </c>
      <c r="U9" s="22">
        <v>0</v>
      </c>
      <c r="V9" s="23">
        <f>U9+'04.05'!V9</f>
        <v>0</v>
      </c>
      <c r="W9" s="33">
        <v>47</v>
      </c>
      <c r="X9" s="22">
        <v>0</v>
      </c>
      <c r="Y9" s="23">
        <f>X9+'04.05'!Y9</f>
        <v>8</v>
      </c>
      <c r="Z9" s="33">
        <v>34</v>
      </c>
      <c r="AA9" s="22">
        <v>0</v>
      </c>
      <c r="AB9" s="23">
        <f>AA9+'04.05'!AB9</f>
        <v>0</v>
      </c>
      <c r="AC9" s="33">
        <v>1860</v>
      </c>
      <c r="AD9" s="22">
        <v>0</v>
      </c>
      <c r="AE9" s="23">
        <f>AD9+'04.05'!AE9</f>
        <v>0</v>
      </c>
      <c r="AF9" s="19">
        <f t="shared" si="1"/>
        <v>7300</v>
      </c>
      <c r="AG9" s="20">
        <f t="shared" si="1"/>
        <v>41805</v>
      </c>
      <c r="AH9" s="24">
        <v>100</v>
      </c>
      <c r="AI9" s="23">
        <f>AH9+'04.05'!AI9</f>
        <v>515</v>
      </c>
      <c r="AJ9" s="24">
        <v>650</v>
      </c>
      <c r="AK9" s="23">
        <f>AJ9+'04.05'!AK9</f>
        <v>3610</v>
      </c>
      <c r="AL9" s="22">
        <v>750</v>
      </c>
      <c r="AM9" s="23">
        <f>AL9+'04.05'!AM9</f>
        <v>4460</v>
      </c>
      <c r="AN9" s="22">
        <v>5800</v>
      </c>
      <c r="AO9" s="23">
        <f>AN9+'04.05'!AO9</f>
        <v>33220</v>
      </c>
      <c r="AP9" s="28" t="s">
        <v>43</v>
      </c>
      <c r="AQ9" s="19">
        <f t="shared" si="3"/>
        <v>87</v>
      </c>
      <c r="AR9" s="20">
        <f t="shared" si="3"/>
        <v>1001</v>
      </c>
      <c r="AS9" s="34">
        <v>0</v>
      </c>
      <c r="AT9" s="23">
        <f>AS9+'04.05'!AT9</f>
        <v>1</v>
      </c>
      <c r="AU9" s="34">
        <v>0</v>
      </c>
      <c r="AV9" s="23">
        <f>AU9+'04.05'!AV9</f>
        <v>2</v>
      </c>
      <c r="AW9" s="34">
        <v>0</v>
      </c>
      <c r="AX9" s="23">
        <f>AW9+'04.05'!AX9</f>
        <v>1</v>
      </c>
      <c r="AY9" s="34">
        <v>0</v>
      </c>
      <c r="AZ9" s="23">
        <f>AY9+'04.05'!AZ9</f>
        <v>0</v>
      </c>
      <c r="BA9" s="34">
        <v>87</v>
      </c>
      <c r="BB9" s="23">
        <f>BA9+'04.05'!BB9</f>
        <v>997</v>
      </c>
      <c r="BC9" s="19">
        <f t="shared" si="5"/>
        <v>133</v>
      </c>
      <c r="BD9" s="20">
        <f t="shared" si="5"/>
        <v>1247</v>
      </c>
      <c r="BE9" s="22">
        <v>2</v>
      </c>
      <c r="BF9" s="23">
        <f>BE9+'04.05'!BF9</f>
        <v>6</v>
      </c>
      <c r="BG9" s="34">
        <v>0</v>
      </c>
      <c r="BH9" s="23">
        <f>BG9+'04.05'!BH9</f>
        <v>0</v>
      </c>
      <c r="BI9" s="22">
        <v>130</v>
      </c>
      <c r="BJ9" s="23">
        <f>BI9+'04.05'!BJ9</f>
        <v>1230</v>
      </c>
      <c r="BK9" s="22">
        <v>0</v>
      </c>
      <c r="BL9" s="23">
        <f>BK9+'04.05'!BL9</f>
        <v>0</v>
      </c>
      <c r="BM9" s="22">
        <v>1</v>
      </c>
      <c r="BN9" s="23">
        <f>BM9+'04.05'!BN9</f>
        <v>11</v>
      </c>
      <c r="BO9" s="36">
        <v>14</v>
      </c>
      <c r="BP9" s="37">
        <v>1</v>
      </c>
      <c r="BQ9" s="23">
        <f>BP9+'04.05'!BQ9</f>
        <v>1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124</v>
      </c>
      <c r="D10" s="31">
        <f t="shared" si="0"/>
        <v>516</v>
      </c>
      <c r="E10" s="32">
        <v>585</v>
      </c>
      <c r="F10" s="22">
        <v>19</v>
      </c>
      <c r="G10" s="23">
        <f>F10+'04.05'!G10</f>
        <v>65</v>
      </c>
      <c r="H10" s="33">
        <v>93</v>
      </c>
      <c r="I10" s="34">
        <v>2</v>
      </c>
      <c r="J10" s="23">
        <f>I10+'04.05'!J10</f>
        <v>8</v>
      </c>
      <c r="K10" s="33">
        <v>34</v>
      </c>
      <c r="L10" s="22">
        <v>0</v>
      </c>
      <c r="M10" s="23">
        <f>L10+'04.05'!M10</f>
        <v>3</v>
      </c>
      <c r="N10" s="33">
        <v>352</v>
      </c>
      <c r="O10" s="22">
        <v>12</v>
      </c>
      <c r="P10" s="23">
        <f>O10+'04.05'!P10</f>
        <v>39</v>
      </c>
      <c r="Q10" s="33">
        <v>549</v>
      </c>
      <c r="R10" s="22">
        <v>6</v>
      </c>
      <c r="S10" s="23">
        <f>R10+'04.05'!S10</f>
        <v>24</v>
      </c>
      <c r="T10" s="33">
        <v>198</v>
      </c>
      <c r="U10" s="22">
        <v>4</v>
      </c>
      <c r="V10" s="23">
        <f>U10+'04.05'!V10</f>
        <v>19</v>
      </c>
      <c r="W10" s="38">
        <v>55</v>
      </c>
      <c r="X10" s="22">
        <v>0</v>
      </c>
      <c r="Y10" s="23">
        <f>X10+'04.05'!Y10</f>
        <v>22</v>
      </c>
      <c r="Z10" s="38">
        <v>71</v>
      </c>
      <c r="AA10" s="22">
        <v>7</v>
      </c>
      <c r="AB10" s="23">
        <f>AA10+'04.05'!AB10</f>
        <v>13</v>
      </c>
      <c r="AC10" s="38">
        <v>1690</v>
      </c>
      <c r="AD10" s="22">
        <v>74</v>
      </c>
      <c r="AE10" s="23">
        <f>AD10+'04.05'!AE10</f>
        <v>323</v>
      </c>
      <c r="AF10" s="19">
        <f t="shared" si="1"/>
        <v>109841</v>
      </c>
      <c r="AG10" s="20">
        <f t="shared" si="1"/>
        <v>556242</v>
      </c>
      <c r="AH10" s="24">
        <v>1154</v>
      </c>
      <c r="AI10" s="23">
        <f>AH10+'04.05'!AI10</f>
        <v>5018</v>
      </c>
      <c r="AJ10" s="24">
        <v>5451</v>
      </c>
      <c r="AK10" s="23">
        <f>AJ10+'04.05'!AK10</f>
        <v>24324</v>
      </c>
      <c r="AL10" s="22">
        <v>13799</v>
      </c>
      <c r="AM10" s="23">
        <f>AL10+'04.05'!AM10</f>
        <v>66113</v>
      </c>
      <c r="AN10" s="22">
        <v>89437</v>
      </c>
      <c r="AO10" s="23">
        <f>AN10+'04.05'!AO10</f>
        <v>460787</v>
      </c>
      <c r="AP10" s="28" t="s">
        <v>44</v>
      </c>
      <c r="AQ10" s="19">
        <f t="shared" si="3"/>
        <v>4</v>
      </c>
      <c r="AR10" s="20">
        <f t="shared" si="3"/>
        <v>23</v>
      </c>
      <c r="AS10" s="34">
        <v>0</v>
      </c>
      <c r="AT10" s="23">
        <f>AS10+'04.05'!AT10</f>
        <v>2</v>
      </c>
      <c r="AU10" s="34">
        <v>0</v>
      </c>
      <c r="AV10" s="23">
        <f>AU10+'04.05'!AV10</f>
        <v>1</v>
      </c>
      <c r="AW10" s="34">
        <v>0</v>
      </c>
      <c r="AX10" s="23">
        <f>AW10+'04.05'!AX10</f>
        <v>0</v>
      </c>
      <c r="AY10" s="34">
        <v>0</v>
      </c>
      <c r="AZ10" s="23">
        <f>AY10+'04.05'!AZ10</f>
        <v>0</v>
      </c>
      <c r="BA10" s="34">
        <v>4</v>
      </c>
      <c r="BB10" s="23">
        <f>BA10+'04.05'!BB10</f>
        <v>20</v>
      </c>
      <c r="BC10" s="19">
        <f t="shared" si="5"/>
        <v>4445</v>
      </c>
      <c r="BD10" s="20">
        <f t="shared" si="5"/>
        <v>20495</v>
      </c>
      <c r="BE10" s="22">
        <v>590</v>
      </c>
      <c r="BF10" s="23">
        <f>BE10+'04.05'!BF10</f>
        <v>2823</v>
      </c>
      <c r="BG10" s="34">
        <v>0</v>
      </c>
      <c r="BH10" s="23">
        <f>BG10+'04.05'!BH10</f>
        <v>1</v>
      </c>
      <c r="BI10" s="22">
        <v>2684</v>
      </c>
      <c r="BJ10" s="23">
        <f>BI10+'04.05'!BJ10</f>
        <v>12145</v>
      </c>
      <c r="BK10" s="22">
        <v>1171</v>
      </c>
      <c r="BL10" s="23">
        <f>BK10+'04.05'!BL10</f>
        <v>5526</v>
      </c>
      <c r="BM10" s="22">
        <v>0</v>
      </c>
      <c r="BN10" s="23">
        <f>BM10+'04.05'!BN10</f>
        <v>0</v>
      </c>
      <c r="BO10" s="36">
        <v>32</v>
      </c>
      <c r="BP10" s="37">
        <v>0</v>
      </c>
      <c r="BQ10" s="23">
        <f>BP10+'04.05'!BQ10</f>
        <v>4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33</v>
      </c>
      <c r="D11" s="31">
        <f t="shared" si="0"/>
        <v>202</v>
      </c>
      <c r="E11" s="32">
        <v>883</v>
      </c>
      <c r="F11" s="22">
        <v>19</v>
      </c>
      <c r="G11" s="23">
        <f>F11+'04.05'!G11</f>
        <v>104</v>
      </c>
      <c r="H11" s="33">
        <v>16</v>
      </c>
      <c r="I11" s="34">
        <v>0</v>
      </c>
      <c r="J11" s="23">
        <f>I11+'04.05'!J11</f>
        <v>0</v>
      </c>
      <c r="K11" s="33">
        <v>3</v>
      </c>
      <c r="L11" s="22">
        <v>0</v>
      </c>
      <c r="M11" s="23">
        <f>L11+'04.05'!M11</f>
        <v>0</v>
      </c>
      <c r="N11" s="33">
        <v>875</v>
      </c>
      <c r="O11" s="22">
        <v>0</v>
      </c>
      <c r="P11" s="23">
        <f>O11+'04.05'!P11</f>
        <v>0</v>
      </c>
      <c r="Q11" s="33">
        <v>2424</v>
      </c>
      <c r="R11" s="22">
        <v>0</v>
      </c>
      <c r="S11" s="23">
        <f>R11+'04.05'!S11</f>
        <v>0</v>
      </c>
      <c r="T11" s="33">
        <v>69</v>
      </c>
      <c r="U11" s="22">
        <v>0</v>
      </c>
      <c r="V11" s="23">
        <f>U11+'04.05'!V11</f>
        <v>0</v>
      </c>
      <c r="W11" s="38">
        <v>133</v>
      </c>
      <c r="X11" s="22">
        <v>13</v>
      </c>
      <c r="Y11" s="23">
        <f>X11+'04.05'!Y11</f>
        <v>93</v>
      </c>
      <c r="Z11" s="38">
        <v>1116</v>
      </c>
      <c r="AA11" s="22">
        <v>0</v>
      </c>
      <c r="AB11" s="23">
        <f>AA11+'04.05'!AB11</f>
        <v>0</v>
      </c>
      <c r="AC11" s="38">
        <v>9862</v>
      </c>
      <c r="AD11" s="22">
        <v>1</v>
      </c>
      <c r="AE11" s="23">
        <f>AD11+'04.05'!AE11</f>
        <v>5</v>
      </c>
      <c r="AF11" s="19">
        <f t="shared" si="1"/>
        <v>20100</v>
      </c>
      <c r="AG11" s="20">
        <f t="shared" si="1"/>
        <v>135300</v>
      </c>
      <c r="AH11" s="24">
        <v>2200</v>
      </c>
      <c r="AI11" s="23">
        <f>AH11+'04.05'!AI11</f>
        <v>13300</v>
      </c>
      <c r="AJ11" s="24">
        <v>2900</v>
      </c>
      <c r="AK11" s="23">
        <f>AJ11+'04.05'!AK11</f>
        <v>15000</v>
      </c>
      <c r="AL11" s="22">
        <v>5500</v>
      </c>
      <c r="AM11" s="23">
        <f>AL11+'04.05'!AM11</f>
        <v>40300</v>
      </c>
      <c r="AN11" s="22">
        <v>9500</v>
      </c>
      <c r="AO11" s="23">
        <f>AN11+'04.05'!AO11</f>
        <v>66700</v>
      </c>
      <c r="AP11" s="28" t="s">
        <v>45</v>
      </c>
      <c r="AQ11" s="19">
        <f t="shared" si="3"/>
        <v>4</v>
      </c>
      <c r="AR11" s="20">
        <f t="shared" si="3"/>
        <v>13</v>
      </c>
      <c r="AS11" s="34">
        <v>0</v>
      </c>
      <c r="AT11" s="23">
        <f>AS11+'04.05'!AT11</f>
        <v>0</v>
      </c>
      <c r="AU11" s="34">
        <v>0</v>
      </c>
      <c r="AV11" s="23">
        <f>AU11+'04.05'!AV11</f>
        <v>0</v>
      </c>
      <c r="AW11" s="34">
        <v>0</v>
      </c>
      <c r="AX11" s="23">
        <f>AW11+'04.05'!AX11</f>
        <v>0</v>
      </c>
      <c r="AY11" s="34">
        <v>0</v>
      </c>
      <c r="AZ11" s="23">
        <f>AY11+'04.05'!AZ11</f>
        <v>0</v>
      </c>
      <c r="BA11" s="34">
        <v>4</v>
      </c>
      <c r="BB11" s="23">
        <f>BA11+'04.05'!BB11</f>
        <v>13</v>
      </c>
      <c r="BC11" s="19">
        <f t="shared" si="5"/>
        <v>739</v>
      </c>
      <c r="BD11" s="20">
        <f t="shared" si="5"/>
        <v>4636</v>
      </c>
      <c r="BE11" s="22">
        <v>2</v>
      </c>
      <c r="BF11" s="23">
        <f>BE11+'04.05'!BF11</f>
        <v>7</v>
      </c>
      <c r="BG11" s="34">
        <v>2</v>
      </c>
      <c r="BH11" s="23">
        <f>BG11+'04.05'!BH11</f>
        <v>13</v>
      </c>
      <c r="BI11" s="22">
        <v>720</v>
      </c>
      <c r="BJ11" s="23">
        <f>BI11+'04.05'!BJ11</f>
        <v>4510</v>
      </c>
      <c r="BK11" s="22">
        <v>15</v>
      </c>
      <c r="BL11" s="23">
        <f>BK11+'04.05'!BL11</f>
        <v>106</v>
      </c>
      <c r="BM11" s="22">
        <v>0</v>
      </c>
      <c r="BN11" s="23">
        <f>BM11+'04.05'!BN11</f>
        <v>0</v>
      </c>
      <c r="BO11" s="36">
        <v>11506</v>
      </c>
      <c r="BP11" s="37">
        <v>3</v>
      </c>
      <c r="BQ11" s="23">
        <f>BP11+'04.05'!BQ11</f>
        <v>12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241</v>
      </c>
      <c r="D12" s="31">
        <f t="shared" si="0"/>
        <v>1127</v>
      </c>
      <c r="E12" s="32">
        <v>909</v>
      </c>
      <c r="F12" s="22">
        <v>63</v>
      </c>
      <c r="G12" s="23">
        <f>F12+'04.05'!G12</f>
        <v>316</v>
      </c>
      <c r="H12" s="33">
        <v>80</v>
      </c>
      <c r="I12" s="34">
        <v>0</v>
      </c>
      <c r="J12" s="23">
        <f>I12+'04.05'!J12</f>
        <v>11</v>
      </c>
      <c r="K12" s="33">
        <v>5</v>
      </c>
      <c r="L12" s="22">
        <v>0</v>
      </c>
      <c r="M12" s="23">
        <f>L12+'04.05'!M12</f>
        <v>0</v>
      </c>
      <c r="N12" s="33">
        <v>820</v>
      </c>
      <c r="O12" s="22">
        <v>0</v>
      </c>
      <c r="P12" s="23">
        <f>O12+'04.05'!P12</f>
        <v>58</v>
      </c>
      <c r="Q12" s="33">
        <v>549</v>
      </c>
      <c r="R12" s="22">
        <v>0</v>
      </c>
      <c r="S12" s="23">
        <f>R12+'04.05'!S12</f>
        <v>0</v>
      </c>
      <c r="T12" s="33">
        <v>992</v>
      </c>
      <c r="U12" s="22">
        <v>0</v>
      </c>
      <c r="V12" s="23">
        <f>U12+'04.05'!V12</f>
        <v>0</v>
      </c>
      <c r="W12" s="33">
        <v>38</v>
      </c>
      <c r="X12" s="22">
        <v>129</v>
      </c>
      <c r="Y12" s="23">
        <f>X12+'04.05'!Y12</f>
        <v>553</v>
      </c>
      <c r="Z12" s="33">
        <v>68</v>
      </c>
      <c r="AA12" s="22">
        <v>0</v>
      </c>
      <c r="AB12" s="23">
        <f>AA12+'04.05'!AB12</f>
        <v>0</v>
      </c>
      <c r="AC12" s="33">
        <v>26703</v>
      </c>
      <c r="AD12" s="22">
        <v>49</v>
      </c>
      <c r="AE12" s="23">
        <f>AD12+'04.05'!AE12</f>
        <v>189</v>
      </c>
      <c r="AF12" s="19">
        <f t="shared" si="1"/>
        <v>8100</v>
      </c>
      <c r="AG12" s="20">
        <f t="shared" si="1"/>
        <v>31838</v>
      </c>
      <c r="AH12" s="24">
        <v>400</v>
      </c>
      <c r="AI12" s="23">
        <f>AH12+'04.05'!AI12</f>
        <v>3339</v>
      </c>
      <c r="AJ12" s="24">
        <v>2200</v>
      </c>
      <c r="AK12" s="23">
        <f>AJ12+'04.05'!AK12</f>
        <v>7199</v>
      </c>
      <c r="AL12" s="22">
        <v>2750</v>
      </c>
      <c r="AM12" s="23">
        <f>AL12+'04.05'!AM12</f>
        <v>10650</v>
      </c>
      <c r="AN12" s="22">
        <v>2750</v>
      </c>
      <c r="AO12" s="23">
        <f>AN12+'04.05'!AO12</f>
        <v>10650</v>
      </c>
      <c r="AP12" s="28" t="s">
        <v>46</v>
      </c>
      <c r="AQ12" s="19">
        <f t="shared" si="3"/>
        <v>71</v>
      </c>
      <c r="AR12" s="20">
        <f t="shared" si="3"/>
        <v>360</v>
      </c>
      <c r="AS12" s="34">
        <v>0</v>
      </c>
      <c r="AT12" s="23">
        <f>AS12+'04.05'!AT12</f>
        <v>0</v>
      </c>
      <c r="AU12" s="34">
        <v>0</v>
      </c>
      <c r="AV12" s="23">
        <f>AU12+'04.05'!AV12</f>
        <v>0</v>
      </c>
      <c r="AW12" s="34">
        <v>0</v>
      </c>
      <c r="AX12" s="23">
        <f>AW12+'04.05'!AX12</f>
        <v>0</v>
      </c>
      <c r="AY12" s="34">
        <v>0</v>
      </c>
      <c r="AZ12" s="23">
        <f>AY12+'04.05'!AZ12</f>
        <v>0</v>
      </c>
      <c r="BA12" s="34">
        <v>71</v>
      </c>
      <c r="BB12" s="23">
        <f>BA12+'04.05'!BB12</f>
        <v>360</v>
      </c>
      <c r="BC12" s="19">
        <f t="shared" si="5"/>
        <v>3651</v>
      </c>
      <c r="BD12" s="20">
        <f t="shared" si="5"/>
        <v>15577</v>
      </c>
      <c r="BE12" s="22">
        <v>274</v>
      </c>
      <c r="BF12" s="23">
        <f>BE12+'04.05'!BF12</f>
        <v>1316</v>
      </c>
      <c r="BG12" s="34">
        <v>6</v>
      </c>
      <c r="BH12" s="23">
        <f>BG12+'04.05'!BH12</f>
        <v>40</v>
      </c>
      <c r="BI12" s="22">
        <v>3000</v>
      </c>
      <c r="BJ12" s="23">
        <f>BI12+'04.05'!BJ12</f>
        <v>12900</v>
      </c>
      <c r="BK12" s="22">
        <v>300</v>
      </c>
      <c r="BL12" s="23">
        <f>BK12+'04.05'!BL12</f>
        <v>1250</v>
      </c>
      <c r="BM12" s="22">
        <v>71</v>
      </c>
      <c r="BN12" s="23">
        <f>BM12+'04.05'!BN12</f>
        <v>71</v>
      </c>
      <c r="BO12" s="36"/>
      <c r="BP12" s="37">
        <v>1</v>
      </c>
      <c r="BQ12" s="23">
        <f>BP12+'04.05'!BQ12</f>
        <v>6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121</v>
      </c>
      <c r="E13" s="32">
        <v>516</v>
      </c>
      <c r="F13" s="22">
        <v>1</v>
      </c>
      <c r="G13" s="23">
        <f>F13+'04.05'!G13</f>
        <v>5</v>
      </c>
      <c r="H13" s="33">
        <v>10</v>
      </c>
      <c r="I13" s="34">
        <v>1</v>
      </c>
      <c r="J13" s="23">
        <f>I13+'04.05'!J13</f>
        <v>3</v>
      </c>
      <c r="K13" s="33">
        <v>38</v>
      </c>
      <c r="L13" s="22">
        <v>0</v>
      </c>
      <c r="M13" s="23">
        <f>L13+'04.05'!M13</f>
        <v>0</v>
      </c>
      <c r="N13" s="33">
        <v>581</v>
      </c>
      <c r="O13" s="22">
        <v>0</v>
      </c>
      <c r="P13" s="23">
        <f>O13+'04.05'!P13</f>
        <v>2</v>
      </c>
      <c r="Q13" s="33">
        <v>525</v>
      </c>
      <c r="R13" s="22">
        <v>0</v>
      </c>
      <c r="S13" s="23">
        <f>R13+'04.05'!S13</f>
        <v>0</v>
      </c>
      <c r="T13" s="33">
        <v>263</v>
      </c>
      <c r="U13" s="22">
        <v>0</v>
      </c>
      <c r="V13" s="23">
        <f>U13+'04.05'!V13</f>
        <v>0</v>
      </c>
      <c r="W13" s="33">
        <v>43</v>
      </c>
      <c r="X13" s="22">
        <v>0</v>
      </c>
      <c r="Y13" s="23">
        <f>X13+'04.05'!Y13</f>
        <v>0</v>
      </c>
      <c r="Z13" s="33">
        <v>17</v>
      </c>
      <c r="AA13" s="22">
        <v>0</v>
      </c>
      <c r="AB13" s="23">
        <f>AA13+'04.05'!AB13</f>
        <v>0</v>
      </c>
      <c r="AC13" s="33">
        <v>51</v>
      </c>
      <c r="AD13" s="22">
        <v>1</v>
      </c>
      <c r="AE13" s="23">
        <f>AD13+'04.05'!AE13</f>
        <v>111</v>
      </c>
      <c r="AF13" s="19">
        <f t="shared" si="1"/>
        <v>335000</v>
      </c>
      <c r="AG13" s="20">
        <f t="shared" si="1"/>
        <v>1328300</v>
      </c>
      <c r="AH13" s="24">
        <v>2000</v>
      </c>
      <c r="AI13" s="23">
        <f>AH13+'04.05'!AI13</f>
        <v>10000</v>
      </c>
      <c r="AJ13" s="24">
        <v>13000</v>
      </c>
      <c r="AK13" s="23">
        <f>AJ13+'04.05'!AK13</f>
        <v>79300</v>
      </c>
      <c r="AL13" s="22">
        <v>30000</v>
      </c>
      <c r="AM13" s="23">
        <f>AL13+'04.05'!AM13</f>
        <v>130000</v>
      </c>
      <c r="AN13" s="22">
        <v>290000</v>
      </c>
      <c r="AO13" s="23">
        <f>AN13+'04.05'!AO13</f>
        <v>1109000</v>
      </c>
      <c r="AP13" s="28" t="s">
        <v>47</v>
      </c>
      <c r="AQ13" s="19">
        <f t="shared" si="3"/>
        <v>14</v>
      </c>
      <c r="AR13" s="20">
        <f t="shared" si="3"/>
        <v>110</v>
      </c>
      <c r="AS13" s="34">
        <v>1</v>
      </c>
      <c r="AT13" s="23">
        <f>AS13+'04.05'!AT13</f>
        <v>3</v>
      </c>
      <c r="AU13" s="34">
        <v>1</v>
      </c>
      <c r="AV13" s="23">
        <f>AU13+'04.05'!AV13</f>
        <v>3</v>
      </c>
      <c r="AW13" s="34">
        <v>0</v>
      </c>
      <c r="AX13" s="23">
        <f>AW13+'04.05'!AX13</f>
        <v>0</v>
      </c>
      <c r="AY13" s="34">
        <v>0</v>
      </c>
      <c r="AZ13" s="23">
        <f>AY13+'04.05'!AZ13</f>
        <v>0</v>
      </c>
      <c r="BA13" s="34">
        <v>12</v>
      </c>
      <c r="BB13" s="23">
        <f>BA13+'04.05'!BB13</f>
        <v>104</v>
      </c>
      <c r="BC13" s="19">
        <f t="shared" si="5"/>
        <v>7695</v>
      </c>
      <c r="BD13" s="20">
        <f t="shared" si="5"/>
        <v>52212</v>
      </c>
      <c r="BE13" s="22">
        <v>516</v>
      </c>
      <c r="BF13" s="23">
        <f>BE13+'04.05'!BF13</f>
        <v>2580</v>
      </c>
      <c r="BG13" s="34">
        <v>12</v>
      </c>
      <c r="BH13" s="23">
        <f>BG13+'04.05'!BH13</f>
        <v>65</v>
      </c>
      <c r="BI13" s="22">
        <v>7000</v>
      </c>
      <c r="BJ13" s="23">
        <f>BI13+'04.05'!BJ13</f>
        <v>49000</v>
      </c>
      <c r="BK13" s="22">
        <v>100</v>
      </c>
      <c r="BL13" s="23">
        <f>BK13+'04.05'!BL13</f>
        <v>500</v>
      </c>
      <c r="BM13" s="22">
        <v>67</v>
      </c>
      <c r="BN13" s="23">
        <f>BM13+'04.05'!BN13</f>
        <v>67</v>
      </c>
      <c r="BO13" s="36"/>
      <c r="BP13" s="37">
        <v>0</v>
      </c>
      <c r="BQ13" s="23">
        <f>BP13+'04.05'!BQ13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120</v>
      </c>
      <c r="D14" s="42">
        <f t="shared" si="0"/>
        <v>596</v>
      </c>
      <c r="E14" s="43">
        <v>304</v>
      </c>
      <c r="F14" s="22">
        <v>102</v>
      </c>
      <c r="G14" s="23">
        <f>F14+'04.05'!G14</f>
        <v>476</v>
      </c>
      <c r="H14" s="44">
        <v>5</v>
      </c>
      <c r="I14" s="45">
        <v>0</v>
      </c>
      <c r="J14" s="23">
        <f>I14+'04.05'!J14</f>
        <v>0</v>
      </c>
      <c r="K14" s="44">
        <v>34</v>
      </c>
      <c r="L14" s="22">
        <v>0</v>
      </c>
      <c r="M14" s="23">
        <f>L14+'04.05'!M14</f>
        <v>0</v>
      </c>
      <c r="N14" s="44">
        <v>583</v>
      </c>
      <c r="O14" s="22">
        <v>0</v>
      </c>
      <c r="P14" s="23">
        <f>O14+'04.05'!P14</f>
        <v>0</v>
      </c>
      <c r="Q14" s="44">
        <v>254</v>
      </c>
      <c r="R14" s="22">
        <v>0</v>
      </c>
      <c r="S14" s="23">
        <f>R14+'04.05'!S14</f>
        <v>0</v>
      </c>
      <c r="T14" s="44">
        <v>196</v>
      </c>
      <c r="U14" s="22">
        <v>0</v>
      </c>
      <c r="V14" s="23">
        <f>U14+'04.05'!V14</f>
        <v>0</v>
      </c>
      <c r="W14" s="44">
        <v>30</v>
      </c>
      <c r="X14" s="22">
        <v>14</v>
      </c>
      <c r="Y14" s="23">
        <f>X14+'04.05'!Y14</f>
        <v>96</v>
      </c>
      <c r="Z14" s="44">
        <v>10</v>
      </c>
      <c r="AA14" s="22">
        <v>0</v>
      </c>
      <c r="AB14" s="23">
        <f>AA14+'04.05'!AB14</f>
        <v>0</v>
      </c>
      <c r="AC14" s="44">
        <v>2500</v>
      </c>
      <c r="AD14" s="22">
        <v>4</v>
      </c>
      <c r="AE14" s="23">
        <f>AD14+'04.05'!AE14</f>
        <v>24</v>
      </c>
      <c r="AF14" s="19">
        <f t="shared" si="1"/>
        <v>108250</v>
      </c>
      <c r="AG14" s="20">
        <f t="shared" si="1"/>
        <v>521100</v>
      </c>
      <c r="AH14" s="24">
        <v>3950</v>
      </c>
      <c r="AI14" s="23">
        <f>AH14+'04.05'!AI14</f>
        <v>13620</v>
      </c>
      <c r="AJ14" s="24">
        <v>6600</v>
      </c>
      <c r="AK14" s="23">
        <f>AJ14+'04.05'!AK14</f>
        <v>26750</v>
      </c>
      <c r="AL14" s="22">
        <v>6400</v>
      </c>
      <c r="AM14" s="23">
        <f>AL14+'04.05'!AM14</f>
        <v>29750</v>
      </c>
      <c r="AN14" s="22">
        <v>91300</v>
      </c>
      <c r="AO14" s="23">
        <f>AN14+'04.05'!AO14</f>
        <v>450980</v>
      </c>
      <c r="AP14" s="39" t="s">
        <v>48</v>
      </c>
      <c r="AQ14" s="19">
        <f t="shared" si="3"/>
        <v>5</v>
      </c>
      <c r="AR14" s="20">
        <f t="shared" si="3"/>
        <v>24</v>
      </c>
      <c r="AS14" s="45">
        <v>0</v>
      </c>
      <c r="AT14" s="23">
        <f>AS14+'04.05'!AT14</f>
        <v>0</v>
      </c>
      <c r="AU14" s="45">
        <v>1</v>
      </c>
      <c r="AV14" s="23">
        <f>AU14+'04.05'!AV14</f>
        <v>1</v>
      </c>
      <c r="AW14" s="45">
        <v>0</v>
      </c>
      <c r="AX14" s="23">
        <f>AW14+'04.05'!AX14</f>
        <v>0</v>
      </c>
      <c r="AY14" s="45">
        <v>1</v>
      </c>
      <c r="AZ14" s="23">
        <f>AY14+'04.05'!AZ14</f>
        <v>1</v>
      </c>
      <c r="BA14" s="45">
        <v>3</v>
      </c>
      <c r="BB14" s="23">
        <f>BA14+'04.05'!BB14</f>
        <v>22</v>
      </c>
      <c r="BC14" s="19">
        <f t="shared" si="5"/>
        <v>3861</v>
      </c>
      <c r="BD14" s="20">
        <f t="shared" si="5"/>
        <v>19076</v>
      </c>
      <c r="BE14" s="22">
        <v>3</v>
      </c>
      <c r="BF14" s="23">
        <f>BE14+'04.05'!BF14</f>
        <v>21</v>
      </c>
      <c r="BG14" s="45">
        <v>2</v>
      </c>
      <c r="BH14" s="23">
        <f>BG14+'04.05'!BH14</f>
        <v>13</v>
      </c>
      <c r="BI14" s="22">
        <v>3850</v>
      </c>
      <c r="BJ14" s="23">
        <f>BI14+'04.05'!BJ14</f>
        <v>19000</v>
      </c>
      <c r="BK14" s="22">
        <v>4</v>
      </c>
      <c r="BL14" s="23">
        <f>BK14+'04.05'!BL14</f>
        <v>25</v>
      </c>
      <c r="BM14" s="22">
        <v>2</v>
      </c>
      <c r="BN14" s="23">
        <f>BM14+'04.05'!BN14</f>
        <v>17</v>
      </c>
      <c r="BO14" s="48">
        <v>22</v>
      </c>
      <c r="BP14" s="49">
        <v>0</v>
      </c>
      <c r="BQ14" s="23">
        <f>BP14+'04.05'!BQ14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455</v>
      </c>
      <c r="D15" s="53">
        <f t="shared" si="0"/>
        <v>2348</v>
      </c>
      <c r="E15" s="54">
        <v>776</v>
      </c>
      <c r="F15" s="55">
        <v>339</v>
      </c>
      <c r="G15" s="23">
        <f>F15+'04.05'!G15</f>
        <v>1673</v>
      </c>
      <c r="H15" s="56">
        <v>9</v>
      </c>
      <c r="I15" s="57">
        <v>0</v>
      </c>
      <c r="J15" s="23">
        <f>I15+'04.05'!J15</f>
        <v>0</v>
      </c>
      <c r="K15" s="56">
        <v>6</v>
      </c>
      <c r="L15" s="55">
        <v>0</v>
      </c>
      <c r="M15" s="23">
        <f>L15+'04.05'!M15</f>
        <v>0</v>
      </c>
      <c r="N15" s="56">
        <v>1305</v>
      </c>
      <c r="O15" s="55">
        <v>0</v>
      </c>
      <c r="P15" s="23">
        <f>O15+'04.05'!P15</f>
        <v>0</v>
      </c>
      <c r="Q15" s="56">
        <v>447</v>
      </c>
      <c r="R15" s="55">
        <v>0</v>
      </c>
      <c r="S15" s="23">
        <f>R15+'04.05'!S15</f>
        <v>0</v>
      </c>
      <c r="T15" s="56">
        <v>337</v>
      </c>
      <c r="U15" s="55">
        <v>0</v>
      </c>
      <c r="V15" s="23">
        <f>U15+'04.05'!V15</f>
        <v>0</v>
      </c>
      <c r="W15" s="56">
        <v>78</v>
      </c>
      <c r="X15" s="55">
        <v>0</v>
      </c>
      <c r="Y15" s="23">
        <f>X15+'04.05'!Y15</f>
        <v>0</v>
      </c>
      <c r="Z15" s="56">
        <v>141</v>
      </c>
      <c r="AA15" s="55">
        <v>0</v>
      </c>
      <c r="AB15" s="23">
        <f>AA15+'04.05'!AB15</f>
        <v>0</v>
      </c>
      <c r="AC15" s="56">
        <v>798</v>
      </c>
      <c r="AD15" s="55">
        <v>116</v>
      </c>
      <c r="AE15" s="23">
        <f>AD15+'04.05'!AE15</f>
        <v>675</v>
      </c>
      <c r="AF15" s="58">
        <f t="shared" si="1"/>
        <v>1767253</v>
      </c>
      <c r="AG15" s="59">
        <f t="shared" si="1"/>
        <v>7941480</v>
      </c>
      <c r="AH15" s="60">
        <v>895</v>
      </c>
      <c r="AI15" s="23">
        <f>AH15+'04.05'!AI15</f>
        <v>4567</v>
      </c>
      <c r="AJ15" s="60">
        <v>3226</v>
      </c>
      <c r="AK15" s="23">
        <f>AJ15+'04.05'!AK15</f>
        <v>16232</v>
      </c>
      <c r="AL15" s="55">
        <v>881566</v>
      </c>
      <c r="AM15" s="23">
        <f>AL15+'04.05'!AM15</f>
        <v>3960341</v>
      </c>
      <c r="AN15" s="55">
        <v>881566</v>
      </c>
      <c r="AO15" s="23">
        <f>AN15+'04.05'!AO15</f>
        <v>3960340</v>
      </c>
      <c r="AP15" s="50" t="s">
        <v>49</v>
      </c>
      <c r="AQ15" s="58">
        <f t="shared" si="3"/>
        <v>4</v>
      </c>
      <c r="AR15" s="59">
        <f t="shared" si="3"/>
        <v>11</v>
      </c>
      <c r="AS15" s="57">
        <v>0</v>
      </c>
      <c r="AT15" s="23">
        <f>AS15+'04.05'!AT15</f>
        <v>0</v>
      </c>
      <c r="AU15" s="57">
        <v>1</v>
      </c>
      <c r="AV15" s="23">
        <f>AU15+'04.05'!AV15</f>
        <v>1</v>
      </c>
      <c r="AW15" s="57">
        <v>0</v>
      </c>
      <c r="AX15" s="23">
        <f>AW15+'04.05'!AX15</f>
        <v>0</v>
      </c>
      <c r="AY15" s="57">
        <v>0</v>
      </c>
      <c r="AZ15" s="23">
        <f>AY15+'04.05'!AZ15</f>
        <v>0</v>
      </c>
      <c r="BA15" s="57">
        <v>3</v>
      </c>
      <c r="BB15" s="23">
        <f>BA15+'04.05'!BB15</f>
        <v>10</v>
      </c>
      <c r="BC15" s="58">
        <f t="shared" si="5"/>
        <v>1559</v>
      </c>
      <c r="BD15" s="59">
        <f t="shared" si="5"/>
        <v>7565</v>
      </c>
      <c r="BE15" s="55">
        <v>71</v>
      </c>
      <c r="BF15" s="23">
        <f>BE15+'04.05'!BF15</f>
        <v>345</v>
      </c>
      <c r="BG15" s="57">
        <v>2</v>
      </c>
      <c r="BH15" s="23">
        <f>BG15+'04.05'!BH15</f>
        <v>9</v>
      </c>
      <c r="BI15" s="55">
        <v>722</v>
      </c>
      <c r="BJ15" s="23">
        <f>BI15+'04.05'!BJ15</f>
        <v>3539</v>
      </c>
      <c r="BK15" s="55">
        <v>745</v>
      </c>
      <c r="BL15" s="23">
        <f>BK15+'04.05'!BL15</f>
        <v>3578</v>
      </c>
      <c r="BM15" s="55">
        <v>19</v>
      </c>
      <c r="BN15" s="23">
        <f>BM15+'04.05'!BN15</f>
        <v>94</v>
      </c>
      <c r="BO15" s="36">
        <v>6274</v>
      </c>
      <c r="BP15" s="37">
        <v>1</v>
      </c>
      <c r="BQ15" s="23">
        <f>BP15+'04.05'!BQ15</f>
        <v>8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675</v>
      </c>
      <c r="E16" s="32">
        <v>310</v>
      </c>
      <c r="F16" s="22">
        <v>42</v>
      </c>
      <c r="G16" s="23">
        <f>F16+'04.05'!G16</f>
        <v>210</v>
      </c>
      <c r="H16" s="33">
        <v>5</v>
      </c>
      <c r="I16" s="34">
        <v>0</v>
      </c>
      <c r="J16" s="23">
        <f>I16+'04.05'!J16</f>
        <v>0</v>
      </c>
      <c r="K16" s="33">
        <v>3</v>
      </c>
      <c r="L16" s="22">
        <v>0</v>
      </c>
      <c r="M16" s="23">
        <f>L16+'04.05'!M16</f>
        <v>0</v>
      </c>
      <c r="N16" s="33">
        <v>384</v>
      </c>
      <c r="O16" s="22">
        <v>0</v>
      </c>
      <c r="P16" s="23">
        <f>O16+'04.05'!P16</f>
        <v>0</v>
      </c>
      <c r="Q16" s="33">
        <v>245</v>
      </c>
      <c r="R16" s="22">
        <v>0</v>
      </c>
      <c r="S16" s="23">
        <f>R16+'04.05'!S16</f>
        <v>0</v>
      </c>
      <c r="T16" s="33">
        <v>397</v>
      </c>
      <c r="U16" s="22">
        <v>0</v>
      </c>
      <c r="V16" s="23">
        <f>U16+'04.05'!V16</f>
        <v>0</v>
      </c>
      <c r="W16" s="33">
        <v>24</v>
      </c>
      <c r="X16" s="22">
        <v>51</v>
      </c>
      <c r="Y16" s="23">
        <f>X16+'04.05'!Y16</f>
        <v>256</v>
      </c>
      <c r="Z16" s="33">
        <v>18</v>
      </c>
      <c r="AA16" s="22">
        <v>0</v>
      </c>
      <c r="AB16" s="23">
        <f>AA16+'04.05'!AB16</f>
        <v>0</v>
      </c>
      <c r="AC16" s="33">
        <v>18515</v>
      </c>
      <c r="AD16" s="22">
        <v>40</v>
      </c>
      <c r="AE16" s="23">
        <f>AD16+'04.05'!AE16</f>
        <v>209</v>
      </c>
      <c r="AF16" s="19">
        <f t="shared" si="1"/>
        <v>9591</v>
      </c>
      <c r="AG16" s="20">
        <f t="shared" si="1"/>
        <v>286636</v>
      </c>
      <c r="AH16" s="24">
        <v>175</v>
      </c>
      <c r="AI16" s="23">
        <f>AH16+'04.05'!AI16</f>
        <v>883</v>
      </c>
      <c r="AJ16" s="24">
        <v>1351</v>
      </c>
      <c r="AK16" s="23">
        <f>AJ16+'04.05'!AK16</f>
        <v>5753</v>
      </c>
      <c r="AL16" s="22">
        <v>1613</v>
      </c>
      <c r="AM16" s="23">
        <f>AL16+'04.05'!AM16</f>
        <v>8043</v>
      </c>
      <c r="AN16" s="22">
        <v>6452</v>
      </c>
      <c r="AO16" s="23">
        <f>AN16+'04.05'!AO16</f>
        <v>271957</v>
      </c>
      <c r="AP16" s="28" t="s">
        <v>51</v>
      </c>
      <c r="AQ16" s="19">
        <f t="shared" si="3"/>
        <v>87</v>
      </c>
      <c r="AR16" s="20">
        <f t="shared" si="3"/>
        <v>320</v>
      </c>
      <c r="AS16" s="34">
        <v>0</v>
      </c>
      <c r="AT16" s="23">
        <f>AS16+'04.05'!AT16</f>
        <v>1</v>
      </c>
      <c r="AU16" s="34">
        <v>0</v>
      </c>
      <c r="AV16" s="23">
        <f>AU16+'04.05'!AV16</f>
        <v>0</v>
      </c>
      <c r="AW16" s="34">
        <v>0</v>
      </c>
      <c r="AX16" s="23">
        <f>AW16+'04.05'!AX16</f>
        <v>0</v>
      </c>
      <c r="AY16" s="34">
        <v>0</v>
      </c>
      <c r="AZ16" s="23">
        <f>AY16+'04.05'!AZ16</f>
        <v>0</v>
      </c>
      <c r="BA16" s="34">
        <v>87</v>
      </c>
      <c r="BB16" s="23">
        <f>BA16+'04.05'!BB16</f>
        <v>319</v>
      </c>
      <c r="BC16" s="19">
        <f t="shared" si="5"/>
        <v>1123</v>
      </c>
      <c r="BD16" s="20">
        <f t="shared" si="5"/>
        <v>6058</v>
      </c>
      <c r="BE16" s="22">
        <v>46</v>
      </c>
      <c r="BF16" s="23">
        <f>BE16+'04.05'!BF16</f>
        <v>297</v>
      </c>
      <c r="BG16" s="34">
        <v>0</v>
      </c>
      <c r="BH16" s="23">
        <f>BG16+'04.05'!BH16</f>
        <v>0</v>
      </c>
      <c r="BI16" s="22">
        <v>1031</v>
      </c>
      <c r="BJ16" s="23">
        <f>BI16+'04.05'!BJ16</f>
        <v>5519</v>
      </c>
      <c r="BK16" s="22">
        <v>41</v>
      </c>
      <c r="BL16" s="23">
        <f>BK16+'04.05'!BL16</f>
        <v>231</v>
      </c>
      <c r="BM16" s="22">
        <v>5</v>
      </c>
      <c r="BN16" s="23">
        <f>BM16+'04.05'!BN16</f>
        <v>11</v>
      </c>
      <c r="BO16" s="36">
        <v>2546</v>
      </c>
      <c r="BP16" s="37">
        <v>0</v>
      </c>
      <c r="BQ16" s="23">
        <f>BP16+'04.05'!BQ16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177</v>
      </c>
      <c r="D17" s="31">
        <f t="shared" si="0"/>
        <v>897</v>
      </c>
      <c r="E17" s="32">
        <v>754</v>
      </c>
      <c r="F17" s="22">
        <v>147</v>
      </c>
      <c r="G17" s="23">
        <f>F17+'04.05'!G17</f>
        <v>732</v>
      </c>
      <c r="H17" s="33">
        <v>9</v>
      </c>
      <c r="I17" s="34">
        <v>0</v>
      </c>
      <c r="J17" s="23">
        <f>I17+'04.05'!J17</f>
        <v>0</v>
      </c>
      <c r="K17" s="33">
        <v>5</v>
      </c>
      <c r="L17" s="22">
        <v>0</v>
      </c>
      <c r="M17" s="23">
        <f>L17+'04.05'!M17</f>
        <v>0</v>
      </c>
      <c r="N17" s="33">
        <v>768</v>
      </c>
      <c r="O17" s="22">
        <v>0</v>
      </c>
      <c r="P17" s="23">
        <f>O17+'04.05'!P17</f>
        <v>0</v>
      </c>
      <c r="Q17" s="33">
        <v>624</v>
      </c>
      <c r="R17" s="22">
        <v>0</v>
      </c>
      <c r="S17" s="23">
        <f>R17+'04.05'!S17</f>
        <v>0</v>
      </c>
      <c r="T17" s="33">
        <v>742</v>
      </c>
      <c r="U17" s="22">
        <v>0</v>
      </c>
      <c r="V17" s="23">
        <f>U17+'04.05'!V17</f>
        <v>0</v>
      </c>
      <c r="W17" s="33">
        <v>54</v>
      </c>
      <c r="X17" s="22">
        <v>20</v>
      </c>
      <c r="Y17" s="23">
        <f>X17+'04.05'!Y17</f>
        <v>101</v>
      </c>
      <c r="Z17" s="33">
        <v>66</v>
      </c>
      <c r="AA17" s="22">
        <v>0</v>
      </c>
      <c r="AB17" s="23">
        <f>AA17+'04.05'!AB17</f>
        <v>0</v>
      </c>
      <c r="AC17" s="33">
        <v>2580</v>
      </c>
      <c r="AD17" s="22">
        <v>10</v>
      </c>
      <c r="AE17" s="23">
        <f>AD17+'04.05'!AE17</f>
        <v>64</v>
      </c>
      <c r="AF17" s="19">
        <f t="shared" si="1"/>
        <v>102500</v>
      </c>
      <c r="AG17" s="20">
        <f t="shared" si="1"/>
        <v>504500</v>
      </c>
      <c r="AH17" s="24">
        <v>7500</v>
      </c>
      <c r="AI17" s="23">
        <f>AH17+'04.05'!AI17</f>
        <v>35500</v>
      </c>
      <c r="AJ17" s="24">
        <v>9000</v>
      </c>
      <c r="AK17" s="23">
        <f>AJ17+'04.05'!AK17</f>
        <v>49000</v>
      </c>
      <c r="AL17" s="22">
        <v>21000</v>
      </c>
      <c r="AM17" s="23">
        <f>AL17+'04.05'!AM17</f>
        <v>109000</v>
      </c>
      <c r="AN17" s="22">
        <v>65000</v>
      </c>
      <c r="AO17" s="23">
        <f>AN17+'04.05'!AO17</f>
        <v>311000</v>
      </c>
      <c r="AP17" s="28" t="s">
        <v>52</v>
      </c>
      <c r="AQ17" s="19">
        <f t="shared" si="3"/>
        <v>15</v>
      </c>
      <c r="AR17" s="20">
        <f t="shared" si="3"/>
        <v>69</v>
      </c>
      <c r="AS17" s="34">
        <v>1</v>
      </c>
      <c r="AT17" s="23">
        <f>AS17+'04.05'!AT17</f>
        <v>6</v>
      </c>
      <c r="AU17" s="34">
        <v>1</v>
      </c>
      <c r="AV17" s="23">
        <f>AU17+'04.05'!AV17</f>
        <v>6</v>
      </c>
      <c r="AW17" s="34">
        <v>0</v>
      </c>
      <c r="AX17" s="23">
        <f>AW17+'04.05'!AX17</f>
        <v>0</v>
      </c>
      <c r="AY17" s="34">
        <v>0</v>
      </c>
      <c r="AZ17" s="23">
        <f>AY17+'04.05'!AZ17</f>
        <v>0</v>
      </c>
      <c r="BA17" s="34">
        <v>13</v>
      </c>
      <c r="BB17" s="23">
        <f>BA17+'04.05'!BB17</f>
        <v>57</v>
      </c>
      <c r="BC17" s="19">
        <f t="shared" si="5"/>
        <v>2735</v>
      </c>
      <c r="BD17" s="20">
        <f t="shared" si="5"/>
        <v>7517</v>
      </c>
      <c r="BE17" s="22">
        <v>39</v>
      </c>
      <c r="BF17" s="23">
        <f>BE17+'04.05'!BF17</f>
        <v>154</v>
      </c>
      <c r="BG17" s="34">
        <v>1</v>
      </c>
      <c r="BH17" s="23">
        <f>BG17+'04.05'!BH17</f>
        <v>5</v>
      </c>
      <c r="BI17" s="22">
        <v>2500</v>
      </c>
      <c r="BJ17" s="23">
        <f>BI17+'04.05'!BJ17</f>
        <v>6600</v>
      </c>
      <c r="BK17" s="22">
        <v>185</v>
      </c>
      <c r="BL17" s="23">
        <f>BK17+'04.05'!BL17</f>
        <v>735</v>
      </c>
      <c r="BM17" s="22">
        <v>10</v>
      </c>
      <c r="BN17" s="23">
        <f>BM17+'04.05'!BN17</f>
        <v>23</v>
      </c>
      <c r="BO17" s="36">
        <v>8022</v>
      </c>
      <c r="BP17" s="37">
        <v>3</v>
      </c>
      <c r="BQ17" s="23">
        <f>BP17+'04.05'!BQ17</f>
        <v>22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289</v>
      </c>
      <c r="D18" s="20">
        <f t="shared" si="0"/>
        <v>1690</v>
      </c>
      <c r="E18" s="21">
        <v>1063</v>
      </c>
      <c r="F18" s="22">
        <v>198</v>
      </c>
      <c r="G18" s="23">
        <f>F18+'04.05'!G18</f>
        <v>1055</v>
      </c>
      <c r="H18" s="21">
        <v>19</v>
      </c>
      <c r="I18" s="22">
        <v>0</v>
      </c>
      <c r="J18" s="23">
        <f>I18+'04.05'!J18</f>
        <v>0</v>
      </c>
      <c r="K18" s="21">
        <v>8</v>
      </c>
      <c r="L18" s="22">
        <v>0</v>
      </c>
      <c r="M18" s="23">
        <f>L18+'04.05'!M18</f>
        <v>0</v>
      </c>
      <c r="N18" s="21">
        <v>1331</v>
      </c>
      <c r="O18" s="22">
        <v>0</v>
      </c>
      <c r="P18" s="23">
        <f>O18+'04.05'!P18</f>
        <v>0</v>
      </c>
      <c r="Q18" s="21">
        <v>777</v>
      </c>
      <c r="R18" s="22">
        <v>0</v>
      </c>
      <c r="S18" s="23">
        <f>R18+'04.05'!S18</f>
        <v>0</v>
      </c>
      <c r="T18" s="21">
        <v>318</v>
      </c>
      <c r="U18" s="22">
        <v>0</v>
      </c>
      <c r="V18" s="23">
        <f>U18+'04.05'!V18</f>
        <v>81</v>
      </c>
      <c r="W18" s="21">
        <v>60</v>
      </c>
      <c r="X18" s="22">
        <v>91</v>
      </c>
      <c r="Y18" s="23">
        <f>X18+'04.05'!Y18</f>
        <v>554</v>
      </c>
      <c r="Z18" s="21">
        <v>72</v>
      </c>
      <c r="AA18" s="22">
        <v>0</v>
      </c>
      <c r="AB18" s="23">
        <f>AA18+'04.05'!AB18</f>
        <v>0</v>
      </c>
      <c r="AC18" s="21">
        <v>143</v>
      </c>
      <c r="AD18" s="22">
        <v>0</v>
      </c>
      <c r="AE18" s="23">
        <f>AD18+'04.05'!AE18</f>
        <v>0</v>
      </c>
      <c r="AF18" s="19">
        <f t="shared" si="1"/>
        <v>121765</v>
      </c>
      <c r="AG18" s="20">
        <f t="shared" si="1"/>
        <v>1050682</v>
      </c>
      <c r="AH18" s="24">
        <v>185</v>
      </c>
      <c r="AI18" s="23">
        <f>AH18+'04.05'!AI18</f>
        <v>2214</v>
      </c>
      <c r="AJ18" s="24">
        <v>2333</v>
      </c>
      <c r="AK18" s="23">
        <f>AJ18+'04.05'!AK18</f>
        <v>15502</v>
      </c>
      <c r="AL18" s="22">
        <v>2921</v>
      </c>
      <c r="AM18" s="23">
        <f>AL18+'04.05'!AM18</f>
        <v>18074</v>
      </c>
      <c r="AN18" s="22">
        <v>116326</v>
      </c>
      <c r="AO18" s="23">
        <f>AN18+'04.05'!AO18</f>
        <v>1014892</v>
      </c>
      <c r="AP18" s="17" t="s">
        <v>53</v>
      </c>
      <c r="AQ18" s="19">
        <f t="shared" si="3"/>
        <v>1</v>
      </c>
      <c r="AR18" s="20">
        <f t="shared" si="3"/>
        <v>11</v>
      </c>
      <c r="AS18" s="22">
        <v>0</v>
      </c>
      <c r="AT18" s="23">
        <f>AS18+'04.05'!AT18</f>
        <v>1</v>
      </c>
      <c r="AU18" s="22">
        <v>0</v>
      </c>
      <c r="AV18" s="23">
        <f>AU18+'04.05'!AV18</f>
        <v>0</v>
      </c>
      <c r="AW18" s="22">
        <v>0</v>
      </c>
      <c r="AX18" s="23">
        <f>AW18+'04.05'!AX18</f>
        <v>0</v>
      </c>
      <c r="AY18" s="22">
        <v>0</v>
      </c>
      <c r="AZ18" s="23">
        <f>AY18+'04.05'!AZ18</f>
        <v>0</v>
      </c>
      <c r="BA18" s="22">
        <v>1</v>
      </c>
      <c r="BB18" s="23">
        <f>BA18+'04.05'!BB18</f>
        <v>10</v>
      </c>
      <c r="BC18" s="19">
        <f t="shared" si="5"/>
        <v>407</v>
      </c>
      <c r="BD18" s="20">
        <f t="shared" si="5"/>
        <v>6252</v>
      </c>
      <c r="BE18" s="22">
        <v>1</v>
      </c>
      <c r="BF18" s="23">
        <f>BE18+'04.05'!BF18</f>
        <v>5</v>
      </c>
      <c r="BG18" s="22">
        <v>0</v>
      </c>
      <c r="BH18" s="23">
        <f>BG18+'04.05'!BH18</f>
        <v>0</v>
      </c>
      <c r="BI18" s="22">
        <v>348</v>
      </c>
      <c r="BJ18" s="23">
        <f>BI18+'04.05'!BJ18</f>
        <v>5785</v>
      </c>
      <c r="BK18" s="22">
        <v>58</v>
      </c>
      <c r="BL18" s="23">
        <f>BK18+'04.05'!BL18</f>
        <v>462</v>
      </c>
      <c r="BM18" s="22">
        <v>0</v>
      </c>
      <c r="BN18" s="23">
        <f>BM18+'04.05'!BN18</f>
        <v>0</v>
      </c>
      <c r="BO18" s="36">
        <v>442</v>
      </c>
      <c r="BP18" s="37">
        <v>17</v>
      </c>
      <c r="BQ18" s="23">
        <f>BP18+'04.05'!BQ18</f>
        <v>27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25</v>
      </c>
      <c r="D19" s="31">
        <f t="shared" si="0"/>
        <v>161</v>
      </c>
      <c r="E19" s="33">
        <v>221</v>
      </c>
      <c r="F19" s="22">
        <v>7</v>
      </c>
      <c r="G19" s="23">
        <f>F19+'04.05'!G19</f>
        <v>41</v>
      </c>
      <c r="H19" s="33">
        <v>5</v>
      </c>
      <c r="I19" s="34">
        <v>0</v>
      </c>
      <c r="J19" s="23">
        <f>I19+'04.05'!J19</f>
        <v>0</v>
      </c>
      <c r="K19" s="33">
        <v>4</v>
      </c>
      <c r="L19" s="22">
        <v>0</v>
      </c>
      <c r="M19" s="23">
        <f>L19+'04.05'!M19</f>
        <v>0</v>
      </c>
      <c r="N19" s="33">
        <v>313</v>
      </c>
      <c r="O19" s="22">
        <v>6</v>
      </c>
      <c r="P19" s="23">
        <f>O19+'04.05'!P19</f>
        <v>6</v>
      </c>
      <c r="Q19" s="33">
        <v>203</v>
      </c>
      <c r="R19" s="22">
        <v>0</v>
      </c>
      <c r="S19" s="23">
        <f>R19+'04.05'!S19</f>
        <v>0</v>
      </c>
      <c r="T19" s="33">
        <v>241</v>
      </c>
      <c r="U19" s="22">
        <v>0</v>
      </c>
      <c r="V19" s="23">
        <f>U19+'04.05'!V19</f>
        <v>0</v>
      </c>
      <c r="W19" s="33">
        <v>14</v>
      </c>
      <c r="X19" s="22">
        <v>6</v>
      </c>
      <c r="Y19" s="23">
        <f>X19+'04.05'!Y19</f>
        <v>51</v>
      </c>
      <c r="Z19" s="33">
        <v>7</v>
      </c>
      <c r="AA19" s="22">
        <v>0</v>
      </c>
      <c r="AB19" s="23">
        <f>AA19+'04.05'!AB19</f>
        <v>0</v>
      </c>
      <c r="AC19" s="33">
        <v>32</v>
      </c>
      <c r="AD19" s="22">
        <v>6</v>
      </c>
      <c r="AE19" s="23">
        <f>AD19+'04.05'!AE19</f>
        <v>63</v>
      </c>
      <c r="AF19" s="19">
        <f t="shared" si="1"/>
        <v>3400</v>
      </c>
      <c r="AG19" s="20">
        <f t="shared" si="1"/>
        <v>13800</v>
      </c>
      <c r="AH19" s="24">
        <v>600</v>
      </c>
      <c r="AI19" s="23">
        <f>AH19+'04.05'!AI19</f>
        <v>2550</v>
      </c>
      <c r="AJ19" s="24">
        <v>600</v>
      </c>
      <c r="AK19" s="23">
        <f>AJ19+'04.05'!AK19</f>
        <v>2550</v>
      </c>
      <c r="AL19" s="22">
        <v>1100</v>
      </c>
      <c r="AM19" s="23">
        <f>AL19+'04.05'!AM19</f>
        <v>4350</v>
      </c>
      <c r="AN19" s="22">
        <v>1100</v>
      </c>
      <c r="AO19" s="23">
        <f>AN19+'04.05'!AO19</f>
        <v>4350</v>
      </c>
      <c r="AP19" s="28" t="s">
        <v>54</v>
      </c>
      <c r="AQ19" s="19">
        <f t="shared" si="3"/>
        <v>1</v>
      </c>
      <c r="AR19" s="20">
        <f t="shared" si="3"/>
        <v>1</v>
      </c>
      <c r="AS19" s="34">
        <v>0</v>
      </c>
      <c r="AT19" s="23">
        <f>AS19+'04.05'!AT19</f>
        <v>0</v>
      </c>
      <c r="AU19" s="34">
        <v>1</v>
      </c>
      <c r="AV19" s="23">
        <f>AU19+'04.05'!AV19</f>
        <v>1</v>
      </c>
      <c r="AW19" s="34">
        <v>0</v>
      </c>
      <c r="AX19" s="23">
        <f>AW19+'04.05'!AX19</f>
        <v>0</v>
      </c>
      <c r="AY19" s="34">
        <v>0</v>
      </c>
      <c r="AZ19" s="23">
        <f>AY19+'04.05'!AZ19</f>
        <v>0</v>
      </c>
      <c r="BA19" s="34">
        <v>0</v>
      </c>
      <c r="BB19" s="23">
        <f>BA19+'04.05'!BB19</f>
        <v>0</v>
      </c>
      <c r="BC19" s="19">
        <f t="shared" si="5"/>
        <v>1120</v>
      </c>
      <c r="BD19" s="20">
        <f t="shared" si="5"/>
        <v>4885</v>
      </c>
      <c r="BE19" s="22">
        <v>14</v>
      </c>
      <c r="BF19" s="23">
        <f>BE19+'04.05'!BF19</f>
        <v>65</v>
      </c>
      <c r="BG19" s="34">
        <v>0</v>
      </c>
      <c r="BH19" s="23">
        <f>BG19+'04.05'!BH19</f>
        <v>0</v>
      </c>
      <c r="BI19" s="22">
        <v>1000</v>
      </c>
      <c r="BJ19" s="23">
        <f>BI19+'04.05'!BJ19</f>
        <v>4200</v>
      </c>
      <c r="BK19" s="22">
        <v>100</v>
      </c>
      <c r="BL19" s="23">
        <f>BK19+'04.05'!BL19</f>
        <v>600</v>
      </c>
      <c r="BM19" s="22">
        <v>6</v>
      </c>
      <c r="BN19" s="23">
        <f>BM19+'04.05'!BN19</f>
        <v>20</v>
      </c>
      <c r="BO19" s="36">
        <v>2898</v>
      </c>
      <c r="BP19" s="37">
        <v>0</v>
      </c>
      <c r="BQ19" s="23">
        <f>BP19+'04.05'!BQ19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446</v>
      </c>
      <c r="D20" s="31">
        <f t="shared" si="0"/>
        <v>1601</v>
      </c>
      <c r="E20" s="32">
        <v>723</v>
      </c>
      <c r="F20" s="22">
        <v>270</v>
      </c>
      <c r="G20" s="23">
        <f>F20+'04.05'!G20</f>
        <v>963</v>
      </c>
      <c r="H20" s="33">
        <v>5</v>
      </c>
      <c r="I20" s="34">
        <v>1</v>
      </c>
      <c r="J20" s="23">
        <f>I20+'04.05'!J20</f>
        <v>5</v>
      </c>
      <c r="K20" s="33">
        <v>3</v>
      </c>
      <c r="L20" s="22">
        <v>0</v>
      </c>
      <c r="M20" s="23">
        <f>L20+'04.05'!M20</f>
        <v>0</v>
      </c>
      <c r="N20" s="33">
        <v>975</v>
      </c>
      <c r="O20" s="22">
        <v>80</v>
      </c>
      <c r="P20" s="23">
        <f>O20+'04.05'!P20</f>
        <v>307</v>
      </c>
      <c r="Q20" s="61">
        <v>1862</v>
      </c>
      <c r="R20" s="22">
        <v>2</v>
      </c>
      <c r="S20" s="23">
        <f>R20+'04.05'!S20</f>
        <v>6</v>
      </c>
      <c r="T20" s="33">
        <v>35</v>
      </c>
      <c r="U20" s="22">
        <v>1</v>
      </c>
      <c r="V20" s="23">
        <f>U20+'04.05'!V20</f>
        <v>5</v>
      </c>
      <c r="W20" s="33">
        <v>64</v>
      </c>
      <c r="X20" s="22">
        <v>3</v>
      </c>
      <c r="Y20" s="23">
        <f>X20+'04.05'!Y20</f>
        <v>7</v>
      </c>
      <c r="Z20" s="33">
        <v>15</v>
      </c>
      <c r="AA20" s="22">
        <v>1</v>
      </c>
      <c r="AB20" s="23">
        <f>AA20+'04.05'!AB20</f>
        <v>5</v>
      </c>
      <c r="AC20" s="33">
        <v>1546</v>
      </c>
      <c r="AD20" s="22">
        <v>88</v>
      </c>
      <c r="AE20" s="23">
        <f>AD20+'04.05'!AE20</f>
        <v>303</v>
      </c>
      <c r="AF20" s="19">
        <f t="shared" si="1"/>
        <v>25174</v>
      </c>
      <c r="AG20" s="20">
        <f t="shared" si="1"/>
        <v>99984</v>
      </c>
      <c r="AH20" s="24">
        <v>12312</v>
      </c>
      <c r="AI20" s="23">
        <f>AH20+'04.05'!AI20</f>
        <v>46672</v>
      </c>
      <c r="AJ20" s="24">
        <v>12162</v>
      </c>
      <c r="AK20" s="23">
        <f>AJ20+'04.05'!AK20</f>
        <v>48792</v>
      </c>
      <c r="AL20" s="22">
        <v>550</v>
      </c>
      <c r="AM20" s="23">
        <f>AL20+'04.05'!AM20</f>
        <v>2410</v>
      </c>
      <c r="AN20" s="22">
        <v>150</v>
      </c>
      <c r="AO20" s="23">
        <f>AN20+'04.05'!AO20</f>
        <v>2110</v>
      </c>
      <c r="AP20" s="28" t="s">
        <v>55</v>
      </c>
      <c r="AQ20" s="19">
        <f t="shared" si="3"/>
        <v>237</v>
      </c>
      <c r="AR20" s="20">
        <f t="shared" si="3"/>
        <v>873</v>
      </c>
      <c r="AS20" s="34">
        <v>1</v>
      </c>
      <c r="AT20" s="23">
        <f>AS20+'04.05'!AT20</f>
        <v>5</v>
      </c>
      <c r="AU20" s="34">
        <v>0</v>
      </c>
      <c r="AV20" s="23">
        <f>AU20+'04.05'!AV20</f>
        <v>0</v>
      </c>
      <c r="AW20" s="34">
        <v>0</v>
      </c>
      <c r="AX20" s="23">
        <f>AW20+'04.05'!AX20</f>
        <v>0</v>
      </c>
      <c r="AY20" s="34">
        <v>0</v>
      </c>
      <c r="AZ20" s="23">
        <f>AY20+'04.05'!AZ20</f>
        <v>0</v>
      </c>
      <c r="BA20" s="34">
        <v>236</v>
      </c>
      <c r="BB20" s="23">
        <f>BA20+'04.05'!BB20</f>
        <v>868</v>
      </c>
      <c r="BC20" s="19">
        <f t="shared" si="5"/>
        <v>4183</v>
      </c>
      <c r="BD20" s="20">
        <f t="shared" si="5"/>
        <v>18243</v>
      </c>
      <c r="BE20" s="22">
        <v>2</v>
      </c>
      <c r="BF20" s="23">
        <f>BE20+'04.05'!BF20</f>
        <v>10</v>
      </c>
      <c r="BG20" s="34">
        <v>0</v>
      </c>
      <c r="BH20" s="23">
        <f>BG20+'04.05'!BH20</f>
        <v>0</v>
      </c>
      <c r="BI20" s="22">
        <v>2075</v>
      </c>
      <c r="BJ20" s="23">
        <f>BI20+'04.05'!BJ20</f>
        <v>9209</v>
      </c>
      <c r="BK20" s="22">
        <v>2105</v>
      </c>
      <c r="BL20" s="23">
        <f>BK20+'04.05'!BL20</f>
        <v>9020</v>
      </c>
      <c r="BM20" s="22">
        <v>1</v>
      </c>
      <c r="BN20" s="23">
        <f>BM20+'04.05'!BN20</f>
        <v>4</v>
      </c>
      <c r="BO20" s="36">
        <v>5854</v>
      </c>
      <c r="BP20" s="37">
        <v>0</v>
      </c>
      <c r="BQ20" s="23">
        <f>BP20+'04.05'!BQ20</f>
        <v>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177</v>
      </c>
      <c r="D21" s="31">
        <f t="shared" si="0"/>
        <v>1105</v>
      </c>
      <c r="E21" s="32">
        <v>1017</v>
      </c>
      <c r="F21" s="22">
        <v>150</v>
      </c>
      <c r="G21" s="23">
        <f>F21+'04.05'!G21</f>
        <v>770</v>
      </c>
      <c r="H21" s="33">
        <v>8</v>
      </c>
      <c r="I21" s="34">
        <v>3</v>
      </c>
      <c r="J21" s="23">
        <f>I21+'04.05'!J21</f>
        <v>16</v>
      </c>
      <c r="K21" s="33">
        <v>4</v>
      </c>
      <c r="L21" s="22">
        <v>0</v>
      </c>
      <c r="M21" s="23">
        <f>L21+'04.05'!M21</f>
        <v>0</v>
      </c>
      <c r="N21" s="33">
        <v>963</v>
      </c>
      <c r="O21" s="22">
        <v>4</v>
      </c>
      <c r="P21" s="23">
        <f>O21+'04.05'!P21</f>
        <v>15</v>
      </c>
      <c r="Q21" s="33">
        <v>912</v>
      </c>
      <c r="R21" s="22">
        <v>0</v>
      </c>
      <c r="S21" s="23">
        <f>R21+'04.05'!S21</f>
        <v>0</v>
      </c>
      <c r="T21" s="33">
        <v>199</v>
      </c>
      <c r="U21" s="22">
        <v>2</v>
      </c>
      <c r="V21" s="23">
        <f>U21+'04.05'!V21</f>
        <v>13</v>
      </c>
      <c r="W21" s="33">
        <v>101</v>
      </c>
      <c r="X21" s="22">
        <v>8</v>
      </c>
      <c r="Y21" s="23">
        <f>X21+'04.05'!Y21</f>
        <v>37</v>
      </c>
      <c r="Z21" s="33">
        <v>42</v>
      </c>
      <c r="AA21" s="22">
        <v>0</v>
      </c>
      <c r="AB21" s="23">
        <f>AA21+'04.05'!AB21</f>
        <v>0</v>
      </c>
      <c r="AC21" s="33">
        <v>20</v>
      </c>
      <c r="AD21" s="22">
        <v>10</v>
      </c>
      <c r="AE21" s="23">
        <f>AD21+'04.05'!AE21</f>
        <v>254</v>
      </c>
      <c r="AF21" s="19">
        <f t="shared" si="1"/>
        <v>970000</v>
      </c>
      <c r="AG21" s="20">
        <f t="shared" si="1"/>
        <v>5052000</v>
      </c>
      <c r="AH21" s="24">
        <v>1000</v>
      </c>
      <c r="AI21" s="23">
        <f>AH21+'04.05'!AI21</f>
        <v>6000</v>
      </c>
      <c r="AJ21" s="24">
        <v>169000</v>
      </c>
      <c r="AK21" s="23">
        <f>AJ21+'04.05'!AK21</f>
        <v>796000</v>
      </c>
      <c r="AL21" s="22">
        <v>1000</v>
      </c>
      <c r="AM21" s="23">
        <f>AL21+'04.05'!AM21</f>
        <v>7500</v>
      </c>
      <c r="AN21" s="22">
        <v>799000</v>
      </c>
      <c r="AO21" s="23">
        <f>AN21+'04.05'!AO21</f>
        <v>4242500</v>
      </c>
      <c r="AP21" s="28" t="s">
        <v>58</v>
      </c>
      <c r="AQ21" s="19">
        <f t="shared" si="3"/>
        <v>9</v>
      </c>
      <c r="AR21" s="20">
        <f t="shared" si="3"/>
        <v>39</v>
      </c>
      <c r="AS21" s="34">
        <v>1</v>
      </c>
      <c r="AT21" s="23">
        <f>AS21+'04.05'!AT21</f>
        <v>1</v>
      </c>
      <c r="AU21" s="34">
        <v>4</v>
      </c>
      <c r="AV21" s="23">
        <f>AU21+'04.05'!AV21</f>
        <v>20</v>
      </c>
      <c r="AW21" s="34">
        <v>0</v>
      </c>
      <c r="AX21" s="23">
        <f>AW21+'04.05'!AX21</f>
        <v>0</v>
      </c>
      <c r="AY21" s="34">
        <v>0</v>
      </c>
      <c r="AZ21" s="23">
        <f>AY21+'04.05'!AZ21</f>
        <v>0</v>
      </c>
      <c r="BA21" s="34">
        <v>4</v>
      </c>
      <c r="BB21" s="23">
        <f>BA21+'04.05'!BB21</f>
        <v>18</v>
      </c>
      <c r="BC21" s="19">
        <f t="shared" si="5"/>
        <v>2007</v>
      </c>
      <c r="BD21" s="20">
        <f t="shared" si="5"/>
        <v>16209</v>
      </c>
      <c r="BE21" s="22">
        <v>0</v>
      </c>
      <c r="BF21" s="23">
        <f>BE21+'04.05'!BF21</f>
        <v>185</v>
      </c>
      <c r="BG21" s="34">
        <v>0</v>
      </c>
      <c r="BH21" s="23">
        <f>BG21+'04.05'!BH21</f>
        <v>0</v>
      </c>
      <c r="BI21" s="22">
        <v>2000</v>
      </c>
      <c r="BJ21" s="23">
        <f>BI21+'04.05'!BJ21</f>
        <v>16000</v>
      </c>
      <c r="BK21" s="22">
        <v>0</v>
      </c>
      <c r="BL21" s="23">
        <f>BK21+'04.05'!BL21</f>
        <v>0</v>
      </c>
      <c r="BM21" s="22">
        <v>7</v>
      </c>
      <c r="BN21" s="23">
        <f>BM21+'04.05'!BN21</f>
        <v>24</v>
      </c>
      <c r="BO21" s="36">
        <v>68</v>
      </c>
      <c r="BP21" s="37">
        <v>1</v>
      </c>
      <c r="BQ21" s="23">
        <f>BP21+'04.05'!BQ21</f>
        <v>6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2335</v>
      </c>
      <c r="D22" s="31">
        <f t="shared" si="0"/>
        <v>9803</v>
      </c>
      <c r="E22" s="32">
        <v>509</v>
      </c>
      <c r="F22" s="22">
        <v>430</v>
      </c>
      <c r="G22" s="23">
        <f>F22+'04.05'!G22</f>
        <v>1555</v>
      </c>
      <c r="H22" s="33">
        <v>8</v>
      </c>
      <c r="I22" s="34">
        <v>0</v>
      </c>
      <c r="J22" s="23">
        <f>I22+'04.05'!J22</f>
        <v>0</v>
      </c>
      <c r="K22" s="33">
        <v>21</v>
      </c>
      <c r="L22" s="22">
        <v>0</v>
      </c>
      <c r="M22" s="23">
        <f>L22+'04.05'!M22</f>
        <v>0</v>
      </c>
      <c r="N22" s="33">
        <v>560</v>
      </c>
      <c r="O22" s="22">
        <v>56</v>
      </c>
      <c r="P22" s="23">
        <f>O22+'04.05'!P22</f>
        <v>287</v>
      </c>
      <c r="Q22" s="33">
        <v>375</v>
      </c>
      <c r="R22" s="22">
        <v>0</v>
      </c>
      <c r="S22" s="23">
        <f>R22+'04.05'!S22</f>
        <v>0</v>
      </c>
      <c r="T22" s="33">
        <v>165</v>
      </c>
      <c r="U22" s="22">
        <v>25</v>
      </c>
      <c r="V22" s="23">
        <f>U22+'04.05'!V22</f>
        <v>160</v>
      </c>
      <c r="W22" s="33">
        <v>28</v>
      </c>
      <c r="X22" s="22">
        <v>74</v>
      </c>
      <c r="Y22" s="23">
        <f>X22+'04.05'!Y22</f>
        <v>305</v>
      </c>
      <c r="Z22" s="33">
        <v>9</v>
      </c>
      <c r="AA22" s="22">
        <v>0</v>
      </c>
      <c r="AB22" s="23">
        <f>AA22+'04.05'!AB22</f>
        <v>0</v>
      </c>
      <c r="AC22" s="33">
        <v>112</v>
      </c>
      <c r="AD22" s="22">
        <v>1750</v>
      </c>
      <c r="AE22" s="23">
        <f>AD22+'04.05'!AE22</f>
        <v>7496</v>
      </c>
      <c r="AF22" s="19">
        <f t="shared" si="1"/>
        <v>723802</v>
      </c>
      <c r="AG22" s="20">
        <f t="shared" si="1"/>
        <v>2326135</v>
      </c>
      <c r="AH22" s="24">
        <v>3256</v>
      </c>
      <c r="AI22" s="23">
        <f>AH22+'04.05'!AI22</f>
        <v>9617</v>
      </c>
      <c r="AJ22" s="24">
        <v>6892</v>
      </c>
      <c r="AK22" s="23">
        <f>AJ22+'04.05'!AK22</f>
        <v>32643</v>
      </c>
      <c r="AL22" s="22">
        <v>11950</v>
      </c>
      <c r="AM22" s="23">
        <f>AL22+'04.05'!AM22</f>
        <v>25094</v>
      </c>
      <c r="AN22" s="22">
        <v>701704</v>
      </c>
      <c r="AO22" s="23">
        <f>AN22+'04.05'!AO22</f>
        <v>2258781</v>
      </c>
      <c r="AP22" s="28" t="s">
        <v>59</v>
      </c>
      <c r="AQ22" s="19">
        <f t="shared" si="3"/>
        <v>3825</v>
      </c>
      <c r="AR22" s="20">
        <f t="shared" si="3"/>
        <v>18089</v>
      </c>
      <c r="AS22" s="34">
        <v>0</v>
      </c>
      <c r="AT22" s="23">
        <f>AS22+'04.05'!AT22</f>
        <v>4</v>
      </c>
      <c r="AU22" s="34">
        <v>0</v>
      </c>
      <c r="AV22" s="23">
        <f>AU22+'04.05'!AV22</f>
        <v>4</v>
      </c>
      <c r="AW22" s="34">
        <v>0</v>
      </c>
      <c r="AX22" s="23">
        <f>AW22+'04.05'!AX22</f>
        <v>2</v>
      </c>
      <c r="AY22" s="34">
        <v>0</v>
      </c>
      <c r="AZ22" s="23">
        <f>AY22+'04.05'!AZ22</f>
        <v>1</v>
      </c>
      <c r="BA22" s="34">
        <v>3825</v>
      </c>
      <c r="BB22" s="23">
        <f>BA22+'04.05'!BB22</f>
        <v>18078</v>
      </c>
      <c r="BC22" s="19">
        <f t="shared" si="5"/>
        <v>10562</v>
      </c>
      <c r="BD22" s="20">
        <f t="shared" si="5"/>
        <v>44711</v>
      </c>
      <c r="BE22" s="22">
        <v>3</v>
      </c>
      <c r="BF22" s="23">
        <f>BE22+'04.05'!BF22</f>
        <v>27</v>
      </c>
      <c r="BG22" s="34">
        <v>66</v>
      </c>
      <c r="BH22" s="23">
        <f>BG22+'04.05'!BH22</f>
        <v>323</v>
      </c>
      <c r="BI22" s="22">
        <v>10300</v>
      </c>
      <c r="BJ22" s="23">
        <f>BI22+'04.05'!BJ22</f>
        <v>43955</v>
      </c>
      <c r="BK22" s="22">
        <v>130</v>
      </c>
      <c r="BL22" s="23">
        <f>BK22+'04.05'!BL22</f>
        <v>343</v>
      </c>
      <c r="BM22" s="22">
        <v>63</v>
      </c>
      <c r="BN22" s="23">
        <f>BM22+'04.05'!BN22</f>
        <v>63</v>
      </c>
      <c r="BO22" s="36">
        <v>26</v>
      </c>
      <c r="BP22" s="37">
        <v>32</v>
      </c>
      <c r="BQ22" s="23">
        <f>BP22+'04.05'!BQ22</f>
        <v>577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4563</v>
      </c>
      <c r="D23" s="65">
        <f t="shared" si="0"/>
        <v>20866</v>
      </c>
      <c r="E23" s="66">
        <f>+E18+E19+E22+E17+E16+E15+E14+E13+E12+E11+E10+E9+E8</f>
        <v>7282</v>
      </c>
      <c r="F23" s="67">
        <f t="shared" ref="F23:J23" si="7">SUM(F8:F22)</f>
        <v>1790</v>
      </c>
      <c r="G23" s="68">
        <f t="shared" si="7"/>
        <v>7976</v>
      </c>
      <c r="H23" s="66">
        <f>+H18+H19+H22+H17+H16+H15+H14+H13+H12+H11+H10+H9+H8</f>
        <v>271</v>
      </c>
      <c r="I23" s="67">
        <f t="shared" si="7"/>
        <v>9</v>
      </c>
      <c r="J23" s="68">
        <f t="shared" si="7"/>
        <v>48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3</v>
      </c>
      <c r="N23" s="66">
        <f>+N18+N19+N22+N17+N16+N15+N14+N13+N12+N11+N10+N9+N8</f>
        <v>8607</v>
      </c>
      <c r="O23" s="67">
        <f t="shared" si="8"/>
        <v>158</v>
      </c>
      <c r="P23" s="68">
        <f t="shared" si="8"/>
        <v>714</v>
      </c>
      <c r="Q23" s="66">
        <f>+Q18+Q19+Q22+Q17+Q16+Q15+Q14+Q13+Q12+Q11+Q10+Q9+Q8</f>
        <v>7474</v>
      </c>
      <c r="R23" s="67">
        <f t="shared" ref="R23:V23" si="9">SUM(R8:R22)</f>
        <v>8</v>
      </c>
      <c r="S23" s="68">
        <f t="shared" si="9"/>
        <v>30</v>
      </c>
      <c r="T23" s="66">
        <f>+T18+T19+T22+T17+T16+T15+T14+T13+T12+T11+T10+T9+T8</f>
        <v>4115</v>
      </c>
      <c r="U23" s="67">
        <f t="shared" si="9"/>
        <v>32</v>
      </c>
      <c r="V23" s="68">
        <f t="shared" si="9"/>
        <v>278</v>
      </c>
      <c r="W23" s="66">
        <f>+W18+W19+W22+W17+W16+W15+W14+W13+W12+W11+W10+W9+W8</f>
        <v>604</v>
      </c>
      <c r="X23" s="67">
        <f t="shared" ref="X23:AB23" si="10">SUM(X8:X22)</f>
        <v>409</v>
      </c>
      <c r="Y23" s="68">
        <f t="shared" si="10"/>
        <v>2083</v>
      </c>
      <c r="Z23" s="66">
        <f>+Z18+Z19+Z22+Z17+Z16+Z15+Z14+Z13+Z12+Z11+Z10+Z9+Z8</f>
        <v>1629</v>
      </c>
      <c r="AA23" s="67">
        <f t="shared" si="10"/>
        <v>8</v>
      </c>
      <c r="AB23" s="68">
        <f t="shared" si="10"/>
        <v>18</v>
      </c>
      <c r="AC23" s="66">
        <f>+AC18+AC19+AC22+AC17+AC16+AC15+AC14+AC13+AC12+AC11+AC10+AC9+AC8</f>
        <v>64846</v>
      </c>
      <c r="AD23" s="67">
        <f t="shared" ref="AD23:AO23" si="11">SUM(AD8:AD22)</f>
        <v>2149</v>
      </c>
      <c r="AE23" s="68">
        <f t="shared" si="11"/>
        <v>9716</v>
      </c>
      <c r="AF23" s="64">
        <f t="shared" si="11"/>
        <v>4312076</v>
      </c>
      <c r="AG23" s="64">
        <f t="shared" si="11"/>
        <v>19889802</v>
      </c>
      <c r="AH23" s="67">
        <f t="shared" si="11"/>
        <v>35727</v>
      </c>
      <c r="AI23" s="68">
        <f t="shared" si="11"/>
        <v>153795</v>
      </c>
      <c r="AJ23" s="67">
        <f t="shared" si="11"/>
        <v>235365</v>
      </c>
      <c r="AK23" s="68">
        <f t="shared" si="11"/>
        <v>1122655</v>
      </c>
      <c r="AL23" s="67">
        <f t="shared" si="11"/>
        <v>980899</v>
      </c>
      <c r="AM23" s="68">
        <f t="shared" si="11"/>
        <v>4416085</v>
      </c>
      <c r="AN23" s="67">
        <f t="shared" si="11"/>
        <v>3060085</v>
      </c>
      <c r="AO23" s="68">
        <f t="shared" si="11"/>
        <v>14197267</v>
      </c>
      <c r="AP23" s="62" t="s">
        <v>12</v>
      </c>
      <c r="AQ23" s="64">
        <f t="shared" ref="AQ23:BP23" si="12">SUM(AQ8:AQ22)</f>
        <v>4364</v>
      </c>
      <c r="AR23" s="64">
        <f t="shared" si="12"/>
        <v>20944</v>
      </c>
      <c r="AS23" s="67">
        <f t="shared" si="12"/>
        <v>4</v>
      </c>
      <c r="AT23" s="68">
        <f t="shared" si="12"/>
        <v>24</v>
      </c>
      <c r="AU23" s="67">
        <f t="shared" si="12"/>
        <v>9</v>
      </c>
      <c r="AV23" s="68">
        <f t="shared" si="12"/>
        <v>39</v>
      </c>
      <c r="AW23" s="67">
        <f t="shared" si="12"/>
        <v>0</v>
      </c>
      <c r="AX23" s="68">
        <f t="shared" si="12"/>
        <v>3</v>
      </c>
      <c r="AY23" s="67">
        <f t="shared" si="12"/>
        <v>1</v>
      </c>
      <c r="AZ23" s="68">
        <f t="shared" si="12"/>
        <v>2</v>
      </c>
      <c r="BA23" s="67">
        <f t="shared" si="12"/>
        <v>4350</v>
      </c>
      <c r="BB23" s="68">
        <f t="shared" si="12"/>
        <v>20876</v>
      </c>
      <c r="BC23" s="64">
        <f t="shared" si="12"/>
        <v>44220</v>
      </c>
      <c r="BD23" s="64">
        <f t="shared" si="12"/>
        <v>224683</v>
      </c>
      <c r="BE23" s="67">
        <f t="shared" si="12"/>
        <v>1563</v>
      </c>
      <c r="BF23" s="68">
        <f t="shared" si="12"/>
        <v>7841</v>
      </c>
      <c r="BG23" s="67">
        <f t="shared" si="12"/>
        <v>91</v>
      </c>
      <c r="BH23" s="68">
        <f t="shared" si="12"/>
        <v>469</v>
      </c>
      <c r="BI23" s="67">
        <f t="shared" si="12"/>
        <v>37360</v>
      </c>
      <c r="BJ23" s="68">
        <f t="shared" si="12"/>
        <v>193592</v>
      </c>
      <c r="BK23" s="67">
        <f t="shared" si="12"/>
        <v>4954</v>
      </c>
      <c r="BL23" s="68">
        <f t="shared" si="12"/>
        <v>22376</v>
      </c>
      <c r="BM23" s="67">
        <f t="shared" si="12"/>
        <v>252</v>
      </c>
      <c r="BN23" s="68">
        <f t="shared" si="12"/>
        <v>405</v>
      </c>
      <c r="BO23" s="69">
        <f t="shared" si="12"/>
        <v>37704</v>
      </c>
      <c r="BP23" s="70">
        <f t="shared" si="12"/>
        <v>59</v>
      </c>
      <c r="BQ23" s="23">
        <f>BP23+'20.04'!BP23</f>
        <v>85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BU23"/>
  <sheetViews>
    <sheetView zoomScale="85" zoomScaleNormal="85" workbookViewId="0">
      <pane xSplit="4" ySplit="8" topLeftCell="AQ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  <col min="62" max="62" width="9.28515625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70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1"/>
        <v>6</v>
      </c>
      <c r="D9" s="31">
        <f t="shared" si="2"/>
        <v>30</v>
      </c>
      <c r="E9" s="32">
        <v>452</v>
      </c>
      <c r="F9" s="22">
        <v>5</v>
      </c>
      <c r="G9" s="23">
        <f>F9+'05.05'!G9</f>
        <v>16</v>
      </c>
      <c r="H9" s="33">
        <v>12</v>
      </c>
      <c r="I9" s="34">
        <v>1</v>
      </c>
      <c r="J9" s="23">
        <f>I9+'05.05'!J9</f>
        <v>6</v>
      </c>
      <c r="K9" s="33">
        <v>2</v>
      </c>
      <c r="L9" s="22">
        <v>0</v>
      </c>
      <c r="M9" s="23">
        <f>L9+'05.05'!M9</f>
        <v>0</v>
      </c>
      <c r="N9" s="33">
        <v>735</v>
      </c>
      <c r="O9" s="22">
        <v>0</v>
      </c>
      <c r="P9" s="23">
        <f>O9+'05.05'!P9</f>
        <v>0</v>
      </c>
      <c r="Q9" s="33">
        <v>502</v>
      </c>
      <c r="R9" s="22">
        <v>0</v>
      </c>
      <c r="S9" s="23">
        <f>R9+'05.05'!S9</f>
        <v>0</v>
      </c>
      <c r="T9" s="33">
        <v>197</v>
      </c>
      <c r="U9" s="22">
        <v>0</v>
      </c>
      <c r="V9" s="23">
        <f>U9+'05.05'!V9</f>
        <v>0</v>
      </c>
      <c r="W9" s="33">
        <v>47</v>
      </c>
      <c r="X9" s="22">
        <v>0</v>
      </c>
      <c r="Y9" s="23">
        <f>X9+'05.05'!Y9</f>
        <v>8</v>
      </c>
      <c r="Z9" s="33">
        <v>34</v>
      </c>
      <c r="AA9" s="22">
        <v>0</v>
      </c>
      <c r="AB9" s="23">
        <f>AA9+'05.05'!AB9</f>
        <v>0</v>
      </c>
      <c r="AC9" s="33">
        <v>1860</v>
      </c>
      <c r="AD9" s="22">
        <v>0</v>
      </c>
      <c r="AE9" s="23">
        <f>AD9+'05.05'!AE9</f>
        <v>0</v>
      </c>
      <c r="AF9" s="19">
        <f t="shared" si="3"/>
        <v>7820</v>
      </c>
      <c r="AG9" s="20">
        <f t="shared" si="4"/>
        <v>49625</v>
      </c>
      <c r="AH9" s="24">
        <v>110</v>
      </c>
      <c r="AI9" s="23">
        <f>AH9+'05.05'!AI9</f>
        <v>625</v>
      </c>
      <c r="AJ9" s="24">
        <v>690</v>
      </c>
      <c r="AK9" s="23">
        <f>AJ9+'05.05'!AK9</f>
        <v>4300</v>
      </c>
      <c r="AL9" s="22">
        <v>900</v>
      </c>
      <c r="AM9" s="23">
        <f>AL9+'05.05'!AM9</f>
        <v>5360</v>
      </c>
      <c r="AN9" s="22">
        <v>6120</v>
      </c>
      <c r="AO9" s="23">
        <f>AN9+'05.05'!AO9</f>
        <v>39340</v>
      </c>
      <c r="AP9" s="28" t="s">
        <v>43</v>
      </c>
      <c r="AQ9" s="19">
        <f t="shared" si="6"/>
        <v>105</v>
      </c>
      <c r="AR9" s="20">
        <f t="shared" si="7"/>
        <v>1106</v>
      </c>
      <c r="AS9" s="34">
        <v>0</v>
      </c>
      <c r="AT9" s="23">
        <f>AS9+'05.05'!AT9</f>
        <v>1</v>
      </c>
      <c r="AU9" s="34">
        <v>0</v>
      </c>
      <c r="AV9" s="23">
        <f>AU9+'05.05'!AV9</f>
        <v>2</v>
      </c>
      <c r="AW9" s="34">
        <v>0</v>
      </c>
      <c r="AX9" s="23">
        <f>AW9+'05.05'!AX9</f>
        <v>1</v>
      </c>
      <c r="AY9" s="34">
        <v>0</v>
      </c>
      <c r="AZ9" s="23">
        <f>AY9+'05.05'!AZ9</f>
        <v>0</v>
      </c>
      <c r="BA9" s="34">
        <v>105</v>
      </c>
      <c r="BB9" s="23">
        <f>BA9+'05.05'!BB9</f>
        <v>1102</v>
      </c>
      <c r="BC9" s="19">
        <f t="shared" si="9"/>
        <v>161</v>
      </c>
      <c r="BD9" s="20">
        <f t="shared" si="10"/>
        <v>1408</v>
      </c>
      <c r="BE9" s="22">
        <v>1</v>
      </c>
      <c r="BF9" s="23">
        <f>BE9+'05.05'!BF9</f>
        <v>7</v>
      </c>
      <c r="BG9" s="34">
        <v>0</v>
      </c>
      <c r="BH9" s="23">
        <f>BG9+'05.05'!BH9</f>
        <v>0</v>
      </c>
      <c r="BI9" s="22">
        <v>160</v>
      </c>
      <c r="BJ9" s="23">
        <f>BI9+'05.05'!BJ9</f>
        <v>1390</v>
      </c>
      <c r="BK9" s="22">
        <v>0</v>
      </c>
      <c r="BL9" s="23">
        <f>BK9+'05.05'!BL9</f>
        <v>0</v>
      </c>
      <c r="BM9" s="22">
        <v>0</v>
      </c>
      <c r="BN9" s="23">
        <f>BM9+'05.05'!BN9</f>
        <v>11</v>
      </c>
      <c r="BO9" s="36">
        <v>14</v>
      </c>
      <c r="BP9" s="37">
        <v>1</v>
      </c>
      <c r="BQ9" s="23">
        <f>BP9+'05.05'!BQ9</f>
        <v>2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1"/>
        <v>124</v>
      </c>
      <c r="D10" s="31">
        <f t="shared" si="2"/>
        <v>640</v>
      </c>
      <c r="E10" s="32">
        <v>585</v>
      </c>
      <c r="F10" s="22">
        <v>19</v>
      </c>
      <c r="G10" s="23">
        <f>F10+'05.05'!G10</f>
        <v>84</v>
      </c>
      <c r="H10" s="33">
        <v>93</v>
      </c>
      <c r="I10" s="34">
        <v>2</v>
      </c>
      <c r="J10" s="23">
        <f>I10+'05.05'!J10</f>
        <v>10</v>
      </c>
      <c r="K10" s="33">
        <v>34</v>
      </c>
      <c r="L10" s="22">
        <v>0</v>
      </c>
      <c r="M10" s="23">
        <f>L10+'05.05'!M10</f>
        <v>3</v>
      </c>
      <c r="N10" s="33">
        <v>352</v>
      </c>
      <c r="O10" s="22">
        <v>12</v>
      </c>
      <c r="P10" s="23">
        <f>O10+'05.05'!P10</f>
        <v>51</v>
      </c>
      <c r="Q10" s="33">
        <v>549</v>
      </c>
      <c r="R10" s="22">
        <v>6</v>
      </c>
      <c r="S10" s="23">
        <f>R10+'05.05'!S10</f>
        <v>30</v>
      </c>
      <c r="T10" s="33">
        <v>198</v>
      </c>
      <c r="U10" s="22">
        <v>4</v>
      </c>
      <c r="V10" s="23">
        <f>U10+'05.05'!V10</f>
        <v>23</v>
      </c>
      <c r="W10" s="38">
        <v>55</v>
      </c>
      <c r="X10" s="22">
        <v>0</v>
      </c>
      <c r="Y10" s="23">
        <f>X10+'05.05'!Y10</f>
        <v>22</v>
      </c>
      <c r="Z10" s="38">
        <v>71</v>
      </c>
      <c r="AA10" s="22">
        <v>7</v>
      </c>
      <c r="AB10" s="23">
        <f>AA10+'05.05'!AB10</f>
        <v>20</v>
      </c>
      <c r="AC10" s="38">
        <v>1690</v>
      </c>
      <c r="AD10" s="22">
        <v>74</v>
      </c>
      <c r="AE10" s="23">
        <f>AD10+'05.05'!AE10</f>
        <v>397</v>
      </c>
      <c r="AF10" s="19">
        <f t="shared" si="3"/>
        <v>109841</v>
      </c>
      <c r="AG10" s="20">
        <f t="shared" si="4"/>
        <v>666083</v>
      </c>
      <c r="AH10" s="24">
        <v>1154</v>
      </c>
      <c r="AI10" s="23">
        <f>AH10+'05.05'!AI10</f>
        <v>6172</v>
      </c>
      <c r="AJ10" s="24">
        <v>5451</v>
      </c>
      <c r="AK10" s="23">
        <f>AJ10+'05.05'!AK10</f>
        <v>29775</v>
      </c>
      <c r="AL10" s="22">
        <v>13799</v>
      </c>
      <c r="AM10" s="23">
        <f>AL10+'05.05'!AM10</f>
        <v>79912</v>
      </c>
      <c r="AN10" s="22">
        <v>89437</v>
      </c>
      <c r="AO10" s="23">
        <f>AN10+'05.05'!AO10</f>
        <v>550224</v>
      </c>
      <c r="AP10" s="28" t="s">
        <v>44</v>
      </c>
      <c r="AQ10" s="19">
        <f t="shared" si="6"/>
        <v>4</v>
      </c>
      <c r="AR10" s="20">
        <f t="shared" si="7"/>
        <v>27</v>
      </c>
      <c r="AS10" s="34">
        <v>0</v>
      </c>
      <c r="AT10" s="23">
        <f>AS10+'05.05'!AT10</f>
        <v>2</v>
      </c>
      <c r="AU10" s="34">
        <v>0</v>
      </c>
      <c r="AV10" s="23">
        <f>AU10+'05.05'!AV10</f>
        <v>1</v>
      </c>
      <c r="AW10" s="34">
        <v>0</v>
      </c>
      <c r="AX10" s="23">
        <f>AW10+'05.05'!AX10</f>
        <v>0</v>
      </c>
      <c r="AY10" s="34">
        <v>0</v>
      </c>
      <c r="AZ10" s="23">
        <f>AY10+'05.05'!AZ10</f>
        <v>0</v>
      </c>
      <c r="BA10" s="34">
        <v>4</v>
      </c>
      <c r="BB10" s="23">
        <f>BA10+'05.05'!BB10</f>
        <v>24</v>
      </c>
      <c r="BC10" s="19">
        <f t="shared" si="9"/>
        <v>4445</v>
      </c>
      <c r="BD10" s="20">
        <f t="shared" si="10"/>
        <v>24940</v>
      </c>
      <c r="BE10" s="22">
        <v>590</v>
      </c>
      <c r="BF10" s="23">
        <f>BE10+'05.05'!BF10</f>
        <v>3413</v>
      </c>
      <c r="BG10" s="34">
        <v>0</v>
      </c>
      <c r="BH10" s="23">
        <f>BG10+'05.05'!BH10</f>
        <v>1</v>
      </c>
      <c r="BI10" s="22">
        <v>2684</v>
      </c>
      <c r="BJ10" s="23">
        <f>BI10+'05.05'!BJ10</f>
        <v>14829</v>
      </c>
      <c r="BK10" s="22">
        <v>1171</v>
      </c>
      <c r="BL10" s="23">
        <f>BK10+'05.05'!BL10</f>
        <v>6697</v>
      </c>
      <c r="BM10" s="22">
        <v>0</v>
      </c>
      <c r="BN10" s="23">
        <f>BM10+'05.05'!BN10</f>
        <v>0</v>
      </c>
      <c r="BO10" s="36">
        <v>32</v>
      </c>
      <c r="BP10" s="37">
        <v>0</v>
      </c>
      <c r="BQ10" s="23">
        <f>BP10+'05.05'!BQ10</f>
        <v>4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1"/>
        <v>34</v>
      </c>
      <c r="D11" s="31">
        <f t="shared" si="2"/>
        <v>236</v>
      </c>
      <c r="E11" s="32">
        <v>883</v>
      </c>
      <c r="F11" s="22">
        <v>18</v>
      </c>
      <c r="G11" s="23">
        <f>F11+'05.05'!G11</f>
        <v>122</v>
      </c>
      <c r="H11" s="33">
        <v>16</v>
      </c>
      <c r="I11" s="34">
        <v>0</v>
      </c>
      <c r="J11" s="23">
        <f>I11+'05.05'!J11</f>
        <v>0</v>
      </c>
      <c r="K11" s="33">
        <v>3</v>
      </c>
      <c r="L11" s="22">
        <v>0</v>
      </c>
      <c r="M11" s="23">
        <f>L11+'05.05'!M11</f>
        <v>0</v>
      </c>
      <c r="N11" s="33">
        <v>875</v>
      </c>
      <c r="O11" s="22">
        <v>0</v>
      </c>
      <c r="P11" s="23">
        <f>O11+'05.05'!P11</f>
        <v>0</v>
      </c>
      <c r="Q11" s="33">
        <v>2424</v>
      </c>
      <c r="R11" s="22">
        <v>0</v>
      </c>
      <c r="S11" s="23">
        <f>R11+'05.05'!S11</f>
        <v>0</v>
      </c>
      <c r="T11" s="33">
        <v>69</v>
      </c>
      <c r="U11" s="22">
        <v>0</v>
      </c>
      <c r="V11" s="23">
        <f>U11+'05.05'!V11</f>
        <v>0</v>
      </c>
      <c r="W11" s="38">
        <v>133</v>
      </c>
      <c r="X11" s="22">
        <v>15</v>
      </c>
      <c r="Y11" s="23">
        <f>X11+'05.05'!Y11</f>
        <v>108</v>
      </c>
      <c r="Z11" s="38">
        <v>1116</v>
      </c>
      <c r="AA11" s="22">
        <v>0</v>
      </c>
      <c r="AB11" s="23">
        <f>AA11+'05.05'!AB11</f>
        <v>0</v>
      </c>
      <c r="AC11" s="38">
        <v>9862</v>
      </c>
      <c r="AD11" s="22">
        <v>1</v>
      </c>
      <c r="AE11" s="23">
        <f>AD11+'05.05'!AE11</f>
        <v>6</v>
      </c>
      <c r="AF11" s="19">
        <f t="shared" si="3"/>
        <v>20100</v>
      </c>
      <c r="AG11" s="20">
        <f t="shared" si="4"/>
        <v>155400</v>
      </c>
      <c r="AH11" s="24">
        <v>2300</v>
      </c>
      <c r="AI11" s="23">
        <f>AH11+'05.05'!AI11</f>
        <v>15600</v>
      </c>
      <c r="AJ11" s="24">
        <v>3000</v>
      </c>
      <c r="AK11" s="23">
        <f>AJ11+'05.05'!AK11</f>
        <v>18000</v>
      </c>
      <c r="AL11" s="22">
        <v>5400</v>
      </c>
      <c r="AM11" s="23">
        <f>AL11+'05.05'!AM11</f>
        <v>45700</v>
      </c>
      <c r="AN11" s="22">
        <v>9400</v>
      </c>
      <c r="AO11" s="23">
        <f>AN11+'05.05'!AO11</f>
        <v>76100</v>
      </c>
      <c r="AP11" s="28" t="s">
        <v>45</v>
      </c>
      <c r="AQ11" s="19">
        <f t="shared" si="6"/>
        <v>3</v>
      </c>
      <c r="AR11" s="20">
        <f t="shared" si="7"/>
        <v>16</v>
      </c>
      <c r="AS11" s="34">
        <v>0</v>
      </c>
      <c r="AT11" s="23">
        <f>AS11+'05.05'!AT11</f>
        <v>0</v>
      </c>
      <c r="AU11" s="34">
        <v>0</v>
      </c>
      <c r="AV11" s="23">
        <f>AU11+'05.05'!AV11</f>
        <v>0</v>
      </c>
      <c r="AW11" s="34">
        <v>0</v>
      </c>
      <c r="AX11" s="23">
        <f>AW11+'05.05'!AX11</f>
        <v>0</v>
      </c>
      <c r="AY11" s="34">
        <v>0</v>
      </c>
      <c r="AZ11" s="23">
        <f>AY11+'05.05'!AZ11</f>
        <v>0</v>
      </c>
      <c r="BA11" s="34">
        <v>3</v>
      </c>
      <c r="BB11" s="23">
        <f>BA11+'05.05'!BB11</f>
        <v>16</v>
      </c>
      <c r="BC11" s="19">
        <f t="shared" si="9"/>
        <v>632</v>
      </c>
      <c r="BD11" s="20">
        <f t="shared" si="10"/>
        <v>5268</v>
      </c>
      <c r="BE11" s="22">
        <v>1</v>
      </c>
      <c r="BF11" s="23">
        <f>BE11+'05.05'!BF11</f>
        <v>8</v>
      </c>
      <c r="BG11" s="34">
        <v>3</v>
      </c>
      <c r="BH11" s="23">
        <f>BG11+'05.05'!BH11</f>
        <v>16</v>
      </c>
      <c r="BI11" s="22">
        <v>610</v>
      </c>
      <c r="BJ11" s="23">
        <f>BI11+'05.05'!BJ11</f>
        <v>5120</v>
      </c>
      <c r="BK11" s="22">
        <v>16</v>
      </c>
      <c r="BL11" s="23">
        <f>BK11+'05.05'!BL11</f>
        <v>122</v>
      </c>
      <c r="BM11" s="22">
        <v>2</v>
      </c>
      <c r="BN11" s="23">
        <f>BM11+'05.05'!BN11</f>
        <v>2</v>
      </c>
      <c r="BO11" s="36">
        <v>11506</v>
      </c>
      <c r="BP11" s="37">
        <v>2</v>
      </c>
      <c r="BQ11" s="23">
        <f>BP11+'05.05'!BQ11</f>
        <v>14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1"/>
        <v>189</v>
      </c>
      <c r="D12" s="31">
        <f t="shared" si="2"/>
        <v>1316</v>
      </c>
      <c r="E12" s="32">
        <v>909</v>
      </c>
      <c r="F12" s="22">
        <v>28</v>
      </c>
      <c r="G12" s="23">
        <f>F12+'05.05'!G12</f>
        <v>344</v>
      </c>
      <c r="H12" s="33">
        <v>80</v>
      </c>
      <c r="I12" s="34">
        <v>0</v>
      </c>
      <c r="J12" s="23">
        <f>I12+'05.05'!J12</f>
        <v>11</v>
      </c>
      <c r="K12" s="33">
        <v>5</v>
      </c>
      <c r="L12" s="22">
        <v>0</v>
      </c>
      <c r="M12" s="23">
        <f>L12+'05.05'!M12</f>
        <v>0</v>
      </c>
      <c r="N12" s="33">
        <v>820</v>
      </c>
      <c r="O12" s="22">
        <v>0</v>
      </c>
      <c r="P12" s="23">
        <f>O12+'05.05'!P12</f>
        <v>58</v>
      </c>
      <c r="Q12" s="33">
        <v>549</v>
      </c>
      <c r="R12" s="22">
        <v>0</v>
      </c>
      <c r="S12" s="23">
        <f>R12+'05.05'!S12</f>
        <v>0</v>
      </c>
      <c r="T12" s="33">
        <v>992</v>
      </c>
      <c r="U12" s="22">
        <v>0</v>
      </c>
      <c r="V12" s="23">
        <f>U12+'05.05'!V12</f>
        <v>0</v>
      </c>
      <c r="W12" s="33">
        <v>38</v>
      </c>
      <c r="X12" s="22">
        <v>121</v>
      </c>
      <c r="Y12" s="23">
        <f>X12+'05.05'!Y12</f>
        <v>674</v>
      </c>
      <c r="Z12" s="33">
        <v>68</v>
      </c>
      <c r="AA12" s="22">
        <v>0</v>
      </c>
      <c r="AB12" s="23">
        <f>AA12+'05.05'!AB12</f>
        <v>0</v>
      </c>
      <c r="AC12" s="33">
        <v>26703</v>
      </c>
      <c r="AD12" s="22">
        <v>40</v>
      </c>
      <c r="AE12" s="23">
        <f>AD12+'05.05'!AE12</f>
        <v>229</v>
      </c>
      <c r="AF12" s="19">
        <f t="shared" si="3"/>
        <v>6260</v>
      </c>
      <c r="AG12" s="20">
        <f t="shared" si="4"/>
        <v>38098</v>
      </c>
      <c r="AH12" s="24">
        <v>330</v>
      </c>
      <c r="AI12" s="23">
        <f>AH12+'05.05'!AI12</f>
        <v>3669</v>
      </c>
      <c r="AJ12" s="24">
        <v>1730</v>
      </c>
      <c r="AK12" s="23">
        <f>AJ12+'05.05'!AK12</f>
        <v>8929</v>
      </c>
      <c r="AL12" s="22">
        <v>2100</v>
      </c>
      <c r="AM12" s="23">
        <f>AL12+'05.05'!AM12</f>
        <v>12750</v>
      </c>
      <c r="AN12" s="22">
        <v>2100</v>
      </c>
      <c r="AO12" s="23">
        <f>AN12+'05.05'!AO12</f>
        <v>12750</v>
      </c>
      <c r="AP12" s="28" t="s">
        <v>46</v>
      </c>
      <c r="AQ12" s="19">
        <f t="shared" si="6"/>
        <v>55</v>
      </c>
      <c r="AR12" s="20">
        <f t="shared" si="7"/>
        <v>415</v>
      </c>
      <c r="AS12" s="34">
        <v>0</v>
      </c>
      <c r="AT12" s="23">
        <f>AS12+'05.05'!AT12</f>
        <v>0</v>
      </c>
      <c r="AU12" s="34">
        <v>0</v>
      </c>
      <c r="AV12" s="23">
        <f>AU12+'05.05'!AV12</f>
        <v>0</v>
      </c>
      <c r="AW12" s="34">
        <v>0</v>
      </c>
      <c r="AX12" s="23">
        <f>AW12+'05.05'!AX12</f>
        <v>0</v>
      </c>
      <c r="AY12" s="34">
        <v>0</v>
      </c>
      <c r="AZ12" s="23">
        <f>AY12+'05.05'!AZ12</f>
        <v>0</v>
      </c>
      <c r="BA12" s="34">
        <v>55</v>
      </c>
      <c r="BB12" s="23">
        <f>BA12+'05.05'!BB12</f>
        <v>415</v>
      </c>
      <c r="BC12" s="19">
        <f t="shared" si="9"/>
        <v>2411</v>
      </c>
      <c r="BD12" s="20">
        <f t="shared" si="10"/>
        <v>17988</v>
      </c>
      <c r="BE12" s="22">
        <v>185</v>
      </c>
      <c r="BF12" s="23">
        <f>BE12+'05.05'!BF12</f>
        <v>1501</v>
      </c>
      <c r="BG12" s="34">
        <v>5</v>
      </c>
      <c r="BH12" s="23">
        <f>BG12+'05.05'!BH12</f>
        <v>45</v>
      </c>
      <c r="BI12" s="22">
        <v>2000</v>
      </c>
      <c r="BJ12" s="23">
        <f>BI12+'05.05'!BJ12</f>
        <v>14900</v>
      </c>
      <c r="BK12" s="22">
        <v>150</v>
      </c>
      <c r="BL12" s="23">
        <f>BK12+'05.05'!BL12</f>
        <v>1400</v>
      </c>
      <c r="BM12" s="22">
        <v>71</v>
      </c>
      <c r="BN12" s="23">
        <f>BM12+'05.05'!BN12</f>
        <v>142</v>
      </c>
      <c r="BO12" s="36"/>
      <c r="BP12" s="37">
        <v>2</v>
      </c>
      <c r="BQ12" s="23">
        <f>BP12+'05.05'!BQ12</f>
        <v>8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1"/>
        <v>5</v>
      </c>
      <c r="D13" s="31">
        <f t="shared" si="2"/>
        <v>126</v>
      </c>
      <c r="E13" s="32">
        <v>516</v>
      </c>
      <c r="F13" s="22">
        <v>2</v>
      </c>
      <c r="G13" s="23">
        <f>F13+'05.05'!G13</f>
        <v>7</v>
      </c>
      <c r="H13" s="33">
        <v>10</v>
      </c>
      <c r="I13" s="34">
        <v>1</v>
      </c>
      <c r="J13" s="23">
        <f>I13+'05.05'!J13</f>
        <v>4</v>
      </c>
      <c r="K13" s="33">
        <v>38</v>
      </c>
      <c r="L13" s="22">
        <v>0</v>
      </c>
      <c r="M13" s="23">
        <f>L13+'05.05'!M13</f>
        <v>0</v>
      </c>
      <c r="N13" s="33">
        <v>581</v>
      </c>
      <c r="O13" s="22">
        <v>0</v>
      </c>
      <c r="P13" s="23">
        <f>O13+'05.05'!P13</f>
        <v>2</v>
      </c>
      <c r="Q13" s="33">
        <v>525</v>
      </c>
      <c r="R13" s="22">
        <v>0</v>
      </c>
      <c r="S13" s="23">
        <f>R13+'05.05'!S13</f>
        <v>0</v>
      </c>
      <c r="T13" s="33">
        <v>263</v>
      </c>
      <c r="U13" s="22">
        <v>0</v>
      </c>
      <c r="V13" s="23">
        <f>U13+'05.05'!V13</f>
        <v>0</v>
      </c>
      <c r="W13" s="33">
        <v>43</v>
      </c>
      <c r="X13" s="22">
        <v>0</v>
      </c>
      <c r="Y13" s="23">
        <f>X13+'05.05'!Y13</f>
        <v>0</v>
      </c>
      <c r="Z13" s="33">
        <v>17</v>
      </c>
      <c r="AA13" s="22">
        <v>0</v>
      </c>
      <c r="AB13" s="23">
        <f>AA13+'05.05'!AB13</f>
        <v>0</v>
      </c>
      <c r="AC13" s="33">
        <v>51</v>
      </c>
      <c r="AD13" s="22">
        <v>2</v>
      </c>
      <c r="AE13" s="23">
        <f>AD13+'05.05'!AE13</f>
        <v>113</v>
      </c>
      <c r="AF13" s="19">
        <f t="shared" si="3"/>
        <v>215000</v>
      </c>
      <c r="AG13" s="20">
        <f t="shared" si="4"/>
        <v>1543300</v>
      </c>
      <c r="AH13" s="24">
        <v>2000</v>
      </c>
      <c r="AI13" s="23">
        <f>AH13+'05.05'!AI13</f>
        <v>12000</v>
      </c>
      <c r="AJ13" s="24">
        <v>13000</v>
      </c>
      <c r="AK13" s="23">
        <f>AJ13+'05.05'!AK13</f>
        <v>92300</v>
      </c>
      <c r="AL13" s="22">
        <v>20000</v>
      </c>
      <c r="AM13" s="23">
        <f>AL13+'05.05'!AM13</f>
        <v>150000</v>
      </c>
      <c r="AN13" s="22">
        <v>180000</v>
      </c>
      <c r="AO13" s="23">
        <f>AN13+'05.05'!AO13</f>
        <v>1289000</v>
      </c>
      <c r="AP13" s="28" t="s">
        <v>47</v>
      </c>
      <c r="AQ13" s="19">
        <f t="shared" si="6"/>
        <v>14</v>
      </c>
      <c r="AR13" s="20">
        <f t="shared" si="7"/>
        <v>124</v>
      </c>
      <c r="AS13" s="34">
        <v>2</v>
      </c>
      <c r="AT13" s="23">
        <f>AS13+'05.05'!AT13</f>
        <v>5</v>
      </c>
      <c r="AU13" s="34">
        <v>2</v>
      </c>
      <c r="AV13" s="23">
        <f>AU13+'05.05'!AV13</f>
        <v>5</v>
      </c>
      <c r="AW13" s="34">
        <v>0</v>
      </c>
      <c r="AX13" s="23">
        <f>AW13+'05.05'!AX13</f>
        <v>0</v>
      </c>
      <c r="AY13" s="34">
        <v>0</v>
      </c>
      <c r="AZ13" s="23">
        <f>AY13+'05.05'!AZ13</f>
        <v>0</v>
      </c>
      <c r="BA13" s="34">
        <v>10</v>
      </c>
      <c r="BB13" s="23">
        <f>BA13+'05.05'!BB13</f>
        <v>114</v>
      </c>
      <c r="BC13" s="19">
        <f t="shared" si="9"/>
        <v>5645</v>
      </c>
      <c r="BD13" s="20">
        <f t="shared" si="10"/>
        <v>57857</v>
      </c>
      <c r="BE13" s="22">
        <v>516</v>
      </c>
      <c r="BF13" s="23">
        <f>BE13+'05.05'!BF13</f>
        <v>3096</v>
      </c>
      <c r="BG13" s="34">
        <v>12</v>
      </c>
      <c r="BH13" s="23">
        <f>BG13+'05.05'!BH13</f>
        <v>77</v>
      </c>
      <c r="BI13" s="22">
        <v>5000</v>
      </c>
      <c r="BJ13" s="23">
        <f>BI13+'05.05'!BJ13</f>
        <v>54000</v>
      </c>
      <c r="BK13" s="22">
        <v>50</v>
      </c>
      <c r="BL13" s="23">
        <f>BK13+'05.05'!BL13</f>
        <v>550</v>
      </c>
      <c r="BM13" s="22">
        <v>67</v>
      </c>
      <c r="BN13" s="23">
        <f>BM13+'05.05'!BN13</f>
        <v>134</v>
      </c>
      <c r="BO13" s="36"/>
      <c r="BP13" s="37">
        <v>0</v>
      </c>
      <c r="BQ13" s="23">
        <f>BP13+'05.05'!BQ13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1"/>
        <v>115</v>
      </c>
      <c r="D14" s="42">
        <f t="shared" si="2"/>
        <v>711</v>
      </c>
      <c r="E14" s="43">
        <v>304</v>
      </c>
      <c r="F14" s="22">
        <v>107</v>
      </c>
      <c r="G14" s="23">
        <f>F14+'05.05'!G14</f>
        <v>583</v>
      </c>
      <c r="H14" s="44">
        <v>5</v>
      </c>
      <c r="I14" s="45">
        <v>0</v>
      </c>
      <c r="J14" s="23">
        <f>I14+'05.05'!J14</f>
        <v>0</v>
      </c>
      <c r="K14" s="44">
        <v>34</v>
      </c>
      <c r="L14" s="22">
        <v>0</v>
      </c>
      <c r="M14" s="23">
        <f>L14+'05.05'!M14</f>
        <v>0</v>
      </c>
      <c r="N14" s="44">
        <v>583</v>
      </c>
      <c r="O14" s="22">
        <v>0</v>
      </c>
      <c r="P14" s="23">
        <f>O14+'05.05'!P14</f>
        <v>0</v>
      </c>
      <c r="Q14" s="44">
        <v>254</v>
      </c>
      <c r="R14" s="22">
        <v>0</v>
      </c>
      <c r="S14" s="23">
        <f>R14+'05.05'!S14</f>
        <v>0</v>
      </c>
      <c r="T14" s="44">
        <v>196</v>
      </c>
      <c r="U14" s="22">
        <v>0</v>
      </c>
      <c r="V14" s="23">
        <f>U14+'05.05'!V14</f>
        <v>0</v>
      </c>
      <c r="W14" s="44">
        <v>30</v>
      </c>
      <c r="X14" s="22">
        <v>6</v>
      </c>
      <c r="Y14" s="23">
        <f>X14+'05.05'!Y14</f>
        <v>102</v>
      </c>
      <c r="Z14" s="44">
        <v>10</v>
      </c>
      <c r="AA14" s="22">
        <v>0</v>
      </c>
      <c r="AB14" s="23">
        <f>AA14+'05.05'!AB14</f>
        <v>0</v>
      </c>
      <c r="AC14" s="44">
        <v>2500</v>
      </c>
      <c r="AD14" s="22">
        <v>2</v>
      </c>
      <c r="AE14" s="23">
        <f>AD14+'05.05'!AE14</f>
        <v>26</v>
      </c>
      <c r="AF14" s="19">
        <f t="shared" si="3"/>
        <v>110970</v>
      </c>
      <c r="AG14" s="20">
        <f t="shared" si="4"/>
        <v>632070</v>
      </c>
      <c r="AH14" s="24">
        <v>4620</v>
      </c>
      <c r="AI14" s="23">
        <f>AH14+'05.05'!AI14</f>
        <v>18240</v>
      </c>
      <c r="AJ14" s="24">
        <v>6200</v>
      </c>
      <c r="AK14" s="23">
        <f>AJ14+'05.05'!AK14</f>
        <v>32950</v>
      </c>
      <c r="AL14" s="22">
        <v>5700</v>
      </c>
      <c r="AM14" s="23">
        <f>AL14+'05.05'!AM14</f>
        <v>35450</v>
      </c>
      <c r="AN14" s="22">
        <v>94450</v>
      </c>
      <c r="AO14" s="23">
        <f>AN14+'05.05'!AO14</f>
        <v>545430</v>
      </c>
      <c r="AP14" s="39" t="s">
        <v>48</v>
      </c>
      <c r="AQ14" s="19">
        <f t="shared" si="6"/>
        <v>2</v>
      </c>
      <c r="AR14" s="20">
        <f t="shared" si="7"/>
        <v>26</v>
      </c>
      <c r="AS14" s="45">
        <v>0</v>
      </c>
      <c r="AT14" s="23">
        <f>AS14+'05.05'!AT14</f>
        <v>0</v>
      </c>
      <c r="AU14" s="45">
        <v>0</v>
      </c>
      <c r="AV14" s="23">
        <f>AU14+'05.05'!AV14</f>
        <v>1</v>
      </c>
      <c r="AW14" s="45">
        <v>0</v>
      </c>
      <c r="AX14" s="23">
        <f>AW14+'05.05'!AX14</f>
        <v>0</v>
      </c>
      <c r="AY14" s="45">
        <v>0</v>
      </c>
      <c r="AZ14" s="23">
        <f>AY14+'05.05'!AZ14</f>
        <v>1</v>
      </c>
      <c r="BA14" s="45">
        <v>2</v>
      </c>
      <c r="BB14" s="23">
        <f>BA14+'05.05'!BB14</f>
        <v>24</v>
      </c>
      <c r="BC14" s="19">
        <f t="shared" si="9"/>
        <v>2512</v>
      </c>
      <c r="BD14" s="20">
        <f t="shared" si="10"/>
        <v>21588</v>
      </c>
      <c r="BE14" s="22">
        <v>4</v>
      </c>
      <c r="BF14" s="23">
        <f>BE14+'05.05'!BF14</f>
        <v>25</v>
      </c>
      <c r="BG14" s="45">
        <v>1</v>
      </c>
      <c r="BH14" s="23">
        <f>BG14+'05.05'!BH14</f>
        <v>14</v>
      </c>
      <c r="BI14" s="22">
        <v>2500</v>
      </c>
      <c r="BJ14" s="23">
        <f>BI14+'05.05'!BJ14</f>
        <v>21500</v>
      </c>
      <c r="BK14" s="22">
        <v>6</v>
      </c>
      <c r="BL14" s="23">
        <f>BK14+'05.05'!BL14</f>
        <v>31</v>
      </c>
      <c r="BM14" s="22">
        <v>1</v>
      </c>
      <c r="BN14" s="23">
        <f>BM14+'05.05'!BN14</f>
        <v>18</v>
      </c>
      <c r="BO14" s="48">
        <v>22</v>
      </c>
      <c r="BP14" s="49">
        <v>0</v>
      </c>
      <c r="BQ14" s="23">
        <f>BP14+'05.05'!BQ14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1"/>
        <v>410</v>
      </c>
      <c r="D15" s="53">
        <f t="shared" si="2"/>
        <v>2758</v>
      </c>
      <c r="E15" s="54">
        <v>776</v>
      </c>
      <c r="F15" s="55">
        <v>311</v>
      </c>
      <c r="G15" s="23">
        <f>F15+'05.05'!G15</f>
        <v>1984</v>
      </c>
      <c r="H15" s="56">
        <v>9</v>
      </c>
      <c r="I15" s="57">
        <v>0</v>
      </c>
      <c r="J15" s="23">
        <f>I15+'05.05'!J15</f>
        <v>0</v>
      </c>
      <c r="K15" s="56">
        <v>6</v>
      </c>
      <c r="L15" s="55">
        <v>0</v>
      </c>
      <c r="M15" s="23">
        <f>L15+'05.05'!M15</f>
        <v>0</v>
      </c>
      <c r="N15" s="56">
        <v>1305</v>
      </c>
      <c r="O15" s="55">
        <v>0</v>
      </c>
      <c r="P15" s="23">
        <f>O15+'05.05'!P15</f>
        <v>0</v>
      </c>
      <c r="Q15" s="56">
        <v>447</v>
      </c>
      <c r="R15" s="55">
        <v>0</v>
      </c>
      <c r="S15" s="23">
        <f>R15+'05.05'!S15</f>
        <v>0</v>
      </c>
      <c r="T15" s="56">
        <v>337</v>
      </c>
      <c r="U15" s="55">
        <v>0</v>
      </c>
      <c r="V15" s="23">
        <f>U15+'05.05'!V15</f>
        <v>0</v>
      </c>
      <c r="W15" s="56">
        <v>78</v>
      </c>
      <c r="X15" s="55">
        <v>0</v>
      </c>
      <c r="Y15" s="23">
        <f>X15+'05.05'!Y15</f>
        <v>0</v>
      </c>
      <c r="Z15" s="56">
        <v>141</v>
      </c>
      <c r="AA15" s="55">
        <v>0</v>
      </c>
      <c r="AB15" s="23">
        <f>AA15+'05.05'!AB15</f>
        <v>0</v>
      </c>
      <c r="AC15" s="56">
        <v>798</v>
      </c>
      <c r="AD15" s="55">
        <v>99</v>
      </c>
      <c r="AE15" s="23">
        <f>AD15+'05.05'!AE15</f>
        <v>774</v>
      </c>
      <c r="AF15" s="58">
        <f t="shared" si="3"/>
        <v>1714321</v>
      </c>
      <c r="AG15" s="59">
        <f t="shared" si="4"/>
        <v>9655801</v>
      </c>
      <c r="AH15" s="60">
        <v>899</v>
      </c>
      <c r="AI15" s="23">
        <f>AH15+'05.05'!AI15</f>
        <v>5466</v>
      </c>
      <c r="AJ15" s="60">
        <v>3312</v>
      </c>
      <c r="AK15" s="23">
        <f>AJ15+'05.05'!AK15</f>
        <v>19544</v>
      </c>
      <c r="AL15" s="55">
        <v>855055</v>
      </c>
      <c r="AM15" s="23">
        <f>AL15+'05.05'!AM15</f>
        <v>4815396</v>
      </c>
      <c r="AN15" s="55">
        <v>855055</v>
      </c>
      <c r="AO15" s="23">
        <f>AN15+'05.05'!AO15</f>
        <v>4815395</v>
      </c>
      <c r="AP15" s="50" t="s">
        <v>49</v>
      </c>
      <c r="AQ15" s="58">
        <f t="shared" si="6"/>
        <v>4</v>
      </c>
      <c r="AR15" s="59">
        <f t="shared" si="7"/>
        <v>15</v>
      </c>
      <c r="AS15" s="57">
        <v>1</v>
      </c>
      <c r="AT15" s="23">
        <f>AS15+'05.05'!AT15</f>
        <v>1</v>
      </c>
      <c r="AU15" s="57">
        <v>0</v>
      </c>
      <c r="AV15" s="23">
        <f>AU15+'05.05'!AV15</f>
        <v>1</v>
      </c>
      <c r="AW15" s="57">
        <v>1</v>
      </c>
      <c r="AX15" s="23">
        <f>AW15+'05.05'!AX15</f>
        <v>1</v>
      </c>
      <c r="AY15" s="57">
        <v>0</v>
      </c>
      <c r="AZ15" s="23">
        <f>AY15+'05.05'!AZ15</f>
        <v>0</v>
      </c>
      <c r="BA15" s="57">
        <v>2</v>
      </c>
      <c r="BB15" s="23">
        <f>BA15+'05.05'!BB15</f>
        <v>12</v>
      </c>
      <c r="BC15" s="58">
        <f t="shared" si="9"/>
        <v>1674</v>
      </c>
      <c r="BD15" s="59">
        <f t="shared" si="10"/>
        <v>9239</v>
      </c>
      <c r="BE15" s="55">
        <v>81</v>
      </c>
      <c r="BF15" s="23">
        <f>BE15+'05.05'!BF15</f>
        <v>426</v>
      </c>
      <c r="BG15" s="57">
        <v>1</v>
      </c>
      <c r="BH15" s="23">
        <f>BG15+'05.05'!BH15</f>
        <v>10</v>
      </c>
      <c r="BI15" s="55">
        <v>782</v>
      </c>
      <c r="BJ15" s="23">
        <f>BI15+'05.05'!BJ15</f>
        <v>4321</v>
      </c>
      <c r="BK15" s="55">
        <v>795</v>
      </c>
      <c r="BL15" s="23">
        <f>BK15+'05.05'!BL15</f>
        <v>4373</v>
      </c>
      <c r="BM15" s="55">
        <v>15</v>
      </c>
      <c r="BN15" s="23">
        <f>BM15+'05.05'!BN15</f>
        <v>109</v>
      </c>
      <c r="BO15" s="36">
        <v>6274</v>
      </c>
      <c r="BP15" s="37"/>
      <c r="BQ15" s="23">
        <f>BP15+'05.05'!BQ15</f>
        <v>8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1"/>
        <v>132</v>
      </c>
      <c r="D16" s="31">
        <f t="shared" si="2"/>
        <v>807</v>
      </c>
      <c r="E16" s="32">
        <v>310</v>
      </c>
      <c r="F16" s="22">
        <v>52</v>
      </c>
      <c r="G16" s="23">
        <f>F16+'05.05'!G16</f>
        <v>262</v>
      </c>
      <c r="H16" s="33">
        <v>5</v>
      </c>
      <c r="I16" s="34">
        <v>0</v>
      </c>
      <c r="J16" s="23">
        <f>I16+'05.05'!J16</f>
        <v>0</v>
      </c>
      <c r="K16" s="33">
        <v>3</v>
      </c>
      <c r="L16" s="22">
        <v>0</v>
      </c>
      <c r="M16" s="23">
        <f>L16+'05.05'!M16</f>
        <v>0</v>
      </c>
      <c r="N16" s="33">
        <v>384</v>
      </c>
      <c r="O16" s="22">
        <v>0</v>
      </c>
      <c r="P16" s="23">
        <f>O16+'05.05'!P16</f>
        <v>0</v>
      </c>
      <c r="Q16" s="33">
        <v>245</v>
      </c>
      <c r="R16" s="22">
        <v>0</v>
      </c>
      <c r="S16" s="23">
        <f>R16+'05.05'!S16</f>
        <v>0</v>
      </c>
      <c r="T16" s="33">
        <v>397</v>
      </c>
      <c r="U16" s="22">
        <v>0</v>
      </c>
      <c r="V16" s="23">
        <f>U16+'05.05'!V16</f>
        <v>0</v>
      </c>
      <c r="W16" s="33">
        <v>24</v>
      </c>
      <c r="X16" s="22">
        <v>37</v>
      </c>
      <c r="Y16" s="23">
        <f>X16+'05.05'!Y16</f>
        <v>293</v>
      </c>
      <c r="Z16" s="33">
        <v>18</v>
      </c>
      <c r="AA16" s="22">
        <v>0</v>
      </c>
      <c r="AB16" s="23">
        <f>AA16+'05.05'!AB16</f>
        <v>0</v>
      </c>
      <c r="AC16" s="33">
        <v>18515</v>
      </c>
      <c r="AD16" s="22">
        <v>43</v>
      </c>
      <c r="AE16" s="23">
        <f>AD16+'05.05'!AE16</f>
        <v>252</v>
      </c>
      <c r="AF16" s="19">
        <f t="shared" si="3"/>
        <v>63562</v>
      </c>
      <c r="AG16" s="20">
        <f t="shared" si="4"/>
        <v>350198</v>
      </c>
      <c r="AH16" s="24">
        <v>164</v>
      </c>
      <c r="AI16" s="23">
        <f>AH16+'05.05'!AI16</f>
        <v>1047</v>
      </c>
      <c r="AJ16" s="24">
        <v>1360</v>
      </c>
      <c r="AK16" s="23">
        <f>AJ16+'05.05'!AK16</f>
        <v>7113</v>
      </c>
      <c r="AL16" s="22">
        <v>1751</v>
      </c>
      <c r="AM16" s="23">
        <f>AL16+'05.05'!AM16</f>
        <v>9794</v>
      </c>
      <c r="AN16" s="22">
        <v>60287</v>
      </c>
      <c r="AO16" s="23">
        <f>AN16+'05.05'!AO16</f>
        <v>332244</v>
      </c>
      <c r="AP16" s="28" t="s">
        <v>51</v>
      </c>
      <c r="AQ16" s="19">
        <f t="shared" si="6"/>
        <v>76</v>
      </c>
      <c r="AR16" s="20">
        <f t="shared" si="7"/>
        <v>396</v>
      </c>
      <c r="AS16" s="34">
        <v>0</v>
      </c>
      <c r="AT16" s="23">
        <f>AS16+'05.05'!AT16</f>
        <v>1</v>
      </c>
      <c r="AU16" s="34">
        <v>0</v>
      </c>
      <c r="AV16" s="23">
        <f>AU16+'05.05'!AV16</f>
        <v>0</v>
      </c>
      <c r="AW16" s="34">
        <v>0</v>
      </c>
      <c r="AX16" s="23">
        <f>AW16+'05.05'!AX16</f>
        <v>0</v>
      </c>
      <c r="AY16" s="34">
        <v>0</v>
      </c>
      <c r="AZ16" s="23">
        <f>AY16+'05.05'!AZ16</f>
        <v>0</v>
      </c>
      <c r="BA16" s="34">
        <v>76</v>
      </c>
      <c r="BB16" s="23">
        <f>BA16+'05.05'!BB16</f>
        <v>395</v>
      </c>
      <c r="BC16" s="19">
        <f t="shared" si="9"/>
        <v>1446</v>
      </c>
      <c r="BD16" s="20">
        <f t="shared" si="10"/>
        <v>7504</v>
      </c>
      <c r="BE16" s="22">
        <v>51</v>
      </c>
      <c r="BF16" s="23">
        <f>BE16+'05.05'!BF16</f>
        <v>348</v>
      </c>
      <c r="BG16" s="34">
        <v>0</v>
      </c>
      <c r="BH16" s="23">
        <f>BG16+'05.05'!BH16</f>
        <v>0</v>
      </c>
      <c r="BI16" s="22">
        <v>1341</v>
      </c>
      <c r="BJ16" s="23">
        <f>BI16+'05.05'!BJ16</f>
        <v>6860</v>
      </c>
      <c r="BK16" s="22">
        <v>48</v>
      </c>
      <c r="BL16" s="23">
        <f>BK16+'05.05'!BL16</f>
        <v>279</v>
      </c>
      <c r="BM16" s="22">
        <v>6</v>
      </c>
      <c r="BN16" s="23">
        <f>BM16+'05.05'!BN16</f>
        <v>17</v>
      </c>
      <c r="BO16" s="36">
        <v>2546</v>
      </c>
      <c r="BP16" s="37">
        <v>0</v>
      </c>
      <c r="BQ16" s="23">
        <f>BP16+'05.05'!BQ16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1"/>
        <v>182</v>
      </c>
      <c r="D17" s="31">
        <f t="shared" si="2"/>
        <v>1079</v>
      </c>
      <c r="E17" s="32">
        <v>754</v>
      </c>
      <c r="F17" s="22">
        <v>161</v>
      </c>
      <c r="G17" s="23">
        <f>F17+'05.05'!G17</f>
        <v>893</v>
      </c>
      <c r="H17" s="33">
        <v>9</v>
      </c>
      <c r="I17" s="34">
        <v>0</v>
      </c>
      <c r="J17" s="23">
        <f>I17+'05.05'!J17</f>
        <v>0</v>
      </c>
      <c r="K17" s="33">
        <v>5</v>
      </c>
      <c r="L17" s="22">
        <v>0</v>
      </c>
      <c r="M17" s="23">
        <f>L17+'05.05'!M17</f>
        <v>0</v>
      </c>
      <c r="N17" s="33">
        <v>768</v>
      </c>
      <c r="O17" s="22">
        <v>0</v>
      </c>
      <c r="P17" s="23">
        <f>O17+'05.05'!P17</f>
        <v>0</v>
      </c>
      <c r="Q17" s="33">
        <v>624</v>
      </c>
      <c r="R17" s="22">
        <v>0</v>
      </c>
      <c r="S17" s="23">
        <f>R17+'05.05'!S17</f>
        <v>0</v>
      </c>
      <c r="T17" s="33">
        <v>742</v>
      </c>
      <c r="U17" s="22">
        <v>0</v>
      </c>
      <c r="V17" s="23">
        <f>U17+'05.05'!V17</f>
        <v>0</v>
      </c>
      <c r="W17" s="33">
        <v>54</v>
      </c>
      <c r="X17" s="22">
        <v>10</v>
      </c>
      <c r="Y17" s="23">
        <f>X17+'05.05'!Y17</f>
        <v>111</v>
      </c>
      <c r="Z17" s="33">
        <v>66</v>
      </c>
      <c r="AA17" s="22">
        <v>0</v>
      </c>
      <c r="AB17" s="23">
        <f>AA17+'05.05'!AB17</f>
        <v>0</v>
      </c>
      <c r="AC17" s="33">
        <v>2580</v>
      </c>
      <c r="AD17" s="22">
        <v>11</v>
      </c>
      <c r="AE17" s="23">
        <f>AD17+'05.05'!AE17</f>
        <v>75</v>
      </c>
      <c r="AF17" s="19">
        <f t="shared" si="3"/>
        <v>100000</v>
      </c>
      <c r="AG17" s="20">
        <f t="shared" si="4"/>
        <v>604500</v>
      </c>
      <c r="AH17" s="24">
        <v>5000</v>
      </c>
      <c r="AI17" s="23">
        <f>AH17+'05.05'!AI17</f>
        <v>40500</v>
      </c>
      <c r="AJ17" s="24">
        <v>10000</v>
      </c>
      <c r="AK17" s="23">
        <f>AJ17+'05.05'!AK17</f>
        <v>59000</v>
      </c>
      <c r="AL17" s="22">
        <v>22000</v>
      </c>
      <c r="AM17" s="23">
        <f>AL17+'05.05'!AM17</f>
        <v>131000</v>
      </c>
      <c r="AN17" s="22">
        <v>63000</v>
      </c>
      <c r="AO17" s="23">
        <f>AN17+'05.05'!AO17</f>
        <v>374000</v>
      </c>
      <c r="AP17" s="28" t="s">
        <v>52</v>
      </c>
      <c r="AQ17" s="19">
        <f t="shared" si="6"/>
        <v>18</v>
      </c>
      <c r="AR17" s="20">
        <f t="shared" si="7"/>
        <v>87</v>
      </c>
      <c r="AS17" s="34">
        <v>1</v>
      </c>
      <c r="AT17" s="23">
        <f>AS17+'05.05'!AT17</f>
        <v>7</v>
      </c>
      <c r="AU17" s="34">
        <v>2</v>
      </c>
      <c r="AV17" s="23">
        <f>AU17+'05.05'!AV17</f>
        <v>8</v>
      </c>
      <c r="AW17" s="34">
        <v>0</v>
      </c>
      <c r="AX17" s="23">
        <f>AW17+'05.05'!AX17</f>
        <v>0</v>
      </c>
      <c r="AY17" s="34">
        <v>0</v>
      </c>
      <c r="AZ17" s="23">
        <f>AY17+'05.05'!AZ17</f>
        <v>0</v>
      </c>
      <c r="BA17" s="34">
        <v>15</v>
      </c>
      <c r="BB17" s="23">
        <f>BA17+'05.05'!BB17</f>
        <v>72</v>
      </c>
      <c r="BC17" s="19">
        <f t="shared" si="9"/>
        <v>3148</v>
      </c>
      <c r="BD17" s="20">
        <f t="shared" si="10"/>
        <v>10665</v>
      </c>
      <c r="BE17" s="22">
        <v>40</v>
      </c>
      <c r="BF17" s="23">
        <f>BE17+'05.05'!BF17</f>
        <v>194</v>
      </c>
      <c r="BG17" s="34">
        <v>1</v>
      </c>
      <c r="BH17" s="23">
        <f>BG17+'05.05'!BH17</f>
        <v>6</v>
      </c>
      <c r="BI17" s="22">
        <v>2900</v>
      </c>
      <c r="BJ17" s="23">
        <f>BI17+'05.05'!BJ17</f>
        <v>9500</v>
      </c>
      <c r="BK17" s="22">
        <v>195</v>
      </c>
      <c r="BL17" s="23">
        <f>BK17+'05.05'!BL17</f>
        <v>930</v>
      </c>
      <c r="BM17" s="22">
        <v>12</v>
      </c>
      <c r="BN17" s="23">
        <f>BM17+'05.05'!BN17</f>
        <v>35</v>
      </c>
      <c r="BO17" s="36">
        <v>8022</v>
      </c>
      <c r="BP17" s="37">
        <v>5</v>
      </c>
      <c r="BQ17" s="23">
        <f>BP17+'05.05'!BQ17</f>
        <v>27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1"/>
        <v>296</v>
      </c>
      <c r="D18" s="20">
        <f t="shared" si="2"/>
        <v>1986</v>
      </c>
      <c r="E18" s="21">
        <v>1063</v>
      </c>
      <c r="F18" s="22">
        <v>201</v>
      </c>
      <c r="G18" s="23">
        <f>F18+'05.05'!G18</f>
        <v>1256</v>
      </c>
      <c r="H18" s="21">
        <v>19</v>
      </c>
      <c r="I18" s="22">
        <v>0</v>
      </c>
      <c r="J18" s="23">
        <f>I18+'05.05'!J18</f>
        <v>0</v>
      </c>
      <c r="K18" s="21">
        <v>8</v>
      </c>
      <c r="L18" s="22">
        <v>0</v>
      </c>
      <c r="M18" s="23">
        <f>L18+'05.05'!M18</f>
        <v>0</v>
      </c>
      <c r="N18" s="21">
        <v>1331</v>
      </c>
      <c r="O18" s="22">
        <v>0</v>
      </c>
      <c r="P18" s="23">
        <f>O18+'05.05'!P18</f>
        <v>0</v>
      </c>
      <c r="Q18" s="21">
        <v>777</v>
      </c>
      <c r="R18" s="22">
        <v>0</v>
      </c>
      <c r="S18" s="23">
        <f>R18+'05.05'!S18</f>
        <v>0</v>
      </c>
      <c r="T18" s="21">
        <v>318</v>
      </c>
      <c r="U18" s="22">
        <v>0</v>
      </c>
      <c r="V18" s="23">
        <f>U18+'05.05'!V18</f>
        <v>81</v>
      </c>
      <c r="W18" s="21">
        <v>60</v>
      </c>
      <c r="X18" s="22">
        <v>95</v>
      </c>
      <c r="Y18" s="23">
        <f>X18+'05.05'!Y18</f>
        <v>649</v>
      </c>
      <c r="Z18" s="21">
        <v>72</v>
      </c>
      <c r="AA18" s="22">
        <v>0</v>
      </c>
      <c r="AB18" s="23">
        <f>AA18+'05.05'!AB18</f>
        <v>0</v>
      </c>
      <c r="AC18" s="21">
        <v>143</v>
      </c>
      <c r="AD18" s="22">
        <v>0</v>
      </c>
      <c r="AE18" s="23">
        <f>AD18+'05.05'!AE18</f>
        <v>0</v>
      </c>
      <c r="AF18" s="19">
        <f t="shared" si="3"/>
        <v>122803</v>
      </c>
      <c r="AG18" s="20">
        <f t="shared" si="4"/>
        <v>1173485</v>
      </c>
      <c r="AH18" s="24">
        <v>198</v>
      </c>
      <c r="AI18" s="23">
        <f>AH18+'05.05'!AI18</f>
        <v>2412</v>
      </c>
      <c r="AJ18" s="24">
        <v>2480</v>
      </c>
      <c r="AK18" s="23">
        <f>AJ18+'05.05'!AK18</f>
        <v>17982</v>
      </c>
      <c r="AL18" s="22">
        <v>2987</v>
      </c>
      <c r="AM18" s="23">
        <f>AL18+'05.05'!AM18</f>
        <v>21061</v>
      </c>
      <c r="AN18" s="22">
        <v>117138</v>
      </c>
      <c r="AO18" s="23">
        <f>AN18+'05.05'!AO18</f>
        <v>1132030</v>
      </c>
      <c r="AP18" s="17" t="s">
        <v>53</v>
      </c>
      <c r="AQ18" s="19">
        <f t="shared" si="6"/>
        <v>2</v>
      </c>
      <c r="AR18" s="20">
        <f t="shared" si="7"/>
        <v>13</v>
      </c>
      <c r="AS18" s="22">
        <v>0</v>
      </c>
      <c r="AT18" s="23">
        <f>AS18+'05.05'!AT18</f>
        <v>1</v>
      </c>
      <c r="AU18" s="22">
        <v>0</v>
      </c>
      <c r="AV18" s="23">
        <f>AU18+'05.05'!AV18</f>
        <v>0</v>
      </c>
      <c r="AW18" s="22">
        <v>0</v>
      </c>
      <c r="AX18" s="23">
        <f>AW18+'05.05'!AX18</f>
        <v>0</v>
      </c>
      <c r="AY18" s="22">
        <v>0</v>
      </c>
      <c r="AZ18" s="23">
        <f>AY18+'05.05'!AZ18</f>
        <v>0</v>
      </c>
      <c r="BA18" s="22">
        <v>2</v>
      </c>
      <c r="BB18" s="23">
        <f>BA18+'05.05'!BB18</f>
        <v>12</v>
      </c>
      <c r="BC18" s="19">
        <f t="shared" si="9"/>
        <v>494</v>
      </c>
      <c r="BD18" s="20">
        <f t="shared" si="10"/>
        <v>6746</v>
      </c>
      <c r="BE18" s="22">
        <v>2</v>
      </c>
      <c r="BF18" s="23">
        <f>BE18+'05.05'!BF18</f>
        <v>7</v>
      </c>
      <c r="BG18" s="22">
        <v>0</v>
      </c>
      <c r="BH18" s="23">
        <f>BG18+'05.05'!BH18</f>
        <v>0</v>
      </c>
      <c r="BI18" s="22">
        <v>401</v>
      </c>
      <c r="BJ18" s="23">
        <f>BI18+'05.05'!BJ18</f>
        <v>6186</v>
      </c>
      <c r="BK18" s="22">
        <v>74</v>
      </c>
      <c r="BL18" s="23">
        <f>BK18+'05.05'!BL18</f>
        <v>536</v>
      </c>
      <c r="BM18" s="22">
        <v>17</v>
      </c>
      <c r="BN18" s="23">
        <f>BM18+'05.05'!BN18</f>
        <v>17</v>
      </c>
      <c r="BO18" s="36">
        <v>442</v>
      </c>
      <c r="BP18" s="37">
        <v>2</v>
      </c>
      <c r="BQ18" s="23">
        <f>BP18+'05.05'!BQ18</f>
        <v>29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1"/>
        <v>30</v>
      </c>
      <c r="D19" s="31">
        <f t="shared" si="2"/>
        <v>191</v>
      </c>
      <c r="E19" s="33">
        <v>221</v>
      </c>
      <c r="F19" s="22">
        <v>5</v>
      </c>
      <c r="G19" s="23">
        <f>F19+'05.05'!G19</f>
        <v>46</v>
      </c>
      <c r="H19" s="33">
        <v>5</v>
      </c>
      <c r="I19" s="34">
        <v>0</v>
      </c>
      <c r="J19" s="23">
        <f>I19+'05.05'!J19</f>
        <v>0</v>
      </c>
      <c r="K19" s="33">
        <v>4</v>
      </c>
      <c r="L19" s="22">
        <v>0</v>
      </c>
      <c r="M19" s="23">
        <f>L19+'05.05'!M19</f>
        <v>0</v>
      </c>
      <c r="N19" s="33">
        <v>313</v>
      </c>
      <c r="O19" s="22">
        <v>17</v>
      </c>
      <c r="P19" s="23">
        <f>O19+'05.05'!P19</f>
        <v>23</v>
      </c>
      <c r="Q19" s="33">
        <v>203</v>
      </c>
      <c r="R19" s="22">
        <v>0</v>
      </c>
      <c r="S19" s="23">
        <f>R19+'05.05'!S19</f>
        <v>0</v>
      </c>
      <c r="T19" s="33">
        <v>241</v>
      </c>
      <c r="U19" s="22">
        <v>0</v>
      </c>
      <c r="V19" s="23">
        <f>U19+'05.05'!V19</f>
        <v>0</v>
      </c>
      <c r="W19" s="33">
        <v>14</v>
      </c>
      <c r="X19" s="22">
        <v>8</v>
      </c>
      <c r="Y19" s="23">
        <f>X19+'05.05'!Y19</f>
        <v>59</v>
      </c>
      <c r="Z19" s="33">
        <v>7</v>
      </c>
      <c r="AA19" s="22">
        <v>0</v>
      </c>
      <c r="AB19" s="23">
        <f>AA19+'05.05'!AB19</f>
        <v>0</v>
      </c>
      <c r="AC19" s="33">
        <v>32</v>
      </c>
      <c r="AD19" s="22">
        <v>0</v>
      </c>
      <c r="AE19" s="23">
        <f>AD19+'05.05'!AE19</f>
        <v>63</v>
      </c>
      <c r="AF19" s="19">
        <f t="shared" si="3"/>
        <v>3350</v>
      </c>
      <c r="AG19" s="20">
        <f t="shared" si="4"/>
        <v>17150</v>
      </c>
      <c r="AH19" s="24">
        <v>550</v>
      </c>
      <c r="AI19" s="23">
        <f>AH19+'05.05'!AI19</f>
        <v>3100</v>
      </c>
      <c r="AJ19" s="24">
        <v>550</v>
      </c>
      <c r="AK19" s="23">
        <f>AJ19+'05.05'!AK19</f>
        <v>3100</v>
      </c>
      <c r="AL19" s="22">
        <v>1125</v>
      </c>
      <c r="AM19" s="23">
        <f>AL19+'05.05'!AM19</f>
        <v>5475</v>
      </c>
      <c r="AN19" s="22">
        <v>1125</v>
      </c>
      <c r="AO19" s="23">
        <f>AN19+'05.05'!AO19</f>
        <v>5475</v>
      </c>
      <c r="AP19" s="28" t="s">
        <v>54</v>
      </c>
      <c r="AQ19" s="19">
        <f t="shared" si="6"/>
        <v>0</v>
      </c>
      <c r="AR19" s="20">
        <f t="shared" si="7"/>
        <v>1</v>
      </c>
      <c r="AS19" s="34">
        <v>0</v>
      </c>
      <c r="AT19" s="23">
        <f>AS19+'05.05'!AT19</f>
        <v>0</v>
      </c>
      <c r="AU19" s="34">
        <v>0</v>
      </c>
      <c r="AV19" s="23">
        <f>AU19+'05.05'!AV19</f>
        <v>1</v>
      </c>
      <c r="AW19" s="34">
        <v>0</v>
      </c>
      <c r="AX19" s="23">
        <f>AW19+'05.05'!AX19</f>
        <v>0</v>
      </c>
      <c r="AY19" s="34">
        <v>0</v>
      </c>
      <c r="AZ19" s="23">
        <f>AY19+'05.05'!AZ19</f>
        <v>0</v>
      </c>
      <c r="BA19" s="34">
        <v>0</v>
      </c>
      <c r="BB19" s="23">
        <f>BA19+'05.05'!BB19</f>
        <v>0</v>
      </c>
      <c r="BC19" s="19">
        <f t="shared" si="9"/>
        <v>1069</v>
      </c>
      <c r="BD19" s="20">
        <f t="shared" si="10"/>
        <v>5954</v>
      </c>
      <c r="BE19" s="22">
        <v>11</v>
      </c>
      <c r="BF19" s="23">
        <f>BE19+'05.05'!BF19</f>
        <v>76</v>
      </c>
      <c r="BG19" s="34">
        <v>2</v>
      </c>
      <c r="BH19" s="23">
        <f>BG19+'05.05'!BH19</f>
        <v>2</v>
      </c>
      <c r="BI19" s="22">
        <v>900</v>
      </c>
      <c r="BJ19" s="23">
        <f>BI19+'05.05'!BJ19</f>
        <v>5100</v>
      </c>
      <c r="BK19" s="22">
        <v>150</v>
      </c>
      <c r="BL19" s="23">
        <f>BK19+'05.05'!BL19</f>
        <v>750</v>
      </c>
      <c r="BM19" s="22">
        <v>6</v>
      </c>
      <c r="BN19" s="23">
        <f>BM19+'05.05'!BN19</f>
        <v>26</v>
      </c>
      <c r="BO19" s="36">
        <v>2898</v>
      </c>
      <c r="BP19" s="37">
        <v>0</v>
      </c>
      <c r="BQ19" s="23">
        <f>BP19+'05.05'!BQ19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1"/>
        <v>293</v>
      </c>
      <c r="D20" s="31">
        <f t="shared" si="2"/>
        <v>1894</v>
      </c>
      <c r="E20" s="32">
        <v>723</v>
      </c>
      <c r="F20" s="22">
        <v>128</v>
      </c>
      <c r="G20" s="23">
        <f>F20+'05.05'!G20</f>
        <v>1091</v>
      </c>
      <c r="H20" s="33">
        <v>5</v>
      </c>
      <c r="I20" s="34">
        <v>1</v>
      </c>
      <c r="J20" s="23">
        <f>I20+'05.05'!J20</f>
        <v>6</v>
      </c>
      <c r="K20" s="33">
        <v>3</v>
      </c>
      <c r="L20" s="22">
        <v>0</v>
      </c>
      <c r="M20" s="23">
        <f>L20+'05.05'!M20</f>
        <v>0</v>
      </c>
      <c r="N20" s="33">
        <v>975</v>
      </c>
      <c r="O20" s="22">
        <v>80</v>
      </c>
      <c r="P20" s="23">
        <f>O20+'05.05'!P20</f>
        <v>387</v>
      </c>
      <c r="Q20" s="61">
        <v>1862</v>
      </c>
      <c r="R20" s="22">
        <v>2</v>
      </c>
      <c r="S20" s="23">
        <f>R20+'05.05'!S20</f>
        <v>8</v>
      </c>
      <c r="T20" s="33">
        <v>35</v>
      </c>
      <c r="U20" s="22">
        <v>1</v>
      </c>
      <c r="V20" s="23">
        <f>U20+'05.05'!V20</f>
        <v>6</v>
      </c>
      <c r="W20" s="33">
        <v>64</v>
      </c>
      <c r="X20" s="22">
        <v>1</v>
      </c>
      <c r="Y20" s="23">
        <f>X20+'05.05'!Y20</f>
        <v>8</v>
      </c>
      <c r="Z20" s="33">
        <v>15</v>
      </c>
      <c r="AA20" s="22">
        <v>1</v>
      </c>
      <c r="AB20" s="23">
        <f>AA20+'05.05'!AB20</f>
        <v>6</v>
      </c>
      <c r="AC20" s="33">
        <v>1546</v>
      </c>
      <c r="AD20" s="22">
        <v>79</v>
      </c>
      <c r="AE20" s="23">
        <f>AD20+'05.05'!AE20</f>
        <v>382</v>
      </c>
      <c r="AF20" s="19">
        <f t="shared" si="3"/>
        <v>15000</v>
      </c>
      <c r="AG20" s="20">
        <f t="shared" si="4"/>
        <v>114984</v>
      </c>
      <c r="AH20" s="24">
        <v>7200</v>
      </c>
      <c r="AI20" s="23">
        <f>AH20+'05.05'!AI20</f>
        <v>53872</v>
      </c>
      <c r="AJ20" s="24">
        <v>7200</v>
      </c>
      <c r="AK20" s="23">
        <f>AJ20+'05.05'!AK20</f>
        <v>55992</v>
      </c>
      <c r="AL20" s="22">
        <v>450</v>
      </c>
      <c r="AM20" s="23">
        <f>AL20+'05.05'!AM20</f>
        <v>2860</v>
      </c>
      <c r="AN20" s="22">
        <v>150</v>
      </c>
      <c r="AO20" s="23">
        <f>AN20+'05.05'!AO20</f>
        <v>2260</v>
      </c>
      <c r="AP20" s="28" t="s">
        <v>55</v>
      </c>
      <c r="AQ20" s="19">
        <f t="shared" si="6"/>
        <v>129</v>
      </c>
      <c r="AR20" s="20">
        <f t="shared" si="7"/>
        <v>1002</v>
      </c>
      <c r="AS20" s="34">
        <v>1</v>
      </c>
      <c r="AT20" s="23">
        <f>AS20+'05.05'!AT20</f>
        <v>6</v>
      </c>
      <c r="AU20" s="34">
        <v>0</v>
      </c>
      <c r="AV20" s="23">
        <f>AU20+'05.05'!AV20</f>
        <v>0</v>
      </c>
      <c r="AW20" s="34">
        <v>0</v>
      </c>
      <c r="AX20" s="23">
        <f>AW20+'05.05'!AX20</f>
        <v>0</v>
      </c>
      <c r="AY20" s="34">
        <v>0</v>
      </c>
      <c r="AZ20" s="23">
        <f>AY20+'05.05'!AZ20</f>
        <v>0</v>
      </c>
      <c r="BA20" s="34">
        <v>128</v>
      </c>
      <c r="BB20" s="23">
        <f>BA20+'05.05'!BB20</f>
        <v>996</v>
      </c>
      <c r="BC20" s="19">
        <f t="shared" si="9"/>
        <v>4183</v>
      </c>
      <c r="BD20" s="20">
        <f t="shared" si="10"/>
        <v>22426</v>
      </c>
      <c r="BE20" s="22">
        <v>2</v>
      </c>
      <c r="BF20" s="23">
        <f>BE20+'05.05'!BF20</f>
        <v>12</v>
      </c>
      <c r="BG20" s="34">
        <v>0</v>
      </c>
      <c r="BH20" s="23">
        <f>BG20+'05.05'!BH20</f>
        <v>0</v>
      </c>
      <c r="BI20" s="22">
        <v>2075</v>
      </c>
      <c r="BJ20" s="23">
        <f>BI20+'05.05'!BJ20</f>
        <v>11284</v>
      </c>
      <c r="BK20" s="22">
        <v>2105</v>
      </c>
      <c r="BL20" s="23">
        <f>BK20+'05.05'!BL20</f>
        <v>11125</v>
      </c>
      <c r="BM20" s="22">
        <v>1</v>
      </c>
      <c r="BN20" s="23">
        <f>BM20+'05.05'!BN20</f>
        <v>5</v>
      </c>
      <c r="BO20" s="36">
        <v>5854</v>
      </c>
      <c r="BP20" s="37">
        <v>0</v>
      </c>
      <c r="BQ20" s="23">
        <f>BP20+'05.05'!BQ20</f>
        <v>2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1"/>
        <v>185</v>
      </c>
      <c r="D21" s="31">
        <f t="shared" si="2"/>
        <v>1290</v>
      </c>
      <c r="E21" s="32">
        <v>1017</v>
      </c>
      <c r="F21" s="22">
        <v>160</v>
      </c>
      <c r="G21" s="23">
        <f>F21+'05.05'!G21</f>
        <v>930</v>
      </c>
      <c r="H21" s="33">
        <v>8</v>
      </c>
      <c r="I21" s="34">
        <v>4</v>
      </c>
      <c r="J21" s="23">
        <f>I21+'05.05'!J21</f>
        <v>20</v>
      </c>
      <c r="K21" s="33">
        <v>4</v>
      </c>
      <c r="L21" s="22">
        <v>0</v>
      </c>
      <c r="M21" s="23">
        <f>L21+'05.05'!M21</f>
        <v>0</v>
      </c>
      <c r="N21" s="33">
        <v>963</v>
      </c>
      <c r="O21" s="22">
        <v>2</v>
      </c>
      <c r="P21" s="23">
        <f>O21+'05.05'!P21</f>
        <v>17</v>
      </c>
      <c r="Q21" s="33">
        <v>912</v>
      </c>
      <c r="R21" s="22">
        <v>0</v>
      </c>
      <c r="S21" s="23">
        <f>R21+'05.05'!S21</f>
        <v>0</v>
      </c>
      <c r="T21" s="33">
        <v>199</v>
      </c>
      <c r="U21" s="22">
        <v>1</v>
      </c>
      <c r="V21" s="23">
        <f>U21+'05.05'!V21</f>
        <v>14</v>
      </c>
      <c r="W21" s="33">
        <v>101</v>
      </c>
      <c r="X21" s="22">
        <v>10</v>
      </c>
      <c r="Y21" s="23">
        <f>X21+'05.05'!Y21</f>
        <v>47</v>
      </c>
      <c r="Z21" s="33">
        <v>42</v>
      </c>
      <c r="AA21" s="22">
        <v>0</v>
      </c>
      <c r="AB21" s="23">
        <f>AA21+'05.05'!AB21</f>
        <v>0</v>
      </c>
      <c r="AC21" s="33">
        <v>20</v>
      </c>
      <c r="AD21" s="22">
        <v>8</v>
      </c>
      <c r="AE21" s="23">
        <f>AD21+'05.05'!AE21</f>
        <v>262</v>
      </c>
      <c r="AF21" s="19">
        <f t="shared" si="3"/>
        <v>1200000</v>
      </c>
      <c r="AG21" s="20">
        <f t="shared" si="4"/>
        <v>6252000</v>
      </c>
      <c r="AH21" s="24">
        <v>1000</v>
      </c>
      <c r="AI21" s="23">
        <f>AH21+'05.05'!AI21</f>
        <v>7000</v>
      </c>
      <c r="AJ21" s="24">
        <v>199000</v>
      </c>
      <c r="AK21" s="23">
        <f>AJ21+'05.05'!AK21</f>
        <v>995000</v>
      </c>
      <c r="AL21" s="22">
        <v>1000</v>
      </c>
      <c r="AM21" s="23">
        <f>AL21+'05.05'!AM21</f>
        <v>8500</v>
      </c>
      <c r="AN21" s="22">
        <v>999000</v>
      </c>
      <c r="AO21" s="23">
        <f>AN21+'05.05'!AO21</f>
        <v>5241500</v>
      </c>
      <c r="AP21" s="28" t="s">
        <v>58</v>
      </c>
      <c r="AQ21" s="19">
        <f t="shared" si="6"/>
        <v>6</v>
      </c>
      <c r="AR21" s="20">
        <f t="shared" si="7"/>
        <v>45</v>
      </c>
      <c r="AS21" s="34">
        <v>0</v>
      </c>
      <c r="AT21" s="23">
        <f>AS21+'05.05'!AT21</f>
        <v>1</v>
      </c>
      <c r="AU21" s="34">
        <v>4</v>
      </c>
      <c r="AV21" s="23">
        <f>AU21+'05.05'!AV21</f>
        <v>24</v>
      </c>
      <c r="AW21" s="34">
        <v>0</v>
      </c>
      <c r="AX21" s="23">
        <f>AW21+'05.05'!AX21</f>
        <v>0</v>
      </c>
      <c r="AY21" s="34">
        <v>0</v>
      </c>
      <c r="AZ21" s="23">
        <f>AY21+'05.05'!AZ21</f>
        <v>0</v>
      </c>
      <c r="BA21" s="34">
        <v>2</v>
      </c>
      <c r="BB21" s="23">
        <f>BA21+'05.05'!BB21</f>
        <v>20</v>
      </c>
      <c r="BC21" s="19">
        <f t="shared" si="9"/>
        <v>1052</v>
      </c>
      <c r="BD21" s="20">
        <f t="shared" si="10"/>
        <v>17261</v>
      </c>
      <c r="BE21" s="22">
        <v>45</v>
      </c>
      <c r="BF21" s="23">
        <f>BE21+'05.05'!BF21</f>
        <v>230</v>
      </c>
      <c r="BG21" s="34">
        <v>0</v>
      </c>
      <c r="BH21" s="23">
        <f>BG21+'05.05'!BH21</f>
        <v>0</v>
      </c>
      <c r="BI21" s="22">
        <v>1000</v>
      </c>
      <c r="BJ21" s="23">
        <f>BI21+'05.05'!BJ21</f>
        <v>17000</v>
      </c>
      <c r="BK21" s="22">
        <v>0</v>
      </c>
      <c r="BL21" s="23">
        <f>BK21+'05.05'!BL21</f>
        <v>0</v>
      </c>
      <c r="BM21" s="22">
        <v>7</v>
      </c>
      <c r="BN21" s="23">
        <f>BM21+'05.05'!BN21</f>
        <v>31</v>
      </c>
      <c r="BO21" s="36">
        <v>68</v>
      </c>
      <c r="BP21" s="37">
        <v>2</v>
      </c>
      <c r="BQ21" s="23">
        <f>BP21+'05.05'!BQ21</f>
        <v>8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1"/>
        <v>2509</v>
      </c>
      <c r="D22" s="31">
        <f t="shared" si="2"/>
        <v>12312</v>
      </c>
      <c r="E22" s="32">
        <v>509</v>
      </c>
      <c r="F22" s="22">
        <v>412</v>
      </c>
      <c r="G22" s="23">
        <f>F22+'05.05'!G22</f>
        <v>1967</v>
      </c>
      <c r="H22" s="33">
        <v>8</v>
      </c>
      <c r="I22" s="34">
        <v>0</v>
      </c>
      <c r="J22" s="23">
        <f>I22+'05.05'!J22</f>
        <v>0</v>
      </c>
      <c r="K22" s="33">
        <v>21</v>
      </c>
      <c r="L22" s="22">
        <v>0</v>
      </c>
      <c r="M22" s="23">
        <f>L22+'05.05'!M22</f>
        <v>0</v>
      </c>
      <c r="N22" s="33">
        <v>560</v>
      </c>
      <c r="O22" s="22">
        <v>32</v>
      </c>
      <c r="P22" s="23">
        <f>O22+'05.05'!P22</f>
        <v>319</v>
      </c>
      <c r="Q22" s="33">
        <v>375</v>
      </c>
      <c r="R22" s="22">
        <v>0</v>
      </c>
      <c r="S22" s="23">
        <f>R22+'05.05'!S22</f>
        <v>0</v>
      </c>
      <c r="T22" s="33">
        <v>165</v>
      </c>
      <c r="U22" s="22">
        <v>32</v>
      </c>
      <c r="V22" s="23">
        <f>U22+'05.05'!V22</f>
        <v>192</v>
      </c>
      <c r="W22" s="33">
        <v>28</v>
      </c>
      <c r="X22" s="22">
        <v>68</v>
      </c>
      <c r="Y22" s="23">
        <f>X22+'05.05'!Y22</f>
        <v>373</v>
      </c>
      <c r="Z22" s="33">
        <v>9</v>
      </c>
      <c r="AA22" s="22">
        <v>0</v>
      </c>
      <c r="AB22" s="23">
        <f>AA22+'05.05'!AB22</f>
        <v>0</v>
      </c>
      <c r="AC22" s="33">
        <v>112</v>
      </c>
      <c r="AD22" s="22">
        <v>1965</v>
      </c>
      <c r="AE22" s="23">
        <f>AD22+'05.05'!AE22</f>
        <v>9461</v>
      </c>
      <c r="AF22" s="19">
        <f t="shared" si="3"/>
        <v>337881</v>
      </c>
      <c r="AG22" s="20">
        <f t="shared" si="4"/>
        <v>2664016</v>
      </c>
      <c r="AH22" s="24">
        <v>3702</v>
      </c>
      <c r="AI22" s="23">
        <f>AH22+'05.05'!AI22</f>
        <v>13319</v>
      </c>
      <c r="AJ22" s="24">
        <v>4627</v>
      </c>
      <c r="AK22" s="23">
        <f>AJ22+'05.05'!AK22</f>
        <v>37270</v>
      </c>
      <c r="AL22" s="22">
        <v>16880</v>
      </c>
      <c r="AM22" s="23">
        <f>AL22+'05.05'!AM22</f>
        <v>41974</v>
      </c>
      <c r="AN22" s="22">
        <v>312672</v>
      </c>
      <c r="AO22" s="23">
        <f>AN22+'05.05'!AO22</f>
        <v>2571453</v>
      </c>
      <c r="AP22" s="28" t="s">
        <v>59</v>
      </c>
      <c r="AQ22" s="19">
        <f t="shared" si="6"/>
        <v>1651</v>
      </c>
      <c r="AR22" s="20">
        <f t="shared" si="7"/>
        <v>19740</v>
      </c>
      <c r="AS22" s="34">
        <v>0</v>
      </c>
      <c r="AT22" s="23">
        <f>AS22+'05.05'!AT22</f>
        <v>4</v>
      </c>
      <c r="AU22" s="34">
        <v>0</v>
      </c>
      <c r="AV22" s="23">
        <f>AU22+'05.05'!AV22</f>
        <v>4</v>
      </c>
      <c r="AW22" s="34">
        <v>0</v>
      </c>
      <c r="AX22" s="23">
        <f>AW22+'05.05'!AX22</f>
        <v>2</v>
      </c>
      <c r="AY22" s="34">
        <v>0</v>
      </c>
      <c r="AZ22" s="23">
        <f>AY22+'05.05'!AZ22</f>
        <v>1</v>
      </c>
      <c r="BA22" s="34">
        <v>1651</v>
      </c>
      <c r="BB22" s="23">
        <f>BA22+'05.05'!BB22</f>
        <v>19729</v>
      </c>
      <c r="BC22" s="19">
        <f t="shared" si="9"/>
        <v>6145</v>
      </c>
      <c r="BD22" s="20">
        <f t="shared" si="10"/>
        <v>50856</v>
      </c>
      <c r="BE22" s="22">
        <v>5</v>
      </c>
      <c r="BF22" s="23">
        <f>BE22+'05.05'!BF22</f>
        <v>32</v>
      </c>
      <c r="BG22" s="34">
        <v>84</v>
      </c>
      <c r="BH22" s="23">
        <f>BG22+'05.05'!BH22</f>
        <v>407</v>
      </c>
      <c r="BI22" s="22">
        <v>5856</v>
      </c>
      <c r="BJ22" s="23">
        <f>BI22+'05.05'!BJ22</f>
        <v>49811</v>
      </c>
      <c r="BK22" s="22">
        <v>126</v>
      </c>
      <c r="BL22" s="23">
        <f>BK22+'05.05'!BL22</f>
        <v>469</v>
      </c>
      <c r="BM22" s="22">
        <v>74</v>
      </c>
      <c r="BN22" s="23">
        <f>BM22+'05.05'!BN22</f>
        <v>137</v>
      </c>
      <c r="BO22" s="36">
        <v>26</v>
      </c>
      <c r="BP22" s="37">
        <v>300</v>
      </c>
      <c r="BQ22" s="23">
        <f>BP22+'05.05'!BQ22</f>
        <v>877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1"/>
        <v>4510</v>
      </c>
      <c r="D23" s="65">
        <f t="shared" si="2"/>
        <v>25376</v>
      </c>
      <c r="E23" s="66">
        <f>+E18+E19+E22+E17+E16+E15+E14+E13+E12+E11+E10+E9+E8</f>
        <v>7282</v>
      </c>
      <c r="F23" s="67">
        <f t="shared" ref="F23:J23" si="12">SUM(F8:F22)</f>
        <v>1609</v>
      </c>
      <c r="G23" s="68">
        <f t="shared" si="12"/>
        <v>9585</v>
      </c>
      <c r="H23" s="66">
        <f>+H18+H19+H22+H17+H16+H15+H14+H13+H12+H11+H10+H9+H8</f>
        <v>271</v>
      </c>
      <c r="I23" s="67">
        <f t="shared" si="12"/>
        <v>9</v>
      </c>
      <c r="J23" s="68">
        <f t="shared" si="12"/>
        <v>57</v>
      </c>
      <c r="K23" s="66">
        <f>+K18+K19+K22+K17+K16+K15+K14+K13+K12+K11+K10+K9+K8</f>
        <v>163</v>
      </c>
      <c r="L23" s="67">
        <f t="shared" ref="L23:P23" si="13">SUM(L8:L22)</f>
        <v>0</v>
      </c>
      <c r="M23" s="68">
        <f t="shared" si="13"/>
        <v>3</v>
      </c>
      <c r="N23" s="66">
        <f>+N18+N19+N22+N17+N16+N15+N14+N13+N12+N11+N10+N9+N8</f>
        <v>8607</v>
      </c>
      <c r="O23" s="67">
        <f t="shared" si="13"/>
        <v>143</v>
      </c>
      <c r="P23" s="68">
        <f t="shared" si="13"/>
        <v>857</v>
      </c>
      <c r="Q23" s="66">
        <f>+Q18+Q19+Q22+Q17+Q16+Q15+Q14+Q13+Q12+Q11+Q10+Q9+Q8</f>
        <v>7474</v>
      </c>
      <c r="R23" s="67">
        <f t="shared" ref="R23:V23" si="14">SUM(R8:R22)</f>
        <v>8</v>
      </c>
      <c r="S23" s="68">
        <f t="shared" si="14"/>
        <v>38</v>
      </c>
      <c r="T23" s="66">
        <f>+T18+T19+T22+T17+T16+T15+T14+T13+T12+T11+T10+T9+T8</f>
        <v>4115</v>
      </c>
      <c r="U23" s="67">
        <f t="shared" si="14"/>
        <v>38</v>
      </c>
      <c r="V23" s="68">
        <f t="shared" si="14"/>
        <v>316</v>
      </c>
      <c r="W23" s="66">
        <f>+W18+W19+W22+W17+W16+W15+W14+W13+W12+W11+W10+W9+W8</f>
        <v>604</v>
      </c>
      <c r="X23" s="67">
        <f t="shared" ref="X23:AB23" si="15">SUM(X8:X22)</f>
        <v>371</v>
      </c>
      <c r="Y23" s="68">
        <f t="shared" si="15"/>
        <v>2454</v>
      </c>
      <c r="Z23" s="66">
        <f>+Z18+Z19+Z22+Z17+Z16+Z15+Z14+Z13+Z12+Z11+Z10+Z9+Z8</f>
        <v>1629</v>
      </c>
      <c r="AA23" s="67">
        <f t="shared" si="15"/>
        <v>8</v>
      </c>
      <c r="AB23" s="68">
        <f t="shared" si="15"/>
        <v>26</v>
      </c>
      <c r="AC23" s="66">
        <f>+AC18+AC19+AC22+AC17+AC16+AC15+AC14+AC13+AC12+AC11+AC10+AC9+AC8</f>
        <v>64846</v>
      </c>
      <c r="AD23" s="67">
        <f t="shared" ref="AD23:AO23" si="16">SUM(AD8:AD22)</f>
        <v>2324</v>
      </c>
      <c r="AE23" s="68">
        <f t="shared" si="16"/>
        <v>12040</v>
      </c>
      <c r="AF23" s="64">
        <f t="shared" si="16"/>
        <v>4026908</v>
      </c>
      <c r="AG23" s="64">
        <f t="shared" si="16"/>
        <v>23916710</v>
      </c>
      <c r="AH23" s="67">
        <f t="shared" si="16"/>
        <v>29227</v>
      </c>
      <c r="AI23" s="68">
        <f t="shared" si="16"/>
        <v>183022</v>
      </c>
      <c r="AJ23" s="67">
        <f t="shared" si="16"/>
        <v>258600</v>
      </c>
      <c r="AK23" s="68">
        <f t="shared" si="16"/>
        <v>1381255</v>
      </c>
      <c r="AL23" s="67">
        <f t="shared" si="16"/>
        <v>949147</v>
      </c>
      <c r="AM23" s="68">
        <f t="shared" si="16"/>
        <v>5365232</v>
      </c>
      <c r="AN23" s="67">
        <f t="shared" si="16"/>
        <v>2789934</v>
      </c>
      <c r="AO23" s="68">
        <f t="shared" si="16"/>
        <v>16987201</v>
      </c>
      <c r="AP23" s="62" t="s">
        <v>12</v>
      </c>
      <c r="AQ23" s="64">
        <f t="shared" ref="AQ23:BP23" si="17">SUM(AQ8:AQ22)</f>
        <v>2069</v>
      </c>
      <c r="AR23" s="64">
        <f t="shared" si="17"/>
        <v>23013</v>
      </c>
      <c r="AS23" s="67">
        <f t="shared" si="17"/>
        <v>5</v>
      </c>
      <c r="AT23" s="68">
        <f t="shared" si="17"/>
        <v>29</v>
      </c>
      <c r="AU23" s="67">
        <f t="shared" si="17"/>
        <v>8</v>
      </c>
      <c r="AV23" s="68">
        <f t="shared" si="17"/>
        <v>47</v>
      </c>
      <c r="AW23" s="67">
        <f t="shared" si="17"/>
        <v>1</v>
      </c>
      <c r="AX23" s="68">
        <f t="shared" si="17"/>
        <v>4</v>
      </c>
      <c r="AY23" s="67">
        <f t="shared" si="17"/>
        <v>0</v>
      </c>
      <c r="AZ23" s="68">
        <f t="shared" si="17"/>
        <v>2</v>
      </c>
      <c r="BA23" s="67">
        <f t="shared" si="17"/>
        <v>2055</v>
      </c>
      <c r="BB23" s="68">
        <f t="shared" si="17"/>
        <v>22931</v>
      </c>
      <c r="BC23" s="64">
        <f t="shared" si="17"/>
        <v>35017</v>
      </c>
      <c r="BD23" s="64">
        <f t="shared" si="17"/>
        <v>259700</v>
      </c>
      <c r="BE23" s="67">
        <f t="shared" si="17"/>
        <v>1534</v>
      </c>
      <c r="BF23" s="68">
        <f t="shared" si="17"/>
        <v>9375</v>
      </c>
      <c r="BG23" s="67">
        <f t="shared" si="17"/>
        <v>109</v>
      </c>
      <c r="BH23" s="68">
        <f t="shared" si="17"/>
        <v>578</v>
      </c>
      <c r="BI23" s="67">
        <f t="shared" si="17"/>
        <v>28209</v>
      </c>
      <c r="BJ23" s="68">
        <f t="shared" si="17"/>
        <v>221801</v>
      </c>
      <c r="BK23" s="67">
        <f t="shared" si="17"/>
        <v>4886</v>
      </c>
      <c r="BL23" s="68">
        <f t="shared" si="17"/>
        <v>27262</v>
      </c>
      <c r="BM23" s="67">
        <f t="shared" si="17"/>
        <v>279</v>
      </c>
      <c r="BN23" s="68">
        <f t="shared" si="17"/>
        <v>684</v>
      </c>
      <c r="BO23" s="69">
        <f t="shared" si="17"/>
        <v>37704</v>
      </c>
      <c r="BP23" s="70">
        <f t="shared" si="17"/>
        <v>314</v>
      </c>
      <c r="BQ23" s="23">
        <f>BP23+'20.04'!BP23</f>
        <v>340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BR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71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9</v>
      </c>
      <c r="D9" s="31">
        <f t="shared" si="0"/>
        <v>39</v>
      </c>
      <c r="E9" s="32">
        <v>452</v>
      </c>
      <c r="F9" s="22">
        <v>8</v>
      </c>
      <c r="G9" s="23">
        <f>F9+'06.05'!G9</f>
        <v>24</v>
      </c>
      <c r="H9" s="33">
        <v>12</v>
      </c>
      <c r="I9" s="34">
        <v>1</v>
      </c>
      <c r="J9" s="23">
        <f>I9+'06.05'!J9</f>
        <v>7</v>
      </c>
      <c r="K9" s="33">
        <v>2</v>
      </c>
      <c r="L9" s="22">
        <v>0</v>
      </c>
      <c r="M9" s="23">
        <f>L9+'06.05'!M9</f>
        <v>0</v>
      </c>
      <c r="N9" s="33">
        <v>735</v>
      </c>
      <c r="O9" s="22">
        <v>0</v>
      </c>
      <c r="P9" s="23">
        <f>O9+'06.05'!P9</f>
        <v>0</v>
      </c>
      <c r="Q9" s="33">
        <v>502</v>
      </c>
      <c r="R9" s="22">
        <v>0</v>
      </c>
      <c r="S9" s="23">
        <f>R9+'06.05'!S9</f>
        <v>0</v>
      </c>
      <c r="T9" s="33">
        <v>197</v>
      </c>
      <c r="U9" s="22">
        <v>0</v>
      </c>
      <c r="V9" s="23">
        <f>U9+'06.05'!V9</f>
        <v>0</v>
      </c>
      <c r="W9" s="33">
        <v>47</v>
      </c>
      <c r="X9" s="22">
        <v>0</v>
      </c>
      <c r="Y9" s="23">
        <f>X9+'06.05'!Y9</f>
        <v>8</v>
      </c>
      <c r="Z9" s="33">
        <v>34</v>
      </c>
      <c r="AA9" s="22">
        <v>0</v>
      </c>
      <c r="AB9" s="23">
        <f>AA9+'06.05'!AB9</f>
        <v>0</v>
      </c>
      <c r="AC9" s="33">
        <v>1860</v>
      </c>
      <c r="AD9" s="22">
        <v>0</v>
      </c>
      <c r="AE9" s="23">
        <f>AD9+'06.05'!AE9</f>
        <v>0</v>
      </c>
      <c r="AF9" s="19">
        <f t="shared" si="1"/>
        <v>10750</v>
      </c>
      <c r="AG9" s="20">
        <f t="shared" si="1"/>
        <v>60375</v>
      </c>
      <c r="AH9" s="24">
        <v>180</v>
      </c>
      <c r="AI9" s="23">
        <f>AH9+'06.05'!AI9</f>
        <v>805</v>
      </c>
      <c r="AJ9" s="24">
        <v>1120</v>
      </c>
      <c r="AK9" s="23">
        <f>AJ9+'06.05'!AK9</f>
        <v>5420</v>
      </c>
      <c r="AL9" s="22">
        <v>1500</v>
      </c>
      <c r="AM9" s="23">
        <f>AL9+'06.05'!AM9</f>
        <v>6860</v>
      </c>
      <c r="AN9" s="22">
        <v>7950</v>
      </c>
      <c r="AO9" s="23">
        <f>AN9+'06.05'!AO9</f>
        <v>47290</v>
      </c>
      <c r="AP9" s="28" t="s">
        <v>43</v>
      </c>
      <c r="AQ9" s="19">
        <f t="shared" si="3"/>
        <v>1</v>
      </c>
      <c r="AR9" s="20">
        <f t="shared" si="3"/>
        <v>1107</v>
      </c>
      <c r="AS9" s="34">
        <v>1</v>
      </c>
      <c r="AT9" s="23">
        <f>AS9+'06.05'!AT9</f>
        <v>2</v>
      </c>
      <c r="AU9" s="34">
        <v>0</v>
      </c>
      <c r="AV9" s="23">
        <f>AU9+'06.05'!AV9</f>
        <v>2</v>
      </c>
      <c r="AW9" s="34">
        <v>0</v>
      </c>
      <c r="AX9" s="23">
        <f>AW9+'06.05'!AX9</f>
        <v>1</v>
      </c>
      <c r="AY9" s="34">
        <v>0</v>
      </c>
      <c r="AZ9" s="23">
        <f>AY9+'06.05'!AZ9</f>
        <v>0</v>
      </c>
      <c r="BA9" s="34">
        <v>0</v>
      </c>
      <c r="BB9" s="23">
        <f>BA9+'06.05'!BB9</f>
        <v>1102</v>
      </c>
      <c r="BC9" s="19">
        <f t="shared" si="5"/>
        <v>906</v>
      </c>
      <c r="BD9" s="20">
        <f t="shared" si="5"/>
        <v>2314</v>
      </c>
      <c r="BE9" s="22">
        <v>5</v>
      </c>
      <c r="BF9" s="23">
        <f>BE9+'06.05'!BF9</f>
        <v>12</v>
      </c>
      <c r="BG9" s="34">
        <v>0</v>
      </c>
      <c r="BH9" s="23">
        <f>BG9+'06.05'!BH9</f>
        <v>0</v>
      </c>
      <c r="BI9" s="22">
        <v>900</v>
      </c>
      <c r="BJ9" s="23">
        <f>BI9+'06.05'!BJ9</f>
        <v>2290</v>
      </c>
      <c r="BK9" s="22">
        <v>0</v>
      </c>
      <c r="BL9" s="23">
        <f>BK9+'06.05'!BL9</f>
        <v>0</v>
      </c>
      <c r="BM9" s="22">
        <v>1</v>
      </c>
      <c r="BN9" s="23">
        <f>BM9+'06.05'!BN9</f>
        <v>12</v>
      </c>
      <c r="BO9" s="36">
        <v>14</v>
      </c>
      <c r="BP9" s="37">
        <v>0</v>
      </c>
      <c r="BQ9" s="23">
        <f>BP9+'06.05'!BQ9</f>
        <v>2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115</v>
      </c>
      <c r="D10" s="31">
        <f t="shared" si="0"/>
        <v>755</v>
      </c>
      <c r="E10" s="32">
        <v>585</v>
      </c>
      <c r="F10" s="22">
        <v>15</v>
      </c>
      <c r="G10" s="23">
        <f>F10+'06.05'!G10</f>
        <v>99</v>
      </c>
      <c r="H10" s="33">
        <v>93</v>
      </c>
      <c r="I10" s="34">
        <v>5</v>
      </c>
      <c r="J10" s="23">
        <f>I10+'06.05'!J10</f>
        <v>15</v>
      </c>
      <c r="K10" s="33">
        <v>34</v>
      </c>
      <c r="L10" s="22">
        <v>3</v>
      </c>
      <c r="M10" s="23">
        <f>L10+'06.05'!M10</f>
        <v>6</v>
      </c>
      <c r="N10" s="33">
        <v>352</v>
      </c>
      <c r="O10" s="22">
        <v>8</v>
      </c>
      <c r="P10" s="23">
        <f>O10+'06.05'!P10</f>
        <v>59</v>
      </c>
      <c r="Q10" s="33">
        <v>549</v>
      </c>
      <c r="R10" s="22">
        <v>13</v>
      </c>
      <c r="S10" s="23">
        <f>R10+'06.05'!S10</f>
        <v>43</v>
      </c>
      <c r="T10" s="33">
        <v>198</v>
      </c>
      <c r="U10" s="22">
        <v>2</v>
      </c>
      <c r="V10" s="23">
        <f>U10+'06.05'!V10</f>
        <v>25</v>
      </c>
      <c r="W10" s="38">
        <v>55</v>
      </c>
      <c r="X10" s="22">
        <v>0</v>
      </c>
      <c r="Y10" s="23">
        <f>X10+'06.05'!Y10</f>
        <v>22</v>
      </c>
      <c r="Z10" s="38">
        <v>71</v>
      </c>
      <c r="AA10" s="22">
        <v>6</v>
      </c>
      <c r="AB10" s="23">
        <f>AA10+'06.05'!AB10</f>
        <v>26</v>
      </c>
      <c r="AC10" s="38">
        <v>1690</v>
      </c>
      <c r="AD10" s="22">
        <v>63</v>
      </c>
      <c r="AE10" s="23">
        <f>AD10+'06.05'!AE10</f>
        <v>460</v>
      </c>
      <c r="AF10" s="19">
        <f t="shared" si="1"/>
        <v>105118</v>
      </c>
      <c r="AG10" s="20">
        <f t="shared" si="1"/>
        <v>771201</v>
      </c>
      <c r="AH10" s="24">
        <v>1843</v>
      </c>
      <c r="AI10" s="23">
        <f>AH10+'06.05'!AI10</f>
        <v>8015</v>
      </c>
      <c r="AJ10" s="24">
        <v>5920</v>
      </c>
      <c r="AK10" s="23">
        <f>AJ10+'06.05'!AK10</f>
        <v>35695</v>
      </c>
      <c r="AL10" s="22">
        <v>12978</v>
      </c>
      <c r="AM10" s="23">
        <f>AL10+'06.05'!AM10</f>
        <v>92890</v>
      </c>
      <c r="AN10" s="22">
        <v>84377</v>
      </c>
      <c r="AO10" s="23">
        <f>AN10+'06.05'!AO10</f>
        <v>634601</v>
      </c>
      <c r="AP10" s="28" t="s">
        <v>44</v>
      </c>
      <c r="AQ10" s="19">
        <f t="shared" si="3"/>
        <v>8</v>
      </c>
      <c r="AR10" s="20">
        <f t="shared" si="3"/>
        <v>35</v>
      </c>
      <c r="AS10" s="34">
        <v>0</v>
      </c>
      <c r="AT10" s="23">
        <f>AS10+'06.05'!AT10</f>
        <v>2</v>
      </c>
      <c r="AU10" s="34">
        <v>0</v>
      </c>
      <c r="AV10" s="23">
        <f>AU10+'06.05'!AV10</f>
        <v>1</v>
      </c>
      <c r="AW10" s="34">
        <v>0</v>
      </c>
      <c r="AX10" s="23">
        <f>AW10+'06.05'!AX10</f>
        <v>0</v>
      </c>
      <c r="AY10" s="34">
        <v>0</v>
      </c>
      <c r="AZ10" s="23">
        <f>AY10+'06.05'!AZ10</f>
        <v>0</v>
      </c>
      <c r="BA10" s="34">
        <v>8</v>
      </c>
      <c r="BB10" s="23">
        <f>BA10+'06.05'!BB10</f>
        <v>32</v>
      </c>
      <c r="BC10" s="19">
        <f t="shared" si="5"/>
        <v>4870</v>
      </c>
      <c r="BD10" s="20">
        <f t="shared" si="5"/>
        <v>29810</v>
      </c>
      <c r="BE10" s="22">
        <v>554</v>
      </c>
      <c r="BF10" s="23">
        <f>BE10+'06.05'!BF10</f>
        <v>3967</v>
      </c>
      <c r="BG10" s="34">
        <v>3</v>
      </c>
      <c r="BH10" s="23">
        <f>BG10+'06.05'!BH10</f>
        <v>4</v>
      </c>
      <c r="BI10" s="22">
        <v>2799</v>
      </c>
      <c r="BJ10" s="23">
        <f>BI10+'06.05'!BJ10</f>
        <v>17628</v>
      </c>
      <c r="BK10" s="22">
        <v>1514</v>
      </c>
      <c r="BL10" s="23">
        <f>BK10+'06.05'!BL10</f>
        <v>8211</v>
      </c>
      <c r="BM10" s="22">
        <v>0</v>
      </c>
      <c r="BN10" s="23">
        <f>BM10+'06.05'!BN10</f>
        <v>0</v>
      </c>
      <c r="BO10" s="36">
        <v>32</v>
      </c>
      <c r="BP10" s="37">
        <v>3</v>
      </c>
      <c r="BQ10" s="23">
        <f>BP10+'06.05'!BQ10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268</v>
      </c>
      <c r="E11" s="32">
        <v>883</v>
      </c>
      <c r="F11" s="22">
        <v>17</v>
      </c>
      <c r="G11" s="23">
        <f>F11+'06.05'!G11</f>
        <v>139</v>
      </c>
      <c r="H11" s="33">
        <v>16</v>
      </c>
      <c r="I11" s="34">
        <v>0</v>
      </c>
      <c r="J11" s="23">
        <f>I11+'06.05'!J11</f>
        <v>0</v>
      </c>
      <c r="K11" s="33">
        <v>3</v>
      </c>
      <c r="L11" s="22">
        <v>0</v>
      </c>
      <c r="M11" s="23">
        <f>L11+'06.05'!M11</f>
        <v>0</v>
      </c>
      <c r="N11" s="33">
        <v>875</v>
      </c>
      <c r="O11" s="22">
        <v>0</v>
      </c>
      <c r="P11" s="23">
        <f>O11+'06.05'!P11</f>
        <v>0</v>
      </c>
      <c r="Q11" s="33">
        <v>2424</v>
      </c>
      <c r="R11" s="22">
        <v>0</v>
      </c>
      <c r="S11" s="23">
        <f>R11+'06.05'!S11</f>
        <v>0</v>
      </c>
      <c r="T11" s="33">
        <v>69</v>
      </c>
      <c r="U11" s="22">
        <v>0</v>
      </c>
      <c r="V11" s="23">
        <f>U11+'06.05'!V11</f>
        <v>0</v>
      </c>
      <c r="W11" s="38">
        <v>133</v>
      </c>
      <c r="X11" s="22">
        <v>14</v>
      </c>
      <c r="Y11" s="23">
        <f>X11+'06.05'!Y11</f>
        <v>122</v>
      </c>
      <c r="Z11" s="38">
        <v>1116</v>
      </c>
      <c r="AA11" s="22">
        <v>0</v>
      </c>
      <c r="AB11" s="23">
        <f>AA11+'06.05'!AB11</f>
        <v>0</v>
      </c>
      <c r="AC11" s="38">
        <v>9862</v>
      </c>
      <c r="AD11" s="22">
        <v>1</v>
      </c>
      <c r="AE11" s="23">
        <f>AD11+'06.05'!AE11</f>
        <v>7</v>
      </c>
      <c r="AF11" s="19">
        <f t="shared" si="1"/>
        <v>16600</v>
      </c>
      <c r="AG11" s="20">
        <f t="shared" si="1"/>
        <v>172000</v>
      </c>
      <c r="AH11" s="24">
        <v>2300</v>
      </c>
      <c r="AI11" s="23">
        <f>AH11+'06.05'!AI11</f>
        <v>17900</v>
      </c>
      <c r="AJ11" s="24">
        <v>2800</v>
      </c>
      <c r="AK11" s="23">
        <f>AJ11+'06.05'!AK11</f>
        <v>20800</v>
      </c>
      <c r="AL11" s="22">
        <v>3200</v>
      </c>
      <c r="AM11" s="23">
        <f>AL11+'06.05'!AM11</f>
        <v>48900</v>
      </c>
      <c r="AN11" s="22">
        <v>8300</v>
      </c>
      <c r="AO11" s="23">
        <f>AN11+'06.05'!AO11</f>
        <v>84400</v>
      </c>
      <c r="AP11" s="28" t="s">
        <v>45</v>
      </c>
      <c r="AQ11" s="19">
        <f t="shared" si="3"/>
        <v>2</v>
      </c>
      <c r="AR11" s="20">
        <f t="shared" si="3"/>
        <v>18</v>
      </c>
      <c r="AS11" s="34">
        <v>0</v>
      </c>
      <c r="AT11" s="23">
        <f>AS11+'06.05'!AT11</f>
        <v>0</v>
      </c>
      <c r="AU11" s="34">
        <v>0</v>
      </c>
      <c r="AV11" s="23">
        <f>AU11+'06.05'!AV11</f>
        <v>0</v>
      </c>
      <c r="AW11" s="34">
        <v>0</v>
      </c>
      <c r="AX11" s="23">
        <f>AW11+'06.05'!AX11</f>
        <v>0</v>
      </c>
      <c r="AY11" s="34">
        <v>0</v>
      </c>
      <c r="AZ11" s="23">
        <f>AY11+'06.05'!AZ11</f>
        <v>0</v>
      </c>
      <c r="BA11" s="34">
        <v>2</v>
      </c>
      <c r="BB11" s="23">
        <f>BA11+'06.05'!BB11</f>
        <v>18</v>
      </c>
      <c r="BC11" s="19">
        <f t="shared" si="5"/>
        <v>543</v>
      </c>
      <c r="BD11" s="20">
        <f t="shared" si="5"/>
        <v>5811</v>
      </c>
      <c r="BE11" s="22">
        <v>1</v>
      </c>
      <c r="BF11" s="23">
        <f>BE11+'06.05'!BF11</f>
        <v>9</v>
      </c>
      <c r="BG11" s="34">
        <v>2</v>
      </c>
      <c r="BH11" s="23">
        <f>BG11+'06.05'!BH11</f>
        <v>18</v>
      </c>
      <c r="BI11" s="22">
        <v>520</v>
      </c>
      <c r="BJ11" s="23">
        <f>BI11+'06.05'!BJ11</f>
        <v>5640</v>
      </c>
      <c r="BK11" s="22">
        <v>17</v>
      </c>
      <c r="BL11" s="23">
        <f>BK11+'06.05'!BL11</f>
        <v>139</v>
      </c>
      <c r="BM11" s="22">
        <v>3</v>
      </c>
      <c r="BN11" s="23">
        <f>BM11+'06.05'!BN11</f>
        <v>5</v>
      </c>
      <c r="BO11" s="36">
        <v>11506</v>
      </c>
      <c r="BP11" s="37">
        <v>3</v>
      </c>
      <c r="BQ11" s="23">
        <f>BP11+'06.05'!BQ11</f>
        <v>17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170</v>
      </c>
      <c r="D12" s="31">
        <f t="shared" si="0"/>
        <v>1486</v>
      </c>
      <c r="E12" s="32">
        <v>909</v>
      </c>
      <c r="F12" s="22">
        <v>21</v>
      </c>
      <c r="G12" s="23">
        <f>F12+'06.05'!G12</f>
        <v>365</v>
      </c>
      <c r="H12" s="33">
        <v>80</v>
      </c>
      <c r="I12" s="34">
        <v>0</v>
      </c>
      <c r="J12" s="23">
        <f>I12+'06.05'!J12</f>
        <v>11</v>
      </c>
      <c r="K12" s="33">
        <v>5</v>
      </c>
      <c r="L12" s="22">
        <v>0</v>
      </c>
      <c r="M12" s="23">
        <f>L12+'06.05'!M12</f>
        <v>0</v>
      </c>
      <c r="N12" s="33">
        <v>820</v>
      </c>
      <c r="O12" s="22">
        <v>0</v>
      </c>
      <c r="P12" s="23">
        <f>O12+'06.05'!P12</f>
        <v>58</v>
      </c>
      <c r="Q12" s="33">
        <v>549</v>
      </c>
      <c r="R12" s="22">
        <v>0</v>
      </c>
      <c r="S12" s="23">
        <f>R12+'06.05'!S12</f>
        <v>0</v>
      </c>
      <c r="T12" s="33">
        <v>992</v>
      </c>
      <c r="U12" s="22">
        <v>0</v>
      </c>
      <c r="V12" s="23">
        <f>U12+'06.05'!V12</f>
        <v>0</v>
      </c>
      <c r="W12" s="33">
        <v>38</v>
      </c>
      <c r="X12" s="22">
        <v>119</v>
      </c>
      <c r="Y12" s="23">
        <f>X12+'06.05'!Y12</f>
        <v>793</v>
      </c>
      <c r="Z12" s="33">
        <v>68</v>
      </c>
      <c r="AA12" s="22">
        <v>0</v>
      </c>
      <c r="AB12" s="23">
        <f>AA12+'06.05'!AB12</f>
        <v>0</v>
      </c>
      <c r="AC12" s="33">
        <v>26703</v>
      </c>
      <c r="AD12" s="22">
        <v>30</v>
      </c>
      <c r="AE12" s="23">
        <f>AD12+'06.05'!AE12</f>
        <v>259</v>
      </c>
      <c r="AF12" s="19">
        <f t="shared" si="1"/>
        <v>7210</v>
      </c>
      <c r="AG12" s="20">
        <f t="shared" si="1"/>
        <v>45308</v>
      </c>
      <c r="AH12" s="24">
        <v>430</v>
      </c>
      <c r="AI12" s="23">
        <f>AH12+'06.05'!AI12</f>
        <v>4099</v>
      </c>
      <c r="AJ12" s="24">
        <v>1780</v>
      </c>
      <c r="AK12" s="23">
        <f>AJ12+'06.05'!AK12</f>
        <v>10709</v>
      </c>
      <c r="AL12" s="22">
        <v>2500</v>
      </c>
      <c r="AM12" s="23">
        <f>AL12+'06.05'!AM12</f>
        <v>15250</v>
      </c>
      <c r="AN12" s="22">
        <v>2500</v>
      </c>
      <c r="AO12" s="23">
        <f>AN12+'06.05'!AO12</f>
        <v>15250</v>
      </c>
      <c r="AP12" s="28" t="s">
        <v>46</v>
      </c>
      <c r="AQ12" s="19">
        <f t="shared" si="3"/>
        <v>57</v>
      </c>
      <c r="AR12" s="20">
        <f t="shared" si="3"/>
        <v>472</v>
      </c>
      <c r="AS12" s="34">
        <v>0</v>
      </c>
      <c r="AT12" s="23">
        <f>AS12+'06.05'!AT12</f>
        <v>0</v>
      </c>
      <c r="AU12" s="34">
        <v>0</v>
      </c>
      <c r="AV12" s="23">
        <f>AU12+'06.05'!AV12</f>
        <v>0</v>
      </c>
      <c r="AW12" s="34">
        <v>0</v>
      </c>
      <c r="AX12" s="23">
        <f>AW12+'06.05'!AX12</f>
        <v>0</v>
      </c>
      <c r="AY12" s="34">
        <v>0</v>
      </c>
      <c r="AZ12" s="23">
        <f>AY12+'06.05'!AZ12</f>
        <v>0</v>
      </c>
      <c r="BA12" s="34">
        <v>57</v>
      </c>
      <c r="BB12" s="23">
        <f>BA12+'06.05'!BB12</f>
        <v>472</v>
      </c>
      <c r="BC12" s="19">
        <f t="shared" si="5"/>
        <v>2404</v>
      </c>
      <c r="BD12" s="20">
        <f t="shared" si="5"/>
        <v>20392</v>
      </c>
      <c r="BE12" s="22">
        <v>177</v>
      </c>
      <c r="BF12" s="23">
        <f>BE12+'06.05'!BF12</f>
        <v>1678</v>
      </c>
      <c r="BG12" s="34">
        <v>6</v>
      </c>
      <c r="BH12" s="23">
        <f>BG12+'06.05'!BH12</f>
        <v>51</v>
      </c>
      <c r="BI12" s="22">
        <v>2000</v>
      </c>
      <c r="BJ12" s="23">
        <f>BI12+'06.05'!BJ12</f>
        <v>16900</v>
      </c>
      <c r="BK12" s="22">
        <v>150</v>
      </c>
      <c r="BL12" s="23">
        <f>BK12+'06.05'!BL12</f>
        <v>1550</v>
      </c>
      <c r="BM12" s="22">
        <v>71</v>
      </c>
      <c r="BN12" s="23">
        <f>BM12+'06.05'!BN12</f>
        <v>213</v>
      </c>
      <c r="BO12" s="36"/>
      <c r="BP12" s="37">
        <v>1</v>
      </c>
      <c r="BQ12" s="23">
        <f>BP12+'06.05'!BQ12</f>
        <v>9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130</v>
      </c>
      <c r="E13" s="32">
        <v>516</v>
      </c>
      <c r="F13" s="22">
        <v>1</v>
      </c>
      <c r="G13" s="23">
        <f>F13+'06.05'!G13</f>
        <v>8</v>
      </c>
      <c r="H13" s="33">
        <v>10</v>
      </c>
      <c r="I13" s="34">
        <v>1</v>
      </c>
      <c r="J13" s="23">
        <f>I13+'06.05'!J13</f>
        <v>5</v>
      </c>
      <c r="K13" s="33">
        <v>38</v>
      </c>
      <c r="L13" s="22">
        <v>0</v>
      </c>
      <c r="M13" s="23">
        <f>L13+'06.05'!M13</f>
        <v>0</v>
      </c>
      <c r="N13" s="33">
        <v>581</v>
      </c>
      <c r="O13" s="22">
        <v>0</v>
      </c>
      <c r="P13" s="23">
        <f>O13+'06.05'!P13</f>
        <v>2</v>
      </c>
      <c r="Q13" s="33">
        <v>525</v>
      </c>
      <c r="R13" s="22">
        <v>0</v>
      </c>
      <c r="S13" s="23">
        <f>R13+'06.05'!S13</f>
        <v>0</v>
      </c>
      <c r="T13" s="33">
        <v>263</v>
      </c>
      <c r="U13" s="22">
        <v>0</v>
      </c>
      <c r="V13" s="23">
        <f>U13+'06.05'!V13</f>
        <v>0</v>
      </c>
      <c r="W13" s="33">
        <v>43</v>
      </c>
      <c r="X13" s="22">
        <v>0</v>
      </c>
      <c r="Y13" s="23">
        <f>X13+'06.05'!Y13</f>
        <v>0</v>
      </c>
      <c r="Z13" s="33">
        <v>17</v>
      </c>
      <c r="AA13" s="22">
        <v>0</v>
      </c>
      <c r="AB13" s="23">
        <f>AA13+'06.05'!AB13</f>
        <v>0</v>
      </c>
      <c r="AC13" s="33">
        <v>51</v>
      </c>
      <c r="AD13" s="22">
        <v>2</v>
      </c>
      <c r="AE13" s="23">
        <f>AD13+'06.05'!AE13</f>
        <v>115</v>
      </c>
      <c r="AF13" s="19">
        <f t="shared" si="1"/>
        <v>204000</v>
      </c>
      <c r="AG13" s="20">
        <f t="shared" si="1"/>
        <v>1747300</v>
      </c>
      <c r="AH13" s="24">
        <v>2000</v>
      </c>
      <c r="AI13" s="23">
        <f>AH13+'06.05'!AI13</f>
        <v>14000</v>
      </c>
      <c r="AJ13" s="24">
        <v>12000</v>
      </c>
      <c r="AK13" s="23">
        <f>AJ13+'06.05'!AK13</f>
        <v>104300</v>
      </c>
      <c r="AL13" s="22">
        <v>20000</v>
      </c>
      <c r="AM13" s="23">
        <f>AL13+'06.05'!AM13</f>
        <v>170000</v>
      </c>
      <c r="AN13" s="22">
        <v>170000</v>
      </c>
      <c r="AO13" s="23">
        <f>AN13+'06.05'!AO13</f>
        <v>1459000</v>
      </c>
      <c r="AP13" s="28" t="s">
        <v>47</v>
      </c>
      <c r="AQ13" s="19">
        <f t="shared" si="3"/>
        <v>12</v>
      </c>
      <c r="AR13" s="20">
        <f t="shared" si="3"/>
        <v>136</v>
      </c>
      <c r="AS13" s="34">
        <v>1</v>
      </c>
      <c r="AT13" s="23">
        <f>AS13+'06.05'!AT13</f>
        <v>6</v>
      </c>
      <c r="AU13" s="34">
        <v>1</v>
      </c>
      <c r="AV13" s="23">
        <f>AU13+'06.05'!AV13</f>
        <v>6</v>
      </c>
      <c r="AW13" s="34">
        <v>0</v>
      </c>
      <c r="AX13" s="23">
        <f>AW13+'06.05'!AX13</f>
        <v>0</v>
      </c>
      <c r="AY13" s="34">
        <v>0</v>
      </c>
      <c r="AZ13" s="23">
        <f>AY13+'06.05'!AZ13</f>
        <v>0</v>
      </c>
      <c r="BA13" s="34">
        <v>10</v>
      </c>
      <c r="BB13" s="23">
        <f>BA13+'06.05'!BB13</f>
        <v>124</v>
      </c>
      <c r="BC13" s="19">
        <f t="shared" si="5"/>
        <v>5645</v>
      </c>
      <c r="BD13" s="20">
        <f t="shared" si="5"/>
        <v>63502</v>
      </c>
      <c r="BE13" s="22">
        <v>516</v>
      </c>
      <c r="BF13" s="23">
        <f>BE13+'06.05'!BF13</f>
        <v>3612</v>
      </c>
      <c r="BG13" s="34">
        <v>12</v>
      </c>
      <c r="BH13" s="23">
        <f>BG13+'06.05'!BH13</f>
        <v>89</v>
      </c>
      <c r="BI13" s="22">
        <v>5000</v>
      </c>
      <c r="BJ13" s="23">
        <f>BI13+'06.05'!BJ13</f>
        <v>59000</v>
      </c>
      <c r="BK13" s="22">
        <v>50</v>
      </c>
      <c r="BL13" s="23">
        <f>BK13+'06.05'!BL13</f>
        <v>600</v>
      </c>
      <c r="BM13" s="22">
        <v>67</v>
      </c>
      <c r="BN13" s="23">
        <f>BM13+'06.05'!BN13</f>
        <v>201</v>
      </c>
      <c r="BO13" s="36"/>
      <c r="BP13" s="37">
        <v>0</v>
      </c>
      <c r="BQ13" s="23">
        <f>BP13+'06.05'!BQ13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142</v>
      </c>
      <c r="D14" s="42">
        <f t="shared" si="0"/>
        <v>853</v>
      </c>
      <c r="E14" s="43">
        <v>304</v>
      </c>
      <c r="F14" s="22">
        <v>122</v>
      </c>
      <c r="G14" s="23">
        <f>F14+'06.05'!G14</f>
        <v>705</v>
      </c>
      <c r="H14" s="44">
        <v>5</v>
      </c>
      <c r="I14" s="45">
        <v>0</v>
      </c>
      <c r="J14" s="23">
        <f>I14+'06.05'!J14</f>
        <v>0</v>
      </c>
      <c r="K14" s="44">
        <v>34</v>
      </c>
      <c r="L14" s="22">
        <v>0</v>
      </c>
      <c r="M14" s="23">
        <f>L14+'06.05'!M14</f>
        <v>0</v>
      </c>
      <c r="N14" s="44">
        <v>583</v>
      </c>
      <c r="O14" s="22">
        <v>0</v>
      </c>
      <c r="P14" s="23">
        <f>O14+'06.05'!P14</f>
        <v>0</v>
      </c>
      <c r="Q14" s="44">
        <v>254</v>
      </c>
      <c r="R14" s="22">
        <v>0</v>
      </c>
      <c r="S14" s="23">
        <f>R14+'06.05'!S14</f>
        <v>0</v>
      </c>
      <c r="T14" s="44">
        <v>196</v>
      </c>
      <c r="U14" s="22">
        <v>0</v>
      </c>
      <c r="V14" s="23">
        <f>U14+'06.05'!V14</f>
        <v>0</v>
      </c>
      <c r="W14" s="44">
        <v>30</v>
      </c>
      <c r="X14" s="22">
        <v>14</v>
      </c>
      <c r="Y14" s="23">
        <f>X14+'06.05'!Y14</f>
        <v>116</v>
      </c>
      <c r="Z14" s="44">
        <v>10</v>
      </c>
      <c r="AA14" s="22">
        <v>0</v>
      </c>
      <c r="AB14" s="23">
        <f>AA14+'06.05'!AB14</f>
        <v>0</v>
      </c>
      <c r="AC14" s="44">
        <v>2500</v>
      </c>
      <c r="AD14" s="22">
        <v>6</v>
      </c>
      <c r="AE14" s="23">
        <f>AD14+'06.05'!AE14</f>
        <v>32</v>
      </c>
      <c r="AF14" s="19">
        <f t="shared" si="1"/>
        <v>126150</v>
      </c>
      <c r="AG14" s="20">
        <f t="shared" si="1"/>
        <v>758220</v>
      </c>
      <c r="AH14" s="24">
        <v>5400</v>
      </c>
      <c r="AI14" s="23">
        <f>AH14+'06.05'!AI14</f>
        <v>23640</v>
      </c>
      <c r="AJ14" s="24">
        <v>7500</v>
      </c>
      <c r="AK14" s="23">
        <f>AJ14+'06.05'!AK14</f>
        <v>40450</v>
      </c>
      <c r="AL14" s="22">
        <v>6500</v>
      </c>
      <c r="AM14" s="23">
        <f>AL14+'06.05'!AM14</f>
        <v>41950</v>
      </c>
      <c r="AN14" s="22">
        <v>106750</v>
      </c>
      <c r="AO14" s="23">
        <f>AN14+'06.05'!AO14</f>
        <v>652180</v>
      </c>
      <c r="AP14" s="39" t="s">
        <v>48</v>
      </c>
      <c r="AQ14" s="19">
        <f t="shared" si="3"/>
        <v>6</v>
      </c>
      <c r="AR14" s="20">
        <f t="shared" si="3"/>
        <v>32</v>
      </c>
      <c r="AS14" s="45">
        <v>0</v>
      </c>
      <c r="AT14" s="23">
        <f>AS14+'06.05'!AT14</f>
        <v>0</v>
      </c>
      <c r="AU14" s="45">
        <v>1</v>
      </c>
      <c r="AV14" s="23">
        <f>AU14+'06.05'!AV14</f>
        <v>2</v>
      </c>
      <c r="AW14" s="45">
        <v>1</v>
      </c>
      <c r="AX14" s="23">
        <f>AW14+'06.05'!AX14</f>
        <v>1</v>
      </c>
      <c r="AY14" s="45">
        <v>0</v>
      </c>
      <c r="AZ14" s="23">
        <f>AY14+'06.05'!AZ14</f>
        <v>1</v>
      </c>
      <c r="BA14" s="45">
        <v>4</v>
      </c>
      <c r="BB14" s="23">
        <f>BA14+'06.05'!BB14</f>
        <v>28</v>
      </c>
      <c r="BC14" s="19">
        <f t="shared" si="5"/>
        <v>3012</v>
      </c>
      <c r="BD14" s="20">
        <f t="shared" si="5"/>
        <v>24600</v>
      </c>
      <c r="BE14" s="22">
        <v>4</v>
      </c>
      <c r="BF14" s="23">
        <f>BE14+'06.05'!BF14</f>
        <v>29</v>
      </c>
      <c r="BG14" s="45">
        <v>2</v>
      </c>
      <c r="BH14" s="23">
        <f>BG14+'06.05'!BH14</f>
        <v>16</v>
      </c>
      <c r="BI14" s="22">
        <v>3000</v>
      </c>
      <c r="BJ14" s="23">
        <f>BI14+'06.05'!BJ14</f>
        <v>24500</v>
      </c>
      <c r="BK14" s="22">
        <v>4</v>
      </c>
      <c r="BL14" s="23">
        <f>BK14+'06.05'!BL14</f>
        <v>35</v>
      </c>
      <c r="BM14" s="22">
        <v>2</v>
      </c>
      <c r="BN14" s="23">
        <f>BM14+'06.05'!BN14</f>
        <v>20</v>
      </c>
      <c r="BO14" s="48">
        <v>22</v>
      </c>
      <c r="BP14" s="49">
        <v>0</v>
      </c>
      <c r="BQ14" s="23">
        <f>BP14+'06.05'!BQ14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422</v>
      </c>
      <c r="D15" s="53">
        <f t="shared" si="0"/>
        <v>3180</v>
      </c>
      <c r="E15" s="54">
        <v>776</v>
      </c>
      <c r="F15" s="55">
        <v>327</v>
      </c>
      <c r="G15" s="23">
        <f>F15+'06.05'!G15</f>
        <v>2311</v>
      </c>
      <c r="H15" s="56">
        <v>9</v>
      </c>
      <c r="I15" s="57">
        <v>0</v>
      </c>
      <c r="J15" s="23">
        <f>I15+'06.05'!J15</f>
        <v>0</v>
      </c>
      <c r="K15" s="56">
        <v>6</v>
      </c>
      <c r="L15" s="55">
        <v>0</v>
      </c>
      <c r="M15" s="23">
        <f>L15+'06.05'!M15</f>
        <v>0</v>
      </c>
      <c r="N15" s="56">
        <v>1305</v>
      </c>
      <c r="O15" s="55">
        <v>0</v>
      </c>
      <c r="P15" s="23">
        <f>O15+'06.05'!P15</f>
        <v>0</v>
      </c>
      <c r="Q15" s="56">
        <v>447</v>
      </c>
      <c r="R15" s="55">
        <v>0</v>
      </c>
      <c r="S15" s="23">
        <f>R15+'06.05'!S15</f>
        <v>0</v>
      </c>
      <c r="T15" s="56">
        <v>337</v>
      </c>
      <c r="U15" s="55">
        <v>0</v>
      </c>
      <c r="V15" s="23">
        <f>U15+'06.05'!V15</f>
        <v>0</v>
      </c>
      <c r="W15" s="56">
        <v>78</v>
      </c>
      <c r="X15" s="55">
        <v>0</v>
      </c>
      <c r="Y15" s="23">
        <f>X15+'06.05'!Y15</f>
        <v>0</v>
      </c>
      <c r="Z15" s="56">
        <v>141</v>
      </c>
      <c r="AA15" s="55">
        <v>0</v>
      </c>
      <c r="AB15" s="23">
        <f>AA15+'06.05'!AB15</f>
        <v>0</v>
      </c>
      <c r="AC15" s="56">
        <v>798</v>
      </c>
      <c r="AD15" s="55">
        <v>95</v>
      </c>
      <c r="AE15" s="23">
        <f>AD15+'06.05'!AE15</f>
        <v>869</v>
      </c>
      <c r="AF15" s="58">
        <f t="shared" si="1"/>
        <v>1689004</v>
      </c>
      <c r="AG15" s="59">
        <f t="shared" si="1"/>
        <v>11344805</v>
      </c>
      <c r="AH15" s="60">
        <v>689</v>
      </c>
      <c r="AI15" s="23">
        <f>AH15+'06.05'!AI15</f>
        <v>6155</v>
      </c>
      <c r="AJ15" s="60">
        <v>2985</v>
      </c>
      <c r="AK15" s="23">
        <f>AJ15+'06.05'!AK15</f>
        <v>22529</v>
      </c>
      <c r="AL15" s="55">
        <v>842665</v>
      </c>
      <c r="AM15" s="23">
        <f>AL15+'06.05'!AM15</f>
        <v>5658061</v>
      </c>
      <c r="AN15" s="55">
        <v>842665</v>
      </c>
      <c r="AO15" s="23">
        <f>AN15+'06.05'!AO15</f>
        <v>5658060</v>
      </c>
      <c r="AP15" s="50" t="s">
        <v>49</v>
      </c>
      <c r="AQ15" s="58">
        <f t="shared" si="3"/>
        <v>3</v>
      </c>
      <c r="AR15" s="59">
        <f t="shared" si="3"/>
        <v>18</v>
      </c>
      <c r="AS15" s="57">
        <v>0</v>
      </c>
      <c r="AT15" s="23">
        <f>AS15+'06.05'!AT15</f>
        <v>1</v>
      </c>
      <c r="AU15" s="57">
        <v>0</v>
      </c>
      <c r="AV15" s="23">
        <f>AU15+'06.05'!AV15</f>
        <v>1</v>
      </c>
      <c r="AW15" s="57">
        <v>0</v>
      </c>
      <c r="AX15" s="23">
        <f>AW15+'06.05'!AX15</f>
        <v>1</v>
      </c>
      <c r="AY15" s="57">
        <v>0</v>
      </c>
      <c r="AZ15" s="23">
        <f>AY15+'06.05'!AZ15</f>
        <v>0</v>
      </c>
      <c r="BA15" s="57">
        <v>3</v>
      </c>
      <c r="BB15" s="23">
        <f>BA15+'06.05'!BB15</f>
        <v>15</v>
      </c>
      <c r="BC15" s="58">
        <f t="shared" si="5"/>
        <v>1302</v>
      </c>
      <c r="BD15" s="59">
        <f t="shared" si="5"/>
        <v>10541</v>
      </c>
      <c r="BE15" s="55">
        <v>59</v>
      </c>
      <c r="BF15" s="23">
        <f>BE15+'06.05'!BF15</f>
        <v>485</v>
      </c>
      <c r="BG15" s="57">
        <v>2</v>
      </c>
      <c r="BH15" s="23">
        <f>BG15+'06.05'!BH15</f>
        <v>12</v>
      </c>
      <c r="BI15" s="55">
        <v>637</v>
      </c>
      <c r="BJ15" s="23">
        <f>BI15+'06.05'!BJ15</f>
        <v>4958</v>
      </c>
      <c r="BK15" s="55">
        <v>590</v>
      </c>
      <c r="BL15" s="23">
        <f>BK15+'06.05'!BL15</f>
        <v>4963</v>
      </c>
      <c r="BM15" s="55">
        <v>14</v>
      </c>
      <c r="BN15" s="23">
        <f>BM15+'06.05'!BN15</f>
        <v>123</v>
      </c>
      <c r="BO15" s="36">
        <v>6274</v>
      </c>
      <c r="BP15" s="37">
        <v>0</v>
      </c>
      <c r="BQ15" s="23">
        <f>BP15+'06.05'!BQ15</f>
        <v>8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141</v>
      </c>
      <c r="D16" s="31">
        <f t="shared" si="0"/>
        <v>948</v>
      </c>
      <c r="E16" s="32">
        <v>310</v>
      </c>
      <c r="F16" s="22">
        <v>46</v>
      </c>
      <c r="G16" s="23">
        <f>F16+'06.05'!G16</f>
        <v>308</v>
      </c>
      <c r="H16" s="33">
        <v>5</v>
      </c>
      <c r="I16" s="34">
        <v>0</v>
      </c>
      <c r="J16" s="23">
        <f>I16+'06.05'!J16</f>
        <v>0</v>
      </c>
      <c r="K16" s="33">
        <v>3</v>
      </c>
      <c r="L16" s="22">
        <v>0</v>
      </c>
      <c r="M16" s="23">
        <f>L16+'06.05'!M16</f>
        <v>0</v>
      </c>
      <c r="N16" s="33">
        <v>384</v>
      </c>
      <c r="O16" s="22">
        <v>0</v>
      </c>
      <c r="P16" s="23">
        <f>O16+'06.05'!P16</f>
        <v>0</v>
      </c>
      <c r="Q16" s="33">
        <v>245</v>
      </c>
      <c r="R16" s="22">
        <v>0</v>
      </c>
      <c r="S16" s="23">
        <f>R16+'06.05'!S16</f>
        <v>0</v>
      </c>
      <c r="T16" s="33">
        <v>397</v>
      </c>
      <c r="U16" s="22">
        <v>0</v>
      </c>
      <c r="V16" s="23">
        <f>U16+'06.05'!V16</f>
        <v>0</v>
      </c>
      <c r="W16" s="33">
        <v>24</v>
      </c>
      <c r="X16" s="22">
        <v>54</v>
      </c>
      <c r="Y16" s="23">
        <f>X16+'06.05'!Y16</f>
        <v>347</v>
      </c>
      <c r="Z16" s="33">
        <v>18</v>
      </c>
      <c r="AA16" s="22">
        <v>0</v>
      </c>
      <c r="AB16" s="23">
        <f>AA16+'06.05'!AB16</f>
        <v>0</v>
      </c>
      <c r="AC16" s="33">
        <v>18515</v>
      </c>
      <c r="AD16" s="22">
        <v>41</v>
      </c>
      <c r="AE16" s="23">
        <f>AD16+'06.05'!AE16</f>
        <v>293</v>
      </c>
      <c r="AF16" s="19">
        <f t="shared" si="1"/>
        <v>67599</v>
      </c>
      <c r="AG16" s="20">
        <f t="shared" si="1"/>
        <v>417797</v>
      </c>
      <c r="AH16" s="24">
        <v>157</v>
      </c>
      <c r="AI16" s="23">
        <f>AH16+'06.05'!AI16</f>
        <v>1204</v>
      </c>
      <c r="AJ16" s="24">
        <v>1367</v>
      </c>
      <c r="AK16" s="23">
        <f>AJ16+'06.05'!AK16</f>
        <v>8480</v>
      </c>
      <c r="AL16" s="22">
        <v>1451</v>
      </c>
      <c r="AM16" s="23">
        <f>AL16+'06.05'!AM16</f>
        <v>11245</v>
      </c>
      <c r="AN16" s="22">
        <v>64624</v>
      </c>
      <c r="AO16" s="23">
        <f>AN16+'06.05'!AO16</f>
        <v>396868</v>
      </c>
      <c r="AP16" s="28" t="s">
        <v>51</v>
      </c>
      <c r="AQ16" s="19">
        <f t="shared" si="3"/>
        <v>79</v>
      </c>
      <c r="AR16" s="20">
        <f t="shared" si="3"/>
        <v>475</v>
      </c>
      <c r="AS16" s="34">
        <v>0</v>
      </c>
      <c r="AT16" s="23">
        <f>AS16+'06.05'!AT16</f>
        <v>1</v>
      </c>
      <c r="AU16" s="34">
        <v>0</v>
      </c>
      <c r="AV16" s="23">
        <f>AU16+'06.05'!AV16</f>
        <v>0</v>
      </c>
      <c r="AW16" s="34">
        <v>0</v>
      </c>
      <c r="AX16" s="23">
        <f>AW16+'06.05'!AX16</f>
        <v>0</v>
      </c>
      <c r="AY16" s="34">
        <v>0</v>
      </c>
      <c r="AZ16" s="23">
        <f>AY16+'06.05'!AZ16</f>
        <v>0</v>
      </c>
      <c r="BA16" s="34">
        <v>79</v>
      </c>
      <c r="BB16" s="23">
        <f>BA16+'06.05'!BB16</f>
        <v>474</v>
      </c>
      <c r="BC16" s="19">
        <f t="shared" si="5"/>
        <v>1421</v>
      </c>
      <c r="BD16" s="20">
        <f t="shared" si="5"/>
        <v>8925</v>
      </c>
      <c r="BE16" s="22">
        <v>75</v>
      </c>
      <c r="BF16" s="23">
        <f>BE16+'06.05'!BF16</f>
        <v>423</v>
      </c>
      <c r="BG16" s="34">
        <v>0</v>
      </c>
      <c r="BH16" s="23">
        <f>BG16+'06.05'!BH16</f>
        <v>0</v>
      </c>
      <c r="BI16" s="22">
        <v>1297</v>
      </c>
      <c r="BJ16" s="23">
        <f>BI16+'06.05'!BJ16</f>
        <v>8157</v>
      </c>
      <c r="BK16" s="22">
        <v>42</v>
      </c>
      <c r="BL16" s="23">
        <f>BK16+'06.05'!BL16</f>
        <v>321</v>
      </c>
      <c r="BM16" s="22">
        <v>7</v>
      </c>
      <c r="BN16" s="23">
        <f>BM16+'06.05'!BN16</f>
        <v>24</v>
      </c>
      <c r="BO16" s="36">
        <v>2546</v>
      </c>
      <c r="BP16" s="37">
        <v>0</v>
      </c>
      <c r="BQ16" s="23">
        <f>BP16+'06.05'!BQ16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180</v>
      </c>
      <c r="D17" s="31">
        <f t="shared" si="0"/>
        <v>1259</v>
      </c>
      <c r="E17" s="32">
        <v>754</v>
      </c>
      <c r="F17" s="22">
        <v>160</v>
      </c>
      <c r="G17" s="23">
        <f>F17+'06.05'!G17</f>
        <v>1053</v>
      </c>
      <c r="H17" s="33">
        <v>9</v>
      </c>
      <c r="I17" s="34">
        <v>0</v>
      </c>
      <c r="J17" s="23">
        <f>I17+'06.05'!J17</f>
        <v>0</v>
      </c>
      <c r="K17" s="33">
        <v>5</v>
      </c>
      <c r="L17" s="22">
        <v>0</v>
      </c>
      <c r="M17" s="23">
        <f>L17+'06.05'!M17</f>
        <v>0</v>
      </c>
      <c r="N17" s="33">
        <v>768</v>
      </c>
      <c r="O17" s="22">
        <v>0</v>
      </c>
      <c r="P17" s="23">
        <f>O17+'06.05'!P17</f>
        <v>0</v>
      </c>
      <c r="Q17" s="33">
        <v>624</v>
      </c>
      <c r="R17" s="22">
        <v>0</v>
      </c>
      <c r="S17" s="23">
        <f>R17+'06.05'!S17</f>
        <v>0</v>
      </c>
      <c r="T17" s="33">
        <v>742</v>
      </c>
      <c r="U17" s="22">
        <v>0</v>
      </c>
      <c r="V17" s="23">
        <f>U17+'06.05'!V17</f>
        <v>0</v>
      </c>
      <c r="W17" s="33">
        <v>54</v>
      </c>
      <c r="X17" s="22">
        <v>10</v>
      </c>
      <c r="Y17" s="23">
        <f>X17+'06.05'!Y17</f>
        <v>121</v>
      </c>
      <c r="Z17" s="33">
        <v>66</v>
      </c>
      <c r="AA17" s="22">
        <v>0</v>
      </c>
      <c r="AB17" s="23">
        <f>AA17+'06.05'!AB17</f>
        <v>0</v>
      </c>
      <c r="AC17" s="33">
        <v>2580</v>
      </c>
      <c r="AD17" s="22">
        <v>10</v>
      </c>
      <c r="AE17" s="23">
        <f>AD17+'06.05'!AE17</f>
        <v>85</v>
      </c>
      <c r="AF17" s="19">
        <f t="shared" si="1"/>
        <v>105200</v>
      </c>
      <c r="AG17" s="20">
        <f t="shared" si="1"/>
        <v>709700</v>
      </c>
      <c r="AH17" s="24">
        <v>6300</v>
      </c>
      <c r="AI17" s="23">
        <f>AH17+'06.05'!AI17</f>
        <v>46800</v>
      </c>
      <c r="AJ17" s="24">
        <v>9900</v>
      </c>
      <c r="AK17" s="23">
        <f>AJ17+'06.05'!AK17</f>
        <v>68900</v>
      </c>
      <c r="AL17" s="22">
        <v>26000</v>
      </c>
      <c r="AM17" s="23">
        <f>AL17+'06.05'!AM17</f>
        <v>157000</v>
      </c>
      <c r="AN17" s="22">
        <v>63000</v>
      </c>
      <c r="AO17" s="23">
        <f>AN17+'06.05'!AO17</f>
        <v>437000</v>
      </c>
      <c r="AP17" s="28" t="s">
        <v>52</v>
      </c>
      <c r="AQ17" s="19">
        <f t="shared" si="3"/>
        <v>18</v>
      </c>
      <c r="AR17" s="20">
        <f t="shared" si="3"/>
        <v>105</v>
      </c>
      <c r="AS17" s="34">
        <v>1</v>
      </c>
      <c r="AT17" s="23">
        <f>AS17+'06.05'!AT17</f>
        <v>8</v>
      </c>
      <c r="AU17" s="34">
        <v>1</v>
      </c>
      <c r="AV17" s="23">
        <f>AU17+'06.05'!AV17</f>
        <v>9</v>
      </c>
      <c r="AW17" s="34">
        <v>0</v>
      </c>
      <c r="AX17" s="23">
        <f>AW17+'06.05'!AX17</f>
        <v>0</v>
      </c>
      <c r="AY17" s="34">
        <v>0</v>
      </c>
      <c r="AZ17" s="23">
        <f>AY17+'06.05'!AZ17</f>
        <v>0</v>
      </c>
      <c r="BA17" s="34">
        <v>16</v>
      </c>
      <c r="BB17" s="23">
        <f>BA17+'06.05'!BB17</f>
        <v>88</v>
      </c>
      <c r="BC17" s="19">
        <f t="shared" si="5"/>
        <v>3255</v>
      </c>
      <c r="BD17" s="20">
        <f t="shared" si="5"/>
        <v>13920</v>
      </c>
      <c r="BE17" s="22">
        <v>42</v>
      </c>
      <c r="BF17" s="23">
        <f>BE17+'06.05'!BF17</f>
        <v>236</v>
      </c>
      <c r="BG17" s="34">
        <v>2</v>
      </c>
      <c r="BH17" s="23">
        <f>BG17+'06.05'!BH17</f>
        <v>8</v>
      </c>
      <c r="BI17" s="22">
        <v>3000</v>
      </c>
      <c r="BJ17" s="23">
        <f>BI17+'06.05'!BJ17</f>
        <v>12500</v>
      </c>
      <c r="BK17" s="22">
        <v>200</v>
      </c>
      <c r="BL17" s="23">
        <f>BK17+'06.05'!BL17</f>
        <v>1130</v>
      </c>
      <c r="BM17" s="22">
        <v>11</v>
      </c>
      <c r="BN17" s="23">
        <f>BM17+'06.05'!BN17</f>
        <v>46</v>
      </c>
      <c r="BO17" s="36">
        <v>8022</v>
      </c>
      <c r="BP17" s="37">
        <v>4</v>
      </c>
      <c r="BQ17" s="23">
        <f>BP17+'06.05'!BQ17</f>
        <v>31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287</v>
      </c>
      <c r="D18" s="20">
        <f t="shared" si="0"/>
        <v>2273</v>
      </c>
      <c r="E18" s="21">
        <v>1063</v>
      </c>
      <c r="F18" s="22">
        <v>197</v>
      </c>
      <c r="G18" s="23">
        <f>F18+'06.05'!G18</f>
        <v>1453</v>
      </c>
      <c r="H18" s="21">
        <v>19</v>
      </c>
      <c r="I18" s="22">
        <v>0</v>
      </c>
      <c r="J18" s="23">
        <f>I18+'06.05'!J18</f>
        <v>0</v>
      </c>
      <c r="K18" s="21">
        <v>8</v>
      </c>
      <c r="L18" s="22">
        <v>0</v>
      </c>
      <c r="M18" s="23">
        <f>L18+'06.05'!M18</f>
        <v>0</v>
      </c>
      <c r="N18" s="21">
        <v>1331</v>
      </c>
      <c r="O18" s="22">
        <v>0</v>
      </c>
      <c r="P18" s="23">
        <f>O18+'06.05'!P18</f>
        <v>0</v>
      </c>
      <c r="Q18" s="21">
        <v>777</v>
      </c>
      <c r="R18" s="22">
        <v>0</v>
      </c>
      <c r="S18" s="23">
        <f>R18+'06.05'!S18</f>
        <v>0</v>
      </c>
      <c r="T18" s="21">
        <v>318</v>
      </c>
      <c r="U18" s="22">
        <v>0</v>
      </c>
      <c r="V18" s="23">
        <f>U18+'06.05'!V18</f>
        <v>81</v>
      </c>
      <c r="W18" s="21">
        <v>60</v>
      </c>
      <c r="X18" s="22">
        <v>90</v>
      </c>
      <c r="Y18" s="23">
        <f>X18+'06.05'!Y18</f>
        <v>739</v>
      </c>
      <c r="Z18" s="21">
        <v>72</v>
      </c>
      <c r="AA18" s="22">
        <v>0</v>
      </c>
      <c r="AB18" s="23">
        <f>AA18+'06.05'!AB18</f>
        <v>0</v>
      </c>
      <c r="AC18" s="21">
        <v>143</v>
      </c>
      <c r="AD18" s="22">
        <v>0</v>
      </c>
      <c r="AE18" s="23">
        <f>AD18+'06.05'!AE18</f>
        <v>0</v>
      </c>
      <c r="AF18" s="19">
        <f t="shared" si="1"/>
        <v>121757</v>
      </c>
      <c r="AG18" s="20">
        <f t="shared" si="1"/>
        <v>1295242</v>
      </c>
      <c r="AH18" s="24">
        <v>183</v>
      </c>
      <c r="AI18" s="23">
        <f>AH18+'06.05'!AI18</f>
        <v>2595</v>
      </c>
      <c r="AJ18" s="24">
        <v>2331</v>
      </c>
      <c r="AK18" s="23">
        <f>AJ18+'06.05'!AK18</f>
        <v>20313</v>
      </c>
      <c r="AL18" s="22">
        <v>2919</v>
      </c>
      <c r="AM18" s="23">
        <f>AL18+'06.05'!AM18</f>
        <v>23980</v>
      </c>
      <c r="AN18" s="22">
        <v>116324</v>
      </c>
      <c r="AO18" s="23">
        <f>AN18+'06.05'!AO18</f>
        <v>1248354</v>
      </c>
      <c r="AP18" s="17" t="s">
        <v>53</v>
      </c>
      <c r="AQ18" s="19">
        <f t="shared" si="3"/>
        <v>1</v>
      </c>
      <c r="AR18" s="20">
        <f t="shared" si="3"/>
        <v>14</v>
      </c>
      <c r="AS18" s="22">
        <v>0</v>
      </c>
      <c r="AT18" s="23">
        <f>AS18+'06.05'!AT18</f>
        <v>1</v>
      </c>
      <c r="AU18" s="22">
        <v>0</v>
      </c>
      <c r="AV18" s="23">
        <f>AU18+'06.05'!AV18</f>
        <v>0</v>
      </c>
      <c r="AW18" s="22">
        <v>0</v>
      </c>
      <c r="AX18" s="23">
        <f>AW18+'06.05'!AX18</f>
        <v>0</v>
      </c>
      <c r="AY18" s="22">
        <v>0</v>
      </c>
      <c r="AZ18" s="23">
        <f>AY18+'06.05'!AZ18</f>
        <v>0</v>
      </c>
      <c r="BA18" s="22">
        <v>1</v>
      </c>
      <c r="BB18" s="23">
        <f>BA18+'06.05'!BB18</f>
        <v>13</v>
      </c>
      <c r="BC18" s="19">
        <f t="shared" si="5"/>
        <v>424</v>
      </c>
      <c r="BD18" s="20">
        <f t="shared" si="5"/>
        <v>7170</v>
      </c>
      <c r="BE18" s="22">
        <v>1</v>
      </c>
      <c r="BF18" s="23">
        <f>BE18+'06.05'!BF18</f>
        <v>8</v>
      </c>
      <c r="BG18" s="22">
        <v>0</v>
      </c>
      <c r="BH18" s="23">
        <f>BG18+'06.05'!BH18</f>
        <v>0</v>
      </c>
      <c r="BI18" s="22">
        <v>348</v>
      </c>
      <c r="BJ18" s="23">
        <f>BI18+'06.05'!BJ18</f>
        <v>6534</v>
      </c>
      <c r="BK18" s="22">
        <v>58</v>
      </c>
      <c r="BL18" s="23">
        <f>BK18+'06.05'!BL18</f>
        <v>594</v>
      </c>
      <c r="BM18" s="22">
        <v>17</v>
      </c>
      <c r="BN18" s="23">
        <f>BM18+'06.05'!BN18</f>
        <v>34</v>
      </c>
      <c r="BO18" s="36">
        <v>442</v>
      </c>
      <c r="BP18" s="37">
        <v>3</v>
      </c>
      <c r="BQ18" s="23">
        <f>BP18+'06.05'!BQ18</f>
        <v>32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36</v>
      </c>
      <c r="D19" s="31">
        <f t="shared" si="0"/>
        <v>227</v>
      </c>
      <c r="E19" s="33">
        <v>221</v>
      </c>
      <c r="F19" s="22">
        <v>8</v>
      </c>
      <c r="G19" s="23">
        <f>F19+'06.05'!G19</f>
        <v>54</v>
      </c>
      <c r="H19" s="33">
        <v>5</v>
      </c>
      <c r="I19" s="34">
        <v>0</v>
      </c>
      <c r="J19" s="23">
        <f>I19+'06.05'!J19</f>
        <v>0</v>
      </c>
      <c r="K19" s="33">
        <v>4</v>
      </c>
      <c r="L19" s="22">
        <v>0</v>
      </c>
      <c r="M19" s="23">
        <f>L19+'06.05'!M19</f>
        <v>0</v>
      </c>
      <c r="N19" s="33">
        <v>313</v>
      </c>
      <c r="O19" s="22">
        <v>16</v>
      </c>
      <c r="P19" s="23">
        <f>O19+'06.05'!P19</f>
        <v>39</v>
      </c>
      <c r="Q19" s="33">
        <v>203</v>
      </c>
      <c r="R19" s="22">
        <v>0</v>
      </c>
      <c r="S19" s="23">
        <f>R19+'06.05'!S19</f>
        <v>0</v>
      </c>
      <c r="T19" s="33">
        <v>241</v>
      </c>
      <c r="U19" s="22">
        <v>0</v>
      </c>
      <c r="V19" s="23">
        <f>U19+'06.05'!V19</f>
        <v>0</v>
      </c>
      <c r="W19" s="33">
        <v>14</v>
      </c>
      <c r="X19" s="22">
        <v>12</v>
      </c>
      <c r="Y19" s="23">
        <f>X19+'06.05'!Y19</f>
        <v>71</v>
      </c>
      <c r="Z19" s="33">
        <v>7</v>
      </c>
      <c r="AA19" s="22">
        <v>0</v>
      </c>
      <c r="AB19" s="23">
        <f>AA19+'06.05'!AB19</f>
        <v>0</v>
      </c>
      <c r="AC19" s="33">
        <v>32</v>
      </c>
      <c r="AD19" s="22">
        <v>0</v>
      </c>
      <c r="AE19" s="23">
        <f>AD19+'06.05'!AE19</f>
        <v>63</v>
      </c>
      <c r="AF19" s="19">
        <f t="shared" si="1"/>
        <v>3250</v>
      </c>
      <c r="AG19" s="20">
        <f t="shared" si="1"/>
        <v>20400</v>
      </c>
      <c r="AH19" s="24">
        <v>575</v>
      </c>
      <c r="AI19" s="23">
        <f>AH19+'06.05'!AI19</f>
        <v>3675</v>
      </c>
      <c r="AJ19" s="24">
        <v>575</v>
      </c>
      <c r="AK19" s="23">
        <f>AJ19+'06.05'!AK19</f>
        <v>3675</v>
      </c>
      <c r="AL19" s="22">
        <v>1050</v>
      </c>
      <c r="AM19" s="23">
        <f>AL19+'06.05'!AM19</f>
        <v>6525</v>
      </c>
      <c r="AN19" s="22">
        <v>1050</v>
      </c>
      <c r="AO19" s="23">
        <f>AN19+'06.05'!AO19</f>
        <v>6525</v>
      </c>
      <c r="AP19" s="28" t="s">
        <v>54</v>
      </c>
      <c r="AQ19" s="19">
        <f t="shared" si="3"/>
        <v>1</v>
      </c>
      <c r="AR19" s="20">
        <f t="shared" si="3"/>
        <v>2</v>
      </c>
      <c r="AS19" s="34">
        <v>0</v>
      </c>
      <c r="AT19" s="23">
        <f>AS19+'06.05'!AT19</f>
        <v>0</v>
      </c>
      <c r="AU19" s="34">
        <v>1</v>
      </c>
      <c r="AV19" s="23">
        <f>AU19+'06.05'!AV19</f>
        <v>2</v>
      </c>
      <c r="AW19" s="34">
        <v>0</v>
      </c>
      <c r="AX19" s="23">
        <f>AW19+'06.05'!AX19</f>
        <v>0</v>
      </c>
      <c r="AY19" s="34">
        <v>0</v>
      </c>
      <c r="AZ19" s="23">
        <f>AY19+'06.05'!AZ19</f>
        <v>0</v>
      </c>
      <c r="BA19" s="34">
        <v>0</v>
      </c>
      <c r="BB19" s="23">
        <f>BA19+'06.05'!BB19</f>
        <v>0</v>
      </c>
      <c r="BC19" s="19">
        <f t="shared" si="5"/>
        <v>1121</v>
      </c>
      <c r="BD19" s="20">
        <f t="shared" si="5"/>
        <v>7075</v>
      </c>
      <c r="BE19" s="22">
        <v>13</v>
      </c>
      <c r="BF19" s="23">
        <f>BE19+'06.05'!BF19</f>
        <v>89</v>
      </c>
      <c r="BG19" s="34">
        <v>0</v>
      </c>
      <c r="BH19" s="23">
        <f>BG19+'06.05'!BH19</f>
        <v>2</v>
      </c>
      <c r="BI19" s="22">
        <v>1000</v>
      </c>
      <c r="BJ19" s="23">
        <f>BI19+'06.05'!BJ19</f>
        <v>6100</v>
      </c>
      <c r="BK19" s="22">
        <v>100</v>
      </c>
      <c r="BL19" s="23">
        <f>BK19+'06.05'!BL19</f>
        <v>850</v>
      </c>
      <c r="BM19" s="22">
        <v>8</v>
      </c>
      <c r="BN19" s="23">
        <f>BM19+'06.05'!BN19</f>
        <v>34</v>
      </c>
      <c r="BO19" s="36">
        <v>2898</v>
      </c>
      <c r="BP19" s="37">
        <v>0</v>
      </c>
      <c r="BQ19" s="23">
        <f>BP19+'06.05'!BQ19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239</v>
      </c>
      <c r="D20" s="31">
        <f t="shared" si="0"/>
        <v>2133</v>
      </c>
      <c r="E20" s="32">
        <v>723</v>
      </c>
      <c r="F20" s="22">
        <v>112</v>
      </c>
      <c r="G20" s="23">
        <f>F20+'06.05'!G20</f>
        <v>1203</v>
      </c>
      <c r="H20" s="33">
        <v>5</v>
      </c>
      <c r="I20" s="34">
        <v>1</v>
      </c>
      <c r="J20" s="23">
        <f>I20+'06.05'!J20</f>
        <v>7</v>
      </c>
      <c r="K20" s="33">
        <v>3</v>
      </c>
      <c r="L20" s="22">
        <v>0</v>
      </c>
      <c r="M20" s="23">
        <f>L20+'06.05'!M20</f>
        <v>0</v>
      </c>
      <c r="N20" s="33">
        <v>975</v>
      </c>
      <c r="O20" s="22">
        <v>65</v>
      </c>
      <c r="P20" s="23">
        <f>O20+'06.05'!P20</f>
        <v>452</v>
      </c>
      <c r="Q20" s="61">
        <v>1862</v>
      </c>
      <c r="R20" s="22">
        <v>1</v>
      </c>
      <c r="S20" s="23">
        <f>R20+'06.05'!S20</f>
        <v>9</v>
      </c>
      <c r="T20" s="33">
        <v>35</v>
      </c>
      <c r="U20" s="22">
        <v>1</v>
      </c>
      <c r="V20" s="23">
        <f>U20+'06.05'!V20</f>
        <v>7</v>
      </c>
      <c r="W20" s="33">
        <v>64</v>
      </c>
      <c r="X20" s="22">
        <v>1</v>
      </c>
      <c r="Y20" s="23">
        <f>X20+'06.05'!Y20</f>
        <v>9</v>
      </c>
      <c r="Z20" s="33">
        <v>15</v>
      </c>
      <c r="AA20" s="22">
        <v>1</v>
      </c>
      <c r="AB20" s="23">
        <f>AA20+'06.05'!AB20</f>
        <v>7</v>
      </c>
      <c r="AC20" s="33">
        <v>1546</v>
      </c>
      <c r="AD20" s="22">
        <v>57</v>
      </c>
      <c r="AE20" s="23">
        <f>AD20+'06.05'!AE20</f>
        <v>439</v>
      </c>
      <c r="AF20" s="19">
        <f t="shared" si="1"/>
        <v>15200</v>
      </c>
      <c r="AG20" s="20">
        <f t="shared" si="1"/>
        <v>130184</v>
      </c>
      <c r="AH20" s="24">
        <v>7360</v>
      </c>
      <c r="AI20" s="23">
        <f>AH20+'06.05'!AI20</f>
        <v>61232</v>
      </c>
      <c r="AJ20" s="24">
        <v>7240</v>
      </c>
      <c r="AK20" s="23">
        <f>AJ20+'06.05'!AK20</f>
        <v>63232</v>
      </c>
      <c r="AL20" s="22">
        <v>450</v>
      </c>
      <c r="AM20" s="23">
        <f>AL20+'06.05'!AM20</f>
        <v>3310</v>
      </c>
      <c r="AN20" s="22">
        <v>150</v>
      </c>
      <c r="AO20" s="23">
        <f>AN20+'06.05'!AO20</f>
        <v>2410</v>
      </c>
      <c r="AP20" s="28" t="s">
        <v>55</v>
      </c>
      <c r="AQ20" s="19">
        <f t="shared" si="3"/>
        <v>129</v>
      </c>
      <c r="AR20" s="20">
        <f t="shared" si="3"/>
        <v>1131</v>
      </c>
      <c r="AS20" s="34">
        <v>1</v>
      </c>
      <c r="AT20" s="23">
        <f>AS20+'06.05'!AT20</f>
        <v>7</v>
      </c>
      <c r="AU20" s="34">
        <v>0</v>
      </c>
      <c r="AV20" s="23">
        <f>AU20+'06.05'!AV20</f>
        <v>0</v>
      </c>
      <c r="AW20" s="34">
        <v>0</v>
      </c>
      <c r="AX20" s="23">
        <f>AW20+'06.05'!AX20</f>
        <v>0</v>
      </c>
      <c r="AY20" s="34">
        <v>0</v>
      </c>
      <c r="AZ20" s="23">
        <f>AY20+'06.05'!AZ20</f>
        <v>0</v>
      </c>
      <c r="BA20" s="34">
        <v>128</v>
      </c>
      <c r="BB20" s="23">
        <f>BA20+'06.05'!BB20</f>
        <v>1124</v>
      </c>
      <c r="BC20" s="19">
        <f t="shared" si="5"/>
        <v>3618</v>
      </c>
      <c r="BD20" s="20">
        <f t="shared" si="5"/>
        <v>26044</v>
      </c>
      <c r="BE20" s="22">
        <v>2</v>
      </c>
      <c r="BF20" s="23">
        <f>BE20+'06.05'!BF20</f>
        <v>14</v>
      </c>
      <c r="BG20" s="34">
        <v>0</v>
      </c>
      <c r="BH20" s="23">
        <f>BG20+'06.05'!BH20</f>
        <v>0</v>
      </c>
      <c r="BI20" s="22">
        <v>1690</v>
      </c>
      <c r="BJ20" s="23">
        <f>BI20+'06.05'!BJ20</f>
        <v>12974</v>
      </c>
      <c r="BK20" s="22">
        <v>1925</v>
      </c>
      <c r="BL20" s="23">
        <f>BK20+'06.05'!BL20</f>
        <v>13050</v>
      </c>
      <c r="BM20" s="22">
        <v>1</v>
      </c>
      <c r="BN20" s="23">
        <f>BM20+'06.05'!BN20</f>
        <v>6</v>
      </c>
      <c r="BO20" s="36">
        <v>5854</v>
      </c>
      <c r="BP20" s="37">
        <v>0</v>
      </c>
      <c r="BQ20" s="23">
        <f>BP20+'06.05'!BQ20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182</v>
      </c>
      <c r="D21" s="31">
        <f t="shared" si="0"/>
        <v>1472</v>
      </c>
      <c r="E21" s="32">
        <v>1017</v>
      </c>
      <c r="F21" s="22">
        <v>150</v>
      </c>
      <c r="G21" s="23">
        <f>F21+'06.05'!G21</f>
        <v>1080</v>
      </c>
      <c r="H21" s="33">
        <v>8</v>
      </c>
      <c r="I21" s="34">
        <v>4</v>
      </c>
      <c r="J21" s="23">
        <f>I21+'06.05'!J21</f>
        <v>24</v>
      </c>
      <c r="K21" s="33">
        <v>4</v>
      </c>
      <c r="L21" s="22">
        <v>0</v>
      </c>
      <c r="M21" s="23">
        <f>L21+'06.05'!M21</f>
        <v>0</v>
      </c>
      <c r="N21" s="33">
        <v>963</v>
      </c>
      <c r="O21" s="22">
        <v>2</v>
      </c>
      <c r="P21" s="23">
        <f>O21+'06.05'!P21</f>
        <v>19</v>
      </c>
      <c r="Q21" s="33">
        <v>912</v>
      </c>
      <c r="R21" s="22">
        <v>0</v>
      </c>
      <c r="S21" s="23">
        <f>R21+'06.05'!S21</f>
        <v>0</v>
      </c>
      <c r="T21" s="33">
        <v>199</v>
      </c>
      <c r="U21" s="22">
        <v>0</v>
      </c>
      <c r="V21" s="23">
        <f>U21+'06.05'!V21</f>
        <v>14</v>
      </c>
      <c r="W21" s="33">
        <v>101</v>
      </c>
      <c r="X21" s="22">
        <v>15</v>
      </c>
      <c r="Y21" s="23">
        <f>X21+'06.05'!Y21</f>
        <v>62</v>
      </c>
      <c r="Z21" s="33">
        <v>42</v>
      </c>
      <c r="AA21" s="22">
        <v>1</v>
      </c>
      <c r="AB21" s="23">
        <f>AA21+'06.05'!AB21</f>
        <v>1</v>
      </c>
      <c r="AC21" s="33">
        <v>20</v>
      </c>
      <c r="AD21" s="22">
        <v>10</v>
      </c>
      <c r="AE21" s="23">
        <f>AD21+'06.05'!AE21</f>
        <v>272</v>
      </c>
      <c r="AF21" s="19">
        <f t="shared" si="1"/>
        <v>1300000</v>
      </c>
      <c r="AG21" s="20">
        <f t="shared" si="1"/>
        <v>7552000</v>
      </c>
      <c r="AH21" s="24">
        <v>2000</v>
      </c>
      <c r="AI21" s="23">
        <f>AH21+'06.05'!AI21</f>
        <v>9000</v>
      </c>
      <c r="AJ21" s="24">
        <v>298000</v>
      </c>
      <c r="AK21" s="23">
        <f>AJ21+'06.05'!AK21</f>
        <v>1293000</v>
      </c>
      <c r="AL21" s="22">
        <v>10000</v>
      </c>
      <c r="AM21" s="23">
        <f>AL21+'06.05'!AM21</f>
        <v>18500</v>
      </c>
      <c r="AN21" s="22">
        <v>990000</v>
      </c>
      <c r="AO21" s="23">
        <f>AN21+'06.05'!AO21</f>
        <v>6231500</v>
      </c>
      <c r="AP21" s="28" t="s">
        <v>58</v>
      </c>
      <c r="AQ21" s="19">
        <f t="shared" si="3"/>
        <v>8</v>
      </c>
      <c r="AR21" s="20">
        <f t="shared" si="3"/>
        <v>53</v>
      </c>
      <c r="AS21" s="34">
        <v>0</v>
      </c>
      <c r="AT21" s="23">
        <f>AS21+'06.05'!AT21</f>
        <v>1</v>
      </c>
      <c r="AU21" s="34">
        <v>4</v>
      </c>
      <c r="AV21" s="23">
        <f>AU21+'06.05'!AV21</f>
        <v>28</v>
      </c>
      <c r="AW21" s="34">
        <v>0</v>
      </c>
      <c r="AX21" s="23">
        <f>AW21+'06.05'!AX21</f>
        <v>0</v>
      </c>
      <c r="AY21" s="34">
        <v>0</v>
      </c>
      <c r="AZ21" s="23">
        <f>AY21+'06.05'!AZ21</f>
        <v>0</v>
      </c>
      <c r="BA21" s="34">
        <v>4</v>
      </c>
      <c r="BB21" s="23">
        <f>BA21+'06.05'!BB21</f>
        <v>24</v>
      </c>
      <c r="BC21" s="19">
        <f t="shared" si="5"/>
        <v>1057</v>
      </c>
      <c r="BD21" s="20">
        <f t="shared" si="5"/>
        <v>18318</v>
      </c>
      <c r="BE21" s="22">
        <v>50</v>
      </c>
      <c r="BF21" s="23">
        <f>BE21+'06.05'!BF21</f>
        <v>280</v>
      </c>
      <c r="BG21" s="34">
        <v>0</v>
      </c>
      <c r="BH21" s="23">
        <f>BG21+'06.05'!BH21</f>
        <v>0</v>
      </c>
      <c r="BI21" s="22">
        <v>1000</v>
      </c>
      <c r="BJ21" s="23">
        <f>BI21+'06.05'!BJ21</f>
        <v>18000</v>
      </c>
      <c r="BK21" s="22">
        <v>0</v>
      </c>
      <c r="BL21" s="23">
        <f>BK21+'06.05'!BL21</f>
        <v>0</v>
      </c>
      <c r="BM21" s="22">
        <v>7</v>
      </c>
      <c r="BN21" s="23">
        <f>BM21+'06.05'!BN21</f>
        <v>38</v>
      </c>
      <c r="BO21" s="36">
        <v>68</v>
      </c>
      <c r="BP21" s="37">
        <v>1</v>
      </c>
      <c r="BQ21" s="23">
        <f>BP21+'06.05'!BQ21</f>
        <v>9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2322</v>
      </c>
      <c r="D22" s="31">
        <f t="shared" si="0"/>
        <v>14634</v>
      </c>
      <c r="E22" s="32">
        <v>509</v>
      </c>
      <c r="F22" s="22">
        <v>402</v>
      </c>
      <c r="G22" s="23">
        <f>F22+'06.05'!G22</f>
        <v>2369</v>
      </c>
      <c r="H22" s="33">
        <v>8</v>
      </c>
      <c r="I22" s="34">
        <v>0</v>
      </c>
      <c r="J22" s="23">
        <f>I22+'06.05'!J22</f>
        <v>0</v>
      </c>
      <c r="K22" s="33">
        <v>21</v>
      </c>
      <c r="L22" s="22">
        <v>0</v>
      </c>
      <c r="M22" s="23">
        <f>L22+'06.05'!M22</f>
        <v>0</v>
      </c>
      <c r="N22" s="33">
        <v>560</v>
      </c>
      <c r="O22" s="22">
        <v>84</v>
      </c>
      <c r="P22" s="23">
        <f>O22+'06.05'!P22</f>
        <v>403</v>
      </c>
      <c r="Q22" s="33">
        <v>375</v>
      </c>
      <c r="R22" s="22">
        <v>0</v>
      </c>
      <c r="S22" s="23">
        <f>R22+'06.05'!S22</f>
        <v>0</v>
      </c>
      <c r="T22" s="33">
        <v>165</v>
      </c>
      <c r="U22" s="22">
        <v>23</v>
      </c>
      <c r="V22" s="23">
        <f>U22+'06.05'!V22</f>
        <v>215</v>
      </c>
      <c r="W22" s="33">
        <v>28</v>
      </c>
      <c r="X22" s="22">
        <v>75</v>
      </c>
      <c r="Y22" s="23">
        <f>X22+'06.05'!Y22</f>
        <v>448</v>
      </c>
      <c r="Z22" s="33">
        <v>9</v>
      </c>
      <c r="AA22" s="22">
        <v>0</v>
      </c>
      <c r="AB22" s="23">
        <f>AA22+'06.05'!AB22</f>
        <v>0</v>
      </c>
      <c r="AC22" s="33">
        <v>112</v>
      </c>
      <c r="AD22" s="22">
        <v>1738</v>
      </c>
      <c r="AE22" s="23">
        <f>AD22+'06.05'!AE22</f>
        <v>11199</v>
      </c>
      <c r="AF22" s="19">
        <f t="shared" si="1"/>
        <v>448537</v>
      </c>
      <c r="AG22" s="20">
        <f t="shared" si="1"/>
        <v>3112553</v>
      </c>
      <c r="AH22" s="24">
        <v>3200</v>
      </c>
      <c r="AI22" s="23">
        <f>AH22+'06.05'!AI22</f>
        <v>16519</v>
      </c>
      <c r="AJ22" s="24">
        <v>5788</v>
      </c>
      <c r="AK22" s="23">
        <f>AJ22+'06.05'!AK22</f>
        <v>43058</v>
      </c>
      <c r="AL22" s="22">
        <v>15724</v>
      </c>
      <c r="AM22" s="23">
        <f>AL22+'06.05'!AM22</f>
        <v>57698</v>
      </c>
      <c r="AN22" s="22">
        <v>423825</v>
      </c>
      <c r="AO22" s="23">
        <f>AN22+'06.05'!AO22</f>
        <v>2995278</v>
      </c>
      <c r="AP22" s="28" t="s">
        <v>59</v>
      </c>
      <c r="AQ22" s="19">
        <f t="shared" si="3"/>
        <v>1064</v>
      </c>
      <c r="AR22" s="20">
        <f t="shared" si="3"/>
        <v>20804</v>
      </c>
      <c r="AS22" s="34">
        <v>1</v>
      </c>
      <c r="AT22" s="23">
        <f>AS22+'06.05'!AT22</f>
        <v>5</v>
      </c>
      <c r="AU22" s="34">
        <v>1</v>
      </c>
      <c r="AV22" s="23">
        <f>AU22+'06.05'!AV22</f>
        <v>5</v>
      </c>
      <c r="AW22" s="34">
        <v>0</v>
      </c>
      <c r="AX22" s="23">
        <f>AW22+'06.05'!AX22</f>
        <v>2</v>
      </c>
      <c r="AY22" s="34">
        <v>0</v>
      </c>
      <c r="AZ22" s="23">
        <f>AY22+'06.05'!AZ22</f>
        <v>1</v>
      </c>
      <c r="BA22" s="34">
        <v>1062</v>
      </c>
      <c r="BB22" s="23">
        <f>BA22+'06.05'!BB22</f>
        <v>20791</v>
      </c>
      <c r="BC22" s="19">
        <f t="shared" si="5"/>
        <v>6734</v>
      </c>
      <c r="BD22" s="20">
        <f t="shared" si="5"/>
        <v>57590</v>
      </c>
      <c r="BE22" s="22">
        <v>6</v>
      </c>
      <c r="BF22" s="23">
        <f>BE22+'06.05'!BF22</f>
        <v>38</v>
      </c>
      <c r="BG22" s="34">
        <v>71</v>
      </c>
      <c r="BH22" s="23">
        <f>BG22+'06.05'!BH22</f>
        <v>478</v>
      </c>
      <c r="BI22" s="22">
        <v>2860</v>
      </c>
      <c r="BJ22" s="23">
        <f>BI22+'06.05'!BJ22</f>
        <v>52671</v>
      </c>
      <c r="BK22" s="22">
        <v>3712</v>
      </c>
      <c r="BL22" s="23">
        <f>BK22+'06.05'!BL22</f>
        <v>4181</v>
      </c>
      <c r="BM22" s="22">
        <v>85</v>
      </c>
      <c r="BN22" s="23">
        <f>BM22+'06.05'!BN22</f>
        <v>222</v>
      </c>
      <c r="BO22" s="36">
        <v>26</v>
      </c>
      <c r="BP22" s="37">
        <v>348</v>
      </c>
      <c r="BQ22" s="23">
        <f>BP22+'06.05'!BQ22</f>
        <v>1225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4281</v>
      </c>
      <c r="D23" s="65">
        <f t="shared" si="0"/>
        <v>29657</v>
      </c>
      <c r="E23" s="66">
        <f>+E18+E19+E22+E17+E16+E15+E14+E13+E12+E11+E10+E9+E8</f>
        <v>7282</v>
      </c>
      <c r="F23" s="67">
        <f t="shared" ref="F23:J23" si="7">SUM(F8:F22)</f>
        <v>1586</v>
      </c>
      <c r="G23" s="68">
        <f t="shared" si="7"/>
        <v>11171</v>
      </c>
      <c r="H23" s="66">
        <f>+H18+H19+H22+H17+H16+H15+H14+H13+H12+H11+H10+H9+H8</f>
        <v>271</v>
      </c>
      <c r="I23" s="67">
        <f t="shared" si="7"/>
        <v>12</v>
      </c>
      <c r="J23" s="68">
        <f t="shared" si="7"/>
        <v>69</v>
      </c>
      <c r="K23" s="66">
        <f>+K18+K19+K22+K17+K16+K15+K14+K13+K12+K11+K10+K9+K8</f>
        <v>163</v>
      </c>
      <c r="L23" s="67">
        <f t="shared" ref="L23:P23" si="8">SUM(L8:L22)</f>
        <v>3</v>
      </c>
      <c r="M23" s="68">
        <f t="shared" si="8"/>
        <v>6</v>
      </c>
      <c r="N23" s="66">
        <f>+N18+N19+N22+N17+N16+N15+N14+N13+N12+N11+N10+N9+N8</f>
        <v>8607</v>
      </c>
      <c r="O23" s="67">
        <f t="shared" si="8"/>
        <v>175</v>
      </c>
      <c r="P23" s="68">
        <f t="shared" si="8"/>
        <v>1032</v>
      </c>
      <c r="Q23" s="66">
        <f>+Q18+Q19+Q22+Q17+Q16+Q15+Q14+Q13+Q12+Q11+Q10+Q9+Q8</f>
        <v>7474</v>
      </c>
      <c r="R23" s="67">
        <f t="shared" ref="R23:V23" si="9">SUM(R8:R22)</f>
        <v>14</v>
      </c>
      <c r="S23" s="68">
        <f t="shared" si="9"/>
        <v>52</v>
      </c>
      <c r="T23" s="66">
        <f>+T18+T19+T22+T17+T16+T15+T14+T13+T12+T11+T10+T9+T8</f>
        <v>4115</v>
      </c>
      <c r="U23" s="67">
        <f t="shared" si="9"/>
        <v>26</v>
      </c>
      <c r="V23" s="68">
        <f t="shared" si="9"/>
        <v>342</v>
      </c>
      <c r="W23" s="66">
        <f>+W18+W19+W22+W17+W16+W15+W14+W13+W12+W11+W10+W9+W8</f>
        <v>604</v>
      </c>
      <c r="X23" s="67">
        <f t="shared" ref="X23:AB23" si="10">SUM(X8:X22)</f>
        <v>404</v>
      </c>
      <c r="Y23" s="68">
        <f t="shared" si="10"/>
        <v>2858</v>
      </c>
      <c r="Z23" s="66">
        <f>+Z18+Z19+Z22+Z17+Z16+Z15+Z14+Z13+Z12+Z11+Z10+Z9+Z8</f>
        <v>1629</v>
      </c>
      <c r="AA23" s="67">
        <f t="shared" si="10"/>
        <v>8</v>
      </c>
      <c r="AB23" s="68">
        <f t="shared" si="10"/>
        <v>34</v>
      </c>
      <c r="AC23" s="66">
        <f>+AC18+AC19+AC22+AC17+AC16+AC15+AC14+AC13+AC12+AC11+AC10+AC9+AC8</f>
        <v>64846</v>
      </c>
      <c r="AD23" s="67">
        <f t="shared" ref="AD23:AO23" si="11">SUM(AD8:AD22)</f>
        <v>2053</v>
      </c>
      <c r="AE23" s="68">
        <f t="shared" si="11"/>
        <v>14093</v>
      </c>
      <c r="AF23" s="64">
        <f t="shared" si="11"/>
        <v>4220375</v>
      </c>
      <c r="AG23" s="64">
        <f t="shared" si="11"/>
        <v>28137085</v>
      </c>
      <c r="AH23" s="67">
        <f t="shared" si="11"/>
        <v>32617</v>
      </c>
      <c r="AI23" s="68">
        <f t="shared" si="11"/>
        <v>215639</v>
      </c>
      <c r="AJ23" s="67">
        <f t="shared" si="11"/>
        <v>359306</v>
      </c>
      <c r="AK23" s="68">
        <f t="shared" si="11"/>
        <v>1740561</v>
      </c>
      <c r="AL23" s="67">
        <f t="shared" si="11"/>
        <v>946937</v>
      </c>
      <c r="AM23" s="68">
        <f t="shared" si="11"/>
        <v>6312169</v>
      </c>
      <c r="AN23" s="67">
        <f t="shared" si="11"/>
        <v>2881515</v>
      </c>
      <c r="AO23" s="68">
        <f t="shared" si="11"/>
        <v>19868716</v>
      </c>
      <c r="AP23" s="62" t="s">
        <v>12</v>
      </c>
      <c r="AQ23" s="64">
        <f t="shared" ref="AQ23:BP23" si="12">SUM(AQ8:AQ22)</f>
        <v>1389</v>
      </c>
      <c r="AR23" s="64">
        <f t="shared" si="12"/>
        <v>24402</v>
      </c>
      <c r="AS23" s="67">
        <f t="shared" si="12"/>
        <v>5</v>
      </c>
      <c r="AT23" s="68">
        <f t="shared" si="12"/>
        <v>34</v>
      </c>
      <c r="AU23" s="67">
        <f t="shared" si="12"/>
        <v>9</v>
      </c>
      <c r="AV23" s="68">
        <f t="shared" si="12"/>
        <v>56</v>
      </c>
      <c r="AW23" s="67">
        <f t="shared" si="12"/>
        <v>1</v>
      </c>
      <c r="AX23" s="68">
        <f t="shared" si="12"/>
        <v>5</v>
      </c>
      <c r="AY23" s="67">
        <f t="shared" si="12"/>
        <v>0</v>
      </c>
      <c r="AZ23" s="68">
        <f t="shared" si="12"/>
        <v>2</v>
      </c>
      <c r="BA23" s="67">
        <f t="shared" si="12"/>
        <v>1374</v>
      </c>
      <c r="BB23" s="68">
        <f t="shared" si="12"/>
        <v>24305</v>
      </c>
      <c r="BC23" s="64">
        <f t="shared" si="12"/>
        <v>36312</v>
      </c>
      <c r="BD23" s="64">
        <f t="shared" si="12"/>
        <v>296012</v>
      </c>
      <c r="BE23" s="67">
        <f t="shared" si="12"/>
        <v>1505</v>
      </c>
      <c r="BF23" s="68">
        <f t="shared" si="12"/>
        <v>10880</v>
      </c>
      <c r="BG23" s="67">
        <f t="shared" si="12"/>
        <v>100</v>
      </c>
      <c r="BH23" s="68">
        <f t="shared" si="12"/>
        <v>678</v>
      </c>
      <c r="BI23" s="67">
        <f t="shared" si="12"/>
        <v>26051</v>
      </c>
      <c r="BJ23" s="68">
        <f t="shared" si="12"/>
        <v>247852</v>
      </c>
      <c r="BK23" s="67">
        <f t="shared" si="12"/>
        <v>8362</v>
      </c>
      <c r="BL23" s="68">
        <f t="shared" si="12"/>
        <v>35624</v>
      </c>
      <c r="BM23" s="67">
        <f t="shared" si="12"/>
        <v>294</v>
      </c>
      <c r="BN23" s="68">
        <f t="shared" si="12"/>
        <v>978</v>
      </c>
      <c r="BO23" s="69">
        <f t="shared" si="12"/>
        <v>37704</v>
      </c>
      <c r="BP23" s="70">
        <f t="shared" si="12"/>
        <v>363</v>
      </c>
      <c r="BQ23" s="23">
        <f>BP23+'20.04'!BP23</f>
        <v>389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BR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72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14</v>
      </c>
      <c r="D9" s="31">
        <f t="shared" si="0"/>
        <v>53</v>
      </c>
      <c r="E9" s="32">
        <v>452</v>
      </c>
      <c r="F9" s="22">
        <v>2</v>
      </c>
      <c r="G9" s="23">
        <f>F9+'07.05'!G9</f>
        <v>26</v>
      </c>
      <c r="H9" s="33">
        <v>12</v>
      </c>
      <c r="I9" s="34">
        <v>0</v>
      </c>
      <c r="J9" s="23">
        <f>I9+'07.05'!J9</f>
        <v>7</v>
      </c>
      <c r="K9" s="33">
        <v>2</v>
      </c>
      <c r="L9" s="22">
        <v>0</v>
      </c>
      <c r="M9" s="23">
        <f>L9+'07.05'!M9</f>
        <v>0</v>
      </c>
      <c r="N9" s="33">
        <v>735</v>
      </c>
      <c r="O9" s="22">
        <v>0</v>
      </c>
      <c r="P9" s="23">
        <f>O9+'07.05'!P9</f>
        <v>0</v>
      </c>
      <c r="Q9" s="33">
        <v>502</v>
      </c>
      <c r="R9" s="22">
        <v>0</v>
      </c>
      <c r="S9" s="23">
        <f>R9+'07.05'!S9</f>
        <v>0</v>
      </c>
      <c r="T9" s="33">
        <v>197</v>
      </c>
      <c r="U9" s="22">
        <v>0</v>
      </c>
      <c r="V9" s="23">
        <f>U9+'07.05'!V9</f>
        <v>0</v>
      </c>
      <c r="W9" s="33">
        <v>47</v>
      </c>
      <c r="X9" s="22">
        <v>0</v>
      </c>
      <c r="Y9" s="23">
        <f>X9+'07.05'!Y9</f>
        <v>8</v>
      </c>
      <c r="Z9" s="33">
        <v>34</v>
      </c>
      <c r="AA9" s="22">
        <v>0</v>
      </c>
      <c r="AB9" s="23">
        <f>AA9+'07.05'!AB9</f>
        <v>0</v>
      </c>
      <c r="AC9" s="33">
        <v>1860</v>
      </c>
      <c r="AD9" s="22">
        <v>12</v>
      </c>
      <c r="AE9" s="23">
        <f>AD9+'07.05'!AE9</f>
        <v>12</v>
      </c>
      <c r="AF9" s="19">
        <f t="shared" si="1"/>
        <v>10930</v>
      </c>
      <c r="AG9" s="20">
        <f t="shared" si="1"/>
        <v>71305</v>
      </c>
      <c r="AH9" s="24">
        <v>150</v>
      </c>
      <c r="AI9" s="23">
        <f>AH9+'07.05'!AI9</f>
        <v>955</v>
      </c>
      <c r="AJ9" s="24">
        <v>2350</v>
      </c>
      <c r="AK9" s="23">
        <f>AJ9+'07.05'!AK9</f>
        <v>7770</v>
      </c>
      <c r="AL9" s="22">
        <v>1200</v>
      </c>
      <c r="AM9" s="23">
        <f>AL9+'07.05'!AM9</f>
        <v>8060</v>
      </c>
      <c r="AN9" s="22">
        <v>7230</v>
      </c>
      <c r="AO9" s="23">
        <f>AN9+'07.05'!AO9</f>
        <v>54520</v>
      </c>
      <c r="AP9" s="28" t="s">
        <v>43</v>
      </c>
      <c r="AQ9" s="19">
        <f t="shared" si="3"/>
        <v>128</v>
      </c>
      <c r="AR9" s="20">
        <f t="shared" si="3"/>
        <v>1235</v>
      </c>
      <c r="AS9" s="34">
        <v>0</v>
      </c>
      <c r="AT9" s="23">
        <f>AS9+'07.05'!AT9</f>
        <v>2</v>
      </c>
      <c r="AU9" s="34">
        <v>0</v>
      </c>
      <c r="AV9" s="23">
        <f>AU9+'07.05'!AV9</f>
        <v>2</v>
      </c>
      <c r="AW9" s="34">
        <v>0</v>
      </c>
      <c r="AX9" s="23">
        <f>AW9+'07.05'!AX9</f>
        <v>1</v>
      </c>
      <c r="AY9" s="34">
        <v>0</v>
      </c>
      <c r="AZ9" s="23">
        <f>AY9+'07.05'!AZ9</f>
        <v>0</v>
      </c>
      <c r="BA9" s="34">
        <v>128</v>
      </c>
      <c r="BB9" s="23">
        <f>BA9+'07.05'!BB9</f>
        <v>1230</v>
      </c>
      <c r="BC9" s="19">
        <f t="shared" si="5"/>
        <v>1504</v>
      </c>
      <c r="BD9" s="20">
        <f t="shared" si="5"/>
        <v>3818</v>
      </c>
      <c r="BE9" s="22">
        <v>1</v>
      </c>
      <c r="BF9" s="23">
        <f>BE9+'07.05'!BF9</f>
        <v>13</v>
      </c>
      <c r="BG9" s="34">
        <v>0</v>
      </c>
      <c r="BH9" s="23">
        <f>BG9+'07.05'!BH9</f>
        <v>0</v>
      </c>
      <c r="BI9" s="22">
        <v>1500</v>
      </c>
      <c r="BJ9" s="23">
        <f>BI9+'07.05'!BJ9</f>
        <v>3790</v>
      </c>
      <c r="BK9" s="22">
        <v>0</v>
      </c>
      <c r="BL9" s="23">
        <f>BK9+'07.05'!BL9</f>
        <v>0</v>
      </c>
      <c r="BM9" s="22">
        <v>3</v>
      </c>
      <c r="BN9" s="23">
        <f>BM9+'07.05'!BN9</f>
        <v>15</v>
      </c>
      <c r="BO9" s="36">
        <v>14</v>
      </c>
      <c r="BP9" s="37">
        <v>0</v>
      </c>
      <c r="BQ9" s="23">
        <f>BP9+'07.05'!BQ9</f>
        <v>2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55</v>
      </c>
      <c r="D10" s="31">
        <f t="shared" si="0"/>
        <v>810</v>
      </c>
      <c r="E10" s="32">
        <v>585</v>
      </c>
      <c r="F10" s="22">
        <v>3</v>
      </c>
      <c r="G10" s="23">
        <f>F10+'07.05'!G10</f>
        <v>102</v>
      </c>
      <c r="H10" s="33">
        <v>93</v>
      </c>
      <c r="I10" s="34">
        <v>0</v>
      </c>
      <c r="J10" s="23">
        <f>I10+'07.05'!J10</f>
        <v>15</v>
      </c>
      <c r="K10" s="33">
        <v>34</v>
      </c>
      <c r="L10" s="22">
        <v>0</v>
      </c>
      <c r="M10" s="23">
        <f>L10+'07.05'!M10</f>
        <v>6</v>
      </c>
      <c r="N10" s="33">
        <v>352</v>
      </c>
      <c r="O10" s="22">
        <v>3</v>
      </c>
      <c r="P10" s="23">
        <f>O10+'07.05'!P10</f>
        <v>62</v>
      </c>
      <c r="Q10" s="33">
        <v>549</v>
      </c>
      <c r="R10" s="22">
        <v>5</v>
      </c>
      <c r="S10" s="23">
        <f>R10+'07.05'!S10</f>
        <v>48</v>
      </c>
      <c r="T10" s="33">
        <v>198</v>
      </c>
      <c r="U10" s="22">
        <v>0</v>
      </c>
      <c r="V10" s="23">
        <f>U10+'07.05'!V10</f>
        <v>25</v>
      </c>
      <c r="W10" s="38">
        <v>55</v>
      </c>
      <c r="X10" s="22">
        <v>1</v>
      </c>
      <c r="Y10" s="23">
        <f>X10+'07.05'!Y10</f>
        <v>23</v>
      </c>
      <c r="Z10" s="38">
        <v>71</v>
      </c>
      <c r="AA10" s="22">
        <v>0</v>
      </c>
      <c r="AB10" s="23">
        <f>AA10+'07.05'!AB10</f>
        <v>26</v>
      </c>
      <c r="AC10" s="38">
        <v>1690</v>
      </c>
      <c r="AD10" s="22">
        <v>43</v>
      </c>
      <c r="AE10" s="23">
        <f>AD10+'07.05'!AE10</f>
        <v>503</v>
      </c>
      <c r="AF10" s="19">
        <f t="shared" si="1"/>
        <v>26684</v>
      </c>
      <c r="AG10" s="20">
        <f t="shared" si="1"/>
        <v>797885</v>
      </c>
      <c r="AH10" s="24">
        <v>195</v>
      </c>
      <c r="AI10" s="23">
        <f>AH10+'07.05'!AI10</f>
        <v>8210</v>
      </c>
      <c r="AJ10" s="24">
        <v>1339</v>
      </c>
      <c r="AK10" s="23">
        <f>AJ10+'07.05'!AK10</f>
        <v>37034</v>
      </c>
      <c r="AL10" s="22">
        <v>1950</v>
      </c>
      <c r="AM10" s="23">
        <f>AL10+'07.05'!AM10</f>
        <v>94840</v>
      </c>
      <c r="AN10" s="22">
        <v>23200</v>
      </c>
      <c r="AO10" s="23">
        <f>AN10+'07.05'!AO10</f>
        <v>657801</v>
      </c>
      <c r="AP10" s="28" t="s">
        <v>44</v>
      </c>
      <c r="AQ10" s="19">
        <f t="shared" si="3"/>
        <v>1</v>
      </c>
      <c r="AR10" s="20">
        <f t="shared" si="3"/>
        <v>36</v>
      </c>
      <c r="AS10" s="34">
        <v>0</v>
      </c>
      <c r="AT10" s="23">
        <f>AS10+'07.05'!AT10</f>
        <v>2</v>
      </c>
      <c r="AU10" s="34">
        <v>0</v>
      </c>
      <c r="AV10" s="23">
        <f>AU10+'07.05'!AV10</f>
        <v>1</v>
      </c>
      <c r="AW10" s="34">
        <v>0</v>
      </c>
      <c r="AX10" s="23">
        <f>AW10+'07.05'!AX10</f>
        <v>0</v>
      </c>
      <c r="AY10" s="34">
        <v>0</v>
      </c>
      <c r="AZ10" s="23">
        <f>AY10+'07.05'!AZ10</f>
        <v>0</v>
      </c>
      <c r="BA10" s="34">
        <v>1</v>
      </c>
      <c r="BB10" s="23">
        <f>BA10+'07.05'!BB10</f>
        <v>33</v>
      </c>
      <c r="BC10" s="19">
        <f t="shared" si="5"/>
        <v>1651</v>
      </c>
      <c r="BD10" s="20">
        <f t="shared" si="5"/>
        <v>31461</v>
      </c>
      <c r="BE10" s="22">
        <v>141</v>
      </c>
      <c r="BF10" s="23">
        <f>BE10+'07.05'!BF10</f>
        <v>4108</v>
      </c>
      <c r="BG10" s="34">
        <v>0</v>
      </c>
      <c r="BH10" s="23">
        <f>BG10+'07.05'!BH10</f>
        <v>4</v>
      </c>
      <c r="BI10" s="22">
        <v>1195</v>
      </c>
      <c r="BJ10" s="23">
        <f>BI10+'07.05'!BJ10</f>
        <v>18823</v>
      </c>
      <c r="BK10" s="22">
        <v>315</v>
      </c>
      <c r="BL10" s="23">
        <f>BK10+'07.05'!BL10</f>
        <v>8526</v>
      </c>
      <c r="BM10" s="22">
        <v>0</v>
      </c>
      <c r="BN10" s="23">
        <f>BM10+'07.05'!BN10</f>
        <v>0</v>
      </c>
      <c r="BO10" s="36">
        <v>32</v>
      </c>
      <c r="BP10" s="37">
        <v>0</v>
      </c>
      <c r="BQ10" s="23">
        <f>BP10+'07.05'!BQ10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30</v>
      </c>
      <c r="D11" s="31">
        <f t="shared" si="0"/>
        <v>298</v>
      </c>
      <c r="E11" s="32">
        <v>883</v>
      </c>
      <c r="F11" s="22">
        <v>16</v>
      </c>
      <c r="G11" s="23">
        <f>F11+'07.05'!G11</f>
        <v>155</v>
      </c>
      <c r="H11" s="33">
        <v>16</v>
      </c>
      <c r="I11" s="34">
        <v>0</v>
      </c>
      <c r="J11" s="23">
        <f>I11+'07.05'!J11</f>
        <v>0</v>
      </c>
      <c r="K11" s="33">
        <v>3</v>
      </c>
      <c r="L11" s="22">
        <v>0</v>
      </c>
      <c r="M11" s="23">
        <f>L11+'07.05'!M11</f>
        <v>0</v>
      </c>
      <c r="N11" s="33">
        <v>875</v>
      </c>
      <c r="O11" s="22">
        <v>0</v>
      </c>
      <c r="P11" s="23">
        <f>O11+'07.05'!P11</f>
        <v>0</v>
      </c>
      <c r="Q11" s="33">
        <v>2424</v>
      </c>
      <c r="R11" s="22">
        <v>0</v>
      </c>
      <c r="S11" s="23">
        <f>R11+'07.05'!S11</f>
        <v>0</v>
      </c>
      <c r="T11" s="33">
        <v>69</v>
      </c>
      <c r="U11" s="22">
        <v>0</v>
      </c>
      <c r="V11" s="23">
        <f>U11+'07.05'!V11</f>
        <v>0</v>
      </c>
      <c r="W11" s="38">
        <v>133</v>
      </c>
      <c r="X11" s="22">
        <v>13</v>
      </c>
      <c r="Y11" s="23">
        <f>X11+'07.05'!Y11</f>
        <v>135</v>
      </c>
      <c r="Z11" s="38">
        <v>1116</v>
      </c>
      <c r="AA11" s="22">
        <v>0</v>
      </c>
      <c r="AB11" s="23">
        <f>AA11+'07.05'!AB11</f>
        <v>0</v>
      </c>
      <c r="AC11" s="38">
        <v>9862</v>
      </c>
      <c r="AD11" s="22">
        <v>1</v>
      </c>
      <c r="AE11" s="23">
        <f>AD11+'07.05'!AE11</f>
        <v>8</v>
      </c>
      <c r="AF11" s="19">
        <f t="shared" si="1"/>
        <v>15100</v>
      </c>
      <c r="AG11" s="20">
        <f t="shared" si="1"/>
        <v>187100</v>
      </c>
      <c r="AH11" s="24">
        <v>2100</v>
      </c>
      <c r="AI11" s="23">
        <f>AH11+'07.05'!AI11</f>
        <v>20000</v>
      </c>
      <c r="AJ11" s="24">
        <v>2700</v>
      </c>
      <c r="AK11" s="23">
        <f>AJ11+'07.05'!AK11</f>
        <v>23500</v>
      </c>
      <c r="AL11" s="22">
        <v>2600</v>
      </c>
      <c r="AM11" s="23">
        <f>AL11+'07.05'!AM11</f>
        <v>51500</v>
      </c>
      <c r="AN11" s="22">
        <v>7700</v>
      </c>
      <c r="AO11" s="23">
        <f>AN11+'07.05'!AO11</f>
        <v>92100</v>
      </c>
      <c r="AP11" s="28" t="s">
        <v>45</v>
      </c>
      <c r="AQ11" s="19">
        <f t="shared" si="3"/>
        <v>2</v>
      </c>
      <c r="AR11" s="20">
        <f t="shared" si="3"/>
        <v>20</v>
      </c>
      <c r="AS11" s="34">
        <v>0</v>
      </c>
      <c r="AT11" s="23">
        <f>AS11+'07.05'!AT11</f>
        <v>0</v>
      </c>
      <c r="AU11" s="34">
        <v>0</v>
      </c>
      <c r="AV11" s="23">
        <f>AU11+'07.05'!AV11</f>
        <v>0</v>
      </c>
      <c r="AW11" s="34">
        <v>0</v>
      </c>
      <c r="AX11" s="23">
        <f>AW11+'07.05'!AX11</f>
        <v>0</v>
      </c>
      <c r="AY11" s="34">
        <v>0</v>
      </c>
      <c r="AZ11" s="23">
        <f>AY11+'07.05'!AZ11</f>
        <v>0</v>
      </c>
      <c r="BA11" s="34">
        <v>2</v>
      </c>
      <c r="BB11" s="23">
        <f>BA11+'07.05'!BB11</f>
        <v>20</v>
      </c>
      <c r="BC11" s="19">
        <f t="shared" si="5"/>
        <v>535</v>
      </c>
      <c r="BD11" s="20">
        <f t="shared" si="5"/>
        <v>6346</v>
      </c>
      <c r="BE11" s="22">
        <v>2</v>
      </c>
      <c r="BF11" s="23">
        <f>BE11+'07.05'!BF11</f>
        <v>11</v>
      </c>
      <c r="BG11" s="34">
        <v>3</v>
      </c>
      <c r="BH11" s="23">
        <f>BG11+'07.05'!BH11</f>
        <v>21</v>
      </c>
      <c r="BI11" s="22">
        <v>510</v>
      </c>
      <c r="BJ11" s="23">
        <f>BI11+'07.05'!BJ11</f>
        <v>6150</v>
      </c>
      <c r="BK11" s="22">
        <v>18</v>
      </c>
      <c r="BL11" s="23">
        <f>BK11+'07.05'!BL11</f>
        <v>157</v>
      </c>
      <c r="BM11" s="22">
        <v>2</v>
      </c>
      <c r="BN11" s="23">
        <f>BM11+'07.05'!BN11</f>
        <v>7</v>
      </c>
      <c r="BO11" s="36">
        <v>11506</v>
      </c>
      <c r="BP11" s="37">
        <v>3</v>
      </c>
      <c r="BQ11" s="23">
        <f>BP11+'07.05'!BQ11</f>
        <v>20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183</v>
      </c>
      <c r="D12" s="31">
        <f t="shared" si="0"/>
        <v>1669</v>
      </c>
      <c r="E12" s="32">
        <v>909</v>
      </c>
      <c r="F12" s="22">
        <v>31</v>
      </c>
      <c r="G12" s="23">
        <f>F12+'07.05'!G12</f>
        <v>396</v>
      </c>
      <c r="H12" s="33">
        <v>80</v>
      </c>
      <c r="I12" s="34">
        <v>0</v>
      </c>
      <c r="J12" s="23">
        <f>I12+'07.05'!J12</f>
        <v>11</v>
      </c>
      <c r="K12" s="33">
        <v>5</v>
      </c>
      <c r="L12" s="22">
        <v>0</v>
      </c>
      <c r="M12" s="23">
        <f>L12+'07.05'!M12</f>
        <v>0</v>
      </c>
      <c r="N12" s="33">
        <v>820</v>
      </c>
      <c r="O12" s="22">
        <v>0</v>
      </c>
      <c r="P12" s="23">
        <f>O12+'07.05'!P12</f>
        <v>58</v>
      </c>
      <c r="Q12" s="33">
        <v>549</v>
      </c>
      <c r="R12" s="22">
        <v>0</v>
      </c>
      <c r="S12" s="23">
        <f>R12+'07.05'!S12</f>
        <v>0</v>
      </c>
      <c r="T12" s="33">
        <v>992</v>
      </c>
      <c r="U12" s="22">
        <v>0</v>
      </c>
      <c r="V12" s="23">
        <f>U12+'07.05'!V12</f>
        <v>0</v>
      </c>
      <c r="W12" s="33">
        <v>38</v>
      </c>
      <c r="X12" s="22">
        <v>103</v>
      </c>
      <c r="Y12" s="23">
        <f>X12+'07.05'!Y12</f>
        <v>896</v>
      </c>
      <c r="Z12" s="33">
        <v>68</v>
      </c>
      <c r="AA12" s="22">
        <v>0</v>
      </c>
      <c r="AB12" s="23">
        <f>AA12+'07.05'!AB12</f>
        <v>0</v>
      </c>
      <c r="AC12" s="33">
        <v>26703</v>
      </c>
      <c r="AD12" s="22">
        <v>49</v>
      </c>
      <c r="AE12" s="23">
        <f>AD12+'07.05'!AE12</f>
        <v>308</v>
      </c>
      <c r="AF12" s="19">
        <f t="shared" si="1"/>
        <v>8180</v>
      </c>
      <c r="AG12" s="20">
        <f t="shared" si="1"/>
        <v>53488</v>
      </c>
      <c r="AH12" s="24">
        <v>500</v>
      </c>
      <c r="AI12" s="23">
        <f>AH12+'07.05'!AI12</f>
        <v>4599</v>
      </c>
      <c r="AJ12" s="24">
        <v>1480</v>
      </c>
      <c r="AK12" s="23">
        <f>AJ12+'07.05'!AK12</f>
        <v>12189</v>
      </c>
      <c r="AL12" s="22">
        <v>3100</v>
      </c>
      <c r="AM12" s="23">
        <f>AL12+'07.05'!AM12</f>
        <v>18350</v>
      </c>
      <c r="AN12" s="22">
        <v>3100</v>
      </c>
      <c r="AO12" s="23">
        <f>AN12+'07.05'!AO12</f>
        <v>18350</v>
      </c>
      <c r="AP12" s="28" t="s">
        <v>46</v>
      </c>
      <c r="AQ12" s="19">
        <f t="shared" si="3"/>
        <v>63</v>
      </c>
      <c r="AR12" s="20">
        <f t="shared" si="3"/>
        <v>535</v>
      </c>
      <c r="AS12" s="34">
        <v>0</v>
      </c>
      <c r="AT12" s="23">
        <f>AS12+'07.05'!AT12</f>
        <v>0</v>
      </c>
      <c r="AU12" s="34">
        <v>0</v>
      </c>
      <c r="AV12" s="23">
        <f>AU12+'07.05'!AV12</f>
        <v>0</v>
      </c>
      <c r="AW12" s="34">
        <v>0</v>
      </c>
      <c r="AX12" s="23">
        <f>AW12+'07.05'!AX12</f>
        <v>0</v>
      </c>
      <c r="AY12" s="34">
        <v>0</v>
      </c>
      <c r="AZ12" s="23">
        <f>AY12+'07.05'!AZ12</f>
        <v>0</v>
      </c>
      <c r="BA12" s="34">
        <v>63</v>
      </c>
      <c r="BB12" s="23">
        <f>BA12+'07.05'!BB12</f>
        <v>535</v>
      </c>
      <c r="BC12" s="19">
        <f t="shared" si="5"/>
        <v>2940</v>
      </c>
      <c r="BD12" s="20">
        <f t="shared" si="5"/>
        <v>23332</v>
      </c>
      <c r="BE12" s="22">
        <v>163</v>
      </c>
      <c r="BF12" s="23">
        <f>BE12+'07.05'!BF12</f>
        <v>1841</v>
      </c>
      <c r="BG12" s="34">
        <v>6</v>
      </c>
      <c r="BH12" s="23">
        <f>BG12+'07.05'!BH12</f>
        <v>57</v>
      </c>
      <c r="BI12" s="22">
        <v>2500</v>
      </c>
      <c r="BJ12" s="23">
        <f>BI12+'07.05'!BJ12</f>
        <v>19400</v>
      </c>
      <c r="BK12" s="22">
        <v>200</v>
      </c>
      <c r="BL12" s="23">
        <f>BK12+'07.05'!BL12</f>
        <v>1750</v>
      </c>
      <c r="BM12" s="22">
        <v>71</v>
      </c>
      <c r="BN12" s="23">
        <f>BM12+'07.05'!BN12</f>
        <v>284</v>
      </c>
      <c r="BO12" s="36"/>
      <c r="BP12" s="37">
        <v>2</v>
      </c>
      <c r="BQ12" s="23">
        <f>BP12+'07.05'!BQ12</f>
        <v>11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9</v>
      </c>
      <c r="D13" s="31">
        <f t="shared" si="0"/>
        <v>139</v>
      </c>
      <c r="E13" s="32">
        <v>516</v>
      </c>
      <c r="F13" s="22">
        <v>1</v>
      </c>
      <c r="G13" s="23">
        <f>F13+'07.05'!G13</f>
        <v>9</v>
      </c>
      <c r="H13" s="33">
        <v>10</v>
      </c>
      <c r="I13" s="34">
        <v>0</v>
      </c>
      <c r="J13" s="23">
        <f>I13+'07.05'!J13</f>
        <v>5</v>
      </c>
      <c r="K13" s="33">
        <v>38</v>
      </c>
      <c r="L13" s="22">
        <v>0</v>
      </c>
      <c r="M13" s="23">
        <f>L13+'07.05'!M13</f>
        <v>0</v>
      </c>
      <c r="N13" s="33">
        <v>581</v>
      </c>
      <c r="O13" s="22">
        <v>0</v>
      </c>
      <c r="P13" s="23">
        <f>O13+'07.05'!P13</f>
        <v>2</v>
      </c>
      <c r="Q13" s="33">
        <v>525</v>
      </c>
      <c r="R13" s="22">
        <v>0</v>
      </c>
      <c r="S13" s="23">
        <f>R13+'07.05'!S13</f>
        <v>0</v>
      </c>
      <c r="T13" s="33">
        <v>263</v>
      </c>
      <c r="U13" s="22">
        <v>0</v>
      </c>
      <c r="V13" s="23">
        <f>U13+'07.05'!V13</f>
        <v>0</v>
      </c>
      <c r="W13" s="33">
        <v>43</v>
      </c>
      <c r="X13" s="22">
        <v>0</v>
      </c>
      <c r="Y13" s="23">
        <f>X13+'07.05'!Y13</f>
        <v>0</v>
      </c>
      <c r="Z13" s="33">
        <v>17</v>
      </c>
      <c r="AA13" s="22">
        <v>0</v>
      </c>
      <c r="AB13" s="23">
        <f>AA13+'07.05'!AB13</f>
        <v>0</v>
      </c>
      <c r="AC13" s="33">
        <v>51</v>
      </c>
      <c r="AD13" s="22">
        <v>8</v>
      </c>
      <c r="AE13" s="23">
        <f>AD13+'07.05'!AE13</f>
        <v>123</v>
      </c>
      <c r="AF13" s="19">
        <f t="shared" si="1"/>
        <v>346700</v>
      </c>
      <c r="AG13" s="20">
        <f t="shared" si="1"/>
        <v>2094000</v>
      </c>
      <c r="AH13" s="24">
        <v>4000</v>
      </c>
      <c r="AI13" s="23">
        <f>AH13+'07.05'!AI13</f>
        <v>18000</v>
      </c>
      <c r="AJ13" s="24">
        <v>22700</v>
      </c>
      <c r="AK13" s="23">
        <f>AJ13+'07.05'!AK13</f>
        <v>127000</v>
      </c>
      <c r="AL13" s="22">
        <v>20000</v>
      </c>
      <c r="AM13" s="23">
        <f>AL13+'07.05'!AM13</f>
        <v>190000</v>
      </c>
      <c r="AN13" s="22">
        <v>300000</v>
      </c>
      <c r="AO13" s="23">
        <f>AN13+'07.05'!AO13</f>
        <v>1759000</v>
      </c>
      <c r="AP13" s="28" t="s">
        <v>47</v>
      </c>
      <c r="AQ13" s="19">
        <f t="shared" si="3"/>
        <v>52</v>
      </c>
      <c r="AR13" s="20">
        <f t="shared" si="3"/>
        <v>188</v>
      </c>
      <c r="AS13" s="34">
        <v>1</v>
      </c>
      <c r="AT13" s="23">
        <f>AS13+'07.05'!AT13</f>
        <v>7</v>
      </c>
      <c r="AU13" s="34">
        <v>1</v>
      </c>
      <c r="AV13" s="23">
        <f>AU13+'07.05'!AV13</f>
        <v>7</v>
      </c>
      <c r="AW13" s="34">
        <v>0</v>
      </c>
      <c r="AX13" s="23">
        <f>AW13+'07.05'!AX13</f>
        <v>0</v>
      </c>
      <c r="AY13" s="34">
        <v>0</v>
      </c>
      <c r="AZ13" s="23">
        <f>AY13+'07.05'!AZ13</f>
        <v>0</v>
      </c>
      <c r="BA13" s="34">
        <v>50</v>
      </c>
      <c r="BB13" s="23">
        <f>BA13+'07.05'!BB13</f>
        <v>174</v>
      </c>
      <c r="BC13" s="19">
        <f t="shared" si="5"/>
        <v>12804</v>
      </c>
      <c r="BD13" s="20">
        <f t="shared" si="5"/>
        <v>76306</v>
      </c>
      <c r="BE13" s="22">
        <v>516</v>
      </c>
      <c r="BF13" s="23">
        <f>BE13+'07.05'!BF13</f>
        <v>4128</v>
      </c>
      <c r="BG13" s="34">
        <v>21</v>
      </c>
      <c r="BH13" s="23">
        <f>BG13+'07.05'!BH13</f>
        <v>110</v>
      </c>
      <c r="BI13" s="22">
        <v>12000</v>
      </c>
      <c r="BJ13" s="23">
        <f>BI13+'07.05'!BJ13</f>
        <v>71000</v>
      </c>
      <c r="BK13" s="22">
        <v>200</v>
      </c>
      <c r="BL13" s="23">
        <f>BK13+'07.05'!BL13</f>
        <v>800</v>
      </c>
      <c r="BM13" s="22">
        <v>67</v>
      </c>
      <c r="BN13" s="23">
        <f>BM13+'07.05'!BN13</f>
        <v>268</v>
      </c>
      <c r="BO13" s="36"/>
      <c r="BP13" s="37">
        <v>1</v>
      </c>
      <c r="BQ13" s="23">
        <f>BP13+'07.05'!BQ13</f>
        <v>2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138</v>
      </c>
      <c r="D14" s="42">
        <f t="shared" si="0"/>
        <v>991</v>
      </c>
      <c r="E14" s="43">
        <v>304</v>
      </c>
      <c r="F14" s="22">
        <v>114</v>
      </c>
      <c r="G14" s="23">
        <f>F14+'07.05'!G14</f>
        <v>819</v>
      </c>
      <c r="H14" s="44">
        <v>5</v>
      </c>
      <c r="I14" s="45">
        <v>0</v>
      </c>
      <c r="J14" s="23">
        <f>I14+'07.05'!J14</f>
        <v>0</v>
      </c>
      <c r="K14" s="44">
        <v>34</v>
      </c>
      <c r="L14" s="22">
        <v>0</v>
      </c>
      <c r="M14" s="23">
        <f>L14+'07.05'!M14</f>
        <v>0</v>
      </c>
      <c r="N14" s="44">
        <v>583</v>
      </c>
      <c r="O14" s="22">
        <v>0</v>
      </c>
      <c r="P14" s="23">
        <f>O14+'07.05'!P14</f>
        <v>0</v>
      </c>
      <c r="Q14" s="44">
        <v>254</v>
      </c>
      <c r="R14" s="22">
        <v>0</v>
      </c>
      <c r="S14" s="23">
        <f>R14+'07.05'!S14</f>
        <v>0</v>
      </c>
      <c r="T14" s="44">
        <v>196</v>
      </c>
      <c r="U14" s="22">
        <v>0</v>
      </c>
      <c r="V14" s="23">
        <f>U14+'07.05'!V14</f>
        <v>0</v>
      </c>
      <c r="W14" s="44">
        <v>30</v>
      </c>
      <c r="X14" s="22">
        <v>6</v>
      </c>
      <c r="Y14" s="23">
        <f>X14+'07.05'!Y14</f>
        <v>122</v>
      </c>
      <c r="Z14" s="44">
        <v>10</v>
      </c>
      <c r="AA14" s="22">
        <v>0</v>
      </c>
      <c r="AB14" s="23">
        <f>AA14+'07.05'!AB14</f>
        <v>0</v>
      </c>
      <c r="AC14" s="44">
        <v>2500</v>
      </c>
      <c r="AD14" s="22">
        <v>18</v>
      </c>
      <c r="AE14" s="23">
        <f>AD14+'07.05'!AE14</f>
        <v>50</v>
      </c>
      <c r="AF14" s="19">
        <f t="shared" si="1"/>
        <v>119150</v>
      </c>
      <c r="AG14" s="20">
        <f t="shared" si="1"/>
        <v>877370</v>
      </c>
      <c r="AH14" s="24">
        <v>5650</v>
      </c>
      <c r="AI14" s="23">
        <f>AH14+'07.05'!AI14</f>
        <v>29290</v>
      </c>
      <c r="AJ14" s="24">
        <v>7900</v>
      </c>
      <c r="AK14" s="23">
        <f>AJ14+'07.05'!AK14</f>
        <v>48350</v>
      </c>
      <c r="AL14" s="22">
        <v>7400</v>
      </c>
      <c r="AM14" s="23">
        <f>AL14+'07.05'!AM14</f>
        <v>49350</v>
      </c>
      <c r="AN14" s="22">
        <v>98200</v>
      </c>
      <c r="AO14" s="23">
        <f>AN14+'07.05'!AO14</f>
        <v>750380</v>
      </c>
      <c r="AP14" s="39" t="s">
        <v>48</v>
      </c>
      <c r="AQ14" s="19">
        <f t="shared" si="3"/>
        <v>2</v>
      </c>
      <c r="AR14" s="20">
        <f t="shared" si="3"/>
        <v>34</v>
      </c>
      <c r="AS14" s="45">
        <v>0</v>
      </c>
      <c r="AT14" s="23">
        <f>AS14+'07.05'!AT14</f>
        <v>0</v>
      </c>
      <c r="AU14" s="45">
        <v>0</v>
      </c>
      <c r="AV14" s="23">
        <f>AU14+'07.05'!AV14</f>
        <v>2</v>
      </c>
      <c r="AW14" s="45">
        <v>0</v>
      </c>
      <c r="AX14" s="23">
        <f>AW14+'07.05'!AX14</f>
        <v>1</v>
      </c>
      <c r="AY14" s="45">
        <v>0</v>
      </c>
      <c r="AZ14" s="23">
        <f>AY14+'07.05'!AZ14</f>
        <v>1</v>
      </c>
      <c r="BA14" s="45">
        <v>2</v>
      </c>
      <c r="BB14" s="23">
        <f>BA14+'07.05'!BB14</f>
        <v>30</v>
      </c>
      <c r="BC14" s="19">
        <f t="shared" si="5"/>
        <v>2410</v>
      </c>
      <c r="BD14" s="20">
        <f t="shared" si="5"/>
        <v>27010</v>
      </c>
      <c r="BE14" s="22">
        <v>4</v>
      </c>
      <c r="BF14" s="23">
        <f>BE14+'07.05'!BF14</f>
        <v>33</v>
      </c>
      <c r="BG14" s="45">
        <v>1</v>
      </c>
      <c r="BH14" s="23">
        <f>BG14+'07.05'!BH14</f>
        <v>17</v>
      </c>
      <c r="BI14" s="22">
        <v>2400</v>
      </c>
      <c r="BJ14" s="23">
        <f>BI14+'07.05'!BJ14</f>
        <v>26900</v>
      </c>
      <c r="BK14" s="22">
        <v>4</v>
      </c>
      <c r="BL14" s="23">
        <f>BK14+'07.05'!BL14</f>
        <v>39</v>
      </c>
      <c r="BM14" s="22">
        <v>1</v>
      </c>
      <c r="BN14" s="23">
        <f>BM14+'07.05'!BN14</f>
        <v>21</v>
      </c>
      <c r="BO14" s="48">
        <v>22</v>
      </c>
      <c r="BP14" s="49">
        <v>0</v>
      </c>
      <c r="BQ14" s="23">
        <f>BP14+'07.05'!BQ14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407</v>
      </c>
      <c r="D15" s="53">
        <f t="shared" si="0"/>
        <v>3587</v>
      </c>
      <c r="E15" s="54">
        <v>776</v>
      </c>
      <c r="F15" s="55">
        <v>317</v>
      </c>
      <c r="G15" s="23">
        <f>F15+'07.05'!G15</f>
        <v>2628</v>
      </c>
      <c r="H15" s="56">
        <v>9</v>
      </c>
      <c r="I15" s="57">
        <v>0</v>
      </c>
      <c r="J15" s="23">
        <f>I15+'07.05'!J15</f>
        <v>0</v>
      </c>
      <c r="K15" s="56">
        <v>6</v>
      </c>
      <c r="L15" s="55">
        <v>0</v>
      </c>
      <c r="M15" s="23">
        <f>L15+'07.05'!M15</f>
        <v>0</v>
      </c>
      <c r="N15" s="56">
        <v>1305</v>
      </c>
      <c r="O15" s="55">
        <v>0</v>
      </c>
      <c r="P15" s="23">
        <f>O15+'07.05'!P15</f>
        <v>0</v>
      </c>
      <c r="Q15" s="56">
        <v>447</v>
      </c>
      <c r="R15" s="55">
        <v>0</v>
      </c>
      <c r="S15" s="23">
        <f>R15+'07.05'!S15</f>
        <v>0</v>
      </c>
      <c r="T15" s="56">
        <v>337</v>
      </c>
      <c r="U15" s="55">
        <v>0</v>
      </c>
      <c r="V15" s="23">
        <f>U15+'07.05'!V15</f>
        <v>0</v>
      </c>
      <c r="W15" s="56">
        <v>78</v>
      </c>
      <c r="X15" s="55">
        <v>0</v>
      </c>
      <c r="Y15" s="23">
        <f>X15+'07.05'!Y15</f>
        <v>0</v>
      </c>
      <c r="Z15" s="56">
        <v>141</v>
      </c>
      <c r="AA15" s="55">
        <v>0</v>
      </c>
      <c r="AB15" s="23">
        <f>AA15+'07.05'!AB15</f>
        <v>0</v>
      </c>
      <c r="AC15" s="56">
        <v>798</v>
      </c>
      <c r="AD15" s="55">
        <v>90</v>
      </c>
      <c r="AE15" s="23">
        <f>AD15+'07.05'!AE15</f>
        <v>959</v>
      </c>
      <c r="AF15" s="58">
        <f t="shared" si="1"/>
        <v>1589536</v>
      </c>
      <c r="AG15" s="59">
        <f t="shared" si="1"/>
        <v>12934341</v>
      </c>
      <c r="AH15" s="60">
        <v>701</v>
      </c>
      <c r="AI15" s="23">
        <f>AH15+'07.05'!AI15</f>
        <v>6856</v>
      </c>
      <c r="AJ15" s="60">
        <v>2805</v>
      </c>
      <c r="AK15" s="23">
        <f>AJ15+'07.05'!AK15</f>
        <v>25334</v>
      </c>
      <c r="AL15" s="55">
        <v>793015</v>
      </c>
      <c r="AM15" s="23">
        <f>AL15+'07.05'!AM15</f>
        <v>6451076</v>
      </c>
      <c r="AN15" s="55">
        <v>793015</v>
      </c>
      <c r="AO15" s="23">
        <f>AN15+'07.05'!AO15</f>
        <v>6451075</v>
      </c>
      <c r="AP15" s="50" t="s">
        <v>49</v>
      </c>
      <c r="AQ15" s="58">
        <f t="shared" si="3"/>
        <v>1</v>
      </c>
      <c r="AR15" s="59">
        <f t="shared" si="3"/>
        <v>19</v>
      </c>
      <c r="AS15" s="57">
        <v>0</v>
      </c>
      <c r="AT15" s="23">
        <f>AS15+'07.05'!AT15</f>
        <v>1</v>
      </c>
      <c r="AU15" s="57">
        <v>0</v>
      </c>
      <c r="AV15" s="23">
        <f>AU15+'07.05'!AV15</f>
        <v>1</v>
      </c>
      <c r="AW15" s="57">
        <v>0</v>
      </c>
      <c r="AX15" s="23">
        <f>AW15+'07.05'!AX15</f>
        <v>1</v>
      </c>
      <c r="AY15" s="57">
        <v>0</v>
      </c>
      <c r="AZ15" s="23">
        <f>AY15+'07.05'!AZ15</f>
        <v>0</v>
      </c>
      <c r="BA15" s="57">
        <v>1</v>
      </c>
      <c r="BB15" s="23">
        <f>BA15+'07.05'!BB15</f>
        <v>16</v>
      </c>
      <c r="BC15" s="58">
        <f t="shared" si="5"/>
        <v>1098</v>
      </c>
      <c r="BD15" s="59">
        <f t="shared" si="5"/>
        <v>11639</v>
      </c>
      <c r="BE15" s="55">
        <v>61</v>
      </c>
      <c r="BF15" s="23">
        <f>BE15+'07.05'!BF15</f>
        <v>546</v>
      </c>
      <c r="BG15" s="57">
        <v>1</v>
      </c>
      <c r="BH15" s="23">
        <f>BG15+'07.05'!BH15</f>
        <v>13</v>
      </c>
      <c r="BI15" s="55">
        <v>544</v>
      </c>
      <c r="BJ15" s="23">
        <f>BI15+'07.05'!BJ15</f>
        <v>5502</v>
      </c>
      <c r="BK15" s="55">
        <v>479</v>
      </c>
      <c r="BL15" s="23">
        <f>BK15+'07.05'!BL15</f>
        <v>5442</v>
      </c>
      <c r="BM15" s="55">
        <v>13</v>
      </c>
      <c r="BN15" s="23">
        <f>BM15+'07.05'!BN15</f>
        <v>136</v>
      </c>
      <c r="BO15" s="36">
        <v>6274</v>
      </c>
      <c r="BP15" s="37">
        <v>1</v>
      </c>
      <c r="BQ15" s="23">
        <f>BP15+'07.05'!BQ15</f>
        <v>9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143</v>
      </c>
      <c r="D16" s="31">
        <f t="shared" si="0"/>
        <v>1091</v>
      </c>
      <c r="E16" s="32">
        <v>310</v>
      </c>
      <c r="F16" s="22">
        <v>48</v>
      </c>
      <c r="G16" s="23">
        <f>F16+'07.05'!G16</f>
        <v>356</v>
      </c>
      <c r="H16" s="33">
        <v>5</v>
      </c>
      <c r="I16" s="34">
        <v>0</v>
      </c>
      <c r="J16" s="23">
        <f>I16+'07.05'!J16</f>
        <v>0</v>
      </c>
      <c r="K16" s="33">
        <v>3</v>
      </c>
      <c r="L16" s="22">
        <v>0</v>
      </c>
      <c r="M16" s="23">
        <f>L16+'07.05'!M16</f>
        <v>0</v>
      </c>
      <c r="N16" s="33">
        <v>384</v>
      </c>
      <c r="O16" s="22">
        <v>0</v>
      </c>
      <c r="P16" s="23">
        <f>O16+'07.05'!P16</f>
        <v>0</v>
      </c>
      <c r="Q16" s="33">
        <v>245</v>
      </c>
      <c r="R16" s="22">
        <v>0</v>
      </c>
      <c r="S16" s="23">
        <f>R16+'07.05'!S16</f>
        <v>0</v>
      </c>
      <c r="T16" s="33">
        <v>397</v>
      </c>
      <c r="U16" s="22">
        <v>0</v>
      </c>
      <c r="V16" s="23">
        <f>U16+'07.05'!V16</f>
        <v>0</v>
      </c>
      <c r="W16" s="33">
        <v>24</v>
      </c>
      <c r="X16" s="22">
        <v>53</v>
      </c>
      <c r="Y16" s="23">
        <f>X16+'07.05'!Y16</f>
        <v>400</v>
      </c>
      <c r="Z16" s="33">
        <v>18</v>
      </c>
      <c r="AA16" s="22">
        <v>0</v>
      </c>
      <c r="AB16" s="23">
        <f>AA16+'07.05'!AB16</f>
        <v>0</v>
      </c>
      <c r="AC16" s="33">
        <v>18515</v>
      </c>
      <c r="AD16" s="22">
        <v>42</v>
      </c>
      <c r="AE16" s="23">
        <f>AD16+'07.05'!AE16</f>
        <v>335</v>
      </c>
      <c r="AF16" s="19">
        <f t="shared" si="1"/>
        <v>62385</v>
      </c>
      <c r="AG16" s="20">
        <f t="shared" si="1"/>
        <v>480182</v>
      </c>
      <c r="AH16" s="24">
        <v>181</v>
      </c>
      <c r="AI16" s="23">
        <f>AH16+'07.05'!AI16</f>
        <v>1385</v>
      </c>
      <c r="AJ16" s="24">
        <v>1472</v>
      </c>
      <c r="AK16" s="23">
        <f>AJ16+'07.05'!AK16</f>
        <v>9952</v>
      </c>
      <c r="AL16" s="22">
        <v>1381</v>
      </c>
      <c r="AM16" s="23">
        <f>AL16+'07.05'!AM16</f>
        <v>12626</v>
      </c>
      <c r="AN16" s="22">
        <v>59351</v>
      </c>
      <c r="AO16" s="23">
        <f>AN16+'07.05'!AO16</f>
        <v>456219</v>
      </c>
      <c r="AP16" s="28" t="s">
        <v>51</v>
      </c>
      <c r="AQ16" s="19">
        <f t="shared" si="3"/>
        <v>78</v>
      </c>
      <c r="AR16" s="20">
        <f t="shared" si="3"/>
        <v>553</v>
      </c>
      <c r="AS16" s="34">
        <v>0</v>
      </c>
      <c r="AT16" s="23">
        <f>AS16+'07.05'!AT16</f>
        <v>1</v>
      </c>
      <c r="AU16" s="34">
        <v>0</v>
      </c>
      <c r="AV16" s="23">
        <f>AU16+'07.05'!AV16</f>
        <v>0</v>
      </c>
      <c r="AW16" s="34">
        <v>0</v>
      </c>
      <c r="AX16" s="23">
        <f>AW16+'07.05'!AX16</f>
        <v>0</v>
      </c>
      <c r="AY16" s="34">
        <v>0</v>
      </c>
      <c r="AZ16" s="23">
        <f>AY16+'07.05'!AZ16</f>
        <v>0</v>
      </c>
      <c r="BA16" s="34">
        <v>78</v>
      </c>
      <c r="BB16" s="23">
        <f>BA16+'07.05'!BB16</f>
        <v>552</v>
      </c>
      <c r="BC16" s="19">
        <f t="shared" si="5"/>
        <v>1477</v>
      </c>
      <c r="BD16" s="20">
        <f t="shared" si="5"/>
        <v>10402</v>
      </c>
      <c r="BE16" s="22">
        <v>71</v>
      </c>
      <c r="BF16" s="23">
        <f>BE16+'07.05'!BF16</f>
        <v>494</v>
      </c>
      <c r="BG16" s="34">
        <v>0</v>
      </c>
      <c r="BH16" s="23">
        <f>BG16+'07.05'!BH16</f>
        <v>0</v>
      </c>
      <c r="BI16" s="22">
        <v>1351</v>
      </c>
      <c r="BJ16" s="23">
        <f>BI16+'07.05'!BJ16</f>
        <v>9508</v>
      </c>
      <c r="BK16" s="22">
        <v>46</v>
      </c>
      <c r="BL16" s="23">
        <f>BK16+'07.05'!BL16</f>
        <v>367</v>
      </c>
      <c r="BM16" s="22">
        <v>9</v>
      </c>
      <c r="BN16" s="23">
        <f>BM16+'07.05'!BN16</f>
        <v>33</v>
      </c>
      <c r="BO16" s="36">
        <v>2546</v>
      </c>
      <c r="BP16" s="37">
        <v>0</v>
      </c>
      <c r="BQ16" s="23">
        <f>BP16+'07.05'!BQ16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171</v>
      </c>
      <c r="D17" s="31">
        <f t="shared" si="0"/>
        <v>1430</v>
      </c>
      <c r="E17" s="32">
        <v>754</v>
      </c>
      <c r="F17" s="22">
        <v>147</v>
      </c>
      <c r="G17" s="23">
        <f>F17+'07.05'!G17</f>
        <v>1200</v>
      </c>
      <c r="H17" s="33">
        <v>9</v>
      </c>
      <c r="I17" s="34">
        <v>0</v>
      </c>
      <c r="J17" s="23">
        <f>I17+'07.05'!J17</f>
        <v>0</v>
      </c>
      <c r="K17" s="33">
        <v>5</v>
      </c>
      <c r="L17" s="22">
        <v>0</v>
      </c>
      <c r="M17" s="23">
        <f>L17+'07.05'!M17</f>
        <v>0</v>
      </c>
      <c r="N17" s="33">
        <v>768</v>
      </c>
      <c r="O17" s="22">
        <v>0</v>
      </c>
      <c r="P17" s="23">
        <f>O17+'07.05'!P17</f>
        <v>0</v>
      </c>
      <c r="Q17" s="33">
        <v>624</v>
      </c>
      <c r="R17" s="22">
        <v>0</v>
      </c>
      <c r="S17" s="23">
        <f>R17+'07.05'!S17</f>
        <v>0</v>
      </c>
      <c r="T17" s="33">
        <v>742</v>
      </c>
      <c r="U17" s="22">
        <v>0</v>
      </c>
      <c r="V17" s="23">
        <f>U17+'07.05'!V17</f>
        <v>0</v>
      </c>
      <c r="W17" s="33">
        <v>54</v>
      </c>
      <c r="X17" s="22">
        <v>12</v>
      </c>
      <c r="Y17" s="23">
        <f>X17+'07.05'!Y17</f>
        <v>133</v>
      </c>
      <c r="Z17" s="33">
        <v>66</v>
      </c>
      <c r="AA17" s="22">
        <v>0</v>
      </c>
      <c r="AB17" s="23">
        <f>AA17+'07.05'!AB17</f>
        <v>0</v>
      </c>
      <c r="AC17" s="33">
        <v>2580</v>
      </c>
      <c r="AD17" s="22">
        <v>12</v>
      </c>
      <c r="AE17" s="23">
        <f>AD17+'07.05'!AE17</f>
        <v>97</v>
      </c>
      <c r="AF17" s="19">
        <f t="shared" si="1"/>
        <v>105100</v>
      </c>
      <c r="AG17" s="20">
        <f t="shared" si="1"/>
        <v>814800</v>
      </c>
      <c r="AH17" s="24">
        <v>5700</v>
      </c>
      <c r="AI17" s="23">
        <f>AH17+'07.05'!AI17</f>
        <v>52500</v>
      </c>
      <c r="AJ17" s="24">
        <v>9400</v>
      </c>
      <c r="AK17" s="23">
        <f>AJ17+'07.05'!AK17</f>
        <v>78300</v>
      </c>
      <c r="AL17" s="22">
        <v>22500</v>
      </c>
      <c r="AM17" s="23">
        <f>AL17+'07.05'!AM17</f>
        <v>179500</v>
      </c>
      <c r="AN17" s="22">
        <v>67500</v>
      </c>
      <c r="AO17" s="23">
        <f>AN17+'07.05'!AO17</f>
        <v>504500</v>
      </c>
      <c r="AP17" s="28" t="s">
        <v>52</v>
      </c>
      <c r="AQ17" s="19">
        <f t="shared" si="3"/>
        <v>22</v>
      </c>
      <c r="AR17" s="20">
        <f t="shared" si="3"/>
        <v>127</v>
      </c>
      <c r="AS17" s="34">
        <v>2</v>
      </c>
      <c r="AT17" s="23">
        <f>AS17+'07.05'!AT17</f>
        <v>10</v>
      </c>
      <c r="AU17" s="34">
        <v>2</v>
      </c>
      <c r="AV17" s="23">
        <f>AU17+'07.05'!AV17</f>
        <v>11</v>
      </c>
      <c r="AW17" s="34">
        <v>0</v>
      </c>
      <c r="AX17" s="23">
        <f>AW17+'07.05'!AX17</f>
        <v>0</v>
      </c>
      <c r="AY17" s="34">
        <v>0</v>
      </c>
      <c r="AZ17" s="23">
        <f>AY17+'07.05'!AZ17</f>
        <v>0</v>
      </c>
      <c r="BA17" s="34">
        <v>18</v>
      </c>
      <c r="BB17" s="23">
        <f>BA17+'07.05'!BB17</f>
        <v>106</v>
      </c>
      <c r="BC17" s="19">
        <f t="shared" si="5"/>
        <v>3552</v>
      </c>
      <c r="BD17" s="20">
        <f t="shared" si="5"/>
        <v>17472</v>
      </c>
      <c r="BE17" s="22">
        <v>41</v>
      </c>
      <c r="BF17" s="23">
        <f>BE17+'07.05'!BF17</f>
        <v>277</v>
      </c>
      <c r="BG17" s="34">
        <v>1</v>
      </c>
      <c r="BH17" s="23">
        <f>BG17+'07.05'!BH17</f>
        <v>9</v>
      </c>
      <c r="BI17" s="22">
        <v>3200</v>
      </c>
      <c r="BJ17" s="23">
        <f>BI17+'07.05'!BJ17</f>
        <v>15700</v>
      </c>
      <c r="BK17" s="22">
        <v>300</v>
      </c>
      <c r="BL17" s="23">
        <f>BK17+'07.05'!BL17</f>
        <v>1430</v>
      </c>
      <c r="BM17" s="22">
        <v>10</v>
      </c>
      <c r="BN17" s="23">
        <f>BM17+'07.05'!BN17</f>
        <v>56</v>
      </c>
      <c r="BO17" s="36">
        <v>8022</v>
      </c>
      <c r="BP17" s="37">
        <v>2</v>
      </c>
      <c r="BQ17" s="23">
        <f>BP17+'07.05'!BQ17</f>
        <v>33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306</v>
      </c>
      <c r="D18" s="20">
        <f t="shared" si="0"/>
        <v>2579</v>
      </c>
      <c r="E18" s="21">
        <v>1063</v>
      </c>
      <c r="F18" s="22">
        <v>201</v>
      </c>
      <c r="G18" s="23">
        <f>F18+'07.05'!G18</f>
        <v>1654</v>
      </c>
      <c r="H18" s="21">
        <v>19</v>
      </c>
      <c r="I18" s="22">
        <v>0</v>
      </c>
      <c r="J18" s="23">
        <f>I18+'07.05'!J18</f>
        <v>0</v>
      </c>
      <c r="K18" s="21">
        <v>8</v>
      </c>
      <c r="L18" s="22">
        <v>0</v>
      </c>
      <c r="M18" s="23">
        <f>L18+'07.05'!M18</f>
        <v>0</v>
      </c>
      <c r="N18" s="21">
        <v>1331</v>
      </c>
      <c r="O18" s="22">
        <v>0</v>
      </c>
      <c r="P18" s="23">
        <f>O18+'07.05'!P18</f>
        <v>0</v>
      </c>
      <c r="Q18" s="21">
        <v>777</v>
      </c>
      <c r="R18" s="22">
        <v>0</v>
      </c>
      <c r="S18" s="23">
        <f>R18+'07.05'!S18</f>
        <v>0</v>
      </c>
      <c r="T18" s="21">
        <v>318</v>
      </c>
      <c r="U18" s="22">
        <v>0</v>
      </c>
      <c r="V18" s="23">
        <f>U18+'07.05'!V18</f>
        <v>81</v>
      </c>
      <c r="W18" s="21">
        <v>60</v>
      </c>
      <c r="X18" s="22">
        <v>105</v>
      </c>
      <c r="Y18" s="23">
        <f>X18+'07.05'!Y18</f>
        <v>844</v>
      </c>
      <c r="Z18" s="21">
        <v>72</v>
      </c>
      <c r="AA18" s="22">
        <v>0</v>
      </c>
      <c r="AB18" s="23">
        <f>AA18+'07.05'!AB18</f>
        <v>0</v>
      </c>
      <c r="AC18" s="21">
        <v>143</v>
      </c>
      <c r="AD18" s="22">
        <v>0</v>
      </c>
      <c r="AE18" s="23">
        <f>AD18+'07.05'!AE18</f>
        <v>0</v>
      </c>
      <c r="AF18" s="19">
        <f t="shared" si="1"/>
        <v>121785</v>
      </c>
      <c r="AG18" s="20">
        <f t="shared" si="1"/>
        <v>1417027</v>
      </c>
      <c r="AH18" s="24">
        <v>190</v>
      </c>
      <c r="AI18" s="23">
        <f>AH18+'07.05'!AI18</f>
        <v>2785</v>
      </c>
      <c r="AJ18" s="24">
        <v>2338</v>
      </c>
      <c r="AK18" s="23">
        <f>AJ18+'07.05'!AK18</f>
        <v>22651</v>
      </c>
      <c r="AL18" s="22">
        <v>2926</v>
      </c>
      <c r="AM18" s="23">
        <f>AL18+'07.05'!AM18</f>
        <v>26906</v>
      </c>
      <c r="AN18" s="22">
        <v>116331</v>
      </c>
      <c r="AO18" s="23">
        <f>AN18+'07.05'!AO18</f>
        <v>1364685</v>
      </c>
      <c r="AP18" s="17" t="s">
        <v>53</v>
      </c>
      <c r="AQ18" s="19">
        <f t="shared" si="3"/>
        <v>2</v>
      </c>
      <c r="AR18" s="20">
        <f t="shared" si="3"/>
        <v>16</v>
      </c>
      <c r="AS18" s="22">
        <v>1</v>
      </c>
      <c r="AT18" s="23">
        <f>AS18+'07.05'!AT18</f>
        <v>2</v>
      </c>
      <c r="AU18" s="22">
        <v>0</v>
      </c>
      <c r="AV18" s="23">
        <f>AU18+'07.05'!AV18</f>
        <v>0</v>
      </c>
      <c r="AW18" s="22">
        <v>0</v>
      </c>
      <c r="AX18" s="23">
        <f>AW18+'07.05'!AX18</f>
        <v>0</v>
      </c>
      <c r="AY18" s="22">
        <v>0</v>
      </c>
      <c r="AZ18" s="23">
        <f>AY18+'07.05'!AZ18</f>
        <v>0</v>
      </c>
      <c r="BA18" s="22">
        <v>1</v>
      </c>
      <c r="BB18" s="23">
        <f>BA18+'07.05'!BB18</f>
        <v>14</v>
      </c>
      <c r="BC18" s="19">
        <f t="shared" si="5"/>
        <v>527</v>
      </c>
      <c r="BD18" s="20">
        <f t="shared" si="5"/>
        <v>7697</v>
      </c>
      <c r="BE18" s="22">
        <v>1</v>
      </c>
      <c r="BF18" s="23">
        <f>BE18+'07.05'!BF18</f>
        <v>9</v>
      </c>
      <c r="BG18" s="22">
        <v>387</v>
      </c>
      <c r="BH18" s="23">
        <f>BG18+'07.05'!BH18</f>
        <v>387</v>
      </c>
      <c r="BI18" s="22">
        <v>61</v>
      </c>
      <c r="BJ18" s="23">
        <f>BI18+'07.05'!BJ18</f>
        <v>6595</v>
      </c>
      <c r="BK18" s="22">
        <v>61</v>
      </c>
      <c r="BL18" s="23">
        <f>BK18+'07.05'!BL18</f>
        <v>655</v>
      </c>
      <c r="BM18" s="22">
        <v>17</v>
      </c>
      <c r="BN18" s="23">
        <f>BM18+'07.05'!BN18</f>
        <v>51</v>
      </c>
      <c r="BO18" s="36">
        <v>442</v>
      </c>
      <c r="BP18" s="37">
        <v>1</v>
      </c>
      <c r="BQ18" s="23">
        <f>BP18+'07.05'!BQ18</f>
        <v>33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41</v>
      </c>
      <c r="D19" s="31">
        <f t="shared" si="0"/>
        <v>268</v>
      </c>
      <c r="E19" s="33">
        <v>221</v>
      </c>
      <c r="F19" s="22">
        <v>6</v>
      </c>
      <c r="G19" s="23">
        <f>F19+'07.05'!G19</f>
        <v>60</v>
      </c>
      <c r="H19" s="33">
        <v>5</v>
      </c>
      <c r="I19" s="34">
        <v>0</v>
      </c>
      <c r="J19" s="23">
        <f>I19+'07.05'!J19</f>
        <v>0</v>
      </c>
      <c r="K19" s="33">
        <v>4</v>
      </c>
      <c r="L19" s="22">
        <v>0</v>
      </c>
      <c r="M19" s="23">
        <f>L19+'07.05'!M19</f>
        <v>0</v>
      </c>
      <c r="N19" s="33">
        <v>313</v>
      </c>
      <c r="O19" s="22">
        <v>18</v>
      </c>
      <c r="P19" s="23">
        <f>O19+'07.05'!P19</f>
        <v>57</v>
      </c>
      <c r="Q19" s="33">
        <v>203</v>
      </c>
      <c r="R19" s="22">
        <v>0</v>
      </c>
      <c r="S19" s="23">
        <f>R19+'07.05'!S19</f>
        <v>0</v>
      </c>
      <c r="T19" s="33">
        <v>241</v>
      </c>
      <c r="U19" s="22">
        <v>0</v>
      </c>
      <c r="V19" s="23">
        <f>U19+'07.05'!V19</f>
        <v>0</v>
      </c>
      <c r="W19" s="33">
        <v>14</v>
      </c>
      <c r="X19" s="22">
        <v>17</v>
      </c>
      <c r="Y19" s="23">
        <f>X19+'07.05'!Y19</f>
        <v>88</v>
      </c>
      <c r="Z19" s="33">
        <v>7</v>
      </c>
      <c r="AA19" s="22">
        <v>0</v>
      </c>
      <c r="AB19" s="23">
        <f>AA19+'07.05'!AB19</f>
        <v>0</v>
      </c>
      <c r="AC19" s="33">
        <v>32</v>
      </c>
      <c r="AD19" s="22">
        <v>0</v>
      </c>
      <c r="AE19" s="23">
        <f>AD19+'07.05'!AE19</f>
        <v>63</v>
      </c>
      <c r="AF19" s="19">
        <f t="shared" si="1"/>
        <v>3100</v>
      </c>
      <c r="AG19" s="20">
        <f t="shared" si="1"/>
        <v>23500</v>
      </c>
      <c r="AH19" s="24">
        <v>600</v>
      </c>
      <c r="AI19" s="23">
        <f>AH19+'07.05'!AI19</f>
        <v>4275</v>
      </c>
      <c r="AJ19" s="24">
        <v>600</v>
      </c>
      <c r="AK19" s="23">
        <f>AJ19+'07.05'!AK19</f>
        <v>4275</v>
      </c>
      <c r="AL19" s="22">
        <v>950</v>
      </c>
      <c r="AM19" s="23">
        <f>AL19+'07.05'!AM19</f>
        <v>7475</v>
      </c>
      <c r="AN19" s="22">
        <v>950</v>
      </c>
      <c r="AO19" s="23">
        <f>AN19+'07.05'!AO19</f>
        <v>7475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AS19+'07.05'!AT19</f>
        <v>0</v>
      </c>
      <c r="AU19" s="34">
        <v>0</v>
      </c>
      <c r="AV19" s="23">
        <f>AU19+'07.05'!AV19</f>
        <v>2</v>
      </c>
      <c r="AW19" s="34">
        <v>0</v>
      </c>
      <c r="AX19" s="23">
        <f>AW19+'07.05'!AX19</f>
        <v>0</v>
      </c>
      <c r="AY19" s="34">
        <v>0</v>
      </c>
      <c r="AZ19" s="23">
        <f>AY19+'07.05'!AZ19</f>
        <v>0</v>
      </c>
      <c r="BA19" s="34">
        <v>0</v>
      </c>
      <c r="BB19" s="23">
        <f>BA19+'07.05'!BB19</f>
        <v>0</v>
      </c>
      <c r="BC19" s="19">
        <f t="shared" si="5"/>
        <v>1220</v>
      </c>
      <c r="BD19" s="20">
        <f t="shared" si="5"/>
        <v>8295</v>
      </c>
      <c r="BE19" s="22">
        <v>14</v>
      </c>
      <c r="BF19" s="23">
        <f>BE19+'07.05'!BF19</f>
        <v>103</v>
      </c>
      <c r="BG19" s="34">
        <v>0</v>
      </c>
      <c r="BH19" s="23">
        <f>BG19+'07.05'!BH19</f>
        <v>2</v>
      </c>
      <c r="BI19" s="22">
        <v>1100</v>
      </c>
      <c r="BJ19" s="23">
        <f>BI19+'07.05'!BJ19</f>
        <v>7200</v>
      </c>
      <c r="BK19" s="22">
        <v>100</v>
      </c>
      <c r="BL19" s="23">
        <f>BK19+'07.05'!BL19</f>
        <v>950</v>
      </c>
      <c r="BM19" s="22">
        <v>6</v>
      </c>
      <c r="BN19" s="23">
        <f>BM19+'07.05'!BN19</f>
        <v>40</v>
      </c>
      <c r="BO19" s="36">
        <v>2898</v>
      </c>
      <c r="BP19" s="37">
        <v>0</v>
      </c>
      <c r="BQ19" s="23">
        <f>BP19+'07.05'!BQ19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293</v>
      </c>
      <c r="D20" s="31">
        <f t="shared" si="0"/>
        <v>2426</v>
      </c>
      <c r="E20" s="32">
        <v>723</v>
      </c>
      <c r="F20" s="22">
        <v>173</v>
      </c>
      <c r="G20" s="23">
        <f>F20+'07.05'!G20</f>
        <v>1376</v>
      </c>
      <c r="H20" s="33">
        <v>5</v>
      </c>
      <c r="I20" s="34">
        <v>1</v>
      </c>
      <c r="J20" s="23">
        <f>I20+'07.05'!J20</f>
        <v>8</v>
      </c>
      <c r="K20" s="33">
        <v>3</v>
      </c>
      <c r="L20" s="22">
        <v>0</v>
      </c>
      <c r="M20" s="23">
        <f>L20+'07.05'!M20</f>
        <v>0</v>
      </c>
      <c r="N20" s="33">
        <v>975</v>
      </c>
      <c r="O20" s="22">
        <v>48</v>
      </c>
      <c r="P20" s="23">
        <f>O20+'07.05'!P20</f>
        <v>500</v>
      </c>
      <c r="Q20" s="61">
        <v>1862</v>
      </c>
      <c r="R20" s="22">
        <v>1</v>
      </c>
      <c r="S20" s="23">
        <f>R20+'07.05'!S20</f>
        <v>10</v>
      </c>
      <c r="T20" s="33">
        <v>35</v>
      </c>
      <c r="U20" s="22">
        <v>1</v>
      </c>
      <c r="V20" s="23">
        <f>U20+'07.05'!V20</f>
        <v>8</v>
      </c>
      <c r="W20" s="33">
        <v>64</v>
      </c>
      <c r="X20" s="22">
        <v>1</v>
      </c>
      <c r="Y20" s="23">
        <f>X20+'07.05'!Y20</f>
        <v>10</v>
      </c>
      <c r="Z20" s="33">
        <v>15</v>
      </c>
      <c r="AA20" s="22">
        <v>2</v>
      </c>
      <c r="AB20" s="23">
        <f>AA20+'07.05'!AB20</f>
        <v>9</v>
      </c>
      <c r="AC20" s="33">
        <v>1546</v>
      </c>
      <c r="AD20" s="22">
        <v>66</v>
      </c>
      <c r="AE20" s="23">
        <f>AD20+'07.05'!AE20</f>
        <v>505</v>
      </c>
      <c r="AF20" s="19">
        <f t="shared" si="1"/>
        <v>15400</v>
      </c>
      <c r="AG20" s="20">
        <f t="shared" si="1"/>
        <v>145584</v>
      </c>
      <c r="AH20" s="24">
        <v>6400</v>
      </c>
      <c r="AI20" s="23">
        <f>AH20+'07.05'!AI20</f>
        <v>67632</v>
      </c>
      <c r="AJ20" s="24">
        <v>8200</v>
      </c>
      <c r="AK20" s="23">
        <f>AJ20+'07.05'!AK20</f>
        <v>71432</v>
      </c>
      <c r="AL20" s="22">
        <v>400</v>
      </c>
      <c r="AM20" s="23">
        <f>AL20+'07.05'!AM20</f>
        <v>3710</v>
      </c>
      <c r="AN20" s="22">
        <v>400</v>
      </c>
      <c r="AO20" s="23">
        <f>AN20+'07.05'!AO20</f>
        <v>2810</v>
      </c>
      <c r="AP20" s="28" t="s">
        <v>55</v>
      </c>
      <c r="AQ20" s="19">
        <f t="shared" si="3"/>
        <v>177</v>
      </c>
      <c r="AR20" s="20">
        <f t="shared" si="3"/>
        <v>1308</v>
      </c>
      <c r="AS20" s="34">
        <v>1</v>
      </c>
      <c r="AT20" s="23">
        <f>AS20+'07.05'!AT20</f>
        <v>8</v>
      </c>
      <c r="AU20" s="34">
        <v>0</v>
      </c>
      <c r="AV20" s="23">
        <f>AU20+'07.05'!AV20</f>
        <v>0</v>
      </c>
      <c r="AW20" s="34">
        <v>0</v>
      </c>
      <c r="AX20" s="23">
        <f>AW20+'07.05'!AX20</f>
        <v>0</v>
      </c>
      <c r="AY20" s="34">
        <v>0</v>
      </c>
      <c r="AZ20" s="23">
        <f>AY20+'07.05'!AZ20</f>
        <v>0</v>
      </c>
      <c r="BA20" s="34">
        <v>176</v>
      </c>
      <c r="BB20" s="23">
        <f>BA20+'07.05'!BB20</f>
        <v>1300</v>
      </c>
      <c r="BC20" s="19">
        <f t="shared" si="5"/>
        <v>2753</v>
      </c>
      <c r="BD20" s="20">
        <f t="shared" si="5"/>
        <v>28797</v>
      </c>
      <c r="BE20" s="22">
        <v>2</v>
      </c>
      <c r="BF20" s="23">
        <f>BE20+'07.05'!BF20</f>
        <v>16</v>
      </c>
      <c r="BG20" s="34">
        <v>0</v>
      </c>
      <c r="BH20" s="23">
        <f>BG20+'07.05'!BH20</f>
        <v>0</v>
      </c>
      <c r="BI20" s="22">
        <v>1370</v>
      </c>
      <c r="BJ20" s="23">
        <f>BI20+'07.05'!BJ20</f>
        <v>14344</v>
      </c>
      <c r="BK20" s="22">
        <v>1380</v>
      </c>
      <c r="BL20" s="23">
        <f>BK20+'07.05'!BL20</f>
        <v>14430</v>
      </c>
      <c r="BM20" s="22">
        <v>1</v>
      </c>
      <c r="BN20" s="23">
        <f>BM20+'07.05'!BN20</f>
        <v>7</v>
      </c>
      <c r="BO20" s="36">
        <v>5854</v>
      </c>
      <c r="BP20" s="37">
        <v>0</v>
      </c>
      <c r="BQ20" s="23">
        <f>BP20+'07.05'!BQ20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369</v>
      </c>
      <c r="D21" s="31">
        <f t="shared" si="0"/>
        <v>1841</v>
      </c>
      <c r="E21" s="32">
        <v>1017</v>
      </c>
      <c r="F21" s="22">
        <v>150</v>
      </c>
      <c r="G21" s="23">
        <f>F21+'07.05'!G21</f>
        <v>1230</v>
      </c>
      <c r="H21" s="33">
        <v>8</v>
      </c>
      <c r="I21" s="34">
        <v>2</v>
      </c>
      <c r="J21" s="23">
        <f>I21+'07.05'!J21</f>
        <v>26</v>
      </c>
      <c r="K21" s="33">
        <v>4</v>
      </c>
      <c r="L21" s="22">
        <v>0</v>
      </c>
      <c r="M21" s="23">
        <f>L21+'07.05'!M21</f>
        <v>0</v>
      </c>
      <c r="N21" s="33">
        <v>963</v>
      </c>
      <c r="O21" s="22">
        <v>0</v>
      </c>
      <c r="P21" s="23">
        <f>O21+'07.05'!P21</f>
        <v>19</v>
      </c>
      <c r="Q21" s="33">
        <v>912</v>
      </c>
      <c r="R21" s="22">
        <v>0</v>
      </c>
      <c r="S21" s="23">
        <f>R21+'07.05'!S21</f>
        <v>0</v>
      </c>
      <c r="T21" s="33">
        <v>199</v>
      </c>
      <c r="U21" s="22">
        <v>2</v>
      </c>
      <c r="V21" s="23">
        <f>U21+'07.05'!V21</f>
        <v>16</v>
      </c>
      <c r="W21" s="33">
        <v>101</v>
      </c>
      <c r="X21" s="22">
        <v>7</v>
      </c>
      <c r="Y21" s="23">
        <f>X21+'07.05'!Y21</f>
        <v>69</v>
      </c>
      <c r="Z21" s="33">
        <v>42</v>
      </c>
      <c r="AA21" s="22">
        <v>0</v>
      </c>
      <c r="AB21" s="23">
        <f>AA21+'07.05'!AB21</f>
        <v>1</v>
      </c>
      <c r="AC21" s="33">
        <v>20</v>
      </c>
      <c r="AD21" s="22">
        <v>208</v>
      </c>
      <c r="AE21" s="23">
        <f>AD21+'07.05'!AE21</f>
        <v>480</v>
      </c>
      <c r="AF21" s="19">
        <f t="shared" si="1"/>
        <v>1500000</v>
      </c>
      <c r="AG21" s="20">
        <f t="shared" si="1"/>
        <v>9052000</v>
      </c>
      <c r="AH21" s="24">
        <v>2000</v>
      </c>
      <c r="AI21" s="23">
        <f>AH21+'07.05'!AI21</f>
        <v>11000</v>
      </c>
      <c r="AJ21" s="24">
        <v>498000</v>
      </c>
      <c r="AK21" s="23">
        <f>AJ21+'07.05'!AK21</f>
        <v>1791000</v>
      </c>
      <c r="AL21" s="22">
        <v>1000</v>
      </c>
      <c r="AM21" s="23">
        <f>AL21+'07.05'!AM21</f>
        <v>19500</v>
      </c>
      <c r="AN21" s="22">
        <v>999000</v>
      </c>
      <c r="AO21" s="23">
        <f>AN21+'07.05'!AO21</f>
        <v>7230500</v>
      </c>
      <c r="AP21" s="28" t="s">
        <v>58</v>
      </c>
      <c r="AQ21" s="19">
        <f t="shared" si="3"/>
        <v>9</v>
      </c>
      <c r="AR21" s="20">
        <f t="shared" si="3"/>
        <v>62</v>
      </c>
      <c r="AS21" s="34">
        <v>1</v>
      </c>
      <c r="AT21" s="23">
        <f>AS21+'07.05'!AT21</f>
        <v>2</v>
      </c>
      <c r="AU21" s="34">
        <v>0</v>
      </c>
      <c r="AV21" s="23">
        <f>AU21+'07.05'!AV21</f>
        <v>28</v>
      </c>
      <c r="AW21" s="34">
        <v>0</v>
      </c>
      <c r="AX21" s="23">
        <f>AW21+'07.05'!AX21</f>
        <v>0</v>
      </c>
      <c r="AY21" s="34">
        <v>0</v>
      </c>
      <c r="AZ21" s="23">
        <f>AY21+'07.05'!AZ21</f>
        <v>0</v>
      </c>
      <c r="BA21" s="34">
        <v>8</v>
      </c>
      <c r="BB21" s="23">
        <f>BA21+'07.05'!BB21</f>
        <v>32</v>
      </c>
      <c r="BC21" s="19">
        <f t="shared" si="5"/>
        <v>2053</v>
      </c>
      <c r="BD21" s="20">
        <f t="shared" si="5"/>
        <v>20371</v>
      </c>
      <c r="BE21" s="22">
        <v>45</v>
      </c>
      <c r="BF21" s="23">
        <f>BE21+'07.05'!BF21</f>
        <v>325</v>
      </c>
      <c r="BG21" s="34">
        <v>0</v>
      </c>
      <c r="BH21" s="23">
        <f>BG21+'07.05'!BH21</f>
        <v>0</v>
      </c>
      <c r="BI21" s="22">
        <v>2000</v>
      </c>
      <c r="BJ21" s="23">
        <f>BI21+'07.05'!BJ21</f>
        <v>20000</v>
      </c>
      <c r="BK21" s="22">
        <v>0</v>
      </c>
      <c r="BL21" s="23">
        <f>BK21+'07.05'!BL21</f>
        <v>0</v>
      </c>
      <c r="BM21" s="22">
        <v>8</v>
      </c>
      <c r="BN21" s="23">
        <f>BM21+'07.05'!BN21</f>
        <v>46</v>
      </c>
      <c r="BO21" s="36">
        <v>68</v>
      </c>
      <c r="BP21" s="37">
        <v>2</v>
      </c>
      <c r="BQ21" s="23">
        <f>BP21+'07.05'!BQ21</f>
        <v>11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2191</v>
      </c>
      <c r="D22" s="31">
        <f t="shared" si="0"/>
        <v>16825</v>
      </c>
      <c r="E22" s="32">
        <v>509</v>
      </c>
      <c r="F22" s="22">
        <v>413</v>
      </c>
      <c r="G22" s="23">
        <f>F22+'07.05'!G22</f>
        <v>2782</v>
      </c>
      <c r="H22" s="33">
        <v>8</v>
      </c>
      <c r="I22" s="34">
        <v>0</v>
      </c>
      <c r="J22" s="23">
        <f>I22+'07.05'!J22</f>
        <v>0</v>
      </c>
      <c r="K22" s="33">
        <v>21</v>
      </c>
      <c r="L22" s="22">
        <v>0</v>
      </c>
      <c r="M22" s="23">
        <f>L22+'07.05'!M22</f>
        <v>0</v>
      </c>
      <c r="N22" s="33">
        <v>560</v>
      </c>
      <c r="O22" s="22">
        <v>112</v>
      </c>
      <c r="P22" s="23">
        <f>O22+'07.05'!P22</f>
        <v>515</v>
      </c>
      <c r="Q22" s="33">
        <v>375</v>
      </c>
      <c r="R22" s="22">
        <v>0</v>
      </c>
      <c r="S22" s="23">
        <f>R22+'07.05'!S22</f>
        <v>0</v>
      </c>
      <c r="T22" s="33">
        <v>165</v>
      </c>
      <c r="U22" s="22">
        <v>24</v>
      </c>
      <c r="V22" s="23">
        <f>U22+'07.05'!V22</f>
        <v>239</v>
      </c>
      <c r="W22" s="33">
        <v>28</v>
      </c>
      <c r="X22" s="22">
        <v>73</v>
      </c>
      <c r="Y22" s="23">
        <f>X22+'07.05'!Y22</f>
        <v>521</v>
      </c>
      <c r="Z22" s="33">
        <v>9</v>
      </c>
      <c r="AA22" s="22">
        <v>0</v>
      </c>
      <c r="AB22" s="23">
        <f>AA22+'07.05'!AB22</f>
        <v>0</v>
      </c>
      <c r="AC22" s="33">
        <v>112</v>
      </c>
      <c r="AD22" s="22">
        <v>1569</v>
      </c>
      <c r="AE22" s="23">
        <f>AD22+'07.05'!AE22</f>
        <v>12768</v>
      </c>
      <c r="AF22" s="19">
        <f t="shared" si="1"/>
        <v>617733</v>
      </c>
      <c r="AG22" s="20">
        <f t="shared" si="1"/>
        <v>3730286</v>
      </c>
      <c r="AH22" s="24">
        <v>3112</v>
      </c>
      <c r="AI22" s="23">
        <f>AH22+'07.05'!AI22</f>
        <v>19631</v>
      </c>
      <c r="AJ22" s="24">
        <v>7372</v>
      </c>
      <c r="AK22" s="23">
        <f>AJ22+'07.05'!AK22</f>
        <v>50430</v>
      </c>
      <c r="AL22" s="22">
        <v>18824</v>
      </c>
      <c r="AM22" s="23">
        <f>AL22+'07.05'!AM22</f>
        <v>76522</v>
      </c>
      <c r="AN22" s="22">
        <v>588425</v>
      </c>
      <c r="AO22" s="23">
        <f>AN22+'07.05'!AO22</f>
        <v>3583703</v>
      </c>
      <c r="AP22" s="28" t="s">
        <v>59</v>
      </c>
      <c r="AQ22" s="19">
        <f t="shared" si="3"/>
        <v>2087</v>
      </c>
      <c r="AR22" s="20">
        <f t="shared" si="3"/>
        <v>22891</v>
      </c>
      <c r="AS22" s="34">
        <v>0</v>
      </c>
      <c r="AT22" s="23">
        <f>AS22+'07.05'!AT22</f>
        <v>5</v>
      </c>
      <c r="AU22" s="34">
        <v>0</v>
      </c>
      <c r="AV22" s="23">
        <f>AU22+'07.05'!AV22</f>
        <v>5</v>
      </c>
      <c r="AW22" s="34">
        <v>0</v>
      </c>
      <c r="AX22" s="23">
        <f>AW22+'07.05'!AX22</f>
        <v>2</v>
      </c>
      <c r="AY22" s="34">
        <v>0</v>
      </c>
      <c r="AZ22" s="23">
        <f>AY22+'07.05'!AZ22</f>
        <v>1</v>
      </c>
      <c r="BA22" s="34">
        <v>2087</v>
      </c>
      <c r="BB22" s="23">
        <f>BA22+'07.05'!BB22</f>
        <v>22878</v>
      </c>
      <c r="BC22" s="19">
        <f t="shared" si="5"/>
        <v>6948</v>
      </c>
      <c r="BD22" s="20">
        <f t="shared" si="5"/>
        <v>64538</v>
      </c>
      <c r="BE22" s="22">
        <v>8</v>
      </c>
      <c r="BF22" s="23">
        <f>BE22+'07.05'!BF22</f>
        <v>46</v>
      </c>
      <c r="BG22" s="34">
        <v>63</v>
      </c>
      <c r="BH22" s="23">
        <f>BG22+'07.05'!BH22</f>
        <v>541</v>
      </c>
      <c r="BI22" s="22">
        <v>3629</v>
      </c>
      <c r="BJ22" s="23">
        <f>BI22+'07.05'!BJ22</f>
        <v>56300</v>
      </c>
      <c r="BK22" s="22">
        <v>3181</v>
      </c>
      <c r="BL22" s="23">
        <f>BK22+'07.05'!BL22</f>
        <v>7362</v>
      </c>
      <c r="BM22" s="22">
        <v>67</v>
      </c>
      <c r="BN22" s="23">
        <f>BM22+'07.05'!BN22</f>
        <v>289</v>
      </c>
      <c r="BO22" s="36">
        <v>26</v>
      </c>
      <c r="BP22" s="37">
        <v>393</v>
      </c>
      <c r="BQ22" s="23">
        <f>BP22+'07.05'!BQ22</f>
        <v>1618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4350</v>
      </c>
      <c r="D23" s="65">
        <f t="shared" si="0"/>
        <v>34007</v>
      </c>
      <c r="E23" s="66">
        <f>+E18+E19+E22+E17+E16+E15+E14+E13+E12+E11+E10+E9+E8</f>
        <v>7282</v>
      </c>
      <c r="F23" s="67">
        <f t="shared" ref="F23:J23" si="7">SUM(F8:F22)</f>
        <v>1622</v>
      </c>
      <c r="G23" s="68">
        <f t="shared" si="7"/>
        <v>12793</v>
      </c>
      <c r="H23" s="66">
        <f>+H18+H19+H22+H17+H16+H15+H14+H13+H12+H11+H10+H9+H8</f>
        <v>271</v>
      </c>
      <c r="I23" s="67">
        <f t="shared" si="7"/>
        <v>3</v>
      </c>
      <c r="J23" s="68">
        <f t="shared" si="7"/>
        <v>72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6</v>
      </c>
      <c r="N23" s="66">
        <f>+N18+N19+N22+N17+N16+N15+N14+N13+N12+N11+N10+N9+N8</f>
        <v>8607</v>
      </c>
      <c r="O23" s="67">
        <f t="shared" si="8"/>
        <v>181</v>
      </c>
      <c r="P23" s="68">
        <f t="shared" si="8"/>
        <v>1213</v>
      </c>
      <c r="Q23" s="66">
        <f>+Q18+Q19+Q22+Q17+Q16+Q15+Q14+Q13+Q12+Q11+Q10+Q9+Q8</f>
        <v>7474</v>
      </c>
      <c r="R23" s="67">
        <f t="shared" ref="R23:V23" si="9">SUM(R8:R22)</f>
        <v>6</v>
      </c>
      <c r="S23" s="68">
        <f t="shared" si="9"/>
        <v>58</v>
      </c>
      <c r="T23" s="66">
        <f>+T18+T19+T22+T17+T16+T15+T14+T13+T12+T11+T10+T9+T8</f>
        <v>4115</v>
      </c>
      <c r="U23" s="67">
        <f t="shared" si="9"/>
        <v>27</v>
      </c>
      <c r="V23" s="68">
        <f t="shared" si="9"/>
        <v>369</v>
      </c>
      <c r="W23" s="66">
        <f>+W18+W19+W22+W17+W16+W15+W14+W13+W12+W11+W10+W9+W8</f>
        <v>604</v>
      </c>
      <c r="X23" s="67">
        <f t="shared" ref="X23:AB23" si="10">SUM(X8:X22)</f>
        <v>391</v>
      </c>
      <c r="Y23" s="68">
        <f t="shared" si="10"/>
        <v>3249</v>
      </c>
      <c r="Z23" s="66">
        <f>+Z18+Z19+Z22+Z17+Z16+Z15+Z14+Z13+Z12+Z11+Z10+Z9+Z8</f>
        <v>1629</v>
      </c>
      <c r="AA23" s="67">
        <f t="shared" si="10"/>
        <v>2</v>
      </c>
      <c r="AB23" s="68">
        <f t="shared" si="10"/>
        <v>36</v>
      </c>
      <c r="AC23" s="66">
        <f>+AC18+AC19+AC22+AC17+AC16+AC15+AC14+AC13+AC12+AC11+AC10+AC9+AC8</f>
        <v>64846</v>
      </c>
      <c r="AD23" s="67">
        <f t="shared" ref="AD23:AO23" si="11">SUM(AD8:AD22)</f>
        <v>2118</v>
      </c>
      <c r="AE23" s="68">
        <f t="shared" si="11"/>
        <v>16211</v>
      </c>
      <c r="AF23" s="64">
        <f t="shared" si="11"/>
        <v>4541783</v>
      </c>
      <c r="AG23" s="64">
        <f t="shared" si="11"/>
        <v>32678868</v>
      </c>
      <c r="AH23" s="67">
        <f t="shared" si="11"/>
        <v>31479</v>
      </c>
      <c r="AI23" s="68">
        <f t="shared" si="11"/>
        <v>247118</v>
      </c>
      <c r="AJ23" s="67">
        <f t="shared" si="11"/>
        <v>568656</v>
      </c>
      <c r="AK23" s="68">
        <f t="shared" si="11"/>
        <v>2309217</v>
      </c>
      <c r="AL23" s="67">
        <f t="shared" si="11"/>
        <v>877246</v>
      </c>
      <c r="AM23" s="68">
        <f t="shared" si="11"/>
        <v>7189415</v>
      </c>
      <c r="AN23" s="67">
        <f t="shared" si="11"/>
        <v>3064402</v>
      </c>
      <c r="AO23" s="68">
        <f t="shared" si="11"/>
        <v>22933118</v>
      </c>
      <c r="AP23" s="62" t="s">
        <v>12</v>
      </c>
      <c r="AQ23" s="64">
        <f t="shared" ref="AQ23:BP23" si="12">SUM(AQ8:AQ22)</f>
        <v>2624</v>
      </c>
      <c r="AR23" s="64">
        <f t="shared" si="12"/>
        <v>27026</v>
      </c>
      <c r="AS23" s="67">
        <f t="shared" si="12"/>
        <v>6</v>
      </c>
      <c r="AT23" s="68">
        <f t="shared" si="12"/>
        <v>40</v>
      </c>
      <c r="AU23" s="67">
        <f t="shared" si="12"/>
        <v>3</v>
      </c>
      <c r="AV23" s="68">
        <f t="shared" si="12"/>
        <v>59</v>
      </c>
      <c r="AW23" s="67">
        <f t="shared" si="12"/>
        <v>0</v>
      </c>
      <c r="AX23" s="68">
        <f t="shared" si="12"/>
        <v>5</v>
      </c>
      <c r="AY23" s="67">
        <f t="shared" si="12"/>
        <v>0</v>
      </c>
      <c r="AZ23" s="68">
        <f t="shared" si="12"/>
        <v>2</v>
      </c>
      <c r="BA23" s="67">
        <f t="shared" si="12"/>
        <v>2615</v>
      </c>
      <c r="BB23" s="68">
        <f t="shared" si="12"/>
        <v>26920</v>
      </c>
      <c r="BC23" s="64">
        <f t="shared" si="12"/>
        <v>41472</v>
      </c>
      <c r="BD23" s="64">
        <f t="shared" si="12"/>
        <v>337484</v>
      </c>
      <c r="BE23" s="67">
        <f t="shared" si="12"/>
        <v>1070</v>
      </c>
      <c r="BF23" s="68">
        <f t="shared" si="12"/>
        <v>11950</v>
      </c>
      <c r="BG23" s="67">
        <f t="shared" si="12"/>
        <v>483</v>
      </c>
      <c r="BH23" s="68">
        <f t="shared" si="12"/>
        <v>1161</v>
      </c>
      <c r="BI23" s="67">
        <f t="shared" si="12"/>
        <v>33360</v>
      </c>
      <c r="BJ23" s="68">
        <f t="shared" si="12"/>
        <v>281212</v>
      </c>
      <c r="BK23" s="67">
        <f t="shared" si="12"/>
        <v>6284</v>
      </c>
      <c r="BL23" s="68">
        <f t="shared" si="12"/>
        <v>41908</v>
      </c>
      <c r="BM23" s="67">
        <f t="shared" si="12"/>
        <v>275</v>
      </c>
      <c r="BN23" s="68">
        <f t="shared" si="12"/>
        <v>1253</v>
      </c>
      <c r="BO23" s="69">
        <f t="shared" si="12"/>
        <v>37704</v>
      </c>
      <c r="BP23" s="70">
        <f t="shared" si="12"/>
        <v>405</v>
      </c>
      <c r="BQ23" s="23">
        <f>BP23+'20.04'!BP23</f>
        <v>431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BR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73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7</v>
      </c>
      <c r="D9" s="31">
        <f t="shared" si="0"/>
        <v>60</v>
      </c>
      <c r="E9" s="32">
        <v>452</v>
      </c>
      <c r="F9" s="22">
        <v>5</v>
      </c>
      <c r="G9" s="23">
        <f>F9+'08.05'!G9</f>
        <v>31</v>
      </c>
      <c r="H9" s="33">
        <v>12</v>
      </c>
      <c r="I9" s="34">
        <v>1</v>
      </c>
      <c r="J9" s="23">
        <f>I9+'08.05'!J9</f>
        <v>8</v>
      </c>
      <c r="K9" s="33">
        <v>2</v>
      </c>
      <c r="L9" s="22">
        <v>0</v>
      </c>
      <c r="M9" s="23">
        <f>L9+'08.05'!M9</f>
        <v>0</v>
      </c>
      <c r="N9" s="33">
        <v>735</v>
      </c>
      <c r="O9" s="22">
        <v>0</v>
      </c>
      <c r="P9" s="23">
        <f>O9+'08.05'!P9</f>
        <v>0</v>
      </c>
      <c r="Q9" s="33">
        <v>502</v>
      </c>
      <c r="R9" s="22">
        <v>0</v>
      </c>
      <c r="S9" s="23">
        <f>R9+'08.05'!S9</f>
        <v>0</v>
      </c>
      <c r="T9" s="33">
        <v>197</v>
      </c>
      <c r="U9" s="22">
        <v>0</v>
      </c>
      <c r="V9" s="23">
        <f>U9+'08.05'!V9</f>
        <v>0</v>
      </c>
      <c r="W9" s="33">
        <v>47</v>
      </c>
      <c r="X9" s="22">
        <v>1</v>
      </c>
      <c r="Y9" s="23">
        <f>X9+'08.05'!Y9</f>
        <v>9</v>
      </c>
      <c r="Z9" s="33">
        <v>34</v>
      </c>
      <c r="AA9" s="22">
        <v>0</v>
      </c>
      <c r="AB9" s="23">
        <f>AA9+'08.05'!AB9</f>
        <v>0</v>
      </c>
      <c r="AC9" s="33">
        <v>1860</v>
      </c>
      <c r="AD9" s="22">
        <v>0</v>
      </c>
      <c r="AE9" s="23">
        <f>AD9+'08.05'!AE9</f>
        <v>12</v>
      </c>
      <c r="AF9" s="19">
        <f t="shared" si="1"/>
        <v>9250</v>
      </c>
      <c r="AG9" s="20">
        <f t="shared" si="1"/>
        <v>80555</v>
      </c>
      <c r="AH9" s="24">
        <v>250</v>
      </c>
      <c r="AI9" s="23">
        <f>AH9+'08.05'!AI9</f>
        <v>1205</v>
      </c>
      <c r="AJ9" s="24">
        <v>850</v>
      </c>
      <c r="AK9" s="23">
        <f>AJ9+'08.05'!AK9</f>
        <v>8620</v>
      </c>
      <c r="AL9" s="22">
        <v>1000</v>
      </c>
      <c r="AM9" s="23">
        <f>AL9+'08.05'!AM9</f>
        <v>9060</v>
      </c>
      <c r="AN9" s="22">
        <v>7150</v>
      </c>
      <c r="AO9" s="23">
        <f>AN9+'08.05'!AO9</f>
        <v>61670</v>
      </c>
      <c r="AP9" s="28" t="s">
        <v>43</v>
      </c>
      <c r="AQ9" s="19">
        <f t="shared" si="3"/>
        <v>155</v>
      </c>
      <c r="AR9" s="20">
        <f t="shared" si="3"/>
        <v>1390</v>
      </c>
      <c r="AS9" s="34">
        <v>0</v>
      </c>
      <c r="AT9" s="23">
        <f>AS9+'08.05'!AT9</f>
        <v>2</v>
      </c>
      <c r="AU9" s="34">
        <v>0</v>
      </c>
      <c r="AV9" s="23">
        <f>AU9+'08.05'!AV9</f>
        <v>2</v>
      </c>
      <c r="AW9" s="34">
        <v>0</v>
      </c>
      <c r="AX9" s="23">
        <f>AW9+'08.05'!AX9</f>
        <v>1</v>
      </c>
      <c r="AY9" s="34">
        <v>0</v>
      </c>
      <c r="AZ9" s="23">
        <f>AY9+'08.05'!AZ9</f>
        <v>0</v>
      </c>
      <c r="BA9" s="34">
        <v>155</v>
      </c>
      <c r="BB9" s="23">
        <f>BA9+'08.05'!BB9</f>
        <v>1385</v>
      </c>
      <c r="BC9" s="19">
        <f t="shared" si="5"/>
        <v>303</v>
      </c>
      <c r="BD9" s="20">
        <f t="shared" si="5"/>
        <v>4121</v>
      </c>
      <c r="BE9" s="22">
        <v>2</v>
      </c>
      <c r="BF9" s="23">
        <f>BE9+'08.05'!BF9</f>
        <v>15</v>
      </c>
      <c r="BG9" s="34">
        <v>0</v>
      </c>
      <c r="BH9" s="23">
        <f>BG9+'08.05'!BH9</f>
        <v>0</v>
      </c>
      <c r="BI9" s="22">
        <v>300</v>
      </c>
      <c r="BJ9" s="23">
        <f>BI9+'08.05'!BJ9</f>
        <v>4090</v>
      </c>
      <c r="BK9" s="22">
        <v>0</v>
      </c>
      <c r="BL9" s="23">
        <f>BK9+'08.05'!BL9</f>
        <v>0</v>
      </c>
      <c r="BM9" s="22">
        <v>1</v>
      </c>
      <c r="BN9" s="23">
        <f>BM9+'08.05'!BN9</f>
        <v>16</v>
      </c>
      <c r="BO9" s="36">
        <v>14</v>
      </c>
      <c r="BP9" s="37">
        <v>1</v>
      </c>
      <c r="BQ9" s="23">
        <f>BP9+'08.05'!BQ9</f>
        <v>3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120</v>
      </c>
      <c r="D10" s="31">
        <f t="shared" si="0"/>
        <v>930</v>
      </c>
      <c r="E10" s="32">
        <v>585</v>
      </c>
      <c r="F10" s="22">
        <v>0</v>
      </c>
      <c r="G10" s="23">
        <f>F10+'08.05'!G10</f>
        <v>102</v>
      </c>
      <c r="H10" s="33">
        <v>93</v>
      </c>
      <c r="I10" s="34">
        <v>0</v>
      </c>
      <c r="J10" s="23">
        <f>I10+'08.05'!J10</f>
        <v>15</v>
      </c>
      <c r="K10" s="33">
        <v>34</v>
      </c>
      <c r="L10" s="22">
        <v>0</v>
      </c>
      <c r="M10" s="23">
        <f>L10+'08.05'!M10</f>
        <v>6</v>
      </c>
      <c r="N10" s="33">
        <v>352</v>
      </c>
      <c r="O10" s="22">
        <v>0</v>
      </c>
      <c r="P10" s="23">
        <f>O10+'08.05'!P10</f>
        <v>62</v>
      </c>
      <c r="Q10" s="33">
        <v>549</v>
      </c>
      <c r="R10" s="22">
        <v>0</v>
      </c>
      <c r="S10" s="23">
        <f>R10+'08.05'!S10</f>
        <v>48</v>
      </c>
      <c r="T10" s="33">
        <v>198</v>
      </c>
      <c r="U10" s="22">
        <v>0</v>
      </c>
      <c r="V10" s="23">
        <f>U10+'08.05'!V10</f>
        <v>25</v>
      </c>
      <c r="W10" s="38">
        <v>55</v>
      </c>
      <c r="X10" s="22">
        <v>6</v>
      </c>
      <c r="Y10" s="23">
        <f>X10+'08.05'!Y10</f>
        <v>29</v>
      </c>
      <c r="Z10" s="38">
        <v>71</v>
      </c>
      <c r="AA10" s="22">
        <v>0</v>
      </c>
      <c r="AB10" s="23">
        <f>AA10+'08.05'!AB10</f>
        <v>26</v>
      </c>
      <c r="AC10" s="38">
        <v>1690</v>
      </c>
      <c r="AD10" s="22">
        <v>114</v>
      </c>
      <c r="AE10" s="23">
        <f>AD10+'08.05'!AE10</f>
        <v>617</v>
      </c>
      <c r="AF10" s="19">
        <f t="shared" si="1"/>
        <v>87045</v>
      </c>
      <c r="AG10" s="20">
        <f t="shared" si="1"/>
        <v>884930</v>
      </c>
      <c r="AH10" s="24">
        <v>237</v>
      </c>
      <c r="AI10" s="23">
        <f>AH10+'08.05'!AI10</f>
        <v>8447</v>
      </c>
      <c r="AJ10" s="24">
        <v>2185</v>
      </c>
      <c r="AK10" s="23">
        <f>AJ10+'08.05'!AK10</f>
        <v>39219</v>
      </c>
      <c r="AL10" s="22">
        <v>7330</v>
      </c>
      <c r="AM10" s="23">
        <f>AL10+'08.05'!AM10</f>
        <v>102170</v>
      </c>
      <c r="AN10" s="22">
        <v>77293</v>
      </c>
      <c r="AO10" s="23">
        <f>AN10+'08.05'!AO10</f>
        <v>735094</v>
      </c>
      <c r="AP10" s="28" t="s">
        <v>44</v>
      </c>
      <c r="AQ10" s="19">
        <f t="shared" si="3"/>
        <v>7</v>
      </c>
      <c r="AR10" s="20">
        <f t="shared" si="3"/>
        <v>43</v>
      </c>
      <c r="AS10" s="34">
        <v>0</v>
      </c>
      <c r="AT10" s="23">
        <f>AS10+'08.05'!AT10</f>
        <v>2</v>
      </c>
      <c r="AU10" s="34">
        <v>1</v>
      </c>
      <c r="AV10" s="23">
        <f>AU10+'08.05'!AV10</f>
        <v>2</v>
      </c>
      <c r="AW10" s="34">
        <v>0</v>
      </c>
      <c r="AX10" s="23">
        <f>AW10+'08.05'!AX10</f>
        <v>0</v>
      </c>
      <c r="AY10" s="34">
        <v>0</v>
      </c>
      <c r="AZ10" s="23">
        <f>AY10+'08.05'!AZ10</f>
        <v>0</v>
      </c>
      <c r="BA10" s="34">
        <v>6</v>
      </c>
      <c r="BB10" s="23">
        <f>BA10+'08.05'!BB10</f>
        <v>39</v>
      </c>
      <c r="BC10" s="19">
        <f t="shared" si="5"/>
        <v>2148</v>
      </c>
      <c r="BD10" s="20">
        <f t="shared" si="5"/>
        <v>33609</v>
      </c>
      <c r="BE10" s="22">
        <v>404</v>
      </c>
      <c r="BF10" s="23">
        <f>BE10+'08.05'!BF10</f>
        <v>4512</v>
      </c>
      <c r="BG10" s="34">
        <v>0</v>
      </c>
      <c r="BH10" s="23">
        <f>BG10+'08.05'!BH10</f>
        <v>4</v>
      </c>
      <c r="BI10" s="22">
        <v>1291</v>
      </c>
      <c r="BJ10" s="23">
        <f>BI10+'08.05'!BJ10</f>
        <v>20114</v>
      </c>
      <c r="BK10" s="22">
        <v>453</v>
      </c>
      <c r="BL10" s="23">
        <f>BK10+'08.05'!BL10</f>
        <v>8979</v>
      </c>
      <c r="BM10" s="22">
        <v>0</v>
      </c>
      <c r="BN10" s="23">
        <f>BM10+'08.05'!BN10</f>
        <v>0</v>
      </c>
      <c r="BO10" s="36">
        <v>32</v>
      </c>
      <c r="BP10" s="37">
        <v>0</v>
      </c>
      <c r="BQ10" s="23">
        <f>BP10+'08.05'!BQ10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330</v>
      </c>
      <c r="E11" s="32">
        <v>883</v>
      </c>
      <c r="F11" s="22">
        <v>15</v>
      </c>
      <c r="G11" s="23">
        <f>F11+'08.05'!G11</f>
        <v>170</v>
      </c>
      <c r="H11" s="33">
        <v>16</v>
      </c>
      <c r="I11" s="34">
        <v>0</v>
      </c>
      <c r="J11" s="23">
        <f>I11+'08.05'!J11</f>
        <v>0</v>
      </c>
      <c r="K11" s="33">
        <v>3</v>
      </c>
      <c r="L11" s="22">
        <v>0</v>
      </c>
      <c r="M11" s="23">
        <f>L11+'08.05'!M11</f>
        <v>0</v>
      </c>
      <c r="N11" s="33">
        <v>875</v>
      </c>
      <c r="O11" s="22">
        <v>0</v>
      </c>
      <c r="P11" s="23">
        <f>O11+'08.05'!P11</f>
        <v>0</v>
      </c>
      <c r="Q11" s="33">
        <v>2424</v>
      </c>
      <c r="R11" s="22">
        <v>0</v>
      </c>
      <c r="S11" s="23">
        <f>R11+'08.05'!S11</f>
        <v>0</v>
      </c>
      <c r="T11" s="33">
        <v>69</v>
      </c>
      <c r="U11" s="22">
        <v>0</v>
      </c>
      <c r="V11" s="23">
        <f>U11+'08.05'!V11</f>
        <v>0</v>
      </c>
      <c r="W11" s="38">
        <v>133</v>
      </c>
      <c r="X11" s="22">
        <v>15</v>
      </c>
      <c r="Y11" s="23">
        <f>X11+'08.05'!Y11</f>
        <v>150</v>
      </c>
      <c r="Z11" s="38">
        <v>1116</v>
      </c>
      <c r="AA11" s="22">
        <v>0</v>
      </c>
      <c r="AB11" s="23">
        <f>AA11+'08.05'!AB11</f>
        <v>0</v>
      </c>
      <c r="AC11" s="38">
        <v>9862</v>
      </c>
      <c r="AD11" s="22">
        <v>2</v>
      </c>
      <c r="AE11" s="23">
        <f>AD11+'08.05'!AE11</f>
        <v>10</v>
      </c>
      <c r="AF11" s="19">
        <f t="shared" si="1"/>
        <v>14600</v>
      </c>
      <c r="AG11" s="20">
        <f t="shared" si="1"/>
        <v>201700</v>
      </c>
      <c r="AH11" s="24">
        <v>2200</v>
      </c>
      <c r="AI11" s="23">
        <f>AH11+'08.05'!AI11</f>
        <v>22200</v>
      </c>
      <c r="AJ11" s="24">
        <v>2300</v>
      </c>
      <c r="AK11" s="23">
        <f>AJ11+'08.05'!AK11</f>
        <v>25800</v>
      </c>
      <c r="AL11" s="22">
        <v>2500</v>
      </c>
      <c r="AM11" s="23">
        <f>AL11+'08.05'!AM11</f>
        <v>54000</v>
      </c>
      <c r="AN11" s="22">
        <v>7600</v>
      </c>
      <c r="AO11" s="23">
        <f>AN11+'08.05'!AO11</f>
        <v>99700</v>
      </c>
      <c r="AP11" s="28" t="s">
        <v>45</v>
      </c>
      <c r="AQ11" s="19">
        <f t="shared" si="3"/>
        <v>3</v>
      </c>
      <c r="AR11" s="20">
        <f t="shared" si="3"/>
        <v>23</v>
      </c>
      <c r="AS11" s="34">
        <v>0</v>
      </c>
      <c r="AT11" s="23">
        <f>AS11+'08.05'!AT11</f>
        <v>0</v>
      </c>
      <c r="AU11" s="34">
        <v>0</v>
      </c>
      <c r="AV11" s="23">
        <f>AU11+'08.05'!AV11</f>
        <v>0</v>
      </c>
      <c r="AW11" s="34">
        <v>0</v>
      </c>
      <c r="AX11" s="23">
        <f>AW11+'08.05'!AX11</f>
        <v>0</v>
      </c>
      <c r="AY11" s="34">
        <v>0</v>
      </c>
      <c r="AZ11" s="23">
        <f>AY11+'08.05'!AZ11</f>
        <v>0</v>
      </c>
      <c r="BA11" s="34">
        <v>3</v>
      </c>
      <c r="BB11" s="23">
        <f>BA11+'08.05'!BB11</f>
        <v>23</v>
      </c>
      <c r="BC11" s="19">
        <f t="shared" si="5"/>
        <v>483</v>
      </c>
      <c r="BD11" s="20">
        <f t="shared" si="5"/>
        <v>6829</v>
      </c>
      <c r="BE11" s="22">
        <v>2</v>
      </c>
      <c r="BF11" s="23">
        <f>BE11+'08.05'!BF11</f>
        <v>13</v>
      </c>
      <c r="BG11" s="34">
        <v>4</v>
      </c>
      <c r="BH11" s="23">
        <f>BG11+'08.05'!BH11</f>
        <v>25</v>
      </c>
      <c r="BI11" s="22">
        <v>460</v>
      </c>
      <c r="BJ11" s="23">
        <f>BI11+'08.05'!BJ11</f>
        <v>6610</v>
      </c>
      <c r="BK11" s="22">
        <v>15</v>
      </c>
      <c r="BL11" s="23">
        <f>BK11+'08.05'!BL11</f>
        <v>172</v>
      </c>
      <c r="BM11" s="22">
        <v>2</v>
      </c>
      <c r="BN11" s="23">
        <f>BM11+'08.05'!BN11</f>
        <v>9</v>
      </c>
      <c r="BO11" s="36">
        <v>11506</v>
      </c>
      <c r="BP11" s="37">
        <v>4</v>
      </c>
      <c r="BQ11" s="23">
        <f>BP11+'08.05'!BQ11</f>
        <v>24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182</v>
      </c>
      <c r="D12" s="31">
        <f t="shared" si="0"/>
        <v>1851</v>
      </c>
      <c r="E12" s="32">
        <v>909</v>
      </c>
      <c r="F12" s="22">
        <v>38</v>
      </c>
      <c r="G12" s="23">
        <f>F12+'08.05'!G12</f>
        <v>434</v>
      </c>
      <c r="H12" s="33">
        <v>80</v>
      </c>
      <c r="I12" s="34">
        <v>0</v>
      </c>
      <c r="J12" s="23">
        <f>I12+'08.05'!J12</f>
        <v>11</v>
      </c>
      <c r="K12" s="33">
        <v>5</v>
      </c>
      <c r="L12" s="22">
        <v>0</v>
      </c>
      <c r="M12" s="23">
        <f>L12+'08.05'!M12</f>
        <v>0</v>
      </c>
      <c r="N12" s="33">
        <v>820</v>
      </c>
      <c r="O12" s="22">
        <v>0</v>
      </c>
      <c r="P12" s="23">
        <f>O12+'08.05'!P12</f>
        <v>58</v>
      </c>
      <c r="Q12" s="33">
        <v>549</v>
      </c>
      <c r="R12" s="22">
        <v>0</v>
      </c>
      <c r="S12" s="23">
        <f>R12+'08.05'!S12</f>
        <v>0</v>
      </c>
      <c r="T12" s="33">
        <v>992</v>
      </c>
      <c r="U12" s="22">
        <v>0</v>
      </c>
      <c r="V12" s="23">
        <f>U12+'08.05'!V12</f>
        <v>0</v>
      </c>
      <c r="W12" s="33">
        <v>38</v>
      </c>
      <c r="X12" s="22">
        <v>114</v>
      </c>
      <c r="Y12" s="23">
        <f>X12+'08.05'!Y12</f>
        <v>1010</v>
      </c>
      <c r="Z12" s="33">
        <v>68</v>
      </c>
      <c r="AA12" s="22">
        <v>0</v>
      </c>
      <c r="AB12" s="23">
        <f>AA12+'08.05'!AB12</f>
        <v>0</v>
      </c>
      <c r="AC12" s="33">
        <v>26703</v>
      </c>
      <c r="AD12" s="22">
        <v>30</v>
      </c>
      <c r="AE12" s="23">
        <f>AD12+'08.05'!AE12</f>
        <v>338</v>
      </c>
      <c r="AF12" s="19">
        <f t="shared" si="1"/>
        <v>6310</v>
      </c>
      <c r="AG12" s="20">
        <f t="shared" si="1"/>
        <v>59798</v>
      </c>
      <c r="AH12" s="24">
        <v>210</v>
      </c>
      <c r="AI12" s="23">
        <f>AH12+'08.05'!AI12</f>
        <v>4809</v>
      </c>
      <c r="AJ12" s="24">
        <v>2000</v>
      </c>
      <c r="AK12" s="23">
        <f>AJ12+'08.05'!AK12</f>
        <v>14189</v>
      </c>
      <c r="AL12" s="22">
        <v>2050</v>
      </c>
      <c r="AM12" s="23">
        <f>AL12+'08.05'!AM12</f>
        <v>20400</v>
      </c>
      <c r="AN12" s="22">
        <v>2050</v>
      </c>
      <c r="AO12" s="23">
        <f>AN12+'08.05'!AO12</f>
        <v>20400</v>
      </c>
      <c r="AP12" s="28" t="s">
        <v>46</v>
      </c>
      <c r="AQ12" s="19">
        <f t="shared" si="3"/>
        <v>67</v>
      </c>
      <c r="AR12" s="20">
        <f t="shared" si="3"/>
        <v>602</v>
      </c>
      <c r="AS12" s="34">
        <v>0</v>
      </c>
      <c r="AT12" s="23">
        <f>AS12+'08.05'!AT12</f>
        <v>0</v>
      </c>
      <c r="AU12" s="34">
        <v>0</v>
      </c>
      <c r="AV12" s="23">
        <f>AU12+'08.05'!AV12</f>
        <v>0</v>
      </c>
      <c r="AW12" s="34">
        <v>0</v>
      </c>
      <c r="AX12" s="23">
        <f>AW12+'08.05'!AX12</f>
        <v>0</v>
      </c>
      <c r="AY12" s="34">
        <v>0</v>
      </c>
      <c r="AZ12" s="23">
        <f>AY12+'08.05'!AZ12</f>
        <v>0</v>
      </c>
      <c r="BA12" s="34">
        <v>67</v>
      </c>
      <c r="BB12" s="23">
        <f>BA12+'08.05'!BB12</f>
        <v>602</v>
      </c>
      <c r="BC12" s="19">
        <f t="shared" si="5"/>
        <v>1388</v>
      </c>
      <c r="BD12" s="20">
        <f t="shared" si="5"/>
        <v>24720</v>
      </c>
      <c r="BE12" s="22">
        <v>115</v>
      </c>
      <c r="BF12" s="23">
        <f>BE12+'08.05'!BF12</f>
        <v>1956</v>
      </c>
      <c r="BG12" s="34">
        <v>2</v>
      </c>
      <c r="BH12" s="23">
        <f>BG12+'08.05'!BH12</f>
        <v>59</v>
      </c>
      <c r="BI12" s="22">
        <v>1100</v>
      </c>
      <c r="BJ12" s="23">
        <f>BI12+'08.05'!BJ12</f>
        <v>20500</v>
      </c>
      <c r="BK12" s="22">
        <v>100</v>
      </c>
      <c r="BL12" s="23">
        <f>BK12+'08.05'!BL12</f>
        <v>1850</v>
      </c>
      <c r="BM12" s="22">
        <v>71</v>
      </c>
      <c r="BN12" s="23">
        <f>BM12+'08.05'!BN12</f>
        <v>355</v>
      </c>
      <c r="BO12" s="36"/>
      <c r="BP12" s="37">
        <v>0</v>
      </c>
      <c r="BQ12" s="23">
        <f>BP12+'08.05'!BQ12</f>
        <v>11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142</v>
      </c>
      <c r="E13" s="32">
        <v>516</v>
      </c>
      <c r="F13" s="22">
        <v>1</v>
      </c>
      <c r="G13" s="23">
        <f>F13+'08.05'!G13</f>
        <v>10</v>
      </c>
      <c r="H13" s="33">
        <v>10</v>
      </c>
      <c r="I13" s="34">
        <v>0</v>
      </c>
      <c r="J13" s="23">
        <f>I13+'08.05'!J13</f>
        <v>5</v>
      </c>
      <c r="K13" s="33">
        <v>38</v>
      </c>
      <c r="L13" s="22">
        <v>0</v>
      </c>
      <c r="M13" s="23">
        <f>L13+'08.05'!M13</f>
        <v>0</v>
      </c>
      <c r="N13" s="33">
        <v>581</v>
      </c>
      <c r="O13" s="22">
        <v>1</v>
      </c>
      <c r="P13" s="23">
        <f>O13+'08.05'!P13</f>
        <v>3</v>
      </c>
      <c r="Q13" s="33">
        <v>525</v>
      </c>
      <c r="R13" s="22">
        <v>0</v>
      </c>
      <c r="S13" s="23">
        <f>R13+'08.05'!S13</f>
        <v>0</v>
      </c>
      <c r="T13" s="33">
        <v>263</v>
      </c>
      <c r="U13" s="22">
        <v>0</v>
      </c>
      <c r="V13" s="23">
        <f>U13+'08.05'!V13</f>
        <v>0</v>
      </c>
      <c r="W13" s="33">
        <v>43</v>
      </c>
      <c r="X13" s="22">
        <v>0</v>
      </c>
      <c r="Y13" s="23">
        <f>X13+'08.05'!Y13</f>
        <v>0</v>
      </c>
      <c r="Z13" s="33">
        <v>17</v>
      </c>
      <c r="AA13" s="22">
        <v>0</v>
      </c>
      <c r="AB13" s="23">
        <f>AA13+'08.05'!AB13</f>
        <v>0</v>
      </c>
      <c r="AC13" s="33">
        <v>51</v>
      </c>
      <c r="AD13" s="22">
        <v>1</v>
      </c>
      <c r="AE13" s="23">
        <f>AD13+'08.05'!AE13</f>
        <v>124</v>
      </c>
      <c r="AF13" s="19">
        <f t="shared" si="1"/>
        <v>232000</v>
      </c>
      <c r="AG13" s="20">
        <f t="shared" si="1"/>
        <v>2326000</v>
      </c>
      <c r="AH13" s="24">
        <v>4000</v>
      </c>
      <c r="AI13" s="23">
        <f>AH13+'08.05'!AI13</f>
        <v>22000</v>
      </c>
      <c r="AJ13" s="24">
        <v>8000</v>
      </c>
      <c r="AK13" s="23">
        <f>AJ13+'08.05'!AK13</f>
        <v>135000</v>
      </c>
      <c r="AL13" s="22">
        <v>20000</v>
      </c>
      <c r="AM13" s="23">
        <f>AL13+'08.05'!AM13</f>
        <v>210000</v>
      </c>
      <c r="AN13" s="22">
        <v>200000</v>
      </c>
      <c r="AO13" s="23">
        <f>AN13+'08.05'!AO13</f>
        <v>1959000</v>
      </c>
      <c r="AP13" s="28" t="s">
        <v>47</v>
      </c>
      <c r="AQ13" s="19">
        <f t="shared" si="3"/>
        <v>52</v>
      </c>
      <c r="AR13" s="20">
        <f t="shared" si="3"/>
        <v>240</v>
      </c>
      <c r="AS13" s="34">
        <v>1</v>
      </c>
      <c r="AT13" s="23">
        <f>AS13+'08.05'!AT13</f>
        <v>8</v>
      </c>
      <c r="AU13" s="34">
        <v>1</v>
      </c>
      <c r="AV13" s="23">
        <f>AU13+'08.05'!AV13</f>
        <v>8</v>
      </c>
      <c r="AW13" s="34">
        <v>0</v>
      </c>
      <c r="AX13" s="23">
        <f>AW13+'08.05'!AX13</f>
        <v>0</v>
      </c>
      <c r="AY13" s="34">
        <v>0</v>
      </c>
      <c r="AZ13" s="23">
        <f>AY13+'08.05'!AZ13</f>
        <v>0</v>
      </c>
      <c r="BA13" s="34">
        <v>50</v>
      </c>
      <c r="BB13" s="23">
        <f>BA13+'08.05'!BB13</f>
        <v>224</v>
      </c>
      <c r="BC13" s="19">
        <f t="shared" si="5"/>
        <v>12804</v>
      </c>
      <c r="BD13" s="20">
        <f t="shared" si="5"/>
        <v>89110</v>
      </c>
      <c r="BE13" s="22">
        <v>516</v>
      </c>
      <c r="BF13" s="23">
        <f>BE13+'08.05'!BF13</f>
        <v>4644</v>
      </c>
      <c r="BG13" s="34">
        <v>21</v>
      </c>
      <c r="BH13" s="23">
        <f>BG13+'08.05'!BH13</f>
        <v>131</v>
      </c>
      <c r="BI13" s="22">
        <v>12000</v>
      </c>
      <c r="BJ13" s="23">
        <f>BI13+'08.05'!BJ13</f>
        <v>83000</v>
      </c>
      <c r="BK13" s="22">
        <v>200</v>
      </c>
      <c r="BL13" s="23">
        <f>BK13+'08.05'!BL13</f>
        <v>1000</v>
      </c>
      <c r="BM13" s="22">
        <v>67</v>
      </c>
      <c r="BN13" s="23">
        <f>BM13+'08.05'!BN13</f>
        <v>335</v>
      </c>
      <c r="BO13" s="36"/>
      <c r="BP13" s="37">
        <v>1</v>
      </c>
      <c r="BQ13" s="23">
        <f>BP13+'08.05'!BQ13</f>
        <v>3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34</v>
      </c>
      <c r="D14" s="42">
        <f t="shared" si="0"/>
        <v>1025</v>
      </c>
      <c r="E14" s="43">
        <v>304</v>
      </c>
      <c r="F14" s="22">
        <v>22</v>
      </c>
      <c r="G14" s="23">
        <f>F14+'08.05'!G14</f>
        <v>841</v>
      </c>
      <c r="H14" s="44">
        <v>5</v>
      </c>
      <c r="I14" s="45">
        <v>0</v>
      </c>
      <c r="J14" s="23">
        <f>I14+'08.05'!J14</f>
        <v>0</v>
      </c>
      <c r="K14" s="44">
        <v>34</v>
      </c>
      <c r="L14" s="22">
        <v>0</v>
      </c>
      <c r="M14" s="23">
        <f>L14+'08.05'!M14</f>
        <v>0</v>
      </c>
      <c r="N14" s="44">
        <v>583</v>
      </c>
      <c r="O14" s="22">
        <v>0</v>
      </c>
      <c r="P14" s="23">
        <f>O14+'08.05'!P14</f>
        <v>0</v>
      </c>
      <c r="Q14" s="44">
        <v>254</v>
      </c>
      <c r="R14" s="22">
        <v>0</v>
      </c>
      <c r="S14" s="23">
        <f>R14+'08.05'!S14</f>
        <v>0</v>
      </c>
      <c r="T14" s="44">
        <v>196</v>
      </c>
      <c r="U14" s="22">
        <v>0</v>
      </c>
      <c r="V14" s="23">
        <f>U14+'08.05'!V14</f>
        <v>0</v>
      </c>
      <c r="W14" s="44">
        <v>30</v>
      </c>
      <c r="X14" s="22">
        <v>12</v>
      </c>
      <c r="Y14" s="23">
        <f>X14+'08.05'!Y14</f>
        <v>134</v>
      </c>
      <c r="Z14" s="44">
        <v>10</v>
      </c>
      <c r="AA14" s="22">
        <v>0</v>
      </c>
      <c r="AB14" s="23">
        <f>AA14+'08.05'!AB14</f>
        <v>0</v>
      </c>
      <c r="AC14" s="44">
        <v>2500</v>
      </c>
      <c r="AD14" s="22">
        <v>0</v>
      </c>
      <c r="AE14" s="23">
        <f>AD14+'08.05'!AE14</f>
        <v>50</v>
      </c>
      <c r="AF14" s="19">
        <f t="shared" si="1"/>
        <v>86350</v>
      </c>
      <c r="AG14" s="20">
        <f t="shared" si="1"/>
        <v>963720</v>
      </c>
      <c r="AH14" s="24">
        <v>750</v>
      </c>
      <c r="AI14" s="23">
        <f>AH14+'08.05'!AI14</f>
        <v>30040</v>
      </c>
      <c r="AJ14" s="24">
        <v>4200</v>
      </c>
      <c r="AK14" s="23">
        <f>AJ14+'08.05'!AK14</f>
        <v>52550</v>
      </c>
      <c r="AL14" s="22">
        <v>5800</v>
      </c>
      <c r="AM14" s="23">
        <f>AL14+'08.05'!AM14</f>
        <v>55150</v>
      </c>
      <c r="AN14" s="22">
        <v>75600</v>
      </c>
      <c r="AO14" s="23">
        <f>AN14+'08.05'!AO14</f>
        <v>825980</v>
      </c>
      <c r="AP14" s="39" t="s">
        <v>48</v>
      </c>
      <c r="AQ14" s="19">
        <f t="shared" si="3"/>
        <v>2</v>
      </c>
      <c r="AR14" s="20">
        <f t="shared" si="3"/>
        <v>36</v>
      </c>
      <c r="AS14" s="45">
        <v>0</v>
      </c>
      <c r="AT14" s="23">
        <f>AS14+'08.05'!AT14</f>
        <v>0</v>
      </c>
      <c r="AU14" s="45">
        <v>0</v>
      </c>
      <c r="AV14" s="23">
        <f>AU14+'08.05'!AV14</f>
        <v>2</v>
      </c>
      <c r="AW14" s="45">
        <v>0</v>
      </c>
      <c r="AX14" s="23">
        <f>AW14+'08.05'!AX14</f>
        <v>1</v>
      </c>
      <c r="AY14" s="45">
        <v>0</v>
      </c>
      <c r="AZ14" s="23">
        <f>AY14+'08.05'!AZ14</f>
        <v>1</v>
      </c>
      <c r="BA14" s="45">
        <v>2</v>
      </c>
      <c r="BB14" s="23">
        <f>BA14+'08.05'!BB14</f>
        <v>32</v>
      </c>
      <c r="BC14" s="19">
        <f t="shared" si="5"/>
        <v>1806</v>
      </c>
      <c r="BD14" s="20">
        <f t="shared" si="5"/>
        <v>28816</v>
      </c>
      <c r="BE14" s="22">
        <v>2</v>
      </c>
      <c r="BF14" s="23">
        <f>BE14+'08.05'!BF14</f>
        <v>35</v>
      </c>
      <c r="BG14" s="45">
        <v>1</v>
      </c>
      <c r="BH14" s="23">
        <f>BG14+'08.05'!BH14</f>
        <v>18</v>
      </c>
      <c r="BI14" s="22">
        <v>1800</v>
      </c>
      <c r="BJ14" s="23">
        <f>BI14+'08.05'!BJ14</f>
        <v>28700</v>
      </c>
      <c r="BK14" s="22">
        <v>2</v>
      </c>
      <c r="BL14" s="23">
        <f>BK14+'08.05'!BL14</f>
        <v>41</v>
      </c>
      <c r="BM14" s="22">
        <v>1</v>
      </c>
      <c r="BN14" s="23">
        <f>BM14+'08.05'!BN14</f>
        <v>22</v>
      </c>
      <c r="BO14" s="48">
        <v>22</v>
      </c>
      <c r="BP14" s="49">
        <v>0</v>
      </c>
      <c r="BQ14" s="23">
        <f>BP14+'08.05'!BQ14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384</v>
      </c>
      <c r="D15" s="53">
        <f t="shared" si="0"/>
        <v>3971</v>
      </c>
      <c r="E15" s="54">
        <v>776</v>
      </c>
      <c r="F15" s="55">
        <v>309</v>
      </c>
      <c r="G15" s="23">
        <f>F15+'08.05'!G15</f>
        <v>2937</v>
      </c>
      <c r="H15" s="56">
        <v>9</v>
      </c>
      <c r="I15" s="57">
        <v>0</v>
      </c>
      <c r="J15" s="23">
        <f>I15+'08.05'!J15</f>
        <v>0</v>
      </c>
      <c r="K15" s="56">
        <v>6</v>
      </c>
      <c r="L15" s="55">
        <v>0</v>
      </c>
      <c r="M15" s="23">
        <f>L15+'08.05'!M15</f>
        <v>0</v>
      </c>
      <c r="N15" s="56">
        <v>1305</v>
      </c>
      <c r="O15" s="55">
        <v>0</v>
      </c>
      <c r="P15" s="23">
        <f>O15+'08.05'!P15</f>
        <v>0</v>
      </c>
      <c r="Q15" s="56">
        <v>447</v>
      </c>
      <c r="R15" s="55">
        <v>0</v>
      </c>
      <c r="S15" s="23">
        <f>R15+'08.05'!S15</f>
        <v>0</v>
      </c>
      <c r="T15" s="56">
        <v>337</v>
      </c>
      <c r="U15" s="55">
        <v>0</v>
      </c>
      <c r="V15" s="23">
        <f>U15+'08.05'!V15</f>
        <v>0</v>
      </c>
      <c r="W15" s="56">
        <v>78</v>
      </c>
      <c r="X15" s="55">
        <v>0</v>
      </c>
      <c r="Y15" s="23">
        <f>X15+'08.05'!Y15</f>
        <v>0</v>
      </c>
      <c r="Z15" s="56">
        <v>141</v>
      </c>
      <c r="AA15" s="55">
        <v>0</v>
      </c>
      <c r="AB15" s="23">
        <f>AA15+'08.05'!AB15</f>
        <v>0</v>
      </c>
      <c r="AC15" s="56">
        <v>798</v>
      </c>
      <c r="AD15" s="55">
        <v>75</v>
      </c>
      <c r="AE15" s="23">
        <f>AD15+'08.05'!AE15</f>
        <v>1034</v>
      </c>
      <c r="AF15" s="58">
        <f t="shared" si="1"/>
        <v>1916873</v>
      </c>
      <c r="AG15" s="59">
        <f t="shared" si="1"/>
        <v>14851214</v>
      </c>
      <c r="AH15" s="60">
        <v>798</v>
      </c>
      <c r="AI15" s="23">
        <f>AH15+'08.05'!AI15</f>
        <v>7654</v>
      </c>
      <c r="AJ15" s="60">
        <v>2975</v>
      </c>
      <c r="AK15" s="23">
        <f>AJ15+'08.05'!AK15</f>
        <v>28309</v>
      </c>
      <c r="AL15" s="55">
        <v>956550</v>
      </c>
      <c r="AM15" s="23">
        <f>AL15+'08.05'!AM15</f>
        <v>7407626</v>
      </c>
      <c r="AN15" s="55">
        <v>956550</v>
      </c>
      <c r="AO15" s="23">
        <f>AN15+'08.05'!AO15</f>
        <v>7407625</v>
      </c>
      <c r="AP15" s="50" t="s">
        <v>49</v>
      </c>
      <c r="AQ15" s="58">
        <f t="shared" si="3"/>
        <v>4</v>
      </c>
      <c r="AR15" s="59">
        <f t="shared" si="3"/>
        <v>23</v>
      </c>
      <c r="AS15" s="57">
        <v>0</v>
      </c>
      <c r="AT15" s="23">
        <f>AS15+'08.05'!AT15</f>
        <v>1</v>
      </c>
      <c r="AU15" s="57">
        <v>1</v>
      </c>
      <c r="AV15" s="23">
        <f>AU15+'08.05'!AV15</f>
        <v>2</v>
      </c>
      <c r="AW15" s="57">
        <v>0</v>
      </c>
      <c r="AX15" s="23">
        <f>AW15+'08.05'!AX15</f>
        <v>1</v>
      </c>
      <c r="AY15" s="57">
        <v>0</v>
      </c>
      <c r="AZ15" s="23">
        <f>AY15+'08.05'!AZ15</f>
        <v>0</v>
      </c>
      <c r="BA15" s="57">
        <v>3</v>
      </c>
      <c r="BB15" s="23">
        <f>BA15+'08.05'!BB15</f>
        <v>19</v>
      </c>
      <c r="BC15" s="58">
        <f t="shared" si="5"/>
        <v>1794</v>
      </c>
      <c r="BD15" s="59">
        <f t="shared" si="5"/>
        <v>13433</v>
      </c>
      <c r="BE15" s="55">
        <v>81</v>
      </c>
      <c r="BF15" s="23">
        <f>BE15+'08.05'!BF15</f>
        <v>627</v>
      </c>
      <c r="BG15" s="57">
        <v>2</v>
      </c>
      <c r="BH15" s="23">
        <f>BG15+'08.05'!BH15</f>
        <v>15</v>
      </c>
      <c r="BI15" s="55">
        <v>877</v>
      </c>
      <c r="BJ15" s="23">
        <f>BI15+'08.05'!BJ15</f>
        <v>6379</v>
      </c>
      <c r="BK15" s="55">
        <v>819</v>
      </c>
      <c r="BL15" s="23">
        <f>BK15+'08.05'!BL15</f>
        <v>6261</v>
      </c>
      <c r="BM15" s="55">
        <v>15</v>
      </c>
      <c r="BN15" s="23">
        <f>BM15+'08.05'!BN15</f>
        <v>151</v>
      </c>
      <c r="BO15" s="36">
        <v>6274</v>
      </c>
      <c r="BP15" s="37">
        <v>0</v>
      </c>
      <c r="BQ15" s="23">
        <f>BP15+'08.05'!BQ15</f>
        <v>9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1224</v>
      </c>
      <c r="E16" s="32">
        <v>310</v>
      </c>
      <c r="F16" s="22">
        <v>51</v>
      </c>
      <c r="G16" s="23">
        <f>F16+'08.05'!G16</f>
        <v>407</v>
      </c>
      <c r="H16" s="33">
        <v>5</v>
      </c>
      <c r="I16" s="34">
        <v>0</v>
      </c>
      <c r="J16" s="23">
        <f>I16+'08.05'!J16</f>
        <v>0</v>
      </c>
      <c r="K16" s="33">
        <v>3</v>
      </c>
      <c r="L16" s="22">
        <v>0</v>
      </c>
      <c r="M16" s="23">
        <f>L16+'08.05'!M16</f>
        <v>0</v>
      </c>
      <c r="N16" s="33">
        <v>384</v>
      </c>
      <c r="O16" s="22">
        <v>0</v>
      </c>
      <c r="P16" s="23">
        <f>O16+'08.05'!P16</f>
        <v>0</v>
      </c>
      <c r="Q16" s="33">
        <v>245</v>
      </c>
      <c r="R16" s="22">
        <v>0</v>
      </c>
      <c r="S16" s="23">
        <f>R16+'08.05'!S16</f>
        <v>0</v>
      </c>
      <c r="T16" s="33">
        <v>397</v>
      </c>
      <c r="U16" s="22">
        <v>0</v>
      </c>
      <c r="V16" s="23">
        <f>U16+'08.05'!V16</f>
        <v>0</v>
      </c>
      <c r="W16" s="33">
        <v>24</v>
      </c>
      <c r="X16" s="22">
        <v>43</v>
      </c>
      <c r="Y16" s="23">
        <f>X16+'08.05'!Y16</f>
        <v>443</v>
      </c>
      <c r="Z16" s="33">
        <v>18</v>
      </c>
      <c r="AA16" s="22">
        <v>0</v>
      </c>
      <c r="AB16" s="23">
        <f>AA16+'08.05'!AB16</f>
        <v>0</v>
      </c>
      <c r="AC16" s="33">
        <v>18515</v>
      </c>
      <c r="AD16" s="22">
        <v>39</v>
      </c>
      <c r="AE16" s="23">
        <f>AD16+'08.05'!AE16</f>
        <v>374</v>
      </c>
      <c r="AF16" s="19">
        <f t="shared" si="1"/>
        <v>56920</v>
      </c>
      <c r="AG16" s="20">
        <f t="shared" si="1"/>
        <v>537102</v>
      </c>
      <c r="AH16" s="24">
        <v>112</v>
      </c>
      <c r="AI16" s="23">
        <f>AH16+'08.05'!AI16</f>
        <v>1497</v>
      </c>
      <c r="AJ16" s="24">
        <v>1134</v>
      </c>
      <c r="AK16" s="23">
        <f>AJ16+'08.05'!AK16</f>
        <v>11086</v>
      </c>
      <c r="AL16" s="22">
        <v>1251</v>
      </c>
      <c r="AM16" s="23">
        <f>AL16+'08.05'!AM16</f>
        <v>13877</v>
      </c>
      <c r="AN16" s="22">
        <v>54423</v>
      </c>
      <c r="AO16" s="23">
        <f>AN16+'08.05'!AO16</f>
        <v>510642</v>
      </c>
      <c r="AP16" s="28" t="s">
        <v>51</v>
      </c>
      <c r="AQ16" s="19">
        <f t="shared" si="3"/>
        <v>76</v>
      </c>
      <c r="AR16" s="20">
        <f t="shared" si="3"/>
        <v>629</v>
      </c>
      <c r="AS16" s="34">
        <v>0</v>
      </c>
      <c r="AT16" s="23">
        <f>AS16+'08.05'!AT16</f>
        <v>1</v>
      </c>
      <c r="AU16" s="34">
        <v>0</v>
      </c>
      <c r="AV16" s="23">
        <f>AU16+'08.05'!AV16</f>
        <v>0</v>
      </c>
      <c r="AW16" s="34">
        <v>0</v>
      </c>
      <c r="AX16" s="23">
        <f>AW16+'08.05'!AX16</f>
        <v>0</v>
      </c>
      <c r="AY16" s="34">
        <v>0</v>
      </c>
      <c r="AZ16" s="23">
        <f>AY16+'08.05'!AZ16</f>
        <v>0</v>
      </c>
      <c r="BA16" s="34">
        <v>76</v>
      </c>
      <c r="BB16" s="23">
        <f>BA16+'08.05'!BB16</f>
        <v>628</v>
      </c>
      <c r="BC16" s="19">
        <f t="shared" si="5"/>
        <v>1275</v>
      </c>
      <c r="BD16" s="20">
        <f t="shared" si="5"/>
        <v>11677</v>
      </c>
      <c r="BE16" s="22">
        <v>69</v>
      </c>
      <c r="BF16" s="23">
        <f>BE16+'08.05'!BF16</f>
        <v>563</v>
      </c>
      <c r="BG16" s="34">
        <v>0</v>
      </c>
      <c r="BH16" s="23">
        <f>BG16+'08.05'!BH16</f>
        <v>0</v>
      </c>
      <c r="BI16" s="22">
        <v>1151</v>
      </c>
      <c r="BJ16" s="23">
        <f>BI16+'08.05'!BJ16</f>
        <v>10659</v>
      </c>
      <c r="BK16" s="22">
        <v>48</v>
      </c>
      <c r="BL16" s="23">
        <f>BK16+'08.05'!BL16</f>
        <v>415</v>
      </c>
      <c r="BM16" s="22">
        <v>7</v>
      </c>
      <c r="BN16" s="23">
        <f>BM16+'08.05'!BN16</f>
        <v>40</v>
      </c>
      <c r="BO16" s="36">
        <v>2546</v>
      </c>
      <c r="BP16" s="37">
        <v>0</v>
      </c>
      <c r="BQ16" s="23">
        <f>BP16+'08.05'!BQ16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160</v>
      </c>
      <c r="D17" s="31">
        <f t="shared" si="0"/>
        <v>1590</v>
      </c>
      <c r="E17" s="32">
        <v>754</v>
      </c>
      <c r="F17" s="22">
        <v>135</v>
      </c>
      <c r="G17" s="23">
        <f>F17+'08.05'!G17</f>
        <v>1335</v>
      </c>
      <c r="H17" s="33">
        <v>9</v>
      </c>
      <c r="I17" s="34">
        <v>0</v>
      </c>
      <c r="J17" s="23">
        <f>I17+'08.05'!J17</f>
        <v>0</v>
      </c>
      <c r="K17" s="33">
        <v>5</v>
      </c>
      <c r="L17" s="22">
        <v>0</v>
      </c>
      <c r="M17" s="23">
        <f>L17+'08.05'!M17</f>
        <v>0</v>
      </c>
      <c r="N17" s="33">
        <v>768</v>
      </c>
      <c r="O17" s="22">
        <v>0</v>
      </c>
      <c r="P17" s="23">
        <f>O17+'08.05'!P17</f>
        <v>0</v>
      </c>
      <c r="Q17" s="33">
        <v>624</v>
      </c>
      <c r="R17" s="22">
        <v>0</v>
      </c>
      <c r="S17" s="23">
        <f>R17+'08.05'!S17</f>
        <v>0</v>
      </c>
      <c r="T17" s="33">
        <v>742</v>
      </c>
      <c r="U17" s="22">
        <v>0</v>
      </c>
      <c r="V17" s="23">
        <f>U17+'08.05'!V17</f>
        <v>0</v>
      </c>
      <c r="W17" s="33">
        <v>54</v>
      </c>
      <c r="X17" s="22">
        <v>12</v>
      </c>
      <c r="Y17" s="23">
        <f>X17+'08.05'!Y17</f>
        <v>145</v>
      </c>
      <c r="Z17" s="33">
        <v>66</v>
      </c>
      <c r="AA17" s="22">
        <v>0</v>
      </c>
      <c r="AB17" s="23">
        <f>AA17+'08.05'!AB17</f>
        <v>0</v>
      </c>
      <c r="AC17" s="33">
        <v>2580</v>
      </c>
      <c r="AD17" s="22">
        <v>13</v>
      </c>
      <c r="AE17" s="23">
        <f>AD17+'08.05'!AE17</f>
        <v>110</v>
      </c>
      <c r="AF17" s="19">
        <f t="shared" si="1"/>
        <v>108800</v>
      </c>
      <c r="AG17" s="20">
        <f t="shared" si="1"/>
        <v>923600</v>
      </c>
      <c r="AH17" s="24">
        <v>6500</v>
      </c>
      <c r="AI17" s="23">
        <f>AH17+'08.05'!AI17</f>
        <v>59000</v>
      </c>
      <c r="AJ17" s="24">
        <v>10300</v>
      </c>
      <c r="AK17" s="23">
        <f>AJ17+'08.05'!AK17</f>
        <v>88600</v>
      </c>
      <c r="AL17" s="22">
        <v>23000</v>
      </c>
      <c r="AM17" s="23">
        <f>AL17+'08.05'!AM17</f>
        <v>202500</v>
      </c>
      <c r="AN17" s="22">
        <v>69000</v>
      </c>
      <c r="AO17" s="23">
        <f>AN17+'08.05'!AO17</f>
        <v>573500</v>
      </c>
      <c r="AP17" s="28" t="s">
        <v>52</v>
      </c>
      <c r="AQ17" s="19">
        <f t="shared" si="3"/>
        <v>23</v>
      </c>
      <c r="AR17" s="20">
        <f t="shared" si="3"/>
        <v>150</v>
      </c>
      <c r="AS17" s="34">
        <v>1</v>
      </c>
      <c r="AT17" s="23">
        <f>AS17+'08.05'!AT17</f>
        <v>11</v>
      </c>
      <c r="AU17" s="34">
        <v>2</v>
      </c>
      <c r="AV17" s="23">
        <f>AU17+'08.05'!AV17</f>
        <v>13</v>
      </c>
      <c r="AW17" s="34">
        <v>0</v>
      </c>
      <c r="AX17" s="23">
        <f>AW17+'08.05'!AX17</f>
        <v>0</v>
      </c>
      <c r="AY17" s="34">
        <v>0</v>
      </c>
      <c r="AZ17" s="23">
        <f>AY17+'08.05'!AZ17</f>
        <v>0</v>
      </c>
      <c r="BA17" s="34">
        <v>20</v>
      </c>
      <c r="BB17" s="23">
        <f>BA17+'08.05'!BB17</f>
        <v>126</v>
      </c>
      <c r="BC17" s="19">
        <f t="shared" si="5"/>
        <v>3878</v>
      </c>
      <c r="BD17" s="20">
        <f t="shared" si="5"/>
        <v>21350</v>
      </c>
      <c r="BE17" s="22">
        <v>44</v>
      </c>
      <c r="BF17" s="23">
        <f>BE17+'08.05'!BF17</f>
        <v>321</v>
      </c>
      <c r="BG17" s="34">
        <v>1</v>
      </c>
      <c r="BH17" s="23">
        <f>BG17+'08.05'!BH17</f>
        <v>10</v>
      </c>
      <c r="BI17" s="22">
        <v>3500</v>
      </c>
      <c r="BJ17" s="23">
        <f>BI17+'08.05'!BJ17</f>
        <v>19200</v>
      </c>
      <c r="BK17" s="22">
        <v>320</v>
      </c>
      <c r="BL17" s="23">
        <f>BK17+'08.05'!BL17</f>
        <v>1750</v>
      </c>
      <c r="BM17" s="22">
        <v>13</v>
      </c>
      <c r="BN17" s="23">
        <f>BM17+'08.05'!BN17</f>
        <v>69</v>
      </c>
      <c r="BO17" s="36">
        <v>8022</v>
      </c>
      <c r="BP17" s="37">
        <v>1</v>
      </c>
      <c r="BQ17" s="23">
        <f>BP17+'08.05'!BQ17</f>
        <v>34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262</v>
      </c>
      <c r="D18" s="20">
        <f t="shared" si="0"/>
        <v>2841</v>
      </c>
      <c r="E18" s="21">
        <v>1063</v>
      </c>
      <c r="F18" s="22">
        <v>177</v>
      </c>
      <c r="G18" s="23">
        <f>F18+'08.05'!G18</f>
        <v>1831</v>
      </c>
      <c r="H18" s="21">
        <v>19</v>
      </c>
      <c r="I18" s="22">
        <v>0</v>
      </c>
      <c r="J18" s="23">
        <f>I18+'08.05'!J18</f>
        <v>0</v>
      </c>
      <c r="K18" s="21">
        <v>8</v>
      </c>
      <c r="L18" s="22">
        <v>0</v>
      </c>
      <c r="M18" s="23">
        <f>L18+'08.05'!M18</f>
        <v>0</v>
      </c>
      <c r="N18" s="21">
        <v>1331</v>
      </c>
      <c r="O18" s="22">
        <v>0</v>
      </c>
      <c r="P18" s="23">
        <f>O18+'08.05'!P18</f>
        <v>0</v>
      </c>
      <c r="Q18" s="21">
        <v>777</v>
      </c>
      <c r="R18" s="22">
        <v>0</v>
      </c>
      <c r="S18" s="23">
        <f>R18+'08.05'!S18</f>
        <v>0</v>
      </c>
      <c r="T18" s="21">
        <v>318</v>
      </c>
      <c r="U18" s="22">
        <v>0</v>
      </c>
      <c r="V18" s="23">
        <f>U18+'08.05'!V18</f>
        <v>81</v>
      </c>
      <c r="W18" s="21">
        <v>60</v>
      </c>
      <c r="X18" s="22">
        <v>85</v>
      </c>
      <c r="Y18" s="23">
        <f>X18+'08.05'!Y18</f>
        <v>929</v>
      </c>
      <c r="Z18" s="21">
        <v>72</v>
      </c>
      <c r="AA18" s="22">
        <v>0</v>
      </c>
      <c r="AB18" s="23">
        <f>AA18+'08.05'!AB18</f>
        <v>0</v>
      </c>
      <c r="AC18" s="21">
        <v>143</v>
      </c>
      <c r="AD18" s="22">
        <v>0</v>
      </c>
      <c r="AE18" s="23">
        <f>AD18+'08.05'!AE18</f>
        <v>0</v>
      </c>
      <c r="AF18" s="19">
        <f t="shared" si="1"/>
        <v>113330</v>
      </c>
      <c r="AG18" s="20">
        <f t="shared" si="1"/>
        <v>1530357</v>
      </c>
      <c r="AH18" s="24">
        <v>105</v>
      </c>
      <c r="AI18" s="23">
        <f>AH18+'08.05'!AI18</f>
        <v>2890</v>
      </c>
      <c r="AJ18" s="24">
        <v>1910</v>
      </c>
      <c r="AK18" s="23">
        <f>AJ18+'08.05'!AK18</f>
        <v>24561</v>
      </c>
      <c r="AL18" s="22">
        <v>2175</v>
      </c>
      <c r="AM18" s="23">
        <f>AL18+'08.05'!AM18</f>
        <v>29081</v>
      </c>
      <c r="AN18" s="22">
        <v>109140</v>
      </c>
      <c r="AO18" s="23">
        <f>AN18+'08.05'!AO18</f>
        <v>1473825</v>
      </c>
      <c r="AP18" s="17" t="s">
        <v>53</v>
      </c>
      <c r="AQ18" s="19">
        <f t="shared" si="3"/>
        <v>1</v>
      </c>
      <c r="AR18" s="20">
        <f t="shared" si="3"/>
        <v>17</v>
      </c>
      <c r="AS18" s="22">
        <v>0</v>
      </c>
      <c r="AT18" s="23">
        <f>AS18+'08.05'!AT18</f>
        <v>2</v>
      </c>
      <c r="AU18" s="22">
        <v>0</v>
      </c>
      <c r="AV18" s="23">
        <f>AU18+'08.05'!AV18</f>
        <v>0</v>
      </c>
      <c r="AW18" s="22">
        <v>0</v>
      </c>
      <c r="AX18" s="23">
        <f>AW18+'08.05'!AX18</f>
        <v>0</v>
      </c>
      <c r="AY18" s="22">
        <v>0</v>
      </c>
      <c r="AZ18" s="23">
        <f>AY18+'08.05'!AZ18</f>
        <v>0</v>
      </c>
      <c r="BA18" s="22">
        <v>1</v>
      </c>
      <c r="BB18" s="23">
        <f>BA18+'08.05'!BB18</f>
        <v>15</v>
      </c>
      <c r="BC18" s="19">
        <f t="shared" si="5"/>
        <v>302</v>
      </c>
      <c r="BD18" s="20">
        <f t="shared" si="5"/>
        <v>7999</v>
      </c>
      <c r="BE18" s="22">
        <v>1</v>
      </c>
      <c r="BF18" s="23">
        <f>BE18+'08.05'!BF18</f>
        <v>10</v>
      </c>
      <c r="BG18" s="22">
        <v>0</v>
      </c>
      <c r="BH18" s="23">
        <f>BG18+'08.05'!BH18</f>
        <v>387</v>
      </c>
      <c r="BI18" s="22">
        <v>245</v>
      </c>
      <c r="BJ18" s="23">
        <f>BI18+'08.05'!BJ18</f>
        <v>6840</v>
      </c>
      <c r="BK18" s="22">
        <v>39</v>
      </c>
      <c r="BL18" s="23">
        <f>BK18+'08.05'!BL18</f>
        <v>694</v>
      </c>
      <c r="BM18" s="22">
        <v>17</v>
      </c>
      <c r="BN18" s="23">
        <f>BM18+'08.05'!BN18</f>
        <v>68</v>
      </c>
      <c r="BO18" s="36">
        <v>442</v>
      </c>
      <c r="BP18" s="37">
        <v>0</v>
      </c>
      <c r="BQ18" s="23">
        <f>BP18+'08.05'!BQ18</f>
        <v>33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43</v>
      </c>
      <c r="D19" s="31">
        <f t="shared" si="0"/>
        <v>311</v>
      </c>
      <c r="E19" s="33">
        <v>221</v>
      </c>
      <c r="F19" s="22">
        <v>8</v>
      </c>
      <c r="G19" s="23">
        <f>F19+'08.05'!G19</f>
        <v>68</v>
      </c>
      <c r="H19" s="33">
        <v>5</v>
      </c>
      <c r="I19" s="34">
        <v>0</v>
      </c>
      <c r="J19" s="23">
        <f>I19+'08.05'!J19</f>
        <v>0</v>
      </c>
      <c r="K19" s="33">
        <v>4</v>
      </c>
      <c r="L19" s="22">
        <v>0</v>
      </c>
      <c r="M19" s="23">
        <f>L19+'08.05'!M19</f>
        <v>0</v>
      </c>
      <c r="N19" s="33">
        <v>313</v>
      </c>
      <c r="O19" s="22">
        <v>16</v>
      </c>
      <c r="P19" s="23">
        <f>O19+'08.05'!P19</f>
        <v>73</v>
      </c>
      <c r="Q19" s="33">
        <v>203</v>
      </c>
      <c r="R19" s="22">
        <v>0</v>
      </c>
      <c r="S19" s="23">
        <f>R19+'08.05'!S19</f>
        <v>0</v>
      </c>
      <c r="T19" s="33">
        <v>241</v>
      </c>
      <c r="U19" s="22">
        <v>0</v>
      </c>
      <c r="V19" s="23">
        <f>U19+'08.05'!V19</f>
        <v>0</v>
      </c>
      <c r="W19" s="33">
        <v>14</v>
      </c>
      <c r="X19" s="22">
        <v>19</v>
      </c>
      <c r="Y19" s="23">
        <f>X19+'08.05'!Y19</f>
        <v>107</v>
      </c>
      <c r="Z19" s="33">
        <v>7</v>
      </c>
      <c r="AA19" s="22">
        <v>0</v>
      </c>
      <c r="AB19" s="23">
        <f>AA19+'08.05'!AB19</f>
        <v>0</v>
      </c>
      <c r="AC19" s="33">
        <v>32</v>
      </c>
      <c r="AD19" s="22">
        <v>0</v>
      </c>
      <c r="AE19" s="23">
        <f>AD19+'08.05'!AE19</f>
        <v>63</v>
      </c>
      <c r="AF19" s="19">
        <f t="shared" si="1"/>
        <v>3400</v>
      </c>
      <c r="AG19" s="20">
        <f t="shared" si="1"/>
        <v>26900</v>
      </c>
      <c r="AH19" s="24">
        <v>650</v>
      </c>
      <c r="AI19" s="23">
        <f>AH19+'08.05'!AI19</f>
        <v>4925</v>
      </c>
      <c r="AJ19" s="24">
        <v>650</v>
      </c>
      <c r="AK19" s="23">
        <f>AJ19+'08.05'!AK19</f>
        <v>4925</v>
      </c>
      <c r="AL19" s="22">
        <v>1050</v>
      </c>
      <c r="AM19" s="23">
        <f>AL19+'08.05'!AM19</f>
        <v>8525</v>
      </c>
      <c r="AN19" s="22">
        <v>1050</v>
      </c>
      <c r="AO19" s="23">
        <f>AN19+'08.05'!AO19</f>
        <v>8525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AS19+'08.05'!AT19</f>
        <v>0</v>
      </c>
      <c r="AU19" s="34">
        <v>0</v>
      </c>
      <c r="AV19" s="23">
        <f>AU19+'08.05'!AV19</f>
        <v>2</v>
      </c>
      <c r="AW19" s="34">
        <v>0</v>
      </c>
      <c r="AX19" s="23">
        <f>AW19+'08.05'!AX19</f>
        <v>0</v>
      </c>
      <c r="AY19" s="34">
        <v>0</v>
      </c>
      <c r="AZ19" s="23">
        <f>AY19+'08.05'!AZ19</f>
        <v>0</v>
      </c>
      <c r="BA19" s="34">
        <v>0</v>
      </c>
      <c r="BB19" s="23">
        <f>BA19+'08.05'!BB19</f>
        <v>0</v>
      </c>
      <c r="BC19" s="19">
        <f t="shared" si="5"/>
        <v>1332</v>
      </c>
      <c r="BD19" s="20">
        <f t="shared" si="5"/>
        <v>9627</v>
      </c>
      <c r="BE19" s="22">
        <v>16</v>
      </c>
      <c r="BF19" s="23">
        <f>BE19+'08.05'!BF19</f>
        <v>119</v>
      </c>
      <c r="BG19" s="34">
        <v>0</v>
      </c>
      <c r="BH19" s="23">
        <f>BG19+'08.05'!BH19</f>
        <v>2</v>
      </c>
      <c r="BI19" s="22">
        <v>1200</v>
      </c>
      <c r="BJ19" s="23">
        <f>BI19+'08.05'!BJ19</f>
        <v>8400</v>
      </c>
      <c r="BK19" s="22">
        <v>100</v>
      </c>
      <c r="BL19" s="23">
        <f>BK19+'08.05'!BL19</f>
        <v>1050</v>
      </c>
      <c r="BM19" s="22">
        <v>16</v>
      </c>
      <c r="BN19" s="23">
        <f>BM19+'08.05'!BN19</f>
        <v>56</v>
      </c>
      <c r="BO19" s="36">
        <v>2898</v>
      </c>
      <c r="BP19" s="37">
        <v>0</v>
      </c>
      <c r="BQ19" s="23">
        <f>BP19+'08.05'!BQ19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288</v>
      </c>
      <c r="D20" s="31">
        <f t="shared" si="0"/>
        <v>2714</v>
      </c>
      <c r="E20" s="32">
        <v>723</v>
      </c>
      <c r="F20" s="22">
        <v>158</v>
      </c>
      <c r="G20" s="23">
        <f>F20+'08.05'!G20</f>
        <v>1534</v>
      </c>
      <c r="H20" s="33">
        <v>5</v>
      </c>
      <c r="I20" s="34">
        <v>1</v>
      </c>
      <c r="J20" s="23">
        <f>I20+'08.05'!J20</f>
        <v>9</v>
      </c>
      <c r="K20" s="33">
        <v>3</v>
      </c>
      <c r="L20" s="22">
        <v>0</v>
      </c>
      <c r="M20" s="23">
        <f>L20+'08.05'!M20</f>
        <v>0</v>
      </c>
      <c r="N20" s="33">
        <v>975</v>
      </c>
      <c r="O20" s="22">
        <v>58</v>
      </c>
      <c r="P20" s="23">
        <f>O20+'08.05'!P20</f>
        <v>558</v>
      </c>
      <c r="Q20" s="61">
        <v>1862</v>
      </c>
      <c r="R20" s="22">
        <v>1</v>
      </c>
      <c r="S20" s="23">
        <f>R20+'08.05'!S20</f>
        <v>11</v>
      </c>
      <c r="T20" s="33">
        <v>35</v>
      </c>
      <c r="U20" s="22">
        <v>1</v>
      </c>
      <c r="V20" s="23">
        <f>U20+'08.05'!V20</f>
        <v>9</v>
      </c>
      <c r="W20" s="33">
        <v>64</v>
      </c>
      <c r="X20" s="22">
        <v>1</v>
      </c>
      <c r="Y20" s="23">
        <f>X20+'08.05'!Y20</f>
        <v>11</v>
      </c>
      <c r="Z20" s="33">
        <v>15</v>
      </c>
      <c r="AA20" s="22">
        <v>2</v>
      </c>
      <c r="AB20" s="23">
        <f>AA20+'08.05'!AB20</f>
        <v>11</v>
      </c>
      <c r="AC20" s="33">
        <v>1546</v>
      </c>
      <c r="AD20" s="22">
        <v>66</v>
      </c>
      <c r="AE20" s="23">
        <f>AD20+'08.05'!AE20</f>
        <v>571</v>
      </c>
      <c r="AF20" s="19">
        <f t="shared" si="1"/>
        <v>15910</v>
      </c>
      <c r="AG20" s="20">
        <f t="shared" si="1"/>
        <v>161494</v>
      </c>
      <c r="AH20" s="24">
        <v>6610</v>
      </c>
      <c r="AI20" s="23">
        <f>AH20+'08.05'!AI20</f>
        <v>74242</v>
      </c>
      <c r="AJ20" s="24">
        <v>8470</v>
      </c>
      <c r="AK20" s="23">
        <f>AJ20+'08.05'!AK20</f>
        <v>79902</v>
      </c>
      <c r="AL20" s="22">
        <v>430</v>
      </c>
      <c r="AM20" s="23">
        <f>AL20+'08.05'!AM20</f>
        <v>4140</v>
      </c>
      <c r="AN20" s="22">
        <v>400</v>
      </c>
      <c r="AO20" s="23">
        <f>AN20+'08.05'!AO20</f>
        <v>3210</v>
      </c>
      <c r="AP20" s="28" t="s">
        <v>55</v>
      </c>
      <c r="AQ20" s="19">
        <f t="shared" si="3"/>
        <v>161</v>
      </c>
      <c r="AR20" s="20">
        <f t="shared" si="3"/>
        <v>1469</v>
      </c>
      <c r="AS20" s="34">
        <v>1</v>
      </c>
      <c r="AT20" s="23">
        <f>AS20+'08.05'!AT20</f>
        <v>9</v>
      </c>
      <c r="AU20" s="34">
        <v>0</v>
      </c>
      <c r="AV20" s="23">
        <f>AU20+'08.05'!AV20</f>
        <v>0</v>
      </c>
      <c r="AW20" s="34">
        <v>0</v>
      </c>
      <c r="AX20" s="23">
        <f>AW20+'08.05'!AX20</f>
        <v>0</v>
      </c>
      <c r="AY20" s="34">
        <v>0</v>
      </c>
      <c r="AZ20" s="23">
        <f>AY20+'08.05'!AZ20</f>
        <v>0</v>
      </c>
      <c r="BA20" s="34">
        <v>160</v>
      </c>
      <c r="BB20" s="23">
        <f>BA20+'08.05'!BB20</f>
        <v>1460</v>
      </c>
      <c r="BC20" s="19">
        <f t="shared" si="5"/>
        <v>2778</v>
      </c>
      <c r="BD20" s="20">
        <f t="shared" si="5"/>
        <v>31575</v>
      </c>
      <c r="BE20" s="22">
        <v>2</v>
      </c>
      <c r="BF20" s="23">
        <f>BE20+'08.05'!BF20</f>
        <v>18</v>
      </c>
      <c r="BG20" s="34">
        <v>0</v>
      </c>
      <c r="BH20" s="23">
        <f>BG20+'08.05'!BH20</f>
        <v>0</v>
      </c>
      <c r="BI20" s="22">
        <v>1410</v>
      </c>
      <c r="BJ20" s="23">
        <f>BI20+'08.05'!BJ20</f>
        <v>15754</v>
      </c>
      <c r="BK20" s="22">
        <v>1365</v>
      </c>
      <c r="BL20" s="23">
        <f>BK20+'08.05'!BL20</f>
        <v>15795</v>
      </c>
      <c r="BM20" s="22">
        <v>1</v>
      </c>
      <c r="BN20" s="23">
        <f>BM20+'08.05'!BN20</f>
        <v>8</v>
      </c>
      <c r="BO20" s="36">
        <v>5854</v>
      </c>
      <c r="BP20" s="37">
        <v>0</v>
      </c>
      <c r="BQ20" s="23">
        <f>BP20+'08.05'!BQ20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170</v>
      </c>
      <c r="D21" s="31">
        <f t="shared" si="0"/>
        <v>2011</v>
      </c>
      <c r="E21" s="32">
        <v>1017</v>
      </c>
      <c r="F21" s="22">
        <v>150</v>
      </c>
      <c r="G21" s="23">
        <f>F21+'08.05'!G21</f>
        <v>1380</v>
      </c>
      <c r="H21" s="33">
        <v>8</v>
      </c>
      <c r="I21" s="34">
        <v>0</v>
      </c>
      <c r="J21" s="23">
        <f>I21+'08.05'!J21</f>
        <v>26</v>
      </c>
      <c r="K21" s="33">
        <v>4</v>
      </c>
      <c r="L21" s="22">
        <v>0</v>
      </c>
      <c r="M21" s="23">
        <f>L21+'08.05'!M21</f>
        <v>0</v>
      </c>
      <c r="N21" s="33">
        <v>963</v>
      </c>
      <c r="O21" s="22">
        <v>0</v>
      </c>
      <c r="P21" s="23">
        <f>O21+'08.05'!P21</f>
        <v>19</v>
      </c>
      <c r="Q21" s="33">
        <v>912</v>
      </c>
      <c r="R21" s="22">
        <v>0</v>
      </c>
      <c r="S21" s="23">
        <f>R21+'08.05'!S21</f>
        <v>0</v>
      </c>
      <c r="T21" s="33">
        <v>199</v>
      </c>
      <c r="U21" s="22">
        <v>0</v>
      </c>
      <c r="V21" s="23">
        <f>U21+'08.05'!V21</f>
        <v>16</v>
      </c>
      <c r="W21" s="33">
        <v>101</v>
      </c>
      <c r="X21" s="22">
        <v>10</v>
      </c>
      <c r="Y21" s="23">
        <f>X21+'08.05'!Y21</f>
        <v>79</v>
      </c>
      <c r="Z21" s="33">
        <v>42</v>
      </c>
      <c r="AA21" s="22">
        <v>0</v>
      </c>
      <c r="AB21" s="23">
        <f>AA21+'08.05'!AB21</f>
        <v>1</v>
      </c>
      <c r="AC21" s="33">
        <v>20</v>
      </c>
      <c r="AD21" s="22">
        <v>10</v>
      </c>
      <c r="AE21" s="23">
        <f>AD21+'08.05'!AE21</f>
        <v>490</v>
      </c>
      <c r="AF21" s="19">
        <f t="shared" si="1"/>
        <v>1000000</v>
      </c>
      <c r="AG21" s="20">
        <f t="shared" si="1"/>
        <v>10052000</v>
      </c>
      <c r="AH21" s="24">
        <v>1000</v>
      </c>
      <c r="AI21" s="23">
        <f>AH21+'08.05'!AI21</f>
        <v>12000</v>
      </c>
      <c r="AJ21" s="24">
        <v>99000</v>
      </c>
      <c r="AK21" s="23">
        <f>AJ21+'08.05'!AK21</f>
        <v>1890000</v>
      </c>
      <c r="AL21" s="22">
        <v>1000</v>
      </c>
      <c r="AM21" s="23">
        <f>AL21+'08.05'!AM21</f>
        <v>20500</v>
      </c>
      <c r="AN21" s="22">
        <v>899000</v>
      </c>
      <c r="AO21" s="23">
        <f>AN21+'08.05'!AO21</f>
        <v>8129500</v>
      </c>
      <c r="AP21" s="28" t="s">
        <v>58</v>
      </c>
      <c r="AQ21" s="19">
        <f t="shared" si="3"/>
        <v>5</v>
      </c>
      <c r="AR21" s="20">
        <f t="shared" si="3"/>
        <v>67</v>
      </c>
      <c r="AS21" s="34">
        <v>0</v>
      </c>
      <c r="AT21" s="23">
        <f>AS21+'08.05'!AT21</f>
        <v>2</v>
      </c>
      <c r="AU21" s="34">
        <v>0</v>
      </c>
      <c r="AV21" s="23">
        <f>AU21+'08.05'!AV21</f>
        <v>28</v>
      </c>
      <c r="AW21" s="34">
        <v>0</v>
      </c>
      <c r="AX21" s="23">
        <f>AW21+'08.05'!AX21</f>
        <v>0</v>
      </c>
      <c r="AY21" s="34">
        <v>0</v>
      </c>
      <c r="AZ21" s="23">
        <f>AY21+'08.05'!AZ21</f>
        <v>0</v>
      </c>
      <c r="BA21" s="34">
        <v>5</v>
      </c>
      <c r="BB21" s="23">
        <f>BA21+'08.05'!BB21</f>
        <v>37</v>
      </c>
      <c r="BC21" s="19">
        <f t="shared" si="5"/>
        <v>1083</v>
      </c>
      <c r="BD21" s="20">
        <f t="shared" si="5"/>
        <v>21454</v>
      </c>
      <c r="BE21" s="22">
        <v>75</v>
      </c>
      <c r="BF21" s="23">
        <f>BE21+'08.05'!BF21</f>
        <v>400</v>
      </c>
      <c r="BG21" s="34">
        <v>0</v>
      </c>
      <c r="BH21" s="23">
        <f>BG21+'08.05'!BH21</f>
        <v>0</v>
      </c>
      <c r="BI21" s="22">
        <v>1000</v>
      </c>
      <c r="BJ21" s="23">
        <f>BI21+'08.05'!BJ21</f>
        <v>21000</v>
      </c>
      <c r="BK21" s="22">
        <v>0</v>
      </c>
      <c r="BL21" s="23">
        <f>BK21+'08.05'!BL21</f>
        <v>0</v>
      </c>
      <c r="BM21" s="22">
        <v>8</v>
      </c>
      <c r="BN21" s="23">
        <f>BM21+'08.05'!BN21</f>
        <v>54</v>
      </c>
      <c r="BO21" s="36">
        <v>68</v>
      </c>
      <c r="BP21" s="37">
        <v>1</v>
      </c>
      <c r="BQ21" s="23">
        <f>BP21+'08.05'!BQ21</f>
        <v>12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1994</v>
      </c>
      <c r="D22" s="31">
        <f t="shared" si="0"/>
        <v>18819</v>
      </c>
      <c r="E22" s="32">
        <v>509</v>
      </c>
      <c r="F22" s="22">
        <v>319</v>
      </c>
      <c r="G22" s="23">
        <f>F22+'08.05'!G22</f>
        <v>3101</v>
      </c>
      <c r="H22" s="33">
        <v>8</v>
      </c>
      <c r="I22" s="34">
        <v>0</v>
      </c>
      <c r="J22" s="23">
        <f>I22+'08.05'!J22</f>
        <v>0</v>
      </c>
      <c r="K22" s="33">
        <v>21</v>
      </c>
      <c r="L22" s="22">
        <v>0</v>
      </c>
      <c r="M22" s="23">
        <f>L22+'08.05'!M22</f>
        <v>0</v>
      </c>
      <c r="N22" s="33">
        <v>560</v>
      </c>
      <c r="O22" s="22">
        <v>0</v>
      </c>
      <c r="P22" s="23">
        <f>O22+'08.05'!P22</f>
        <v>515</v>
      </c>
      <c r="Q22" s="33">
        <v>375</v>
      </c>
      <c r="R22" s="22">
        <v>0</v>
      </c>
      <c r="S22" s="23">
        <f>R22+'08.05'!S22</f>
        <v>0</v>
      </c>
      <c r="T22" s="33">
        <v>165</v>
      </c>
      <c r="U22" s="22">
        <v>0</v>
      </c>
      <c r="V22" s="23">
        <f>U22+'08.05'!V22</f>
        <v>239</v>
      </c>
      <c r="W22" s="33">
        <v>28</v>
      </c>
      <c r="X22" s="22">
        <v>80</v>
      </c>
      <c r="Y22" s="23">
        <f>X22+'08.05'!Y22</f>
        <v>601</v>
      </c>
      <c r="Z22" s="33">
        <v>9</v>
      </c>
      <c r="AA22" s="22">
        <v>0</v>
      </c>
      <c r="AB22" s="23">
        <f>AA22+'08.05'!AB22</f>
        <v>0</v>
      </c>
      <c r="AC22" s="33">
        <v>112</v>
      </c>
      <c r="AD22" s="22">
        <v>1595</v>
      </c>
      <c r="AE22" s="23">
        <f>AD22+'08.05'!AE22</f>
        <v>14363</v>
      </c>
      <c r="AF22" s="19">
        <f t="shared" si="1"/>
        <v>316555</v>
      </c>
      <c r="AG22" s="20">
        <f t="shared" si="1"/>
        <v>4046841</v>
      </c>
      <c r="AH22" s="24">
        <v>2077</v>
      </c>
      <c r="AI22" s="23">
        <f>AH22+'08.05'!AI22</f>
        <v>21708</v>
      </c>
      <c r="AJ22" s="24">
        <v>3126</v>
      </c>
      <c r="AK22" s="23">
        <f>AJ22+'08.05'!AK22</f>
        <v>53556</v>
      </c>
      <c r="AL22" s="22">
        <v>11180</v>
      </c>
      <c r="AM22" s="23">
        <f>AL22+'08.05'!AM22</f>
        <v>87702</v>
      </c>
      <c r="AN22" s="22">
        <v>300172</v>
      </c>
      <c r="AO22" s="23">
        <f>AN22+'08.05'!AO22</f>
        <v>3883875</v>
      </c>
      <c r="AP22" s="28" t="s">
        <v>59</v>
      </c>
      <c r="AQ22" s="19">
        <f t="shared" si="3"/>
        <v>1973</v>
      </c>
      <c r="AR22" s="20">
        <f t="shared" si="3"/>
        <v>24864</v>
      </c>
      <c r="AS22" s="34">
        <v>0</v>
      </c>
      <c r="AT22" s="23">
        <f>AS22+'08.05'!AT22</f>
        <v>5</v>
      </c>
      <c r="AU22" s="34">
        <v>0</v>
      </c>
      <c r="AV22" s="23">
        <f>AU22+'08.05'!AV22</f>
        <v>5</v>
      </c>
      <c r="AW22" s="34">
        <v>0</v>
      </c>
      <c r="AX22" s="23">
        <f>AW22+'08.05'!AX22</f>
        <v>2</v>
      </c>
      <c r="AY22" s="34">
        <v>0</v>
      </c>
      <c r="AZ22" s="23">
        <f>AY22+'08.05'!AZ22</f>
        <v>1</v>
      </c>
      <c r="BA22" s="34">
        <v>1973</v>
      </c>
      <c r="BB22" s="23">
        <f>BA22+'08.05'!BB22</f>
        <v>24851</v>
      </c>
      <c r="BC22" s="19">
        <f t="shared" si="5"/>
        <v>4287</v>
      </c>
      <c r="BD22" s="20">
        <f t="shared" si="5"/>
        <v>68825</v>
      </c>
      <c r="BE22" s="22">
        <v>3</v>
      </c>
      <c r="BF22" s="23">
        <f>BE22+'08.05'!BF22</f>
        <v>49</v>
      </c>
      <c r="BG22" s="34">
        <v>61</v>
      </c>
      <c r="BH22" s="23">
        <f>BG22+'08.05'!BH22</f>
        <v>602</v>
      </c>
      <c r="BI22" s="22">
        <v>2421</v>
      </c>
      <c r="BJ22" s="23">
        <f>BI22+'08.05'!BJ22</f>
        <v>58721</v>
      </c>
      <c r="BK22" s="22">
        <v>1760</v>
      </c>
      <c r="BL22" s="23">
        <f>BK22+'08.05'!BL22</f>
        <v>9122</v>
      </c>
      <c r="BM22" s="22">
        <v>42</v>
      </c>
      <c r="BN22" s="23">
        <f>BM22+'08.05'!BN22</f>
        <v>331</v>
      </c>
      <c r="BO22" s="36">
        <v>26</v>
      </c>
      <c r="BP22" s="37">
        <v>94</v>
      </c>
      <c r="BQ22" s="23">
        <f>BP22+'08.05'!BQ22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3812</v>
      </c>
      <c r="D23" s="65">
        <f t="shared" si="0"/>
        <v>37819</v>
      </c>
      <c r="E23" s="66">
        <f>+E18+E19+E22+E17+E16+E15+E14+E13+E12+E11+E10+E9+E8</f>
        <v>7282</v>
      </c>
      <c r="F23" s="67">
        <f t="shared" ref="F23:J23" si="7">SUM(F8:F22)</f>
        <v>1388</v>
      </c>
      <c r="G23" s="68">
        <f t="shared" si="7"/>
        <v>14181</v>
      </c>
      <c r="H23" s="66">
        <f>+H18+H19+H22+H17+H16+H15+H14+H13+H12+H11+H10+H9+H8</f>
        <v>271</v>
      </c>
      <c r="I23" s="67">
        <f t="shared" si="7"/>
        <v>2</v>
      </c>
      <c r="J23" s="68">
        <f t="shared" si="7"/>
        <v>74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6</v>
      </c>
      <c r="N23" s="66">
        <f>+N18+N19+N22+N17+N16+N15+N14+N13+N12+N11+N10+N9+N8</f>
        <v>8607</v>
      </c>
      <c r="O23" s="67">
        <f t="shared" si="8"/>
        <v>75</v>
      </c>
      <c r="P23" s="68">
        <f t="shared" si="8"/>
        <v>1288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59</v>
      </c>
      <c r="T23" s="66">
        <f>+T18+T19+T22+T17+T16+T15+T14+T13+T12+T11+T10+T9+T8</f>
        <v>4115</v>
      </c>
      <c r="U23" s="67">
        <f t="shared" si="9"/>
        <v>1</v>
      </c>
      <c r="V23" s="68">
        <f t="shared" si="9"/>
        <v>370</v>
      </c>
      <c r="W23" s="66">
        <f>+W18+W19+W22+W17+W16+W15+W14+W13+W12+W11+W10+W9+W8</f>
        <v>604</v>
      </c>
      <c r="X23" s="67">
        <f t="shared" ref="X23:AB23" si="10">SUM(X8:X22)</f>
        <v>398</v>
      </c>
      <c r="Y23" s="68">
        <f t="shared" si="10"/>
        <v>3647</v>
      </c>
      <c r="Z23" s="66">
        <f>+Z18+Z19+Z22+Z17+Z16+Z15+Z14+Z13+Z12+Z11+Z10+Z9+Z8</f>
        <v>1629</v>
      </c>
      <c r="AA23" s="67">
        <f t="shared" si="10"/>
        <v>2</v>
      </c>
      <c r="AB23" s="68">
        <f t="shared" si="10"/>
        <v>38</v>
      </c>
      <c r="AC23" s="66">
        <f>+AC18+AC19+AC22+AC17+AC16+AC15+AC14+AC13+AC12+AC11+AC10+AC9+AC8</f>
        <v>64846</v>
      </c>
      <c r="AD23" s="67">
        <f t="shared" ref="AD23:AO23" si="11">SUM(AD8:AD22)</f>
        <v>1945</v>
      </c>
      <c r="AE23" s="68">
        <f t="shared" si="11"/>
        <v>18156</v>
      </c>
      <c r="AF23" s="64">
        <f t="shared" si="11"/>
        <v>3967343</v>
      </c>
      <c r="AG23" s="64">
        <f t="shared" si="11"/>
        <v>36646211</v>
      </c>
      <c r="AH23" s="67">
        <f t="shared" si="11"/>
        <v>25499</v>
      </c>
      <c r="AI23" s="68">
        <f t="shared" si="11"/>
        <v>272617</v>
      </c>
      <c r="AJ23" s="67">
        <f t="shared" si="11"/>
        <v>147100</v>
      </c>
      <c r="AK23" s="68">
        <f t="shared" si="11"/>
        <v>2456317</v>
      </c>
      <c r="AL23" s="67">
        <f t="shared" si="11"/>
        <v>1035316</v>
      </c>
      <c r="AM23" s="68">
        <f t="shared" si="11"/>
        <v>8224731</v>
      </c>
      <c r="AN23" s="67">
        <f t="shared" si="11"/>
        <v>2759428</v>
      </c>
      <c r="AO23" s="68">
        <f t="shared" si="11"/>
        <v>25692546</v>
      </c>
      <c r="AP23" s="62" t="s">
        <v>12</v>
      </c>
      <c r="AQ23" s="64">
        <f t="shared" ref="AQ23:BP23" si="12">SUM(AQ8:AQ22)</f>
        <v>2529</v>
      </c>
      <c r="AR23" s="64">
        <f t="shared" si="12"/>
        <v>29555</v>
      </c>
      <c r="AS23" s="67">
        <f t="shared" si="12"/>
        <v>3</v>
      </c>
      <c r="AT23" s="68">
        <f t="shared" si="12"/>
        <v>43</v>
      </c>
      <c r="AU23" s="67">
        <f t="shared" si="12"/>
        <v>5</v>
      </c>
      <c r="AV23" s="68">
        <f t="shared" si="12"/>
        <v>64</v>
      </c>
      <c r="AW23" s="67">
        <f t="shared" si="12"/>
        <v>0</v>
      </c>
      <c r="AX23" s="68">
        <f t="shared" si="12"/>
        <v>5</v>
      </c>
      <c r="AY23" s="67">
        <f t="shared" si="12"/>
        <v>0</v>
      </c>
      <c r="AZ23" s="68">
        <f t="shared" si="12"/>
        <v>2</v>
      </c>
      <c r="BA23" s="67">
        <f t="shared" si="12"/>
        <v>2521</v>
      </c>
      <c r="BB23" s="68">
        <f t="shared" si="12"/>
        <v>29441</v>
      </c>
      <c r="BC23" s="64">
        <f t="shared" si="12"/>
        <v>35661</v>
      </c>
      <c r="BD23" s="64">
        <f t="shared" si="12"/>
        <v>373145</v>
      </c>
      <c r="BE23" s="67">
        <f t="shared" si="12"/>
        <v>1332</v>
      </c>
      <c r="BF23" s="68">
        <f t="shared" si="12"/>
        <v>13282</v>
      </c>
      <c r="BG23" s="67">
        <f t="shared" si="12"/>
        <v>92</v>
      </c>
      <c r="BH23" s="68">
        <f t="shared" si="12"/>
        <v>1253</v>
      </c>
      <c r="BI23" s="67">
        <f t="shared" si="12"/>
        <v>28755</v>
      </c>
      <c r="BJ23" s="68">
        <f t="shared" si="12"/>
        <v>309967</v>
      </c>
      <c r="BK23" s="67">
        <f t="shared" si="12"/>
        <v>5221</v>
      </c>
      <c r="BL23" s="68">
        <f t="shared" si="12"/>
        <v>47129</v>
      </c>
      <c r="BM23" s="67">
        <f t="shared" si="12"/>
        <v>261</v>
      </c>
      <c r="BN23" s="68">
        <f t="shared" si="12"/>
        <v>1514</v>
      </c>
      <c r="BO23" s="69">
        <f t="shared" si="12"/>
        <v>37704</v>
      </c>
      <c r="BP23" s="70">
        <f t="shared" si="12"/>
        <v>102</v>
      </c>
      <c r="BQ23" s="23">
        <f>BP23+'20.04'!BP23</f>
        <v>128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BR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74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6</v>
      </c>
      <c r="D9" s="31">
        <f t="shared" si="0"/>
        <v>66</v>
      </c>
      <c r="E9" s="32">
        <v>452</v>
      </c>
      <c r="F9" s="22">
        <v>1</v>
      </c>
      <c r="G9" s="23">
        <f>F9+'09.05'!G9</f>
        <v>32</v>
      </c>
      <c r="H9" s="33">
        <v>12</v>
      </c>
      <c r="I9" s="34">
        <v>0</v>
      </c>
      <c r="J9" s="23">
        <f>I9+'09.05'!J9</f>
        <v>8</v>
      </c>
      <c r="K9" s="33">
        <v>2</v>
      </c>
      <c r="L9" s="22">
        <v>0</v>
      </c>
      <c r="M9" s="23">
        <f>L9+'09.05'!M9</f>
        <v>0</v>
      </c>
      <c r="N9" s="33">
        <v>735</v>
      </c>
      <c r="O9" s="22">
        <v>0</v>
      </c>
      <c r="P9" s="23">
        <f>O9+'09.05'!P9</f>
        <v>0</v>
      </c>
      <c r="Q9" s="33">
        <v>502</v>
      </c>
      <c r="R9" s="22">
        <v>0</v>
      </c>
      <c r="S9" s="23">
        <f>R9+'09.05'!S9</f>
        <v>0</v>
      </c>
      <c r="T9" s="33">
        <v>197</v>
      </c>
      <c r="U9" s="22">
        <v>0</v>
      </c>
      <c r="V9" s="23">
        <f>U9+'09.05'!V9</f>
        <v>0</v>
      </c>
      <c r="W9" s="33">
        <v>47</v>
      </c>
      <c r="X9" s="22">
        <v>5</v>
      </c>
      <c r="Y9" s="23">
        <f>X9+'09.05'!Y9</f>
        <v>14</v>
      </c>
      <c r="Z9" s="33">
        <v>34</v>
      </c>
      <c r="AA9" s="22">
        <v>0</v>
      </c>
      <c r="AB9" s="23">
        <f>AA9+'09.05'!AB9</f>
        <v>0</v>
      </c>
      <c r="AC9" s="33">
        <v>1860</v>
      </c>
      <c r="AD9" s="22">
        <v>0</v>
      </c>
      <c r="AE9" s="23">
        <f>AD9+'09.05'!AE9</f>
        <v>12</v>
      </c>
      <c r="AF9" s="19">
        <f t="shared" si="1"/>
        <v>10300</v>
      </c>
      <c r="AG9" s="20">
        <f t="shared" si="1"/>
        <v>90855</v>
      </c>
      <c r="AH9" s="24">
        <v>50</v>
      </c>
      <c r="AI9" s="23">
        <f>AH9+'09.05'!AI9</f>
        <v>1255</v>
      </c>
      <c r="AJ9" s="24">
        <v>1900</v>
      </c>
      <c r="AK9" s="23">
        <f>AJ9+'09.05'!AK9</f>
        <v>10520</v>
      </c>
      <c r="AL9" s="22">
        <v>300</v>
      </c>
      <c r="AM9" s="23">
        <f>AL9+'09.05'!AM9</f>
        <v>9360</v>
      </c>
      <c r="AN9" s="22">
        <v>8050</v>
      </c>
      <c r="AO9" s="23">
        <f>AN9+'09.05'!AO9</f>
        <v>69720</v>
      </c>
      <c r="AP9" s="28" t="s">
        <v>43</v>
      </c>
      <c r="AQ9" s="19">
        <f t="shared" si="3"/>
        <v>113</v>
      </c>
      <c r="AR9" s="20">
        <f t="shared" si="3"/>
        <v>1503</v>
      </c>
      <c r="AS9" s="34">
        <v>0</v>
      </c>
      <c r="AT9" s="23">
        <f>AS9+'09.05'!AT9</f>
        <v>2</v>
      </c>
      <c r="AU9" s="34">
        <v>1</v>
      </c>
      <c r="AV9" s="23">
        <f>AU9+'09.05'!AV9</f>
        <v>3</v>
      </c>
      <c r="AW9" s="34">
        <v>0</v>
      </c>
      <c r="AX9" s="23">
        <f>AW9+'09.05'!AX9</f>
        <v>1</v>
      </c>
      <c r="AY9" s="34">
        <v>0</v>
      </c>
      <c r="AZ9" s="23">
        <f>AY9+'09.05'!AZ9</f>
        <v>0</v>
      </c>
      <c r="BA9" s="34">
        <v>112</v>
      </c>
      <c r="BB9" s="23">
        <f>BA9+'09.05'!BB9</f>
        <v>1497</v>
      </c>
      <c r="BC9" s="19">
        <f t="shared" si="5"/>
        <v>804</v>
      </c>
      <c r="BD9" s="20">
        <f t="shared" si="5"/>
        <v>4925</v>
      </c>
      <c r="BE9" s="22">
        <v>1</v>
      </c>
      <c r="BF9" s="23">
        <f>BE9+'09.05'!BF9</f>
        <v>16</v>
      </c>
      <c r="BG9" s="34">
        <v>0</v>
      </c>
      <c r="BH9" s="23">
        <f>BG9+'09.05'!BH9</f>
        <v>0</v>
      </c>
      <c r="BI9" s="22">
        <v>800</v>
      </c>
      <c r="BJ9" s="23">
        <f>BI9+'09.05'!BJ9</f>
        <v>4890</v>
      </c>
      <c r="BK9" s="22">
        <v>0</v>
      </c>
      <c r="BL9" s="23">
        <f>BK9+'09.05'!BL9</f>
        <v>0</v>
      </c>
      <c r="BM9" s="22">
        <v>3</v>
      </c>
      <c r="BN9" s="23">
        <f>BM9+'09.05'!BN9</f>
        <v>19</v>
      </c>
      <c r="BO9" s="36">
        <v>14</v>
      </c>
      <c r="BP9" s="37">
        <v>0</v>
      </c>
      <c r="BQ9" s="23">
        <f>BP9+'09.05'!BQ9</f>
        <v>3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79</v>
      </c>
      <c r="D10" s="31">
        <f t="shared" si="0"/>
        <v>1009</v>
      </c>
      <c r="E10" s="32">
        <v>585</v>
      </c>
      <c r="F10" s="22">
        <v>0</v>
      </c>
      <c r="G10" s="23">
        <f>F10+'09.05'!G10</f>
        <v>102</v>
      </c>
      <c r="H10" s="33">
        <v>93</v>
      </c>
      <c r="I10" s="34">
        <v>0</v>
      </c>
      <c r="J10" s="23">
        <f>I10+'09.05'!J10</f>
        <v>15</v>
      </c>
      <c r="K10" s="33">
        <v>34</v>
      </c>
      <c r="L10" s="22">
        <v>0</v>
      </c>
      <c r="M10" s="23">
        <f>L10+'09.05'!M10</f>
        <v>6</v>
      </c>
      <c r="N10" s="33">
        <v>352</v>
      </c>
      <c r="O10" s="22">
        <v>0</v>
      </c>
      <c r="P10" s="23">
        <f>O10+'09.05'!P10</f>
        <v>62</v>
      </c>
      <c r="Q10" s="33">
        <v>549</v>
      </c>
      <c r="R10" s="22">
        <v>0</v>
      </c>
      <c r="S10" s="23">
        <f>R10+'09.05'!S10</f>
        <v>48</v>
      </c>
      <c r="T10" s="33">
        <v>198</v>
      </c>
      <c r="U10" s="22">
        <v>0</v>
      </c>
      <c r="V10" s="23">
        <f>U10+'09.05'!V10</f>
        <v>25</v>
      </c>
      <c r="W10" s="38">
        <v>55</v>
      </c>
      <c r="X10" s="22">
        <v>13</v>
      </c>
      <c r="Y10" s="23">
        <f>X10+'09.05'!Y10</f>
        <v>42</v>
      </c>
      <c r="Z10" s="38">
        <v>71</v>
      </c>
      <c r="AA10" s="22">
        <v>0</v>
      </c>
      <c r="AB10" s="23">
        <f>AA10+'09.05'!AB10</f>
        <v>26</v>
      </c>
      <c r="AC10" s="38">
        <v>1690</v>
      </c>
      <c r="AD10" s="22">
        <v>66</v>
      </c>
      <c r="AE10" s="23">
        <f>AD10+'09.05'!AE10</f>
        <v>683</v>
      </c>
      <c r="AF10" s="19">
        <f t="shared" si="1"/>
        <v>103090</v>
      </c>
      <c r="AG10" s="20">
        <f t="shared" si="1"/>
        <v>988020</v>
      </c>
      <c r="AH10" s="24">
        <v>519</v>
      </c>
      <c r="AI10" s="23">
        <f>AH10+'09.05'!AI10</f>
        <v>8966</v>
      </c>
      <c r="AJ10" s="24">
        <v>4831</v>
      </c>
      <c r="AK10" s="23">
        <f>AJ10+'09.05'!AK10</f>
        <v>44050</v>
      </c>
      <c r="AL10" s="22">
        <v>10816</v>
      </c>
      <c r="AM10" s="23">
        <f>AL10+'09.05'!AM10</f>
        <v>112986</v>
      </c>
      <c r="AN10" s="22">
        <v>86924</v>
      </c>
      <c r="AO10" s="23">
        <f>AN10+'09.05'!AO10</f>
        <v>822018</v>
      </c>
      <c r="AP10" s="28" t="s">
        <v>44</v>
      </c>
      <c r="AQ10" s="19">
        <f t="shared" si="3"/>
        <v>3</v>
      </c>
      <c r="AR10" s="20">
        <f t="shared" si="3"/>
        <v>46</v>
      </c>
      <c r="AS10" s="34">
        <v>0</v>
      </c>
      <c r="AT10" s="23">
        <f>AS10+'09.05'!AT10</f>
        <v>2</v>
      </c>
      <c r="AU10" s="34">
        <v>0</v>
      </c>
      <c r="AV10" s="23">
        <f>AU10+'09.05'!AV10</f>
        <v>2</v>
      </c>
      <c r="AW10" s="34">
        <v>0</v>
      </c>
      <c r="AX10" s="23">
        <f>AW10+'09.05'!AX10</f>
        <v>0</v>
      </c>
      <c r="AY10" s="34">
        <v>0</v>
      </c>
      <c r="AZ10" s="23">
        <f>AY10+'09.05'!AZ10</f>
        <v>0</v>
      </c>
      <c r="BA10" s="34">
        <v>3</v>
      </c>
      <c r="BB10" s="23">
        <f>BA10+'09.05'!BB10</f>
        <v>42</v>
      </c>
      <c r="BC10" s="19">
        <f t="shared" si="5"/>
        <v>4159</v>
      </c>
      <c r="BD10" s="20">
        <f t="shared" si="5"/>
        <v>37768</v>
      </c>
      <c r="BE10" s="22">
        <v>549</v>
      </c>
      <c r="BF10" s="23">
        <f>BE10+'09.05'!BF10</f>
        <v>5061</v>
      </c>
      <c r="BG10" s="34">
        <v>0</v>
      </c>
      <c r="BH10" s="23">
        <f>BG10+'09.05'!BH10</f>
        <v>4</v>
      </c>
      <c r="BI10" s="22">
        <v>1875</v>
      </c>
      <c r="BJ10" s="23">
        <f>BI10+'09.05'!BJ10</f>
        <v>21989</v>
      </c>
      <c r="BK10" s="22">
        <v>1735</v>
      </c>
      <c r="BL10" s="23">
        <f>BK10+'09.05'!BL10</f>
        <v>10714</v>
      </c>
      <c r="BM10" s="22">
        <v>0</v>
      </c>
      <c r="BN10" s="23">
        <f>BM10+'09.05'!BN10</f>
        <v>0</v>
      </c>
      <c r="BO10" s="36">
        <v>32</v>
      </c>
      <c r="BP10" s="37">
        <v>0</v>
      </c>
      <c r="BQ10" s="23">
        <f>BP10+'09.05'!BQ10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36</v>
      </c>
      <c r="D11" s="31">
        <f t="shared" si="0"/>
        <v>366</v>
      </c>
      <c r="E11" s="32">
        <v>883</v>
      </c>
      <c r="F11" s="22">
        <v>18</v>
      </c>
      <c r="G11" s="23">
        <f>F11+'09.05'!G11</f>
        <v>188</v>
      </c>
      <c r="H11" s="33">
        <v>16</v>
      </c>
      <c r="I11" s="34">
        <v>0</v>
      </c>
      <c r="J11" s="23">
        <f>I11+'09.05'!J11</f>
        <v>0</v>
      </c>
      <c r="K11" s="33">
        <v>3</v>
      </c>
      <c r="L11" s="22">
        <v>0</v>
      </c>
      <c r="M11" s="23">
        <f>L11+'09.05'!M11</f>
        <v>0</v>
      </c>
      <c r="N11" s="33">
        <v>875</v>
      </c>
      <c r="O11" s="22">
        <v>0</v>
      </c>
      <c r="P11" s="23">
        <f>O11+'09.05'!P11</f>
        <v>0</v>
      </c>
      <c r="Q11" s="33">
        <v>2424</v>
      </c>
      <c r="R11" s="22">
        <v>0</v>
      </c>
      <c r="S11" s="23">
        <f>R11+'09.05'!S11</f>
        <v>0</v>
      </c>
      <c r="T11" s="33">
        <v>69</v>
      </c>
      <c r="U11" s="22">
        <v>0</v>
      </c>
      <c r="V11" s="23">
        <f>U11+'09.05'!V11</f>
        <v>0</v>
      </c>
      <c r="W11" s="38">
        <v>133</v>
      </c>
      <c r="X11" s="22">
        <v>17</v>
      </c>
      <c r="Y11" s="23">
        <f>X11+'09.05'!Y11</f>
        <v>167</v>
      </c>
      <c r="Z11" s="38">
        <v>1116</v>
      </c>
      <c r="AA11" s="22">
        <v>0</v>
      </c>
      <c r="AB11" s="23">
        <f>AA11+'09.05'!AB11</f>
        <v>0</v>
      </c>
      <c r="AC11" s="38">
        <v>9862</v>
      </c>
      <c r="AD11" s="22">
        <v>1</v>
      </c>
      <c r="AE11" s="23">
        <f>AD11+'09.05'!AE11</f>
        <v>11</v>
      </c>
      <c r="AF11" s="19">
        <f t="shared" si="1"/>
        <v>15000</v>
      </c>
      <c r="AG11" s="20">
        <f t="shared" si="1"/>
        <v>216700</v>
      </c>
      <c r="AH11" s="24">
        <v>2200</v>
      </c>
      <c r="AI11" s="23">
        <f>AH11+'09.05'!AI11</f>
        <v>24400</v>
      </c>
      <c r="AJ11" s="24">
        <v>2600</v>
      </c>
      <c r="AK11" s="23">
        <f>AJ11+'09.05'!AK11</f>
        <v>28400</v>
      </c>
      <c r="AL11" s="22">
        <v>2300</v>
      </c>
      <c r="AM11" s="23">
        <f>AL11+'09.05'!AM11</f>
        <v>56300</v>
      </c>
      <c r="AN11" s="22">
        <v>7900</v>
      </c>
      <c r="AO11" s="23">
        <f>AN11+'09.05'!AO11</f>
        <v>107600</v>
      </c>
      <c r="AP11" s="28" t="s">
        <v>45</v>
      </c>
      <c r="AQ11" s="19">
        <f t="shared" si="3"/>
        <v>4</v>
      </c>
      <c r="AR11" s="20">
        <f t="shared" si="3"/>
        <v>27</v>
      </c>
      <c r="AS11" s="34">
        <v>0</v>
      </c>
      <c r="AT11" s="23">
        <f>AS11+'09.05'!AT11</f>
        <v>0</v>
      </c>
      <c r="AU11" s="34">
        <v>0</v>
      </c>
      <c r="AV11" s="23">
        <f>AU11+'09.05'!AV11</f>
        <v>0</v>
      </c>
      <c r="AW11" s="34">
        <v>0</v>
      </c>
      <c r="AX11" s="23">
        <f>AW11+'09.05'!AX11</f>
        <v>0</v>
      </c>
      <c r="AY11" s="34">
        <v>0</v>
      </c>
      <c r="AZ11" s="23">
        <f>AY11+'09.05'!AZ11</f>
        <v>0</v>
      </c>
      <c r="BA11" s="34">
        <v>4</v>
      </c>
      <c r="BB11" s="23">
        <f>BA11+'09.05'!BB11</f>
        <v>27</v>
      </c>
      <c r="BC11" s="19">
        <f t="shared" si="5"/>
        <v>505</v>
      </c>
      <c r="BD11" s="20">
        <f t="shared" si="5"/>
        <v>7334</v>
      </c>
      <c r="BE11" s="22">
        <v>3</v>
      </c>
      <c r="BF11" s="23">
        <f>BE11+'09.05'!BF11</f>
        <v>16</v>
      </c>
      <c r="BG11" s="34">
        <v>3</v>
      </c>
      <c r="BH11" s="23">
        <f>BG11+'09.05'!BH11</f>
        <v>28</v>
      </c>
      <c r="BI11" s="22">
        <v>480</v>
      </c>
      <c r="BJ11" s="23">
        <f>BI11+'09.05'!BJ11</f>
        <v>7090</v>
      </c>
      <c r="BK11" s="22">
        <v>16</v>
      </c>
      <c r="BL11" s="23">
        <f>BK11+'09.05'!BL11</f>
        <v>188</v>
      </c>
      <c r="BM11" s="22">
        <v>3</v>
      </c>
      <c r="BN11" s="23">
        <f>BM11+'09.05'!BN11</f>
        <v>12</v>
      </c>
      <c r="BO11" s="36">
        <v>11506</v>
      </c>
      <c r="BP11" s="37">
        <v>2</v>
      </c>
      <c r="BQ11" s="23">
        <f>BP11+'09.05'!BQ11</f>
        <v>26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234</v>
      </c>
      <c r="D12" s="31">
        <f t="shared" si="0"/>
        <v>2085</v>
      </c>
      <c r="E12" s="32">
        <v>909</v>
      </c>
      <c r="F12" s="22">
        <v>51</v>
      </c>
      <c r="G12" s="23">
        <f>F12+'09.05'!G12</f>
        <v>485</v>
      </c>
      <c r="H12" s="33">
        <v>80</v>
      </c>
      <c r="I12" s="34">
        <v>4</v>
      </c>
      <c r="J12" s="23">
        <f>I12+'09.05'!J12</f>
        <v>15</v>
      </c>
      <c r="K12" s="33">
        <v>5</v>
      </c>
      <c r="L12" s="22">
        <v>0</v>
      </c>
      <c r="M12" s="23">
        <f>L12+'09.05'!M12</f>
        <v>0</v>
      </c>
      <c r="N12" s="33">
        <v>820</v>
      </c>
      <c r="O12" s="22">
        <v>39</v>
      </c>
      <c r="P12" s="23">
        <f>O12+'09.05'!P12</f>
        <v>97</v>
      </c>
      <c r="Q12" s="33">
        <v>549</v>
      </c>
      <c r="R12" s="22">
        <v>0</v>
      </c>
      <c r="S12" s="23">
        <f>R12+'09.05'!S12</f>
        <v>0</v>
      </c>
      <c r="T12" s="33">
        <v>992</v>
      </c>
      <c r="U12" s="22">
        <v>0</v>
      </c>
      <c r="V12" s="23">
        <f>U12+'09.05'!V12</f>
        <v>0</v>
      </c>
      <c r="W12" s="33">
        <v>38</v>
      </c>
      <c r="X12" s="22">
        <v>97</v>
      </c>
      <c r="Y12" s="23">
        <f>X12+'09.05'!Y12</f>
        <v>1107</v>
      </c>
      <c r="Z12" s="33">
        <v>68</v>
      </c>
      <c r="AA12" s="22">
        <v>0</v>
      </c>
      <c r="AB12" s="23">
        <f>AA12+'09.05'!AB12</f>
        <v>0</v>
      </c>
      <c r="AC12" s="33">
        <v>26703</v>
      </c>
      <c r="AD12" s="22">
        <v>43</v>
      </c>
      <c r="AE12" s="23">
        <f>AD12+'09.05'!AE12</f>
        <v>381</v>
      </c>
      <c r="AF12" s="19">
        <f t="shared" si="1"/>
        <v>30800</v>
      </c>
      <c r="AG12" s="20">
        <f t="shared" si="1"/>
        <v>90598</v>
      </c>
      <c r="AH12" s="24">
        <v>5100</v>
      </c>
      <c r="AI12" s="23">
        <f>AH12+'09.05'!AI12</f>
        <v>9909</v>
      </c>
      <c r="AJ12" s="24">
        <v>8900</v>
      </c>
      <c r="AK12" s="23">
        <f>AJ12+'09.05'!AK12</f>
        <v>23089</v>
      </c>
      <c r="AL12" s="22">
        <v>8400</v>
      </c>
      <c r="AM12" s="23">
        <f>AL12+'09.05'!AM12</f>
        <v>28800</v>
      </c>
      <c r="AN12" s="22">
        <v>8400</v>
      </c>
      <c r="AO12" s="23">
        <f>AN12+'09.05'!AO12</f>
        <v>28800</v>
      </c>
      <c r="AP12" s="28" t="s">
        <v>46</v>
      </c>
      <c r="AQ12" s="19">
        <f t="shared" si="3"/>
        <v>85</v>
      </c>
      <c r="AR12" s="20">
        <f t="shared" si="3"/>
        <v>687</v>
      </c>
      <c r="AS12" s="34">
        <v>0</v>
      </c>
      <c r="AT12" s="23">
        <f>AS12+'09.05'!AT12</f>
        <v>0</v>
      </c>
      <c r="AU12" s="34">
        <v>0</v>
      </c>
      <c r="AV12" s="23">
        <f>AU12+'09.05'!AV12</f>
        <v>0</v>
      </c>
      <c r="AW12" s="34">
        <v>0</v>
      </c>
      <c r="AX12" s="23">
        <f>AW12+'09.05'!AX12</f>
        <v>0</v>
      </c>
      <c r="AY12" s="34">
        <v>0</v>
      </c>
      <c r="AZ12" s="23">
        <f>AY12+'09.05'!AZ12</f>
        <v>0</v>
      </c>
      <c r="BA12" s="34">
        <v>85</v>
      </c>
      <c r="BB12" s="23">
        <f>BA12+'09.05'!BB12</f>
        <v>687</v>
      </c>
      <c r="BC12" s="19">
        <f t="shared" si="5"/>
        <v>2552</v>
      </c>
      <c r="BD12" s="20">
        <f t="shared" si="5"/>
        <v>27272</v>
      </c>
      <c r="BE12" s="22">
        <v>301</v>
      </c>
      <c r="BF12" s="23">
        <f>BE12+'09.05'!BF12</f>
        <v>2257</v>
      </c>
      <c r="BG12" s="34">
        <v>10</v>
      </c>
      <c r="BH12" s="23">
        <f>BG12+'09.05'!BH12</f>
        <v>69</v>
      </c>
      <c r="BI12" s="22">
        <v>2000</v>
      </c>
      <c r="BJ12" s="23">
        <f>BI12+'09.05'!BJ12</f>
        <v>22500</v>
      </c>
      <c r="BK12" s="22">
        <v>200</v>
      </c>
      <c r="BL12" s="23">
        <f>BK12+'09.05'!BL12</f>
        <v>2050</v>
      </c>
      <c r="BM12" s="22">
        <v>41</v>
      </c>
      <c r="BN12" s="23">
        <f>BM12+'09.05'!BN12</f>
        <v>396</v>
      </c>
      <c r="BO12" s="36"/>
      <c r="BP12" s="37">
        <v>2</v>
      </c>
      <c r="BQ12" s="23">
        <f>BP12+'09.05'!BQ12</f>
        <v>13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145</v>
      </c>
      <c r="E13" s="32">
        <v>516</v>
      </c>
      <c r="F13" s="22">
        <v>1</v>
      </c>
      <c r="G13" s="23">
        <f>F13+'09.05'!G13</f>
        <v>11</v>
      </c>
      <c r="H13" s="33">
        <v>10</v>
      </c>
      <c r="I13" s="34">
        <v>0</v>
      </c>
      <c r="J13" s="23">
        <f>I13+'09.05'!J13</f>
        <v>5</v>
      </c>
      <c r="K13" s="33">
        <v>38</v>
      </c>
      <c r="L13" s="22">
        <v>0</v>
      </c>
      <c r="M13" s="23">
        <f>L13+'09.05'!M13</f>
        <v>0</v>
      </c>
      <c r="N13" s="33">
        <v>581</v>
      </c>
      <c r="O13" s="22">
        <v>1</v>
      </c>
      <c r="P13" s="23">
        <f>O13+'09.05'!P13</f>
        <v>4</v>
      </c>
      <c r="Q13" s="33">
        <v>525</v>
      </c>
      <c r="R13" s="22">
        <v>0</v>
      </c>
      <c r="S13" s="23">
        <f>R13+'09.05'!S13</f>
        <v>0</v>
      </c>
      <c r="T13" s="33">
        <v>263</v>
      </c>
      <c r="U13" s="22">
        <v>0</v>
      </c>
      <c r="V13" s="23">
        <f>U13+'09.05'!V13</f>
        <v>0</v>
      </c>
      <c r="W13" s="33">
        <v>43</v>
      </c>
      <c r="X13" s="22">
        <v>0</v>
      </c>
      <c r="Y13" s="23">
        <f>X13+'09.05'!Y13</f>
        <v>0</v>
      </c>
      <c r="Z13" s="33">
        <v>17</v>
      </c>
      <c r="AA13" s="22">
        <v>0</v>
      </c>
      <c r="AB13" s="23">
        <f>AA13+'09.05'!AB13</f>
        <v>0</v>
      </c>
      <c r="AC13" s="33">
        <v>51</v>
      </c>
      <c r="AD13" s="22">
        <v>1</v>
      </c>
      <c r="AE13" s="23">
        <f>AD13+'09.05'!AE13</f>
        <v>125</v>
      </c>
      <c r="AF13" s="19">
        <f t="shared" si="1"/>
        <v>240000</v>
      </c>
      <c r="AG13" s="20">
        <f t="shared" si="1"/>
        <v>2566000</v>
      </c>
      <c r="AH13" s="24">
        <v>4000</v>
      </c>
      <c r="AI13" s="23">
        <f>AH13+'09.05'!AI13</f>
        <v>26000</v>
      </c>
      <c r="AJ13" s="24">
        <v>16000</v>
      </c>
      <c r="AK13" s="23">
        <f>AJ13+'09.05'!AK13</f>
        <v>151000</v>
      </c>
      <c r="AL13" s="22">
        <v>20000</v>
      </c>
      <c r="AM13" s="23">
        <f>AL13+'09.05'!AM13</f>
        <v>230000</v>
      </c>
      <c r="AN13" s="22">
        <v>200000</v>
      </c>
      <c r="AO13" s="23">
        <f>AN13+'09.05'!AO13</f>
        <v>2159000</v>
      </c>
      <c r="AP13" s="28" t="s">
        <v>47</v>
      </c>
      <c r="AQ13" s="19">
        <f t="shared" si="3"/>
        <v>52</v>
      </c>
      <c r="AR13" s="20">
        <f t="shared" si="3"/>
        <v>292</v>
      </c>
      <c r="AS13" s="34">
        <v>1</v>
      </c>
      <c r="AT13" s="23">
        <f>AS13+'09.05'!AT13</f>
        <v>9</v>
      </c>
      <c r="AU13" s="34">
        <v>1</v>
      </c>
      <c r="AV13" s="23">
        <f>AU13+'09.05'!AV13</f>
        <v>9</v>
      </c>
      <c r="AW13" s="34">
        <v>0</v>
      </c>
      <c r="AX13" s="23">
        <f>AW13+'09.05'!AX13</f>
        <v>0</v>
      </c>
      <c r="AY13" s="34">
        <v>0</v>
      </c>
      <c r="AZ13" s="23">
        <f>AY13+'09.05'!AZ13</f>
        <v>0</v>
      </c>
      <c r="BA13" s="34">
        <v>50</v>
      </c>
      <c r="BB13" s="23">
        <f>BA13+'09.05'!BB13</f>
        <v>274</v>
      </c>
      <c r="BC13" s="19">
        <f t="shared" si="5"/>
        <v>12804</v>
      </c>
      <c r="BD13" s="20">
        <f t="shared" si="5"/>
        <v>101914</v>
      </c>
      <c r="BE13" s="22">
        <v>516</v>
      </c>
      <c r="BF13" s="23">
        <f>BE13+'09.05'!BF13</f>
        <v>5160</v>
      </c>
      <c r="BG13" s="34">
        <v>21</v>
      </c>
      <c r="BH13" s="23">
        <f>BG13+'09.05'!BH13</f>
        <v>152</v>
      </c>
      <c r="BI13" s="22">
        <v>12000</v>
      </c>
      <c r="BJ13" s="23">
        <f>BI13+'09.05'!BJ13</f>
        <v>95000</v>
      </c>
      <c r="BK13" s="22">
        <v>200</v>
      </c>
      <c r="BL13" s="23">
        <f>BK13+'09.05'!BL13</f>
        <v>1200</v>
      </c>
      <c r="BM13" s="22">
        <v>67</v>
      </c>
      <c r="BN13" s="23">
        <f>BM13+'09.05'!BN13</f>
        <v>402</v>
      </c>
      <c r="BO13" s="36"/>
      <c r="BP13" s="37">
        <v>1</v>
      </c>
      <c r="BQ13" s="23">
        <f>BP13+'09.05'!BQ13</f>
        <v>4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92</v>
      </c>
      <c r="D14" s="42">
        <f t="shared" si="0"/>
        <v>1117</v>
      </c>
      <c r="E14" s="43">
        <v>304</v>
      </c>
      <c r="F14" s="22">
        <v>82</v>
      </c>
      <c r="G14" s="23">
        <f>F14+'09.05'!G14</f>
        <v>923</v>
      </c>
      <c r="H14" s="44">
        <v>5</v>
      </c>
      <c r="I14" s="45">
        <v>0</v>
      </c>
      <c r="J14" s="23">
        <f>I14+'09.05'!J14</f>
        <v>0</v>
      </c>
      <c r="K14" s="44">
        <v>34</v>
      </c>
      <c r="L14" s="22">
        <v>0</v>
      </c>
      <c r="M14" s="23">
        <f>L14+'09.05'!M14</f>
        <v>0</v>
      </c>
      <c r="N14" s="44">
        <v>583</v>
      </c>
      <c r="O14" s="22">
        <v>0</v>
      </c>
      <c r="P14" s="23">
        <f>O14+'09.05'!P14</f>
        <v>0</v>
      </c>
      <c r="Q14" s="44">
        <v>254</v>
      </c>
      <c r="R14" s="22">
        <v>0</v>
      </c>
      <c r="S14" s="23">
        <f>R14+'09.05'!S14</f>
        <v>0</v>
      </c>
      <c r="T14" s="44">
        <v>196</v>
      </c>
      <c r="U14" s="22">
        <v>0</v>
      </c>
      <c r="V14" s="23">
        <f>U14+'09.05'!V14</f>
        <v>0</v>
      </c>
      <c r="W14" s="44">
        <v>30</v>
      </c>
      <c r="X14" s="22">
        <v>10</v>
      </c>
      <c r="Y14" s="23">
        <f>X14+'09.05'!Y14</f>
        <v>144</v>
      </c>
      <c r="Z14" s="44">
        <v>10</v>
      </c>
      <c r="AA14" s="22">
        <v>0</v>
      </c>
      <c r="AB14" s="23">
        <f>AA14+'09.05'!AB14</f>
        <v>0</v>
      </c>
      <c r="AC14" s="44">
        <v>2500</v>
      </c>
      <c r="AD14" s="22">
        <v>0</v>
      </c>
      <c r="AE14" s="23">
        <f>AD14+'09.05'!AE14</f>
        <v>50</v>
      </c>
      <c r="AF14" s="19">
        <f t="shared" si="1"/>
        <v>91620</v>
      </c>
      <c r="AG14" s="20">
        <f t="shared" si="1"/>
        <v>1055340</v>
      </c>
      <c r="AH14" s="24">
        <v>520</v>
      </c>
      <c r="AI14" s="23">
        <f>AH14+'09.05'!AI14</f>
        <v>30560</v>
      </c>
      <c r="AJ14" s="24">
        <v>4600</v>
      </c>
      <c r="AK14" s="23">
        <f>AJ14+'09.05'!AK14</f>
        <v>57150</v>
      </c>
      <c r="AL14" s="22">
        <v>5100</v>
      </c>
      <c r="AM14" s="23">
        <f>AL14+'09.05'!AM14</f>
        <v>60250</v>
      </c>
      <c r="AN14" s="22">
        <v>81400</v>
      </c>
      <c r="AO14" s="23">
        <f>AN14+'09.05'!AO14</f>
        <v>907380</v>
      </c>
      <c r="AP14" s="39" t="s">
        <v>48</v>
      </c>
      <c r="AQ14" s="19">
        <f t="shared" si="3"/>
        <v>4</v>
      </c>
      <c r="AR14" s="20">
        <f t="shared" si="3"/>
        <v>40</v>
      </c>
      <c r="AS14" s="45">
        <v>0</v>
      </c>
      <c r="AT14" s="23">
        <f>AS14+'09.05'!AT14</f>
        <v>0</v>
      </c>
      <c r="AU14" s="45">
        <v>0</v>
      </c>
      <c r="AV14" s="23">
        <f>AU14+'09.05'!AV14</f>
        <v>2</v>
      </c>
      <c r="AW14" s="45">
        <v>0</v>
      </c>
      <c r="AX14" s="23">
        <f>AW14+'09.05'!AX14</f>
        <v>1</v>
      </c>
      <c r="AY14" s="45">
        <v>0</v>
      </c>
      <c r="AZ14" s="23">
        <f>AY14+'09.05'!AZ14</f>
        <v>1</v>
      </c>
      <c r="BA14" s="45">
        <v>4</v>
      </c>
      <c r="BB14" s="23">
        <f>BA14+'09.05'!BB14</f>
        <v>36</v>
      </c>
      <c r="BC14" s="19">
        <f t="shared" si="5"/>
        <v>1508</v>
      </c>
      <c r="BD14" s="20">
        <f t="shared" si="5"/>
        <v>30324</v>
      </c>
      <c r="BE14" s="22">
        <v>4</v>
      </c>
      <c r="BF14" s="23">
        <f>BE14+'09.05'!BF14</f>
        <v>39</v>
      </c>
      <c r="BG14" s="45">
        <v>1</v>
      </c>
      <c r="BH14" s="23">
        <f>BG14+'09.05'!BH14</f>
        <v>19</v>
      </c>
      <c r="BI14" s="22">
        <v>1500</v>
      </c>
      <c r="BJ14" s="23">
        <f>BI14+'09.05'!BJ14</f>
        <v>30200</v>
      </c>
      <c r="BK14" s="22">
        <v>2</v>
      </c>
      <c r="BL14" s="23">
        <f>BK14+'09.05'!BL14</f>
        <v>43</v>
      </c>
      <c r="BM14" s="22">
        <v>1</v>
      </c>
      <c r="BN14" s="23">
        <f>BM14+'09.05'!BN14</f>
        <v>23</v>
      </c>
      <c r="BO14" s="48">
        <v>22</v>
      </c>
      <c r="BP14" s="49">
        <v>0</v>
      </c>
      <c r="BQ14" s="23">
        <f>BP14+'09.05'!BQ14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505</v>
      </c>
      <c r="D15" s="53">
        <f t="shared" si="0"/>
        <v>4476</v>
      </c>
      <c r="E15" s="54">
        <v>776</v>
      </c>
      <c r="F15" s="55">
        <v>399</v>
      </c>
      <c r="G15" s="23">
        <f>F15+'09.05'!G15</f>
        <v>3336</v>
      </c>
      <c r="H15" s="56">
        <v>9</v>
      </c>
      <c r="I15" s="57">
        <v>0</v>
      </c>
      <c r="J15" s="23">
        <f>I15+'09.05'!J15</f>
        <v>0</v>
      </c>
      <c r="K15" s="56">
        <v>6</v>
      </c>
      <c r="L15" s="55">
        <v>0</v>
      </c>
      <c r="M15" s="23">
        <f>L15+'09.05'!M15</f>
        <v>0</v>
      </c>
      <c r="N15" s="56">
        <v>1305</v>
      </c>
      <c r="O15" s="55">
        <v>0</v>
      </c>
      <c r="P15" s="23">
        <f>O15+'09.05'!P15</f>
        <v>0</v>
      </c>
      <c r="Q15" s="56">
        <v>447</v>
      </c>
      <c r="R15" s="55">
        <v>0</v>
      </c>
      <c r="S15" s="23">
        <f>R15+'09.05'!S15</f>
        <v>0</v>
      </c>
      <c r="T15" s="56">
        <v>337</v>
      </c>
      <c r="U15" s="55">
        <v>0</v>
      </c>
      <c r="V15" s="23">
        <f>U15+'09.05'!V15</f>
        <v>0</v>
      </c>
      <c r="W15" s="56">
        <v>78</v>
      </c>
      <c r="X15" s="55">
        <v>0</v>
      </c>
      <c r="Y15" s="23">
        <f>X15+'09.05'!Y15</f>
        <v>0</v>
      </c>
      <c r="Z15" s="56">
        <v>141</v>
      </c>
      <c r="AA15" s="55">
        <v>0</v>
      </c>
      <c r="AB15" s="23">
        <f>AA15+'09.05'!AB15</f>
        <v>0</v>
      </c>
      <c r="AC15" s="56">
        <v>798</v>
      </c>
      <c r="AD15" s="55">
        <v>106</v>
      </c>
      <c r="AE15" s="23">
        <f>AD15+'09.05'!AE15</f>
        <v>1140</v>
      </c>
      <c r="AF15" s="58">
        <f t="shared" si="1"/>
        <v>1608539</v>
      </c>
      <c r="AG15" s="59">
        <f t="shared" si="1"/>
        <v>16459753</v>
      </c>
      <c r="AH15" s="60">
        <v>782</v>
      </c>
      <c r="AI15" s="23">
        <f>AH15+'09.05'!AI15</f>
        <v>8436</v>
      </c>
      <c r="AJ15" s="60">
        <v>2695</v>
      </c>
      <c r="AK15" s="23">
        <f>AJ15+'09.05'!AK15</f>
        <v>31004</v>
      </c>
      <c r="AL15" s="55">
        <v>802531</v>
      </c>
      <c r="AM15" s="23">
        <f>AL15+'09.05'!AM15</f>
        <v>8210157</v>
      </c>
      <c r="AN15" s="55">
        <v>802531</v>
      </c>
      <c r="AO15" s="23">
        <f>AN15+'09.05'!AO15</f>
        <v>8210156</v>
      </c>
      <c r="AP15" s="50" t="s">
        <v>49</v>
      </c>
      <c r="AQ15" s="58">
        <f t="shared" si="3"/>
        <v>2</v>
      </c>
      <c r="AR15" s="59">
        <f t="shared" si="3"/>
        <v>25</v>
      </c>
      <c r="AS15" s="57">
        <v>0</v>
      </c>
      <c r="AT15" s="23">
        <f>AS15+'09.05'!AT15</f>
        <v>1</v>
      </c>
      <c r="AU15" s="57">
        <v>0</v>
      </c>
      <c r="AV15" s="23">
        <f>AU15+'09.05'!AV15</f>
        <v>2</v>
      </c>
      <c r="AW15" s="57">
        <v>0</v>
      </c>
      <c r="AX15" s="23">
        <f>AW15+'09.05'!AX15</f>
        <v>1</v>
      </c>
      <c r="AY15" s="57">
        <v>0</v>
      </c>
      <c r="AZ15" s="23">
        <f>AY15+'09.05'!AZ15</f>
        <v>0</v>
      </c>
      <c r="BA15" s="57">
        <v>2</v>
      </c>
      <c r="BB15" s="23">
        <f>BA15+'09.05'!BB15</f>
        <v>21</v>
      </c>
      <c r="BC15" s="58">
        <f t="shared" si="5"/>
        <v>1378</v>
      </c>
      <c r="BD15" s="59">
        <f t="shared" si="5"/>
        <v>14811</v>
      </c>
      <c r="BE15" s="55">
        <v>76</v>
      </c>
      <c r="BF15" s="23">
        <f>BE15+'09.05'!BF15</f>
        <v>703</v>
      </c>
      <c r="BG15" s="57">
        <v>1</v>
      </c>
      <c r="BH15" s="23">
        <f>BG15+'09.05'!BH15</f>
        <v>16</v>
      </c>
      <c r="BI15" s="55">
        <v>693</v>
      </c>
      <c r="BJ15" s="23">
        <f>BI15+'09.05'!BJ15</f>
        <v>7072</v>
      </c>
      <c r="BK15" s="55">
        <v>592</v>
      </c>
      <c r="BL15" s="23">
        <f>BK15+'09.05'!BL15</f>
        <v>6853</v>
      </c>
      <c r="BM15" s="55">
        <v>16</v>
      </c>
      <c r="BN15" s="23">
        <f>BM15+'09.05'!BN15</f>
        <v>167</v>
      </c>
      <c r="BO15" s="36">
        <v>6274</v>
      </c>
      <c r="BP15" s="37">
        <v>0</v>
      </c>
      <c r="BQ15" s="23">
        <f>BP15+'09.05'!BQ15</f>
        <v>9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1357</v>
      </c>
      <c r="E16" s="32">
        <v>310</v>
      </c>
      <c r="F16" s="22">
        <v>51</v>
      </c>
      <c r="G16" s="23">
        <f>F16+'09.05'!G16</f>
        <v>458</v>
      </c>
      <c r="H16" s="33">
        <v>5</v>
      </c>
      <c r="I16" s="34">
        <v>0</v>
      </c>
      <c r="J16" s="23">
        <f>I16+'09.05'!J16</f>
        <v>0</v>
      </c>
      <c r="K16" s="33">
        <v>3</v>
      </c>
      <c r="L16" s="22">
        <v>0</v>
      </c>
      <c r="M16" s="23">
        <f>L16+'09.05'!M16</f>
        <v>0</v>
      </c>
      <c r="N16" s="33">
        <v>384</v>
      </c>
      <c r="O16" s="22">
        <v>0</v>
      </c>
      <c r="P16" s="23">
        <f>O16+'09.05'!P16</f>
        <v>0</v>
      </c>
      <c r="Q16" s="33">
        <v>245</v>
      </c>
      <c r="R16" s="22">
        <v>0</v>
      </c>
      <c r="S16" s="23">
        <f>R16+'09.05'!S16</f>
        <v>0</v>
      </c>
      <c r="T16" s="33">
        <v>397</v>
      </c>
      <c r="U16" s="22">
        <v>0</v>
      </c>
      <c r="V16" s="23">
        <f>U16+'09.05'!V16</f>
        <v>0</v>
      </c>
      <c r="W16" s="33">
        <v>24</v>
      </c>
      <c r="X16" s="22">
        <v>43</v>
      </c>
      <c r="Y16" s="23">
        <f>X16+'09.05'!Y16</f>
        <v>486</v>
      </c>
      <c r="Z16" s="33">
        <v>18</v>
      </c>
      <c r="AA16" s="22">
        <v>0</v>
      </c>
      <c r="AB16" s="23">
        <f>AA16+'09.05'!AB16</f>
        <v>0</v>
      </c>
      <c r="AC16" s="33">
        <v>18515</v>
      </c>
      <c r="AD16" s="22">
        <v>39</v>
      </c>
      <c r="AE16" s="23">
        <f>AD16+'09.05'!AE16</f>
        <v>413</v>
      </c>
      <c r="AF16" s="19">
        <f t="shared" si="1"/>
        <v>56188</v>
      </c>
      <c r="AG16" s="20">
        <f t="shared" si="1"/>
        <v>593290</v>
      </c>
      <c r="AH16" s="24">
        <v>154</v>
      </c>
      <c r="AI16" s="23">
        <f>AH16+'09.05'!AI16</f>
        <v>1651</v>
      </c>
      <c r="AJ16" s="24">
        <v>1312</v>
      </c>
      <c r="AK16" s="23">
        <f>AJ16+'09.05'!AK16</f>
        <v>12398</v>
      </c>
      <c r="AL16" s="22">
        <v>1371</v>
      </c>
      <c r="AM16" s="23">
        <f>AL16+'09.05'!AM16</f>
        <v>15248</v>
      </c>
      <c r="AN16" s="22">
        <v>53351</v>
      </c>
      <c r="AO16" s="23">
        <f>AN16+'09.05'!AO16</f>
        <v>563993</v>
      </c>
      <c r="AP16" s="28" t="s">
        <v>51</v>
      </c>
      <c r="AQ16" s="19">
        <f t="shared" si="3"/>
        <v>72</v>
      </c>
      <c r="AR16" s="20">
        <f t="shared" si="3"/>
        <v>701</v>
      </c>
      <c r="AS16" s="34">
        <v>0</v>
      </c>
      <c r="AT16" s="23">
        <f>AS16+'09.05'!AT16</f>
        <v>1</v>
      </c>
      <c r="AU16" s="34">
        <v>0</v>
      </c>
      <c r="AV16" s="23">
        <f>AU16+'09.05'!AV16</f>
        <v>0</v>
      </c>
      <c r="AW16" s="34">
        <v>0</v>
      </c>
      <c r="AX16" s="23">
        <f>AW16+'09.05'!AX16</f>
        <v>0</v>
      </c>
      <c r="AY16" s="34">
        <v>0</v>
      </c>
      <c r="AZ16" s="23">
        <f>AY16+'09.05'!AZ16</f>
        <v>0</v>
      </c>
      <c r="BA16" s="34">
        <v>72</v>
      </c>
      <c r="BB16" s="23">
        <f>BA16+'09.05'!BB16</f>
        <v>700</v>
      </c>
      <c r="BC16" s="19">
        <f t="shared" si="5"/>
        <v>1306</v>
      </c>
      <c r="BD16" s="20">
        <f t="shared" si="5"/>
        <v>12983</v>
      </c>
      <c r="BE16" s="22">
        <v>66</v>
      </c>
      <c r="BF16" s="23">
        <f>BE16+'09.05'!BF16</f>
        <v>629</v>
      </c>
      <c r="BG16" s="34">
        <v>0</v>
      </c>
      <c r="BH16" s="23">
        <f>BG16+'09.05'!BH16</f>
        <v>0</v>
      </c>
      <c r="BI16" s="22">
        <v>1187</v>
      </c>
      <c r="BJ16" s="23">
        <f>BI16+'09.05'!BJ16</f>
        <v>11846</v>
      </c>
      <c r="BK16" s="22">
        <v>47</v>
      </c>
      <c r="BL16" s="23">
        <f>BK16+'09.05'!BL16</f>
        <v>462</v>
      </c>
      <c r="BM16" s="22">
        <v>6</v>
      </c>
      <c r="BN16" s="23">
        <f>BM16+'09.05'!BN16</f>
        <v>46</v>
      </c>
      <c r="BO16" s="36">
        <v>2546</v>
      </c>
      <c r="BP16" s="37">
        <v>0</v>
      </c>
      <c r="BQ16" s="23">
        <f>BP16+'09.05'!BQ16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142</v>
      </c>
      <c r="D17" s="31">
        <f t="shared" si="0"/>
        <v>1732</v>
      </c>
      <c r="E17" s="32">
        <v>754</v>
      </c>
      <c r="F17" s="22">
        <v>122</v>
      </c>
      <c r="G17" s="23">
        <f>F17+'09.05'!G17</f>
        <v>1457</v>
      </c>
      <c r="H17" s="33">
        <v>9</v>
      </c>
      <c r="I17" s="34">
        <v>0</v>
      </c>
      <c r="J17" s="23">
        <f>I17+'09.05'!J17</f>
        <v>0</v>
      </c>
      <c r="K17" s="33">
        <v>5</v>
      </c>
      <c r="L17" s="22">
        <v>0</v>
      </c>
      <c r="M17" s="23">
        <f>L17+'09.05'!M17</f>
        <v>0</v>
      </c>
      <c r="N17" s="33">
        <v>768</v>
      </c>
      <c r="O17" s="22">
        <v>0</v>
      </c>
      <c r="P17" s="23">
        <f>O17+'09.05'!P17</f>
        <v>0</v>
      </c>
      <c r="Q17" s="33">
        <v>624</v>
      </c>
      <c r="R17" s="22">
        <v>0</v>
      </c>
      <c r="S17" s="23">
        <f>R17+'09.05'!S17</f>
        <v>0</v>
      </c>
      <c r="T17" s="33">
        <v>742</v>
      </c>
      <c r="U17" s="22">
        <v>0</v>
      </c>
      <c r="V17" s="23">
        <f>U17+'09.05'!V17</f>
        <v>0</v>
      </c>
      <c r="W17" s="33">
        <v>54</v>
      </c>
      <c r="X17" s="22">
        <v>10</v>
      </c>
      <c r="Y17" s="23">
        <f>X17+'09.05'!Y17</f>
        <v>155</v>
      </c>
      <c r="Z17" s="33">
        <v>66</v>
      </c>
      <c r="AA17" s="22">
        <v>0</v>
      </c>
      <c r="AB17" s="23">
        <f>AA17+'09.05'!AB17</f>
        <v>0</v>
      </c>
      <c r="AC17" s="33">
        <v>2580</v>
      </c>
      <c r="AD17" s="22">
        <v>10</v>
      </c>
      <c r="AE17" s="23">
        <f>AD17+'09.05'!AE17</f>
        <v>120</v>
      </c>
      <c r="AF17" s="19">
        <f t="shared" si="1"/>
        <v>94500</v>
      </c>
      <c r="AG17" s="20">
        <f t="shared" si="1"/>
        <v>1018100</v>
      </c>
      <c r="AH17" s="24">
        <v>5200</v>
      </c>
      <c r="AI17" s="23">
        <f>AH17+'09.05'!AI17</f>
        <v>64200</v>
      </c>
      <c r="AJ17" s="24">
        <v>9300</v>
      </c>
      <c r="AK17" s="23">
        <f>AJ17+'09.05'!AK17</f>
        <v>97900</v>
      </c>
      <c r="AL17" s="22">
        <v>18000</v>
      </c>
      <c r="AM17" s="23">
        <f>AL17+'09.05'!AM17</f>
        <v>220500</v>
      </c>
      <c r="AN17" s="22">
        <v>62000</v>
      </c>
      <c r="AO17" s="23">
        <f>AN17+'09.05'!AO17</f>
        <v>635500</v>
      </c>
      <c r="AP17" s="28" t="s">
        <v>52</v>
      </c>
      <c r="AQ17" s="19">
        <f t="shared" si="3"/>
        <v>18</v>
      </c>
      <c r="AR17" s="20">
        <f t="shared" si="3"/>
        <v>168</v>
      </c>
      <c r="AS17" s="34">
        <v>1</v>
      </c>
      <c r="AT17" s="23">
        <f>AS17+'09.05'!AT17</f>
        <v>12</v>
      </c>
      <c r="AU17" s="34">
        <v>1</v>
      </c>
      <c r="AV17" s="23">
        <f>AU17+'09.05'!AV17</f>
        <v>14</v>
      </c>
      <c r="AW17" s="34">
        <v>0</v>
      </c>
      <c r="AX17" s="23">
        <f>AW17+'09.05'!AX17</f>
        <v>0</v>
      </c>
      <c r="AY17" s="34">
        <v>0</v>
      </c>
      <c r="AZ17" s="23">
        <f>AY17+'09.05'!AZ17</f>
        <v>0</v>
      </c>
      <c r="BA17" s="34">
        <v>16</v>
      </c>
      <c r="BB17" s="23">
        <f>BA17+'09.05'!BB17</f>
        <v>142</v>
      </c>
      <c r="BC17" s="19">
        <f t="shared" si="5"/>
        <v>1308</v>
      </c>
      <c r="BD17" s="20">
        <f t="shared" si="5"/>
        <v>22658</v>
      </c>
      <c r="BE17" s="22">
        <v>37</v>
      </c>
      <c r="BF17" s="23">
        <f>BE17+'09.05'!BF17</f>
        <v>358</v>
      </c>
      <c r="BG17" s="34">
        <v>1</v>
      </c>
      <c r="BH17" s="23">
        <f>BG17+'09.05'!BH17</f>
        <v>11</v>
      </c>
      <c r="BI17" s="22">
        <v>1100</v>
      </c>
      <c r="BJ17" s="23">
        <f>BI17+'09.05'!BJ17</f>
        <v>20300</v>
      </c>
      <c r="BK17" s="22">
        <v>160</v>
      </c>
      <c r="BL17" s="23">
        <f>BK17+'09.05'!BL17</f>
        <v>1910</v>
      </c>
      <c r="BM17" s="22">
        <v>10</v>
      </c>
      <c r="BN17" s="23">
        <f>BM17+'09.05'!BN17</f>
        <v>79</v>
      </c>
      <c r="BO17" s="36">
        <v>8022</v>
      </c>
      <c r="BP17" s="37">
        <v>3</v>
      </c>
      <c r="BQ17" s="23">
        <f>BP17+'09.05'!BQ17</f>
        <v>37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185</v>
      </c>
      <c r="D18" s="20">
        <f t="shared" si="0"/>
        <v>3026</v>
      </c>
      <c r="E18" s="21">
        <v>1063</v>
      </c>
      <c r="F18" s="22">
        <v>110</v>
      </c>
      <c r="G18" s="23">
        <f>F18+'09.05'!G18</f>
        <v>1941</v>
      </c>
      <c r="H18" s="21">
        <v>19</v>
      </c>
      <c r="I18" s="22">
        <v>0</v>
      </c>
      <c r="J18" s="23">
        <f>I18+'09.05'!J18</f>
        <v>0</v>
      </c>
      <c r="K18" s="21">
        <v>8</v>
      </c>
      <c r="L18" s="22">
        <v>0</v>
      </c>
      <c r="M18" s="23">
        <f>L18+'09.05'!M18</f>
        <v>0</v>
      </c>
      <c r="N18" s="21">
        <v>1331</v>
      </c>
      <c r="O18" s="22">
        <v>0</v>
      </c>
      <c r="P18" s="23">
        <f>O18+'09.05'!P18</f>
        <v>0</v>
      </c>
      <c r="Q18" s="21">
        <v>777</v>
      </c>
      <c r="R18" s="22">
        <v>0</v>
      </c>
      <c r="S18" s="23">
        <f>R18+'09.05'!S18</f>
        <v>0</v>
      </c>
      <c r="T18" s="21">
        <v>318</v>
      </c>
      <c r="U18" s="22">
        <v>0</v>
      </c>
      <c r="V18" s="23">
        <f>U18+'09.05'!V18</f>
        <v>81</v>
      </c>
      <c r="W18" s="21">
        <v>60</v>
      </c>
      <c r="X18" s="22">
        <v>75</v>
      </c>
      <c r="Y18" s="23">
        <f>X18+'09.05'!Y18</f>
        <v>1004</v>
      </c>
      <c r="Z18" s="21">
        <v>72</v>
      </c>
      <c r="AA18" s="22">
        <v>0</v>
      </c>
      <c r="AB18" s="23">
        <f>AA18+'09.05'!AB18</f>
        <v>0</v>
      </c>
      <c r="AC18" s="21">
        <v>143</v>
      </c>
      <c r="AD18" s="22">
        <v>0</v>
      </c>
      <c r="AE18" s="23">
        <f>AD18+'09.05'!AE18</f>
        <v>0</v>
      </c>
      <c r="AF18" s="19">
        <f t="shared" si="1"/>
        <v>102929</v>
      </c>
      <c r="AG18" s="20">
        <f t="shared" si="1"/>
        <v>1633286</v>
      </c>
      <c r="AH18" s="24">
        <v>85</v>
      </c>
      <c r="AI18" s="23">
        <f>AH18+'09.05'!AI18</f>
        <v>2975</v>
      </c>
      <c r="AJ18" s="24">
        <v>1629</v>
      </c>
      <c r="AK18" s="23">
        <f>AJ18+'09.05'!AK18</f>
        <v>26190</v>
      </c>
      <c r="AL18" s="22">
        <v>1785</v>
      </c>
      <c r="AM18" s="23">
        <f>AL18+'09.05'!AM18</f>
        <v>30866</v>
      </c>
      <c r="AN18" s="22">
        <v>99430</v>
      </c>
      <c r="AO18" s="23">
        <f>AN18+'09.05'!AO18</f>
        <v>1573255</v>
      </c>
      <c r="AP18" s="17" t="s">
        <v>53</v>
      </c>
      <c r="AQ18" s="19">
        <f t="shared" si="3"/>
        <v>0</v>
      </c>
      <c r="AR18" s="20">
        <f t="shared" si="3"/>
        <v>17</v>
      </c>
      <c r="AS18" s="22">
        <v>0</v>
      </c>
      <c r="AT18" s="23">
        <f>AS18+'09.05'!AT18</f>
        <v>2</v>
      </c>
      <c r="AU18" s="22">
        <v>0</v>
      </c>
      <c r="AV18" s="23">
        <f>AU18+'09.05'!AV18</f>
        <v>0</v>
      </c>
      <c r="AW18" s="22">
        <v>0</v>
      </c>
      <c r="AX18" s="23">
        <f>AW18+'09.05'!AX18</f>
        <v>0</v>
      </c>
      <c r="AY18" s="22">
        <v>0</v>
      </c>
      <c r="AZ18" s="23">
        <f>AY18+'09.05'!AZ18</f>
        <v>0</v>
      </c>
      <c r="BA18" s="22">
        <v>0</v>
      </c>
      <c r="BB18" s="23">
        <f>BA18+'09.05'!BB18</f>
        <v>15</v>
      </c>
      <c r="BC18" s="19">
        <f t="shared" si="5"/>
        <v>184</v>
      </c>
      <c r="BD18" s="20">
        <f t="shared" si="5"/>
        <v>8183</v>
      </c>
      <c r="BE18" s="22">
        <v>1</v>
      </c>
      <c r="BF18" s="23">
        <f>BE18+'09.05'!BF18</f>
        <v>11</v>
      </c>
      <c r="BG18" s="22">
        <v>1</v>
      </c>
      <c r="BH18" s="23">
        <f>BG18+'09.05'!BH18</f>
        <v>388</v>
      </c>
      <c r="BI18" s="22">
        <v>110</v>
      </c>
      <c r="BJ18" s="23">
        <f>BI18+'09.05'!BJ18</f>
        <v>6950</v>
      </c>
      <c r="BK18" s="22">
        <v>55</v>
      </c>
      <c r="BL18" s="23">
        <f>BK18+'09.05'!BL18</f>
        <v>749</v>
      </c>
      <c r="BM18" s="22">
        <v>17</v>
      </c>
      <c r="BN18" s="23">
        <f>BM18+'09.05'!BN18</f>
        <v>85</v>
      </c>
      <c r="BO18" s="36">
        <v>442</v>
      </c>
      <c r="BP18" s="37">
        <v>0</v>
      </c>
      <c r="BQ18" s="23">
        <f>BP18+'09.05'!BQ18</f>
        <v>33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39</v>
      </c>
      <c r="D19" s="31">
        <f t="shared" si="0"/>
        <v>350</v>
      </c>
      <c r="E19" s="33">
        <v>221</v>
      </c>
      <c r="F19" s="22">
        <v>6</v>
      </c>
      <c r="G19" s="23">
        <f>F19+'09.05'!G19</f>
        <v>74</v>
      </c>
      <c r="H19" s="33">
        <v>5</v>
      </c>
      <c r="I19" s="34">
        <v>0</v>
      </c>
      <c r="J19" s="23">
        <f>I19+'09.05'!J19</f>
        <v>0</v>
      </c>
      <c r="K19" s="33">
        <v>4</v>
      </c>
      <c r="L19" s="22">
        <v>0</v>
      </c>
      <c r="M19" s="23">
        <f>L19+'09.05'!M19</f>
        <v>0</v>
      </c>
      <c r="N19" s="33">
        <v>313</v>
      </c>
      <c r="O19" s="22">
        <v>18</v>
      </c>
      <c r="P19" s="23">
        <f>O19+'09.05'!P19</f>
        <v>91</v>
      </c>
      <c r="Q19" s="33">
        <v>203</v>
      </c>
      <c r="R19" s="22">
        <v>0</v>
      </c>
      <c r="S19" s="23">
        <f>R19+'09.05'!S19</f>
        <v>0</v>
      </c>
      <c r="T19" s="33">
        <v>241</v>
      </c>
      <c r="U19" s="22">
        <v>0</v>
      </c>
      <c r="V19" s="23">
        <f>U19+'09.05'!V19</f>
        <v>0</v>
      </c>
      <c r="W19" s="33">
        <v>14</v>
      </c>
      <c r="X19" s="22">
        <v>15</v>
      </c>
      <c r="Y19" s="23">
        <f>X19+'09.05'!Y19</f>
        <v>122</v>
      </c>
      <c r="Z19" s="33">
        <v>7</v>
      </c>
      <c r="AA19" s="22">
        <v>0</v>
      </c>
      <c r="AB19" s="23">
        <f>AA19+'09.05'!AB19</f>
        <v>0</v>
      </c>
      <c r="AC19" s="33">
        <v>32</v>
      </c>
      <c r="AD19" s="22">
        <v>0</v>
      </c>
      <c r="AE19" s="23">
        <f>AD19+'09.05'!AE19</f>
        <v>63</v>
      </c>
      <c r="AF19" s="19">
        <f t="shared" si="1"/>
        <v>2900</v>
      </c>
      <c r="AG19" s="20">
        <f t="shared" si="1"/>
        <v>29800</v>
      </c>
      <c r="AH19" s="24">
        <v>425</v>
      </c>
      <c r="AI19" s="23">
        <f>AH19+'09.05'!AI19</f>
        <v>5350</v>
      </c>
      <c r="AJ19" s="24">
        <v>425</v>
      </c>
      <c r="AK19" s="23">
        <f>AJ19+'09.05'!AK19</f>
        <v>5350</v>
      </c>
      <c r="AL19" s="22">
        <v>1025</v>
      </c>
      <c r="AM19" s="23">
        <f>AL19+'09.05'!AM19</f>
        <v>9550</v>
      </c>
      <c r="AN19" s="22">
        <v>1025</v>
      </c>
      <c r="AO19" s="23">
        <f>AN19+'09.05'!AO19</f>
        <v>9550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AS19+'09.05'!AT19</f>
        <v>0</v>
      </c>
      <c r="AU19" s="34">
        <v>0</v>
      </c>
      <c r="AV19" s="23">
        <f>AU19+'09.05'!AV19</f>
        <v>2</v>
      </c>
      <c r="AW19" s="34">
        <v>0</v>
      </c>
      <c r="AX19" s="23">
        <f>AW19+'09.05'!AX19</f>
        <v>0</v>
      </c>
      <c r="AY19" s="34">
        <v>0</v>
      </c>
      <c r="AZ19" s="23">
        <f>AY19+'09.05'!AZ19</f>
        <v>0</v>
      </c>
      <c r="BA19" s="34">
        <v>0</v>
      </c>
      <c r="BB19" s="23">
        <f>BA19+'09.05'!BB19</f>
        <v>0</v>
      </c>
      <c r="BC19" s="19">
        <f t="shared" si="5"/>
        <v>1323</v>
      </c>
      <c r="BD19" s="20">
        <f t="shared" si="5"/>
        <v>10950</v>
      </c>
      <c r="BE19" s="22">
        <v>16</v>
      </c>
      <c r="BF19" s="23">
        <f>BE19+'09.05'!BF19</f>
        <v>135</v>
      </c>
      <c r="BG19" s="34">
        <v>2</v>
      </c>
      <c r="BH19" s="23">
        <f>BG19+'09.05'!BH19</f>
        <v>4</v>
      </c>
      <c r="BI19" s="22">
        <v>1200</v>
      </c>
      <c r="BJ19" s="23">
        <f>BI19+'09.05'!BJ19</f>
        <v>9600</v>
      </c>
      <c r="BK19" s="22">
        <v>100</v>
      </c>
      <c r="BL19" s="23">
        <f>BK19+'09.05'!BL19</f>
        <v>1150</v>
      </c>
      <c r="BM19" s="22">
        <v>5</v>
      </c>
      <c r="BN19" s="23">
        <f>BM19+'09.05'!BN19</f>
        <v>61</v>
      </c>
      <c r="BO19" s="36">
        <v>2898</v>
      </c>
      <c r="BP19" s="37">
        <v>0</v>
      </c>
      <c r="BQ19" s="23">
        <f>BP19+'09.05'!BQ19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323</v>
      </c>
      <c r="D20" s="31">
        <f t="shared" si="0"/>
        <v>3037</v>
      </c>
      <c r="E20" s="32">
        <v>723</v>
      </c>
      <c r="F20" s="22">
        <v>160</v>
      </c>
      <c r="G20" s="23">
        <f>F20+'09.05'!G20</f>
        <v>1694</v>
      </c>
      <c r="H20" s="33">
        <v>5</v>
      </c>
      <c r="I20" s="34">
        <v>1</v>
      </c>
      <c r="J20" s="23">
        <f>I20+'09.05'!J20</f>
        <v>10</v>
      </c>
      <c r="K20" s="33">
        <v>3</v>
      </c>
      <c r="L20" s="22">
        <v>0</v>
      </c>
      <c r="M20" s="23">
        <f>L20+'09.05'!M20</f>
        <v>0</v>
      </c>
      <c r="N20" s="33">
        <v>975</v>
      </c>
      <c r="O20" s="22">
        <v>78</v>
      </c>
      <c r="P20" s="23">
        <f>O20+'09.05'!P20</f>
        <v>636</v>
      </c>
      <c r="Q20" s="61">
        <v>1862</v>
      </c>
      <c r="R20" s="22">
        <v>1</v>
      </c>
      <c r="S20" s="23">
        <f>R20+'09.05'!S20</f>
        <v>12</v>
      </c>
      <c r="T20" s="33">
        <v>35</v>
      </c>
      <c r="U20" s="22">
        <v>1</v>
      </c>
      <c r="V20" s="23">
        <f>U20+'09.05'!V20</f>
        <v>10</v>
      </c>
      <c r="W20" s="33">
        <v>64</v>
      </c>
      <c r="X20" s="22">
        <v>1</v>
      </c>
      <c r="Y20" s="23">
        <f>X20+'09.05'!Y20</f>
        <v>12</v>
      </c>
      <c r="Z20" s="33">
        <v>15</v>
      </c>
      <c r="AA20" s="22">
        <v>2</v>
      </c>
      <c r="AB20" s="23">
        <f>AA20+'09.05'!AB20</f>
        <v>13</v>
      </c>
      <c r="AC20" s="33">
        <v>1546</v>
      </c>
      <c r="AD20" s="22">
        <v>79</v>
      </c>
      <c r="AE20" s="23">
        <f>AD20+'09.05'!AE20</f>
        <v>650</v>
      </c>
      <c r="AF20" s="19">
        <f t="shared" si="1"/>
        <v>16420</v>
      </c>
      <c r="AG20" s="20">
        <f t="shared" si="1"/>
        <v>177914</v>
      </c>
      <c r="AH20" s="24">
        <v>6910</v>
      </c>
      <c r="AI20" s="23">
        <f>AH20+'09.05'!AI20</f>
        <v>81152</v>
      </c>
      <c r="AJ20" s="24">
        <v>8650</v>
      </c>
      <c r="AK20" s="23">
        <f>AJ20+'09.05'!AK20</f>
        <v>88552</v>
      </c>
      <c r="AL20" s="22">
        <v>460</v>
      </c>
      <c r="AM20" s="23">
        <f>AL20+'09.05'!AM20</f>
        <v>4600</v>
      </c>
      <c r="AN20" s="22">
        <v>400</v>
      </c>
      <c r="AO20" s="23">
        <f>AN20+'09.05'!AO20</f>
        <v>3610</v>
      </c>
      <c r="AP20" s="28" t="s">
        <v>55</v>
      </c>
      <c r="AQ20" s="19">
        <f t="shared" si="3"/>
        <v>169</v>
      </c>
      <c r="AR20" s="20">
        <f t="shared" si="3"/>
        <v>1638</v>
      </c>
      <c r="AS20" s="34">
        <v>1</v>
      </c>
      <c r="AT20" s="23">
        <f>AS20+'09.05'!AT20</f>
        <v>10</v>
      </c>
      <c r="AU20" s="34">
        <v>0</v>
      </c>
      <c r="AV20" s="23">
        <f>AU20+'09.05'!AV20</f>
        <v>0</v>
      </c>
      <c r="AW20" s="34">
        <v>0</v>
      </c>
      <c r="AX20" s="23">
        <f>AW20+'09.05'!AX20</f>
        <v>0</v>
      </c>
      <c r="AY20" s="34">
        <v>0</v>
      </c>
      <c r="AZ20" s="23">
        <f>AY20+'09.05'!AZ20</f>
        <v>0</v>
      </c>
      <c r="BA20" s="34">
        <v>168</v>
      </c>
      <c r="BB20" s="23">
        <f>BA20+'09.05'!BB20</f>
        <v>1628</v>
      </c>
      <c r="BC20" s="19">
        <f t="shared" si="5"/>
        <v>2973</v>
      </c>
      <c r="BD20" s="20">
        <f t="shared" si="5"/>
        <v>34548</v>
      </c>
      <c r="BE20" s="22">
        <v>2</v>
      </c>
      <c r="BF20" s="23">
        <f>BE20+'09.05'!BF20</f>
        <v>20</v>
      </c>
      <c r="BG20" s="34">
        <v>0</v>
      </c>
      <c r="BH20" s="23">
        <f>BG20+'09.05'!BH20</f>
        <v>0</v>
      </c>
      <c r="BI20" s="22">
        <v>1515</v>
      </c>
      <c r="BJ20" s="23">
        <f>BI20+'09.05'!BJ20</f>
        <v>17269</v>
      </c>
      <c r="BK20" s="22">
        <v>1455</v>
      </c>
      <c r="BL20" s="23">
        <f>BK20+'09.05'!BL20</f>
        <v>17250</v>
      </c>
      <c r="BM20" s="22">
        <v>1</v>
      </c>
      <c r="BN20" s="23">
        <f>BM20+'09.05'!BN20</f>
        <v>9</v>
      </c>
      <c r="BO20" s="36">
        <v>5854</v>
      </c>
      <c r="BP20" s="37">
        <v>0</v>
      </c>
      <c r="BQ20" s="23">
        <f>BP20+'09.05'!BQ20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182</v>
      </c>
      <c r="D21" s="31">
        <f t="shared" si="0"/>
        <v>2193</v>
      </c>
      <c r="E21" s="32">
        <v>1017</v>
      </c>
      <c r="F21" s="22">
        <v>142</v>
      </c>
      <c r="G21" s="23">
        <f>F21+'09.05'!G21</f>
        <v>1522</v>
      </c>
      <c r="H21" s="33">
        <v>8</v>
      </c>
      <c r="I21" s="34">
        <v>0</v>
      </c>
      <c r="J21" s="23">
        <f>I21+'09.05'!J21</f>
        <v>26</v>
      </c>
      <c r="K21" s="33">
        <v>4</v>
      </c>
      <c r="L21" s="22">
        <v>0</v>
      </c>
      <c r="M21" s="23">
        <f>L21+'09.05'!M21</f>
        <v>0</v>
      </c>
      <c r="N21" s="33">
        <v>963</v>
      </c>
      <c r="O21" s="22">
        <v>0</v>
      </c>
      <c r="P21" s="23">
        <f>O21+'09.05'!P21</f>
        <v>19</v>
      </c>
      <c r="Q21" s="33">
        <v>912</v>
      </c>
      <c r="R21" s="22">
        <v>0</v>
      </c>
      <c r="S21" s="23">
        <f>R21+'09.05'!S21</f>
        <v>0</v>
      </c>
      <c r="T21" s="33">
        <v>199</v>
      </c>
      <c r="U21" s="22">
        <v>10</v>
      </c>
      <c r="V21" s="23">
        <f>U21+'09.05'!V21</f>
        <v>26</v>
      </c>
      <c r="W21" s="33">
        <v>101</v>
      </c>
      <c r="X21" s="22">
        <v>20</v>
      </c>
      <c r="Y21" s="23">
        <f>X21+'09.05'!Y21</f>
        <v>99</v>
      </c>
      <c r="Z21" s="33">
        <v>42</v>
      </c>
      <c r="AA21" s="22">
        <v>0</v>
      </c>
      <c r="AB21" s="23">
        <f>AA21+'09.05'!AB21</f>
        <v>1</v>
      </c>
      <c r="AC21" s="33">
        <v>20</v>
      </c>
      <c r="AD21" s="22">
        <v>10</v>
      </c>
      <c r="AE21" s="23">
        <f>AD21+'09.05'!AE21</f>
        <v>500</v>
      </c>
      <c r="AF21" s="19">
        <f t="shared" si="1"/>
        <v>991100</v>
      </c>
      <c r="AG21" s="20">
        <f t="shared" si="1"/>
        <v>11043100</v>
      </c>
      <c r="AH21" s="24">
        <v>1100</v>
      </c>
      <c r="AI21" s="23">
        <f>AH21+'09.05'!AI21</f>
        <v>13100</v>
      </c>
      <c r="AJ21" s="24">
        <v>90000</v>
      </c>
      <c r="AK21" s="23">
        <f>AJ21+'09.05'!AK21</f>
        <v>1980000</v>
      </c>
      <c r="AL21" s="22">
        <v>1000</v>
      </c>
      <c r="AM21" s="23">
        <f>AL21+'09.05'!AM21</f>
        <v>21500</v>
      </c>
      <c r="AN21" s="22">
        <v>899000</v>
      </c>
      <c r="AO21" s="23">
        <f>AN21+'09.05'!AO21</f>
        <v>9028500</v>
      </c>
      <c r="AP21" s="28" t="s">
        <v>58</v>
      </c>
      <c r="AQ21" s="19">
        <f t="shared" si="3"/>
        <v>6</v>
      </c>
      <c r="AR21" s="20">
        <f t="shared" si="3"/>
        <v>73</v>
      </c>
      <c r="AS21" s="34">
        <v>0</v>
      </c>
      <c r="AT21" s="23">
        <f>AS21+'09.05'!AT21</f>
        <v>2</v>
      </c>
      <c r="AU21" s="34">
        <v>0</v>
      </c>
      <c r="AV21" s="23">
        <f>AU21+'09.05'!AV21</f>
        <v>28</v>
      </c>
      <c r="AW21" s="34">
        <v>0</v>
      </c>
      <c r="AX21" s="23">
        <f>AW21+'09.05'!AX21</f>
        <v>0</v>
      </c>
      <c r="AY21" s="34">
        <v>0</v>
      </c>
      <c r="AZ21" s="23">
        <f>AY21+'09.05'!AZ21</f>
        <v>0</v>
      </c>
      <c r="BA21" s="34">
        <v>6</v>
      </c>
      <c r="BB21" s="23">
        <f>BA21+'09.05'!BB21</f>
        <v>43</v>
      </c>
      <c r="BC21" s="19">
        <f t="shared" si="5"/>
        <v>1093</v>
      </c>
      <c r="BD21" s="20">
        <f t="shared" si="5"/>
        <v>22547</v>
      </c>
      <c r="BE21" s="22">
        <v>84</v>
      </c>
      <c r="BF21" s="23">
        <f>BE21+'09.05'!BF21</f>
        <v>484</v>
      </c>
      <c r="BG21" s="34">
        <v>0</v>
      </c>
      <c r="BH21" s="23">
        <f>BG21+'09.05'!BH21</f>
        <v>0</v>
      </c>
      <c r="BI21" s="22">
        <v>1000</v>
      </c>
      <c r="BJ21" s="23">
        <f>BI21+'09.05'!BJ21</f>
        <v>22000</v>
      </c>
      <c r="BK21" s="22">
        <v>0</v>
      </c>
      <c r="BL21" s="23">
        <f>BK21+'09.05'!BL21</f>
        <v>0</v>
      </c>
      <c r="BM21" s="22">
        <v>9</v>
      </c>
      <c r="BN21" s="23">
        <f>BM21+'09.05'!BN21</f>
        <v>63</v>
      </c>
      <c r="BO21" s="36">
        <v>68</v>
      </c>
      <c r="BP21" s="37">
        <v>2</v>
      </c>
      <c r="BQ21" s="23">
        <f>BP21+'09.05'!BQ21</f>
        <v>14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2398</v>
      </c>
      <c r="D22" s="31">
        <f t="shared" si="0"/>
        <v>21217</v>
      </c>
      <c r="E22" s="32">
        <v>509</v>
      </c>
      <c r="F22" s="22">
        <v>332</v>
      </c>
      <c r="G22" s="23">
        <f>F22+'09.05'!G22</f>
        <v>3433</v>
      </c>
      <c r="H22" s="33">
        <v>8</v>
      </c>
      <c r="I22" s="34">
        <v>0</v>
      </c>
      <c r="J22" s="23">
        <f>I22+'09.05'!J22</f>
        <v>0</v>
      </c>
      <c r="K22" s="33">
        <v>21</v>
      </c>
      <c r="L22" s="22">
        <v>0</v>
      </c>
      <c r="M22" s="23">
        <f>L22+'09.05'!M22</f>
        <v>0</v>
      </c>
      <c r="N22" s="33">
        <v>560</v>
      </c>
      <c r="O22" s="22">
        <v>0</v>
      </c>
      <c r="P22" s="23">
        <f>O22+'09.05'!P22</f>
        <v>515</v>
      </c>
      <c r="Q22" s="33">
        <v>375</v>
      </c>
      <c r="R22" s="22">
        <v>0</v>
      </c>
      <c r="S22" s="23">
        <f>R22+'09.05'!S22</f>
        <v>0</v>
      </c>
      <c r="T22" s="33">
        <v>165</v>
      </c>
      <c r="U22" s="22">
        <v>0</v>
      </c>
      <c r="V22" s="23">
        <f>U22+'09.05'!V22</f>
        <v>239</v>
      </c>
      <c r="W22" s="33">
        <v>28</v>
      </c>
      <c r="X22" s="22">
        <v>111</v>
      </c>
      <c r="Y22" s="23">
        <f>X22+'09.05'!Y22</f>
        <v>712</v>
      </c>
      <c r="Z22" s="33">
        <v>9</v>
      </c>
      <c r="AA22" s="22">
        <v>0</v>
      </c>
      <c r="AB22" s="23">
        <f>AA22+'09.05'!AB22</f>
        <v>0</v>
      </c>
      <c r="AC22" s="33">
        <v>112</v>
      </c>
      <c r="AD22" s="22">
        <v>1955</v>
      </c>
      <c r="AE22" s="23">
        <f>AD22+'09.05'!AE22</f>
        <v>16318</v>
      </c>
      <c r="AF22" s="19">
        <f t="shared" si="1"/>
        <v>350054</v>
      </c>
      <c r="AG22" s="20">
        <f t="shared" si="1"/>
        <v>4396895</v>
      </c>
      <c r="AH22" s="24">
        <v>2544</v>
      </c>
      <c r="AI22" s="23">
        <f>AH22+'09.05'!AI22</f>
        <v>24252</v>
      </c>
      <c r="AJ22" s="24">
        <v>3258</v>
      </c>
      <c r="AK22" s="23">
        <f>AJ22+'09.05'!AK22</f>
        <v>56814</v>
      </c>
      <c r="AL22" s="22">
        <v>12220</v>
      </c>
      <c r="AM22" s="23">
        <f>AL22+'09.05'!AM22</f>
        <v>99922</v>
      </c>
      <c r="AN22" s="22">
        <v>332032</v>
      </c>
      <c r="AO22" s="23">
        <f>AN22+'09.05'!AO22</f>
        <v>4215907</v>
      </c>
      <c r="AP22" s="28" t="s">
        <v>59</v>
      </c>
      <c r="AQ22" s="19">
        <f t="shared" si="3"/>
        <v>809</v>
      </c>
      <c r="AR22" s="20">
        <f t="shared" si="3"/>
        <v>25673</v>
      </c>
      <c r="AS22" s="34">
        <v>0</v>
      </c>
      <c r="AT22" s="23">
        <f>AS22+'09.05'!AT22</f>
        <v>5</v>
      </c>
      <c r="AU22" s="34">
        <v>0</v>
      </c>
      <c r="AV22" s="23">
        <f>AU22+'09.05'!AV22</f>
        <v>5</v>
      </c>
      <c r="AW22" s="34">
        <v>0</v>
      </c>
      <c r="AX22" s="23">
        <f>AW22+'09.05'!AX22</f>
        <v>2</v>
      </c>
      <c r="AY22" s="34">
        <v>0</v>
      </c>
      <c r="AZ22" s="23">
        <f>AY22+'09.05'!AZ22</f>
        <v>1</v>
      </c>
      <c r="BA22" s="34">
        <v>809</v>
      </c>
      <c r="BB22" s="23">
        <f>BA22+'09.05'!BB22</f>
        <v>25660</v>
      </c>
      <c r="BC22" s="19">
        <f t="shared" si="5"/>
        <v>5542</v>
      </c>
      <c r="BD22" s="20">
        <f t="shared" si="5"/>
        <v>74367</v>
      </c>
      <c r="BE22" s="22">
        <v>2</v>
      </c>
      <c r="BF22" s="23">
        <f>BE22+'09.05'!BF22</f>
        <v>51</v>
      </c>
      <c r="BG22" s="34">
        <v>64</v>
      </c>
      <c r="BH22" s="23">
        <f>BG22+'09.05'!BH22</f>
        <v>666</v>
      </c>
      <c r="BI22" s="22">
        <v>3110</v>
      </c>
      <c r="BJ22" s="23">
        <f>BI22+'09.05'!BJ22</f>
        <v>61831</v>
      </c>
      <c r="BK22" s="22">
        <v>2342</v>
      </c>
      <c r="BL22" s="23">
        <f>BK22+'09.05'!BL22</f>
        <v>11464</v>
      </c>
      <c r="BM22" s="22">
        <v>24</v>
      </c>
      <c r="BN22" s="23">
        <f>BM22+'09.05'!BN22</f>
        <v>355</v>
      </c>
      <c r="BO22" s="36">
        <v>26</v>
      </c>
      <c r="BP22" s="37">
        <v>0</v>
      </c>
      <c r="BQ22" s="23">
        <f>BP22+'09.05'!BQ22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4357</v>
      </c>
      <c r="D23" s="65">
        <f t="shared" si="0"/>
        <v>42176</v>
      </c>
      <c r="E23" s="66">
        <f>+E18+E19+E22+E17+E16+E15+E14+E13+E12+E11+E10+E9+E8</f>
        <v>7282</v>
      </c>
      <c r="F23" s="67">
        <f t="shared" ref="F23:J23" si="7">SUM(F8:F22)</f>
        <v>1475</v>
      </c>
      <c r="G23" s="68">
        <f t="shared" si="7"/>
        <v>15656</v>
      </c>
      <c r="H23" s="66">
        <f>+H18+H19+H22+H17+H16+H15+H14+H13+H12+H11+H10+H9+H8</f>
        <v>271</v>
      </c>
      <c r="I23" s="67">
        <f t="shared" si="7"/>
        <v>5</v>
      </c>
      <c r="J23" s="68">
        <f t="shared" si="7"/>
        <v>79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6</v>
      </c>
      <c r="N23" s="66">
        <f>+N18+N19+N22+N17+N16+N15+N14+N13+N12+N11+N10+N9+N8</f>
        <v>8607</v>
      </c>
      <c r="O23" s="67">
        <f t="shared" si="8"/>
        <v>136</v>
      </c>
      <c r="P23" s="68">
        <f t="shared" si="8"/>
        <v>1424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60</v>
      </c>
      <c r="T23" s="66">
        <f>+T18+T19+T22+T17+T16+T15+T14+T13+T12+T11+T10+T9+T8</f>
        <v>4115</v>
      </c>
      <c r="U23" s="67">
        <f t="shared" si="9"/>
        <v>11</v>
      </c>
      <c r="V23" s="68">
        <f t="shared" si="9"/>
        <v>381</v>
      </c>
      <c r="W23" s="66">
        <f>+W18+W19+W22+W17+W16+W15+W14+W13+W12+W11+W10+W9+W8</f>
        <v>604</v>
      </c>
      <c r="X23" s="67">
        <f t="shared" ref="X23:AB23" si="10">SUM(X8:X22)</f>
        <v>417</v>
      </c>
      <c r="Y23" s="68">
        <f t="shared" si="10"/>
        <v>4064</v>
      </c>
      <c r="Z23" s="66">
        <f>+Z18+Z19+Z22+Z17+Z16+Z15+Z14+Z13+Z12+Z11+Z10+Z9+Z8</f>
        <v>1629</v>
      </c>
      <c r="AA23" s="67">
        <f t="shared" si="10"/>
        <v>2</v>
      </c>
      <c r="AB23" s="68">
        <f t="shared" si="10"/>
        <v>40</v>
      </c>
      <c r="AC23" s="66">
        <f>+AC18+AC19+AC22+AC17+AC16+AC15+AC14+AC13+AC12+AC11+AC10+AC9+AC8</f>
        <v>64846</v>
      </c>
      <c r="AD23" s="67">
        <f t="shared" ref="AD23:AO23" si="11">SUM(AD8:AD22)</f>
        <v>2310</v>
      </c>
      <c r="AE23" s="68">
        <f t="shared" si="11"/>
        <v>20466</v>
      </c>
      <c r="AF23" s="64">
        <f t="shared" si="11"/>
        <v>3713440</v>
      </c>
      <c r="AG23" s="64">
        <f t="shared" si="11"/>
        <v>40359651</v>
      </c>
      <c r="AH23" s="67">
        <f t="shared" si="11"/>
        <v>29589</v>
      </c>
      <c r="AI23" s="68">
        <f t="shared" si="11"/>
        <v>302206</v>
      </c>
      <c r="AJ23" s="67">
        <f t="shared" si="11"/>
        <v>156100</v>
      </c>
      <c r="AK23" s="68">
        <f t="shared" si="11"/>
        <v>2612417</v>
      </c>
      <c r="AL23" s="67">
        <f t="shared" si="11"/>
        <v>885308</v>
      </c>
      <c r="AM23" s="68">
        <f t="shared" si="11"/>
        <v>9110039</v>
      </c>
      <c r="AN23" s="67">
        <f t="shared" si="11"/>
        <v>2642443</v>
      </c>
      <c r="AO23" s="68">
        <f t="shared" si="11"/>
        <v>28334989</v>
      </c>
      <c r="AP23" s="62" t="s">
        <v>12</v>
      </c>
      <c r="AQ23" s="64">
        <f t="shared" ref="AQ23:BP23" si="12">SUM(AQ8:AQ22)</f>
        <v>1337</v>
      </c>
      <c r="AR23" s="64">
        <f t="shared" si="12"/>
        <v>30892</v>
      </c>
      <c r="AS23" s="67">
        <f t="shared" si="12"/>
        <v>3</v>
      </c>
      <c r="AT23" s="68">
        <f t="shared" si="12"/>
        <v>46</v>
      </c>
      <c r="AU23" s="67">
        <f t="shared" si="12"/>
        <v>3</v>
      </c>
      <c r="AV23" s="68">
        <f t="shared" si="12"/>
        <v>67</v>
      </c>
      <c r="AW23" s="67">
        <f t="shared" si="12"/>
        <v>0</v>
      </c>
      <c r="AX23" s="68">
        <f t="shared" si="12"/>
        <v>5</v>
      </c>
      <c r="AY23" s="67">
        <f t="shared" si="12"/>
        <v>0</v>
      </c>
      <c r="AZ23" s="68">
        <f t="shared" si="12"/>
        <v>2</v>
      </c>
      <c r="BA23" s="67">
        <f t="shared" si="12"/>
        <v>1331</v>
      </c>
      <c r="BB23" s="68">
        <f t="shared" si="12"/>
        <v>30772</v>
      </c>
      <c r="BC23" s="64">
        <f t="shared" si="12"/>
        <v>37439</v>
      </c>
      <c r="BD23" s="64">
        <f t="shared" si="12"/>
        <v>410584</v>
      </c>
      <c r="BE23" s="67">
        <f t="shared" si="12"/>
        <v>1658</v>
      </c>
      <c r="BF23" s="68">
        <f t="shared" si="12"/>
        <v>14940</v>
      </c>
      <c r="BG23" s="67">
        <f t="shared" si="12"/>
        <v>104</v>
      </c>
      <c r="BH23" s="68">
        <f t="shared" si="12"/>
        <v>1357</v>
      </c>
      <c r="BI23" s="67">
        <f t="shared" si="12"/>
        <v>28570</v>
      </c>
      <c r="BJ23" s="68">
        <f t="shared" si="12"/>
        <v>338537</v>
      </c>
      <c r="BK23" s="67">
        <f t="shared" si="12"/>
        <v>6904</v>
      </c>
      <c r="BL23" s="68">
        <f t="shared" si="12"/>
        <v>54033</v>
      </c>
      <c r="BM23" s="67">
        <f t="shared" si="12"/>
        <v>203</v>
      </c>
      <c r="BN23" s="68">
        <f t="shared" si="12"/>
        <v>1717</v>
      </c>
      <c r="BO23" s="69">
        <f t="shared" si="12"/>
        <v>37704</v>
      </c>
      <c r="BP23" s="70">
        <f t="shared" si="12"/>
        <v>10</v>
      </c>
      <c r="BQ23" s="23">
        <f>BP23+'20.04'!BP23</f>
        <v>36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30A0"/>
  </sheetPr>
  <dimension ref="A1:BR23"/>
  <sheetViews>
    <sheetView zoomScale="90" zoomScaleNormal="90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>
        <f t="shared" si="0"/>
        <v>69</v>
      </c>
      <c r="E9" s="32">
        <v>452</v>
      </c>
      <c r="F9" s="22">
        <v>2</v>
      </c>
      <c r="G9" s="23">
        <f>F9+'10.05'!G9</f>
        <v>34</v>
      </c>
      <c r="H9" s="33">
        <v>12</v>
      </c>
      <c r="I9" s="34">
        <v>0</v>
      </c>
      <c r="J9" s="23">
        <f>I9+'10.05'!J9</f>
        <v>8</v>
      </c>
      <c r="K9" s="33">
        <v>2</v>
      </c>
      <c r="L9" s="22">
        <v>0</v>
      </c>
      <c r="M9" s="23">
        <f>L9+'10.05'!M9</f>
        <v>0</v>
      </c>
      <c r="N9" s="33">
        <v>735</v>
      </c>
      <c r="O9" s="22">
        <v>0</v>
      </c>
      <c r="P9" s="23">
        <f>O9+'10.05'!P9</f>
        <v>0</v>
      </c>
      <c r="Q9" s="33">
        <v>502</v>
      </c>
      <c r="R9" s="22">
        <v>0</v>
      </c>
      <c r="S9" s="23">
        <f>R9+'10.05'!S9</f>
        <v>0</v>
      </c>
      <c r="T9" s="33">
        <v>197</v>
      </c>
      <c r="U9" s="22">
        <v>0</v>
      </c>
      <c r="V9" s="23">
        <f>U9+'10.05'!V9</f>
        <v>0</v>
      </c>
      <c r="W9" s="33">
        <v>47</v>
      </c>
      <c r="X9" s="22">
        <v>1</v>
      </c>
      <c r="Y9" s="23">
        <f>X9+'10.05'!Y9</f>
        <v>15</v>
      </c>
      <c r="Z9" s="33">
        <v>34</v>
      </c>
      <c r="AA9" s="22">
        <v>0</v>
      </c>
      <c r="AB9" s="23">
        <f>AA9+'10.05'!AB9</f>
        <v>0</v>
      </c>
      <c r="AC9" s="33">
        <v>1860</v>
      </c>
      <c r="AD9" s="22">
        <v>0</v>
      </c>
      <c r="AE9" s="23">
        <f>AD9+'10.05'!AE9</f>
        <v>12</v>
      </c>
      <c r="AF9" s="19">
        <f t="shared" si="1"/>
        <v>7622</v>
      </c>
      <c r="AG9" s="20">
        <f t="shared" si="1"/>
        <v>98477</v>
      </c>
      <c r="AH9" s="24">
        <v>41</v>
      </c>
      <c r="AI9" s="23">
        <f>AH9+'10.05'!AI9</f>
        <v>1296</v>
      </c>
      <c r="AJ9" s="24">
        <v>281</v>
      </c>
      <c r="AK9" s="23">
        <f>AJ9+'10.05'!AK9</f>
        <v>10801</v>
      </c>
      <c r="AL9" s="22">
        <v>1100</v>
      </c>
      <c r="AM9" s="23">
        <f>AL9+'10.05'!AM9</f>
        <v>10460</v>
      </c>
      <c r="AN9" s="22">
        <v>6200</v>
      </c>
      <c r="AO9" s="23">
        <f>AN9+'10.05'!AO9</f>
        <v>75920</v>
      </c>
      <c r="AP9" s="28" t="s">
        <v>43</v>
      </c>
      <c r="AQ9" s="19">
        <f t="shared" si="3"/>
        <v>71</v>
      </c>
      <c r="AR9" s="20">
        <f t="shared" si="3"/>
        <v>1574</v>
      </c>
      <c r="AS9" s="34">
        <v>0</v>
      </c>
      <c r="AT9" s="23">
        <f>AS9+'10.05'!AT9</f>
        <v>2</v>
      </c>
      <c r="AU9" s="34">
        <v>0</v>
      </c>
      <c r="AV9" s="23">
        <f>AU9+'10.05'!AV9</f>
        <v>3</v>
      </c>
      <c r="AW9" s="34">
        <v>0</v>
      </c>
      <c r="AX9" s="23">
        <f>AW9+'10.05'!AX9</f>
        <v>1</v>
      </c>
      <c r="AY9" s="34">
        <v>0</v>
      </c>
      <c r="AZ9" s="23">
        <f>AY9+'10.05'!AZ9</f>
        <v>0</v>
      </c>
      <c r="BA9" s="34">
        <v>71</v>
      </c>
      <c r="BB9" s="23">
        <f>BA9+'10.05'!BB9</f>
        <v>1568</v>
      </c>
      <c r="BC9" s="19">
        <f t="shared" si="5"/>
        <v>372</v>
      </c>
      <c r="BD9" s="20">
        <f t="shared" si="5"/>
        <v>5297</v>
      </c>
      <c r="BE9" s="22">
        <v>1</v>
      </c>
      <c r="BF9" s="23">
        <f>BE9+'10.05'!BF9</f>
        <v>17</v>
      </c>
      <c r="BG9" s="34">
        <v>0</v>
      </c>
      <c r="BH9" s="23">
        <f>BG9+'10.05'!BH9</f>
        <v>0</v>
      </c>
      <c r="BI9" s="22">
        <v>370</v>
      </c>
      <c r="BJ9" s="23">
        <f>BI9+'10.05'!BJ9</f>
        <v>5260</v>
      </c>
      <c r="BK9" s="22">
        <v>0</v>
      </c>
      <c r="BL9" s="23">
        <f>BK9+'10.05'!BL9</f>
        <v>0</v>
      </c>
      <c r="BM9" s="22">
        <v>1</v>
      </c>
      <c r="BN9" s="23">
        <f>BM9+'10.05'!BN9</f>
        <v>20</v>
      </c>
      <c r="BO9" s="36">
        <v>14</v>
      </c>
      <c r="BP9" s="37">
        <v>0</v>
      </c>
      <c r="BQ9" s="23">
        <f>BP9+'10.05'!BQ9</f>
        <v>3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195</v>
      </c>
      <c r="D10" s="31">
        <f t="shared" si="0"/>
        <v>1204</v>
      </c>
      <c r="E10" s="32">
        <v>585</v>
      </c>
      <c r="F10" s="22">
        <v>10</v>
      </c>
      <c r="G10" s="23">
        <f>F10+'10.05'!G10</f>
        <v>112</v>
      </c>
      <c r="H10" s="33">
        <v>93</v>
      </c>
      <c r="I10" s="34">
        <v>1</v>
      </c>
      <c r="J10" s="23">
        <f>I10+'10.05'!J10</f>
        <v>16</v>
      </c>
      <c r="K10" s="33">
        <v>34</v>
      </c>
      <c r="L10" s="22">
        <v>1</v>
      </c>
      <c r="M10" s="23">
        <f>L10+'10.05'!M10</f>
        <v>7</v>
      </c>
      <c r="N10" s="33">
        <v>352</v>
      </c>
      <c r="O10" s="22">
        <v>8</v>
      </c>
      <c r="P10" s="23">
        <f>O10+'10.05'!P10</f>
        <v>70</v>
      </c>
      <c r="Q10" s="33">
        <v>549</v>
      </c>
      <c r="R10" s="22">
        <v>0</v>
      </c>
      <c r="S10" s="23">
        <f>R10+'10.05'!S10</f>
        <v>48</v>
      </c>
      <c r="T10" s="33">
        <v>198</v>
      </c>
      <c r="U10" s="22">
        <v>6</v>
      </c>
      <c r="V10" s="23">
        <f>U10+'10.05'!V10</f>
        <v>31</v>
      </c>
      <c r="W10" s="38">
        <v>55</v>
      </c>
      <c r="X10" s="22">
        <v>0</v>
      </c>
      <c r="Y10" s="23">
        <f>X10+'10.05'!Y10</f>
        <v>42</v>
      </c>
      <c r="Z10" s="38">
        <v>71</v>
      </c>
      <c r="AA10" s="22">
        <v>0</v>
      </c>
      <c r="AB10" s="23">
        <f>AA10+'10.05'!AB10</f>
        <v>26</v>
      </c>
      <c r="AC10" s="38">
        <v>1690</v>
      </c>
      <c r="AD10" s="22">
        <v>169</v>
      </c>
      <c r="AE10" s="23">
        <f>AD10+'10.05'!AE10</f>
        <v>852</v>
      </c>
      <c r="AF10" s="19">
        <f t="shared" si="1"/>
        <v>104217</v>
      </c>
      <c r="AG10" s="20">
        <f t="shared" si="1"/>
        <v>1092237</v>
      </c>
      <c r="AH10" s="24">
        <v>644</v>
      </c>
      <c r="AI10" s="23">
        <f>AH10+'10.05'!AI10</f>
        <v>9610</v>
      </c>
      <c r="AJ10" s="24">
        <v>5465</v>
      </c>
      <c r="AK10" s="23">
        <f>AJ10+'10.05'!AK10</f>
        <v>49515</v>
      </c>
      <c r="AL10" s="22">
        <v>10087</v>
      </c>
      <c r="AM10" s="23">
        <f>AL10+'10.05'!AM10</f>
        <v>123073</v>
      </c>
      <c r="AN10" s="22">
        <v>88021</v>
      </c>
      <c r="AO10" s="23">
        <f>AN10+'10.05'!AO10</f>
        <v>910039</v>
      </c>
      <c r="AP10" s="28" t="s">
        <v>44</v>
      </c>
      <c r="AQ10" s="19">
        <f t="shared" si="3"/>
        <v>1</v>
      </c>
      <c r="AR10" s="20">
        <f t="shared" si="3"/>
        <v>47</v>
      </c>
      <c r="AS10" s="34">
        <v>0</v>
      </c>
      <c r="AT10" s="23">
        <f>AS10+'10.05'!AT10</f>
        <v>2</v>
      </c>
      <c r="AU10" s="34">
        <v>0</v>
      </c>
      <c r="AV10" s="23">
        <f>AU10+'10.05'!AV10</f>
        <v>2</v>
      </c>
      <c r="AW10" s="34">
        <v>0</v>
      </c>
      <c r="AX10" s="23">
        <f>AW10+'10.05'!AX10</f>
        <v>0</v>
      </c>
      <c r="AY10" s="34">
        <v>0</v>
      </c>
      <c r="AZ10" s="23">
        <f>AY10+'10.05'!AZ10</f>
        <v>0</v>
      </c>
      <c r="BA10" s="34">
        <v>1</v>
      </c>
      <c r="BB10" s="23">
        <f>BA10+'10.05'!BB10</f>
        <v>43</v>
      </c>
      <c r="BC10" s="19">
        <f t="shared" si="5"/>
        <v>4516</v>
      </c>
      <c r="BD10" s="20">
        <f t="shared" si="5"/>
        <v>42284</v>
      </c>
      <c r="BE10" s="22">
        <v>536</v>
      </c>
      <c r="BF10" s="23">
        <f>BE10+'10.05'!BF10</f>
        <v>5597</v>
      </c>
      <c r="BG10" s="34">
        <v>0</v>
      </c>
      <c r="BH10" s="23">
        <f>BG10+'10.05'!BH10</f>
        <v>4</v>
      </c>
      <c r="BI10" s="22">
        <v>2129</v>
      </c>
      <c r="BJ10" s="23">
        <f>BI10+'10.05'!BJ10</f>
        <v>24118</v>
      </c>
      <c r="BK10" s="22">
        <v>1851</v>
      </c>
      <c r="BL10" s="23">
        <f>BK10+'10.05'!BL10</f>
        <v>12565</v>
      </c>
      <c r="BM10" s="22">
        <v>0</v>
      </c>
      <c r="BN10" s="23">
        <f>BM10+'10.05'!BN10</f>
        <v>0</v>
      </c>
      <c r="BO10" s="36">
        <v>32</v>
      </c>
      <c r="BP10" s="37">
        <v>0</v>
      </c>
      <c r="BQ10" s="23">
        <f>BP10+'10.05'!BQ10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36</v>
      </c>
      <c r="D11" s="31">
        <f t="shared" si="0"/>
        <v>402</v>
      </c>
      <c r="E11" s="32">
        <v>883</v>
      </c>
      <c r="F11" s="22">
        <v>17</v>
      </c>
      <c r="G11" s="23">
        <f>F11+'10.05'!G11</f>
        <v>205</v>
      </c>
      <c r="H11" s="33">
        <v>16</v>
      </c>
      <c r="I11" s="34">
        <v>0</v>
      </c>
      <c r="J11" s="23">
        <f>I11+'10.05'!J11</f>
        <v>0</v>
      </c>
      <c r="K11" s="33">
        <v>3</v>
      </c>
      <c r="L11" s="22">
        <v>0</v>
      </c>
      <c r="M11" s="23">
        <f>L11+'10.05'!M11</f>
        <v>0</v>
      </c>
      <c r="N11" s="33">
        <v>875</v>
      </c>
      <c r="O11" s="22">
        <v>0</v>
      </c>
      <c r="P11" s="23">
        <f>O11+'10.05'!P11</f>
        <v>0</v>
      </c>
      <c r="Q11" s="33">
        <v>2424</v>
      </c>
      <c r="R11" s="22">
        <v>0</v>
      </c>
      <c r="S11" s="23">
        <f>R11+'10.05'!S11</f>
        <v>0</v>
      </c>
      <c r="T11" s="33">
        <v>69</v>
      </c>
      <c r="U11" s="22">
        <v>0</v>
      </c>
      <c r="V11" s="23">
        <f>U11+'10.05'!V11</f>
        <v>0</v>
      </c>
      <c r="W11" s="38">
        <v>133</v>
      </c>
      <c r="X11" s="22">
        <v>17</v>
      </c>
      <c r="Y11" s="23">
        <f>X11+'10.05'!Y11</f>
        <v>184</v>
      </c>
      <c r="Z11" s="38">
        <v>1116</v>
      </c>
      <c r="AA11" s="22">
        <v>0</v>
      </c>
      <c r="AB11" s="23">
        <f>AA11+'10.05'!AB11</f>
        <v>0</v>
      </c>
      <c r="AC11" s="38">
        <v>9862</v>
      </c>
      <c r="AD11" s="22">
        <v>2</v>
      </c>
      <c r="AE11" s="23">
        <f>AD11+'10.05'!AE11</f>
        <v>13</v>
      </c>
      <c r="AF11" s="19">
        <f t="shared" si="1"/>
        <v>14000</v>
      </c>
      <c r="AG11" s="20">
        <f t="shared" si="1"/>
        <v>230700</v>
      </c>
      <c r="AH11" s="24">
        <v>1800</v>
      </c>
      <c r="AI11" s="23">
        <f>AH11+'10.05'!AI11</f>
        <v>26200</v>
      </c>
      <c r="AJ11" s="24">
        <v>2400</v>
      </c>
      <c r="AK11" s="23">
        <f>AJ11+'10.05'!AK11</f>
        <v>30800</v>
      </c>
      <c r="AL11" s="22">
        <v>2700</v>
      </c>
      <c r="AM11" s="23">
        <f>AL11+'10.05'!AM11</f>
        <v>59000</v>
      </c>
      <c r="AN11" s="22">
        <v>7100</v>
      </c>
      <c r="AO11" s="23">
        <f>AN11+'10.05'!AO11</f>
        <v>114700</v>
      </c>
      <c r="AP11" s="28" t="s">
        <v>45</v>
      </c>
      <c r="AQ11" s="19">
        <f t="shared" si="3"/>
        <v>2</v>
      </c>
      <c r="AR11" s="20">
        <f t="shared" si="3"/>
        <v>29</v>
      </c>
      <c r="AS11" s="34">
        <v>0</v>
      </c>
      <c r="AT11" s="23">
        <f>AS11+'10.05'!AT11</f>
        <v>0</v>
      </c>
      <c r="AU11" s="34">
        <v>0</v>
      </c>
      <c r="AV11" s="23">
        <f>AU11+'10.05'!AV11</f>
        <v>0</v>
      </c>
      <c r="AW11" s="34">
        <v>0</v>
      </c>
      <c r="AX11" s="23">
        <f>AW11+'10.05'!AX11</f>
        <v>0</v>
      </c>
      <c r="AY11" s="34">
        <v>0</v>
      </c>
      <c r="AZ11" s="23">
        <f>AY11+'10.05'!AZ11</f>
        <v>0</v>
      </c>
      <c r="BA11" s="34">
        <v>2</v>
      </c>
      <c r="BB11" s="23">
        <f>BA11+'10.05'!BB11</f>
        <v>29</v>
      </c>
      <c r="BC11" s="19">
        <f t="shared" si="5"/>
        <v>464</v>
      </c>
      <c r="BD11" s="20">
        <f t="shared" si="5"/>
        <v>7798</v>
      </c>
      <c r="BE11" s="22">
        <v>1</v>
      </c>
      <c r="BF11" s="23">
        <f>BE11+'10.05'!BF11</f>
        <v>17</v>
      </c>
      <c r="BG11" s="34">
        <v>1</v>
      </c>
      <c r="BH11" s="23">
        <f>BG11+'10.05'!BH11</f>
        <v>29</v>
      </c>
      <c r="BI11" s="22">
        <v>450</v>
      </c>
      <c r="BJ11" s="23">
        <f>BI11+'10.05'!BJ11</f>
        <v>7540</v>
      </c>
      <c r="BK11" s="22">
        <v>9</v>
      </c>
      <c r="BL11" s="23">
        <f>BK11+'10.05'!BL11</f>
        <v>197</v>
      </c>
      <c r="BM11" s="22">
        <v>3</v>
      </c>
      <c r="BN11" s="23">
        <f>BM11+'10.05'!BN11</f>
        <v>15</v>
      </c>
      <c r="BO11" s="36">
        <v>11506</v>
      </c>
      <c r="BP11" s="37">
        <v>4</v>
      </c>
      <c r="BQ11" s="23">
        <f>BP11+'10.05'!BQ11</f>
        <v>30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226</v>
      </c>
      <c r="D12" s="31">
        <f t="shared" si="0"/>
        <v>2311</v>
      </c>
      <c r="E12" s="32">
        <v>909</v>
      </c>
      <c r="F12" s="22">
        <v>55</v>
      </c>
      <c r="G12" s="23">
        <f>F12+'10.05'!G12</f>
        <v>540</v>
      </c>
      <c r="H12" s="33">
        <v>80</v>
      </c>
      <c r="I12" s="34">
        <v>4</v>
      </c>
      <c r="J12" s="23">
        <f>I12+'10.05'!J12</f>
        <v>19</v>
      </c>
      <c r="K12" s="33">
        <v>5</v>
      </c>
      <c r="L12" s="22">
        <v>0</v>
      </c>
      <c r="M12" s="23">
        <f>L12+'10.05'!M12</f>
        <v>0</v>
      </c>
      <c r="N12" s="33">
        <v>820</v>
      </c>
      <c r="O12" s="22">
        <v>40</v>
      </c>
      <c r="P12" s="23">
        <f>O12+'10.05'!P12</f>
        <v>137</v>
      </c>
      <c r="Q12" s="33">
        <v>549</v>
      </c>
      <c r="R12" s="22">
        <v>0</v>
      </c>
      <c r="S12" s="23">
        <f>R12+'10.05'!S12</f>
        <v>0</v>
      </c>
      <c r="T12" s="33">
        <v>992</v>
      </c>
      <c r="U12" s="22">
        <v>0</v>
      </c>
      <c r="V12" s="23">
        <f>U12+'10.05'!V12</f>
        <v>0</v>
      </c>
      <c r="W12" s="33">
        <v>38</v>
      </c>
      <c r="X12" s="22">
        <v>89</v>
      </c>
      <c r="Y12" s="23">
        <f>X12+'10.05'!Y12</f>
        <v>1196</v>
      </c>
      <c r="Z12" s="33">
        <v>68</v>
      </c>
      <c r="AA12" s="22">
        <v>0</v>
      </c>
      <c r="AB12" s="23">
        <f>AA12+'10.05'!AB12</f>
        <v>0</v>
      </c>
      <c r="AC12" s="33">
        <v>26703</v>
      </c>
      <c r="AD12" s="22">
        <v>38</v>
      </c>
      <c r="AE12" s="23">
        <f>AD12+'10.05'!AE12</f>
        <v>419</v>
      </c>
      <c r="AF12" s="19">
        <f t="shared" si="1"/>
        <v>4700</v>
      </c>
      <c r="AG12" s="20">
        <f t="shared" si="1"/>
        <v>95298</v>
      </c>
      <c r="AH12" s="24">
        <v>550</v>
      </c>
      <c r="AI12" s="23">
        <f>AH12+'10.05'!AI12</f>
        <v>10459</v>
      </c>
      <c r="AJ12" s="24">
        <v>900</v>
      </c>
      <c r="AK12" s="23">
        <f>AJ12+'10.05'!AK12</f>
        <v>23989</v>
      </c>
      <c r="AL12" s="22">
        <v>1625</v>
      </c>
      <c r="AM12" s="23">
        <f>AL12+'10.05'!AM12</f>
        <v>30425</v>
      </c>
      <c r="AN12" s="22">
        <v>1625</v>
      </c>
      <c r="AO12" s="23">
        <f>AN12+'10.05'!AO12</f>
        <v>30425</v>
      </c>
      <c r="AP12" s="28" t="s">
        <v>46</v>
      </c>
      <c r="AQ12" s="19">
        <f t="shared" si="3"/>
        <v>81</v>
      </c>
      <c r="AR12" s="20">
        <f t="shared" si="3"/>
        <v>768</v>
      </c>
      <c r="AS12" s="34">
        <v>0</v>
      </c>
      <c r="AT12" s="23">
        <f>AS12+'10.05'!AT12</f>
        <v>0</v>
      </c>
      <c r="AU12" s="34">
        <v>0</v>
      </c>
      <c r="AV12" s="23">
        <f>AU12+'10.05'!AV12</f>
        <v>0</v>
      </c>
      <c r="AW12" s="34">
        <v>0</v>
      </c>
      <c r="AX12" s="23">
        <f>AW12+'10.05'!AX12</f>
        <v>0</v>
      </c>
      <c r="AY12" s="34">
        <v>0</v>
      </c>
      <c r="AZ12" s="23">
        <f>AY12+'10.05'!AZ12</f>
        <v>0</v>
      </c>
      <c r="BA12" s="34">
        <v>81</v>
      </c>
      <c r="BB12" s="23">
        <f>BA12+'10.05'!BB12</f>
        <v>768</v>
      </c>
      <c r="BC12" s="19">
        <f t="shared" si="5"/>
        <v>2763</v>
      </c>
      <c r="BD12" s="20">
        <f t="shared" si="5"/>
        <v>30035</v>
      </c>
      <c r="BE12" s="22">
        <v>251</v>
      </c>
      <c r="BF12" s="23">
        <f>BE12+'10.05'!BF12</f>
        <v>2508</v>
      </c>
      <c r="BG12" s="34">
        <v>11</v>
      </c>
      <c r="BH12" s="23">
        <f>BG12+'10.05'!BH12</f>
        <v>80</v>
      </c>
      <c r="BI12" s="22">
        <v>2200</v>
      </c>
      <c r="BJ12" s="23">
        <f>BI12+'10.05'!BJ12</f>
        <v>24700</v>
      </c>
      <c r="BK12" s="22">
        <v>250</v>
      </c>
      <c r="BL12" s="23">
        <f>BK12+'10.05'!BL12</f>
        <v>2300</v>
      </c>
      <c r="BM12" s="22">
        <v>51</v>
      </c>
      <c r="BN12" s="23">
        <f>BM12+'10.05'!BN12</f>
        <v>447</v>
      </c>
      <c r="BO12" s="36"/>
      <c r="BP12" s="37">
        <v>2</v>
      </c>
      <c r="BQ12" s="23">
        <f>BP12+'10.05'!BQ12</f>
        <v>15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148</v>
      </c>
      <c r="E13" s="32">
        <v>516</v>
      </c>
      <c r="F13" s="22">
        <v>1</v>
      </c>
      <c r="G13" s="23">
        <f>F13+'10.05'!G13</f>
        <v>12</v>
      </c>
      <c r="H13" s="33">
        <v>10</v>
      </c>
      <c r="I13" s="34">
        <v>0</v>
      </c>
      <c r="J13" s="23">
        <f>I13+'10.05'!J13</f>
        <v>5</v>
      </c>
      <c r="K13" s="33">
        <v>38</v>
      </c>
      <c r="L13" s="22">
        <v>0</v>
      </c>
      <c r="M13" s="23">
        <f>L13+'10.05'!M13</f>
        <v>0</v>
      </c>
      <c r="N13" s="33">
        <v>581</v>
      </c>
      <c r="O13" s="22">
        <v>1</v>
      </c>
      <c r="P13" s="23">
        <f>O13+'10.05'!P13</f>
        <v>5</v>
      </c>
      <c r="Q13" s="33">
        <v>525</v>
      </c>
      <c r="R13" s="22">
        <v>0</v>
      </c>
      <c r="S13" s="23">
        <f>R13+'10.05'!S13</f>
        <v>0</v>
      </c>
      <c r="T13" s="33">
        <v>263</v>
      </c>
      <c r="U13" s="22">
        <v>0</v>
      </c>
      <c r="V13" s="23">
        <f>U13+'10.05'!V13</f>
        <v>0</v>
      </c>
      <c r="W13" s="33">
        <v>43</v>
      </c>
      <c r="X13" s="22">
        <v>0</v>
      </c>
      <c r="Y13" s="23">
        <f>X13+'10.05'!Y13</f>
        <v>0</v>
      </c>
      <c r="Z13" s="33">
        <v>17</v>
      </c>
      <c r="AA13" s="22">
        <v>0</v>
      </c>
      <c r="AB13" s="23">
        <f>AA13+'10.05'!AB13</f>
        <v>0</v>
      </c>
      <c r="AC13" s="33">
        <v>51</v>
      </c>
      <c r="AD13" s="22">
        <v>1</v>
      </c>
      <c r="AE13" s="23">
        <f>AD13+'10.05'!AE13</f>
        <v>126</v>
      </c>
      <c r="AF13" s="19">
        <f t="shared" si="1"/>
        <v>240000</v>
      </c>
      <c r="AG13" s="20">
        <f t="shared" si="1"/>
        <v>2806000</v>
      </c>
      <c r="AH13" s="24">
        <v>5000</v>
      </c>
      <c r="AI13" s="23">
        <f>AH13+'10.05'!AI13</f>
        <v>31000</v>
      </c>
      <c r="AJ13" s="24">
        <v>15000</v>
      </c>
      <c r="AK13" s="23">
        <f>AJ13+'10.05'!AK13</f>
        <v>166000</v>
      </c>
      <c r="AL13" s="22">
        <v>20000</v>
      </c>
      <c r="AM13" s="23">
        <f>AL13+'10.05'!AM13</f>
        <v>250000</v>
      </c>
      <c r="AN13" s="22">
        <v>200000</v>
      </c>
      <c r="AO13" s="23">
        <f>AN13+'10.05'!AO13</f>
        <v>2359000</v>
      </c>
      <c r="AP13" s="28" t="s">
        <v>47</v>
      </c>
      <c r="AQ13" s="19">
        <f t="shared" si="3"/>
        <v>32</v>
      </c>
      <c r="AR13" s="20">
        <f t="shared" si="3"/>
        <v>324</v>
      </c>
      <c r="AS13" s="34">
        <v>1</v>
      </c>
      <c r="AT13" s="23">
        <f>AS13+'10.05'!AT13</f>
        <v>10</v>
      </c>
      <c r="AU13" s="34">
        <v>1</v>
      </c>
      <c r="AV13" s="23">
        <f>AU13+'10.05'!AV13</f>
        <v>10</v>
      </c>
      <c r="AW13" s="34">
        <v>0</v>
      </c>
      <c r="AX13" s="23">
        <f>AW13+'10.05'!AX13</f>
        <v>0</v>
      </c>
      <c r="AY13" s="34">
        <v>0</v>
      </c>
      <c r="AZ13" s="23">
        <f>AY13+'10.05'!AZ13</f>
        <v>0</v>
      </c>
      <c r="BA13" s="34">
        <v>30</v>
      </c>
      <c r="BB13" s="23">
        <f>BA13+'10.05'!BB13</f>
        <v>304</v>
      </c>
      <c r="BC13" s="19">
        <f t="shared" si="5"/>
        <v>2304</v>
      </c>
      <c r="BD13" s="20">
        <f t="shared" si="5"/>
        <v>104218</v>
      </c>
      <c r="BE13" s="22">
        <v>516</v>
      </c>
      <c r="BF13" s="23">
        <f>BE13+'10.05'!BF13</f>
        <v>5676</v>
      </c>
      <c r="BG13" s="34">
        <v>21</v>
      </c>
      <c r="BH13" s="23">
        <f>BG13+'10.05'!BH13</f>
        <v>173</v>
      </c>
      <c r="BI13" s="22">
        <v>1500</v>
      </c>
      <c r="BJ13" s="23">
        <f>BI13+'10.05'!BJ13</f>
        <v>96500</v>
      </c>
      <c r="BK13" s="22">
        <v>200</v>
      </c>
      <c r="BL13" s="23">
        <f>BK13+'10.05'!BL13</f>
        <v>1400</v>
      </c>
      <c r="BM13" s="22">
        <v>67</v>
      </c>
      <c r="BN13" s="23">
        <f>BM13+'10.05'!BN13</f>
        <v>469</v>
      </c>
      <c r="BO13" s="36"/>
      <c r="BP13" s="37">
        <v>1</v>
      </c>
      <c r="BQ13" s="23">
        <f>BP13+'10.05'!BQ13</f>
        <v>5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114</v>
      </c>
      <c r="D14" s="42">
        <f t="shared" si="0"/>
        <v>1231</v>
      </c>
      <c r="E14" s="43">
        <v>304</v>
      </c>
      <c r="F14" s="22">
        <v>94</v>
      </c>
      <c r="G14" s="23">
        <f>F14+'10.05'!G14</f>
        <v>1017</v>
      </c>
      <c r="H14" s="44">
        <v>5</v>
      </c>
      <c r="I14" s="45">
        <v>0</v>
      </c>
      <c r="J14" s="23">
        <f>I14+'10.05'!J14</f>
        <v>0</v>
      </c>
      <c r="K14" s="44">
        <v>34</v>
      </c>
      <c r="L14" s="22">
        <v>0</v>
      </c>
      <c r="M14" s="23">
        <f>L14+'10.05'!M14</f>
        <v>0</v>
      </c>
      <c r="N14" s="44">
        <v>583</v>
      </c>
      <c r="O14" s="22">
        <v>0</v>
      </c>
      <c r="P14" s="23">
        <f>O14+'10.05'!P14</f>
        <v>0</v>
      </c>
      <c r="Q14" s="44">
        <v>254</v>
      </c>
      <c r="R14" s="22">
        <v>0</v>
      </c>
      <c r="S14" s="23">
        <f>R14+'10.05'!S14</f>
        <v>0</v>
      </c>
      <c r="T14" s="44">
        <v>196</v>
      </c>
      <c r="U14" s="22">
        <v>0</v>
      </c>
      <c r="V14" s="23">
        <f>U14+'10.05'!V14</f>
        <v>0</v>
      </c>
      <c r="W14" s="44">
        <v>30</v>
      </c>
      <c r="X14" s="22">
        <v>18</v>
      </c>
      <c r="Y14" s="23">
        <f>X14+'10.05'!Y14</f>
        <v>162</v>
      </c>
      <c r="Z14" s="44">
        <v>10</v>
      </c>
      <c r="AA14" s="22">
        <v>0</v>
      </c>
      <c r="AB14" s="23">
        <f>AA14+'10.05'!AB14</f>
        <v>0</v>
      </c>
      <c r="AC14" s="44">
        <v>2500</v>
      </c>
      <c r="AD14" s="22">
        <v>2</v>
      </c>
      <c r="AE14" s="23">
        <f>AD14+'10.05'!AE14</f>
        <v>52</v>
      </c>
      <c r="AF14" s="19">
        <f t="shared" si="1"/>
        <v>100000</v>
      </c>
      <c r="AG14" s="20">
        <f t="shared" si="1"/>
        <v>1155340</v>
      </c>
      <c r="AH14" s="24">
        <v>2800</v>
      </c>
      <c r="AI14" s="23">
        <f>AH14+'10.05'!AI14</f>
        <v>33360</v>
      </c>
      <c r="AJ14" s="24">
        <v>5100</v>
      </c>
      <c r="AK14" s="23">
        <f>AJ14+'10.05'!AK14</f>
        <v>62250</v>
      </c>
      <c r="AL14" s="22">
        <v>7500</v>
      </c>
      <c r="AM14" s="23">
        <f>AL14+'10.05'!AM14</f>
        <v>67750</v>
      </c>
      <c r="AN14" s="22">
        <v>84600</v>
      </c>
      <c r="AO14" s="23">
        <f>AN14+'10.05'!AO14</f>
        <v>991980</v>
      </c>
      <c r="AP14" s="39" t="s">
        <v>48</v>
      </c>
      <c r="AQ14" s="19">
        <f t="shared" si="3"/>
        <v>3</v>
      </c>
      <c r="AR14" s="20">
        <f t="shared" si="3"/>
        <v>43</v>
      </c>
      <c r="AS14" s="45">
        <v>0</v>
      </c>
      <c r="AT14" s="23">
        <f>AS14+'10.05'!AT14</f>
        <v>0</v>
      </c>
      <c r="AU14" s="45">
        <v>0</v>
      </c>
      <c r="AV14" s="23">
        <f>AU14+'10.05'!AV14</f>
        <v>2</v>
      </c>
      <c r="AW14" s="45">
        <v>1</v>
      </c>
      <c r="AX14" s="23">
        <f>AW14+'10.05'!AX14</f>
        <v>2</v>
      </c>
      <c r="AY14" s="45">
        <v>0</v>
      </c>
      <c r="AZ14" s="23">
        <f>AY14+'10.05'!AZ14</f>
        <v>1</v>
      </c>
      <c r="BA14" s="45">
        <v>2</v>
      </c>
      <c r="BB14" s="23">
        <f>BA14+'10.05'!BB14</f>
        <v>38</v>
      </c>
      <c r="BC14" s="19">
        <f t="shared" si="5"/>
        <v>1008</v>
      </c>
      <c r="BD14" s="20">
        <f t="shared" si="5"/>
        <v>31332</v>
      </c>
      <c r="BE14" s="22">
        <v>2</v>
      </c>
      <c r="BF14" s="23">
        <f>BE14+'10.05'!BF14</f>
        <v>41</v>
      </c>
      <c r="BG14" s="45">
        <v>1</v>
      </c>
      <c r="BH14" s="23">
        <f>BG14+'10.05'!BH14</f>
        <v>20</v>
      </c>
      <c r="BI14" s="22">
        <v>1000</v>
      </c>
      <c r="BJ14" s="23">
        <f>BI14+'10.05'!BJ14</f>
        <v>31200</v>
      </c>
      <c r="BK14" s="22">
        <v>4</v>
      </c>
      <c r="BL14" s="23">
        <f>BK14+'10.05'!BL14</f>
        <v>47</v>
      </c>
      <c r="BM14" s="22">
        <v>1</v>
      </c>
      <c r="BN14" s="23">
        <f>BM14+'10.05'!BN14</f>
        <v>24</v>
      </c>
      <c r="BO14" s="48">
        <v>22</v>
      </c>
      <c r="BP14" s="49">
        <v>0</v>
      </c>
      <c r="BQ14" s="23">
        <f>BP14+'10.05'!BQ14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482</v>
      </c>
      <c r="D15" s="53">
        <f t="shared" si="0"/>
        <v>4958</v>
      </c>
      <c r="E15" s="54">
        <v>776</v>
      </c>
      <c r="F15" s="55">
        <v>393</v>
      </c>
      <c r="G15" s="23">
        <f>F15+'10.05'!G15</f>
        <v>3729</v>
      </c>
      <c r="H15" s="56">
        <v>9</v>
      </c>
      <c r="I15" s="57">
        <v>0</v>
      </c>
      <c r="J15" s="23">
        <f>I15+'10.05'!J15</f>
        <v>0</v>
      </c>
      <c r="K15" s="56">
        <v>6</v>
      </c>
      <c r="L15" s="55">
        <v>0</v>
      </c>
      <c r="M15" s="23">
        <f>L15+'10.05'!M15</f>
        <v>0</v>
      </c>
      <c r="N15" s="56">
        <v>1305</v>
      </c>
      <c r="O15" s="55">
        <v>0</v>
      </c>
      <c r="P15" s="23">
        <f>O15+'10.05'!P15</f>
        <v>0</v>
      </c>
      <c r="Q15" s="56">
        <v>447</v>
      </c>
      <c r="R15" s="55">
        <v>0</v>
      </c>
      <c r="S15" s="23">
        <f>R15+'10.05'!S15</f>
        <v>0</v>
      </c>
      <c r="T15" s="56">
        <v>337</v>
      </c>
      <c r="U15" s="55">
        <v>0</v>
      </c>
      <c r="V15" s="23">
        <f>U15+'10.05'!V15</f>
        <v>0</v>
      </c>
      <c r="W15" s="56">
        <v>78</v>
      </c>
      <c r="X15" s="55">
        <v>0</v>
      </c>
      <c r="Y15" s="23">
        <f>X15+'10.05'!Y15</f>
        <v>0</v>
      </c>
      <c r="Z15" s="56">
        <v>141</v>
      </c>
      <c r="AA15" s="55">
        <v>0</v>
      </c>
      <c r="AB15" s="23">
        <f>AA15+'10.05'!AB15</f>
        <v>0</v>
      </c>
      <c r="AC15" s="56">
        <v>798</v>
      </c>
      <c r="AD15" s="55">
        <v>89</v>
      </c>
      <c r="AE15" s="23">
        <f>AD15+'10.05'!AE15</f>
        <v>1229</v>
      </c>
      <c r="AF15" s="58">
        <f t="shared" si="1"/>
        <v>10635866</v>
      </c>
      <c r="AG15" s="59">
        <f t="shared" si="1"/>
        <v>27095619</v>
      </c>
      <c r="AH15" s="60">
        <v>839</v>
      </c>
      <c r="AI15" s="23">
        <f>AH15+'10.05'!AI15</f>
        <v>9275</v>
      </c>
      <c r="AJ15" s="60">
        <v>2895</v>
      </c>
      <c r="AK15" s="23">
        <f>AJ15+'10.05'!AK15</f>
        <v>33899</v>
      </c>
      <c r="AL15" s="55">
        <v>9666066</v>
      </c>
      <c r="AM15" s="23">
        <f>AL15+'10.05'!AM15</f>
        <v>17876223</v>
      </c>
      <c r="AN15" s="55">
        <v>966066</v>
      </c>
      <c r="AO15" s="23">
        <f>AN15+'10.05'!AO15</f>
        <v>9176222</v>
      </c>
      <c r="AP15" s="50" t="s">
        <v>49</v>
      </c>
      <c r="AQ15" s="58">
        <f t="shared" si="3"/>
        <v>2</v>
      </c>
      <c r="AR15" s="59">
        <f t="shared" si="3"/>
        <v>27</v>
      </c>
      <c r="AS15" s="57">
        <v>1</v>
      </c>
      <c r="AT15" s="23">
        <f>AS15+'10.05'!AT15</f>
        <v>2</v>
      </c>
      <c r="AU15" s="57">
        <v>0</v>
      </c>
      <c r="AV15" s="23">
        <f>AU15+'10.05'!AV15</f>
        <v>2</v>
      </c>
      <c r="AW15" s="57">
        <v>0</v>
      </c>
      <c r="AX15" s="23">
        <f>AW15+'10.05'!AX15</f>
        <v>1</v>
      </c>
      <c r="AY15" s="57">
        <v>0</v>
      </c>
      <c r="AZ15" s="23">
        <f>AY15+'10.05'!AZ15</f>
        <v>0</v>
      </c>
      <c r="BA15" s="57">
        <v>1</v>
      </c>
      <c r="BB15" s="23">
        <f>BA15+'10.05'!BB15</f>
        <v>22</v>
      </c>
      <c r="BC15" s="58">
        <f t="shared" si="5"/>
        <v>1588</v>
      </c>
      <c r="BD15" s="59">
        <f t="shared" si="5"/>
        <v>16399</v>
      </c>
      <c r="BE15" s="55">
        <v>83</v>
      </c>
      <c r="BF15" s="23">
        <f>BE15+'10.05'!BF15</f>
        <v>786</v>
      </c>
      <c r="BG15" s="57">
        <v>0</v>
      </c>
      <c r="BH15" s="23">
        <f>BG15+'10.05'!BH15</f>
        <v>16</v>
      </c>
      <c r="BI15" s="55">
        <v>756</v>
      </c>
      <c r="BJ15" s="23">
        <f>BI15+'10.05'!BJ15</f>
        <v>7828</v>
      </c>
      <c r="BK15" s="55">
        <v>732</v>
      </c>
      <c r="BL15" s="23">
        <f>BK15+'10.05'!BL15</f>
        <v>7585</v>
      </c>
      <c r="BM15" s="55">
        <v>17</v>
      </c>
      <c r="BN15" s="23">
        <f>BM15+'10.05'!BN15</f>
        <v>184</v>
      </c>
      <c r="BO15" s="36">
        <v>6274</v>
      </c>
      <c r="BP15" s="37">
        <v>1</v>
      </c>
      <c r="BQ15" s="23">
        <f>BP15+'10.05'!BQ15</f>
        <v>10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131</v>
      </c>
      <c r="D16" s="31">
        <f t="shared" si="0"/>
        <v>1488</v>
      </c>
      <c r="E16" s="32">
        <v>310</v>
      </c>
      <c r="F16" s="22">
        <v>53</v>
      </c>
      <c r="G16" s="23">
        <f>F16+'10.05'!G16</f>
        <v>511</v>
      </c>
      <c r="H16" s="33">
        <v>5</v>
      </c>
      <c r="I16" s="34">
        <v>0</v>
      </c>
      <c r="J16" s="23">
        <f>I16+'10.05'!J16</f>
        <v>0</v>
      </c>
      <c r="K16" s="33">
        <v>3</v>
      </c>
      <c r="L16" s="22">
        <v>0</v>
      </c>
      <c r="M16" s="23">
        <f>L16+'10.05'!M16</f>
        <v>0</v>
      </c>
      <c r="N16" s="33">
        <v>384</v>
      </c>
      <c r="O16" s="22">
        <v>0</v>
      </c>
      <c r="P16" s="23">
        <f>O16+'10.05'!P16</f>
        <v>0</v>
      </c>
      <c r="Q16" s="33">
        <v>245</v>
      </c>
      <c r="R16" s="22">
        <v>0</v>
      </c>
      <c r="S16" s="23">
        <f>R16+'10.05'!S16</f>
        <v>0</v>
      </c>
      <c r="T16" s="33">
        <v>397</v>
      </c>
      <c r="U16" s="22">
        <v>0</v>
      </c>
      <c r="V16" s="23">
        <f>U16+'10.05'!V16</f>
        <v>0</v>
      </c>
      <c r="W16" s="33">
        <v>24</v>
      </c>
      <c r="X16" s="22">
        <v>41</v>
      </c>
      <c r="Y16" s="23">
        <f>X16+'10.05'!Y16</f>
        <v>527</v>
      </c>
      <c r="Z16" s="33">
        <v>18</v>
      </c>
      <c r="AA16" s="22">
        <v>0</v>
      </c>
      <c r="AB16" s="23">
        <f>AA16+'10.05'!AB16</f>
        <v>0</v>
      </c>
      <c r="AC16" s="33">
        <v>18515</v>
      </c>
      <c r="AD16" s="22">
        <v>37</v>
      </c>
      <c r="AE16" s="23">
        <f>AD16+'10.05'!AE16</f>
        <v>450</v>
      </c>
      <c r="AF16" s="19">
        <f t="shared" si="1"/>
        <v>57265</v>
      </c>
      <c r="AG16" s="20">
        <f t="shared" si="1"/>
        <v>650555</v>
      </c>
      <c r="AH16" s="24">
        <v>161</v>
      </c>
      <c r="AI16" s="23">
        <f>AH16+'10.05'!AI16</f>
        <v>1812</v>
      </c>
      <c r="AJ16" s="24">
        <v>1310</v>
      </c>
      <c r="AK16" s="23">
        <f>AJ16+'10.05'!AK16</f>
        <v>13708</v>
      </c>
      <c r="AL16" s="22">
        <v>1437</v>
      </c>
      <c r="AM16" s="23">
        <f>AL16+'10.05'!AM16</f>
        <v>16685</v>
      </c>
      <c r="AN16" s="22">
        <v>54357</v>
      </c>
      <c r="AO16" s="23">
        <f>AN16+'10.05'!AO16</f>
        <v>618350</v>
      </c>
      <c r="AP16" s="28" t="s">
        <v>51</v>
      </c>
      <c r="AQ16" s="19">
        <f t="shared" si="3"/>
        <v>81</v>
      </c>
      <c r="AR16" s="20">
        <f t="shared" si="3"/>
        <v>782</v>
      </c>
      <c r="AS16" s="34">
        <v>0</v>
      </c>
      <c r="AT16" s="23">
        <f>AS16+'10.05'!AT16</f>
        <v>1</v>
      </c>
      <c r="AU16" s="34">
        <v>0</v>
      </c>
      <c r="AV16" s="23">
        <f>AU16+'10.05'!AV16</f>
        <v>0</v>
      </c>
      <c r="AW16" s="34">
        <v>0</v>
      </c>
      <c r="AX16" s="23">
        <f>AW16+'10.05'!AX16</f>
        <v>0</v>
      </c>
      <c r="AY16" s="34">
        <v>0</v>
      </c>
      <c r="AZ16" s="23">
        <f>AY16+'10.05'!AZ16</f>
        <v>0</v>
      </c>
      <c r="BA16" s="34">
        <v>81</v>
      </c>
      <c r="BB16" s="23">
        <f>BA16+'10.05'!BB16</f>
        <v>781</v>
      </c>
      <c r="BC16" s="19">
        <f t="shared" si="5"/>
        <v>1198</v>
      </c>
      <c r="BD16" s="20">
        <f t="shared" si="5"/>
        <v>14181</v>
      </c>
      <c r="BE16" s="22">
        <v>63</v>
      </c>
      <c r="BF16" s="23">
        <f>BE16+'10.05'!BF16</f>
        <v>692</v>
      </c>
      <c r="BG16" s="34">
        <v>0</v>
      </c>
      <c r="BH16" s="23">
        <f>BG16+'10.05'!BH16</f>
        <v>0</v>
      </c>
      <c r="BI16" s="22">
        <v>1087</v>
      </c>
      <c r="BJ16" s="23">
        <f>BI16+'10.05'!BJ16</f>
        <v>12933</v>
      </c>
      <c r="BK16" s="22">
        <v>41</v>
      </c>
      <c r="BL16" s="23">
        <f>BK16+'10.05'!BL16</f>
        <v>503</v>
      </c>
      <c r="BM16" s="22">
        <v>7</v>
      </c>
      <c r="BN16" s="23">
        <f>BM16+'10.05'!BN16</f>
        <v>53</v>
      </c>
      <c r="BO16" s="36">
        <v>2546</v>
      </c>
      <c r="BP16" s="37">
        <v>0</v>
      </c>
      <c r="BQ16" s="23">
        <f>BP16+'10.05'!BQ16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158</v>
      </c>
      <c r="D17" s="31">
        <f t="shared" si="0"/>
        <v>1890</v>
      </c>
      <c r="E17" s="32">
        <v>754</v>
      </c>
      <c r="F17" s="22">
        <v>136</v>
      </c>
      <c r="G17" s="23">
        <f>F17+'10.05'!G17</f>
        <v>1593</v>
      </c>
      <c r="H17" s="33">
        <v>9</v>
      </c>
      <c r="I17" s="34">
        <v>0</v>
      </c>
      <c r="J17" s="23">
        <f>I17+'10.05'!J17</f>
        <v>0</v>
      </c>
      <c r="K17" s="33">
        <v>5</v>
      </c>
      <c r="L17" s="22">
        <v>0</v>
      </c>
      <c r="M17" s="23">
        <f>L17+'10.05'!M17</f>
        <v>0</v>
      </c>
      <c r="N17" s="33">
        <v>768</v>
      </c>
      <c r="O17" s="22">
        <v>0</v>
      </c>
      <c r="P17" s="23">
        <f>O17+'10.05'!P17</f>
        <v>0</v>
      </c>
      <c r="Q17" s="33">
        <v>624</v>
      </c>
      <c r="R17" s="22">
        <v>0</v>
      </c>
      <c r="S17" s="23">
        <f>R17+'10.05'!S17</f>
        <v>0</v>
      </c>
      <c r="T17" s="33">
        <v>742</v>
      </c>
      <c r="U17" s="22">
        <v>0</v>
      </c>
      <c r="V17" s="23">
        <f>U17+'10.05'!V17</f>
        <v>0</v>
      </c>
      <c r="W17" s="33">
        <v>54</v>
      </c>
      <c r="X17" s="22">
        <v>10</v>
      </c>
      <c r="Y17" s="23">
        <f>X17+'10.05'!Y17</f>
        <v>165</v>
      </c>
      <c r="Z17" s="33">
        <v>66</v>
      </c>
      <c r="AA17" s="22">
        <v>0</v>
      </c>
      <c r="AB17" s="23">
        <f>AA17+'10.05'!AB17</f>
        <v>0</v>
      </c>
      <c r="AC17" s="33">
        <v>2580</v>
      </c>
      <c r="AD17" s="22">
        <v>12</v>
      </c>
      <c r="AE17" s="23">
        <f>AD17+'10.05'!AE17</f>
        <v>132</v>
      </c>
      <c r="AF17" s="19">
        <f t="shared" si="1"/>
        <v>105200</v>
      </c>
      <c r="AG17" s="20">
        <f t="shared" si="1"/>
        <v>1123300</v>
      </c>
      <c r="AH17" s="24">
        <v>5800</v>
      </c>
      <c r="AI17" s="23">
        <f>AH17+'10.05'!AI17</f>
        <v>70000</v>
      </c>
      <c r="AJ17" s="24">
        <v>10400</v>
      </c>
      <c r="AK17" s="23">
        <f>AJ17+'10.05'!AK17</f>
        <v>108300</v>
      </c>
      <c r="AL17" s="22">
        <v>22000</v>
      </c>
      <c r="AM17" s="23">
        <f>AL17+'10.05'!AM17</f>
        <v>242500</v>
      </c>
      <c r="AN17" s="22">
        <v>67000</v>
      </c>
      <c r="AO17" s="23">
        <f>AN17+'10.05'!AO17</f>
        <v>702500</v>
      </c>
      <c r="AP17" s="28" t="s">
        <v>52</v>
      </c>
      <c r="AQ17" s="19">
        <f t="shared" si="3"/>
        <v>21</v>
      </c>
      <c r="AR17" s="20">
        <f t="shared" si="3"/>
        <v>189</v>
      </c>
      <c r="AS17" s="34">
        <v>1</v>
      </c>
      <c r="AT17" s="23">
        <f>AS17+'10.05'!AT17</f>
        <v>13</v>
      </c>
      <c r="AU17" s="34">
        <v>2</v>
      </c>
      <c r="AV17" s="23">
        <f>AU17+'10.05'!AV17</f>
        <v>16</v>
      </c>
      <c r="AW17" s="34">
        <v>0</v>
      </c>
      <c r="AX17" s="23">
        <f>AW17+'10.05'!AX17</f>
        <v>0</v>
      </c>
      <c r="AY17" s="34">
        <v>0</v>
      </c>
      <c r="AZ17" s="23">
        <f>AY17+'10.05'!AZ17</f>
        <v>0</v>
      </c>
      <c r="BA17" s="34">
        <v>18</v>
      </c>
      <c r="BB17" s="23">
        <f>BA17+'10.05'!BB17</f>
        <v>160</v>
      </c>
      <c r="BC17" s="19">
        <f t="shared" si="5"/>
        <v>3022</v>
      </c>
      <c r="BD17" s="20">
        <f t="shared" si="5"/>
        <v>25680</v>
      </c>
      <c r="BE17" s="22">
        <v>39</v>
      </c>
      <c r="BF17" s="23">
        <f>BE17+'10.05'!BF17</f>
        <v>397</v>
      </c>
      <c r="BG17" s="34">
        <v>2</v>
      </c>
      <c r="BH17" s="23">
        <f>BG17+'10.05'!BH17</f>
        <v>13</v>
      </c>
      <c r="BI17" s="22">
        <v>2700</v>
      </c>
      <c r="BJ17" s="23">
        <f>BI17+'10.05'!BJ17</f>
        <v>23000</v>
      </c>
      <c r="BK17" s="22">
        <v>270</v>
      </c>
      <c r="BL17" s="23">
        <f>BK17+'10.05'!BL17</f>
        <v>2180</v>
      </c>
      <c r="BM17" s="22">
        <v>11</v>
      </c>
      <c r="BN17" s="23">
        <f>BM17+'10.05'!BN17</f>
        <v>90</v>
      </c>
      <c r="BO17" s="36">
        <v>8022</v>
      </c>
      <c r="BP17" s="37">
        <v>5</v>
      </c>
      <c r="BQ17" s="23">
        <f>BP17+'10.05'!BQ17</f>
        <v>42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283</v>
      </c>
      <c r="D18" s="20">
        <f t="shared" si="0"/>
        <v>3309</v>
      </c>
      <c r="E18" s="21">
        <v>1063</v>
      </c>
      <c r="F18" s="22">
        <v>146</v>
      </c>
      <c r="G18" s="23">
        <f>F18+'10.05'!G18</f>
        <v>2087</v>
      </c>
      <c r="H18" s="21">
        <v>19</v>
      </c>
      <c r="I18" s="22">
        <v>0</v>
      </c>
      <c r="J18" s="23">
        <f>I18+'10.05'!J18</f>
        <v>0</v>
      </c>
      <c r="K18" s="21">
        <v>8</v>
      </c>
      <c r="L18" s="22">
        <v>0</v>
      </c>
      <c r="M18" s="23">
        <f>L18+'10.05'!M18</f>
        <v>0</v>
      </c>
      <c r="N18" s="21">
        <v>1331</v>
      </c>
      <c r="O18" s="22">
        <v>0</v>
      </c>
      <c r="P18" s="23">
        <f>O18+'10.05'!P18</f>
        <v>0</v>
      </c>
      <c r="Q18" s="21">
        <v>777</v>
      </c>
      <c r="R18" s="22">
        <v>0</v>
      </c>
      <c r="S18" s="23">
        <f>R18+'10.05'!S18</f>
        <v>0</v>
      </c>
      <c r="T18" s="21">
        <v>318</v>
      </c>
      <c r="U18" s="22">
        <v>0</v>
      </c>
      <c r="V18" s="23">
        <f>U18+'10.05'!V18</f>
        <v>81</v>
      </c>
      <c r="W18" s="21">
        <v>60</v>
      </c>
      <c r="X18" s="22">
        <v>137</v>
      </c>
      <c r="Y18" s="23">
        <f>X18+'10.05'!Y18</f>
        <v>1141</v>
      </c>
      <c r="Z18" s="21">
        <v>72</v>
      </c>
      <c r="AA18" s="22">
        <v>0</v>
      </c>
      <c r="AB18" s="23">
        <f>AA18+'10.05'!AB18</f>
        <v>0</v>
      </c>
      <c r="AC18" s="21">
        <v>143</v>
      </c>
      <c r="AD18" s="22">
        <v>0</v>
      </c>
      <c r="AE18" s="23">
        <f>AD18+'10.05'!AE18</f>
        <v>0</v>
      </c>
      <c r="AF18" s="19">
        <f t="shared" si="1"/>
        <v>115299</v>
      </c>
      <c r="AG18" s="20">
        <f t="shared" si="1"/>
        <v>1748585</v>
      </c>
      <c r="AH18" s="24">
        <v>148</v>
      </c>
      <c r="AI18" s="23">
        <f>AH18+'10.05'!AI18</f>
        <v>3123</v>
      </c>
      <c r="AJ18" s="24">
        <v>2029</v>
      </c>
      <c r="AK18" s="23">
        <f>AJ18+'10.05'!AK18</f>
        <v>28219</v>
      </c>
      <c r="AL18" s="22">
        <v>1684</v>
      </c>
      <c r="AM18" s="23">
        <f>AL18+'10.05'!AM18</f>
        <v>32550</v>
      </c>
      <c r="AN18" s="22">
        <v>111438</v>
      </c>
      <c r="AO18" s="23">
        <f>AN18+'10.05'!AO18</f>
        <v>1684693</v>
      </c>
      <c r="AP18" s="17" t="s">
        <v>53</v>
      </c>
      <c r="AQ18" s="19">
        <f t="shared" si="3"/>
        <v>1</v>
      </c>
      <c r="AR18" s="20">
        <f t="shared" si="3"/>
        <v>18</v>
      </c>
      <c r="AS18" s="22">
        <v>0</v>
      </c>
      <c r="AT18" s="23">
        <f>AS18+'10.05'!AT18</f>
        <v>2</v>
      </c>
      <c r="AU18" s="22">
        <v>0</v>
      </c>
      <c r="AV18" s="23">
        <f>AU18+'10.05'!AV18</f>
        <v>0</v>
      </c>
      <c r="AW18" s="22">
        <v>0</v>
      </c>
      <c r="AX18" s="23">
        <f>AW18+'10.05'!AX18</f>
        <v>0</v>
      </c>
      <c r="AY18" s="22">
        <v>0</v>
      </c>
      <c r="AZ18" s="23">
        <f>AY18+'10.05'!AZ18</f>
        <v>0</v>
      </c>
      <c r="BA18" s="22">
        <v>1</v>
      </c>
      <c r="BB18" s="23">
        <f>BA18+'10.05'!BB18</f>
        <v>16</v>
      </c>
      <c r="BC18" s="19">
        <f t="shared" si="5"/>
        <v>685</v>
      </c>
      <c r="BD18" s="20">
        <f t="shared" si="5"/>
        <v>8868</v>
      </c>
      <c r="BE18" s="22">
        <v>1</v>
      </c>
      <c r="BF18" s="23">
        <f>BE18+'10.05'!BF18</f>
        <v>12</v>
      </c>
      <c r="BG18" s="22">
        <v>0</v>
      </c>
      <c r="BH18" s="23">
        <f>BG18+'10.05'!BH18</f>
        <v>388</v>
      </c>
      <c r="BI18" s="22">
        <v>511</v>
      </c>
      <c r="BJ18" s="23">
        <f>BI18+'10.05'!BJ18</f>
        <v>7461</v>
      </c>
      <c r="BK18" s="22">
        <v>152</v>
      </c>
      <c r="BL18" s="23">
        <f>BK18+'10.05'!BL18</f>
        <v>901</v>
      </c>
      <c r="BM18" s="22">
        <v>21</v>
      </c>
      <c r="BN18" s="23">
        <f>BM18+'10.05'!BN18</f>
        <v>106</v>
      </c>
      <c r="BO18" s="36">
        <v>442</v>
      </c>
      <c r="BP18" s="37">
        <v>0</v>
      </c>
      <c r="BQ18" s="23">
        <f>BP18+'10.05'!BQ18</f>
        <v>33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39</v>
      </c>
      <c r="D19" s="31">
        <f t="shared" si="0"/>
        <v>389</v>
      </c>
      <c r="E19" s="33">
        <v>221</v>
      </c>
      <c r="F19" s="22">
        <v>7</v>
      </c>
      <c r="G19" s="23">
        <f>F19+'10.05'!G19</f>
        <v>81</v>
      </c>
      <c r="H19" s="33">
        <v>5</v>
      </c>
      <c r="I19" s="34">
        <v>0</v>
      </c>
      <c r="J19" s="23">
        <f>I19+'10.05'!J19</f>
        <v>0</v>
      </c>
      <c r="K19" s="33">
        <v>4</v>
      </c>
      <c r="L19" s="22">
        <v>0</v>
      </c>
      <c r="M19" s="23">
        <f>L19+'10.05'!M19</f>
        <v>0</v>
      </c>
      <c r="N19" s="33">
        <v>313</v>
      </c>
      <c r="O19" s="22">
        <v>14</v>
      </c>
      <c r="P19" s="23">
        <f>O19+'10.05'!P19</f>
        <v>105</v>
      </c>
      <c r="Q19" s="33">
        <v>203</v>
      </c>
      <c r="R19" s="22">
        <v>0</v>
      </c>
      <c r="S19" s="23">
        <f>R19+'10.05'!S19</f>
        <v>0</v>
      </c>
      <c r="T19" s="33">
        <v>241</v>
      </c>
      <c r="U19" s="22">
        <v>0</v>
      </c>
      <c r="V19" s="23">
        <f>U19+'10.05'!V19</f>
        <v>0</v>
      </c>
      <c r="W19" s="33">
        <v>14</v>
      </c>
      <c r="X19" s="22">
        <v>18</v>
      </c>
      <c r="Y19" s="23">
        <f>X19+'10.05'!Y19</f>
        <v>140</v>
      </c>
      <c r="Z19" s="33">
        <v>7</v>
      </c>
      <c r="AA19" s="22">
        <v>0</v>
      </c>
      <c r="AB19" s="23">
        <f>AA19+'10.05'!AB19</f>
        <v>0</v>
      </c>
      <c r="AC19" s="33">
        <v>32</v>
      </c>
      <c r="AD19" s="22">
        <v>0</v>
      </c>
      <c r="AE19" s="23">
        <f>AD19+'10.05'!AE19</f>
        <v>63</v>
      </c>
      <c r="AF19" s="19">
        <f t="shared" si="1"/>
        <v>4100</v>
      </c>
      <c r="AG19" s="20">
        <f t="shared" si="1"/>
        <v>33900</v>
      </c>
      <c r="AH19" s="24">
        <v>600</v>
      </c>
      <c r="AI19" s="23">
        <f>AH19+'10.05'!AI19</f>
        <v>5950</v>
      </c>
      <c r="AJ19" s="24">
        <v>600</v>
      </c>
      <c r="AK19" s="23">
        <f>AJ19+'10.05'!AK19</f>
        <v>5950</v>
      </c>
      <c r="AL19" s="22">
        <v>1450</v>
      </c>
      <c r="AM19" s="23">
        <f>AL19+'10.05'!AM19</f>
        <v>11000</v>
      </c>
      <c r="AN19" s="22">
        <v>1450</v>
      </c>
      <c r="AO19" s="23">
        <f>AN19+'10.05'!AO19</f>
        <v>11000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AS19+'10.05'!AT19</f>
        <v>0</v>
      </c>
      <c r="AU19" s="34">
        <v>0</v>
      </c>
      <c r="AV19" s="23">
        <f>AU19+'10.05'!AV19</f>
        <v>2</v>
      </c>
      <c r="AW19" s="34">
        <v>0</v>
      </c>
      <c r="AX19" s="23">
        <f>AW19+'10.05'!AX19</f>
        <v>0</v>
      </c>
      <c r="AY19" s="34">
        <v>0</v>
      </c>
      <c r="AZ19" s="23">
        <f>AY19+'10.05'!AZ19</f>
        <v>0</v>
      </c>
      <c r="BA19" s="34">
        <v>0</v>
      </c>
      <c r="BB19" s="23">
        <f>BA19+'10.05'!BB19</f>
        <v>0</v>
      </c>
      <c r="BC19" s="19">
        <f t="shared" si="5"/>
        <v>1173</v>
      </c>
      <c r="BD19" s="20">
        <f t="shared" si="5"/>
        <v>12123</v>
      </c>
      <c r="BE19" s="22">
        <v>17</v>
      </c>
      <c r="BF19" s="23">
        <f>BE19+'10.05'!BF19</f>
        <v>152</v>
      </c>
      <c r="BG19" s="34">
        <v>0</v>
      </c>
      <c r="BH19" s="23">
        <f>BG19+'10.05'!BH19</f>
        <v>4</v>
      </c>
      <c r="BI19" s="22">
        <v>1000</v>
      </c>
      <c r="BJ19" s="23">
        <f>BI19+'10.05'!BJ19</f>
        <v>10600</v>
      </c>
      <c r="BK19" s="22">
        <v>150</v>
      </c>
      <c r="BL19" s="23">
        <f>BK19+'10.05'!BL19</f>
        <v>1300</v>
      </c>
      <c r="BM19" s="22">
        <v>6</v>
      </c>
      <c r="BN19" s="23">
        <f>BM19+'10.05'!BN19</f>
        <v>67</v>
      </c>
      <c r="BO19" s="36">
        <v>2898</v>
      </c>
      <c r="BP19" s="37">
        <v>0</v>
      </c>
      <c r="BQ19" s="23">
        <f>BP19+'10.05'!BQ19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332</v>
      </c>
      <c r="D20" s="31">
        <f t="shared" si="0"/>
        <v>3369</v>
      </c>
      <c r="E20" s="32">
        <v>723</v>
      </c>
      <c r="F20" s="22">
        <v>184</v>
      </c>
      <c r="G20" s="23">
        <f>F20+'10.05'!G20</f>
        <v>1878</v>
      </c>
      <c r="H20" s="33">
        <v>5</v>
      </c>
      <c r="I20" s="34">
        <v>1</v>
      </c>
      <c r="J20" s="23">
        <f>I20+'10.05'!J20</f>
        <v>11</v>
      </c>
      <c r="K20" s="33">
        <v>3</v>
      </c>
      <c r="L20" s="22">
        <v>0</v>
      </c>
      <c r="M20" s="23">
        <f>L20+'10.05'!M20</f>
        <v>0</v>
      </c>
      <c r="N20" s="33">
        <v>975</v>
      </c>
      <c r="O20" s="22">
        <v>70</v>
      </c>
      <c r="P20" s="23">
        <f>O20+'10.05'!P20</f>
        <v>706</v>
      </c>
      <c r="Q20" s="61">
        <v>1862</v>
      </c>
      <c r="R20" s="22">
        <v>1</v>
      </c>
      <c r="S20" s="23">
        <f>R20+'10.05'!S20</f>
        <v>13</v>
      </c>
      <c r="T20" s="33">
        <v>35</v>
      </c>
      <c r="U20" s="22">
        <v>1</v>
      </c>
      <c r="V20" s="23">
        <f>U20+'10.05'!V20</f>
        <v>11</v>
      </c>
      <c r="W20" s="33">
        <v>64</v>
      </c>
      <c r="X20" s="22">
        <v>1</v>
      </c>
      <c r="Y20" s="23">
        <f>X20+'10.05'!Y20</f>
        <v>13</v>
      </c>
      <c r="Z20" s="33">
        <v>15</v>
      </c>
      <c r="AA20" s="22">
        <v>2</v>
      </c>
      <c r="AB20" s="23">
        <f>AA20+'10.05'!AB20</f>
        <v>15</v>
      </c>
      <c r="AC20" s="33">
        <v>1546</v>
      </c>
      <c r="AD20" s="22">
        <v>72</v>
      </c>
      <c r="AE20" s="23">
        <f>AD20+'10.05'!AE20</f>
        <v>722</v>
      </c>
      <c r="AF20" s="19">
        <f t="shared" si="1"/>
        <v>15610</v>
      </c>
      <c r="AG20" s="20">
        <f t="shared" si="1"/>
        <v>193524</v>
      </c>
      <c r="AH20" s="24">
        <v>6420</v>
      </c>
      <c r="AI20" s="23">
        <f>AH20+'10.05'!AI20</f>
        <v>87572</v>
      </c>
      <c r="AJ20" s="24">
        <v>8440</v>
      </c>
      <c r="AK20" s="23">
        <f>AJ20+'10.05'!AK20</f>
        <v>96992</v>
      </c>
      <c r="AL20" s="22">
        <v>350</v>
      </c>
      <c r="AM20" s="23">
        <f>AL20+'10.05'!AM20</f>
        <v>4950</v>
      </c>
      <c r="AN20" s="22">
        <v>400</v>
      </c>
      <c r="AO20" s="23">
        <f>AN20+'10.05'!AO20</f>
        <v>4010</v>
      </c>
      <c r="AP20" s="28" t="s">
        <v>55</v>
      </c>
      <c r="AQ20" s="19">
        <f t="shared" si="3"/>
        <v>169</v>
      </c>
      <c r="AR20" s="20">
        <f t="shared" si="3"/>
        <v>1807</v>
      </c>
      <c r="AS20" s="34">
        <v>1</v>
      </c>
      <c r="AT20" s="23">
        <f>AS20+'10.05'!AT20</f>
        <v>11</v>
      </c>
      <c r="AU20" s="34">
        <v>0</v>
      </c>
      <c r="AV20" s="23">
        <f>AU20+'10.05'!AV20</f>
        <v>0</v>
      </c>
      <c r="AW20" s="34">
        <v>0</v>
      </c>
      <c r="AX20" s="23">
        <f>AW20+'10.05'!AX20</f>
        <v>0</v>
      </c>
      <c r="AY20" s="34">
        <v>0</v>
      </c>
      <c r="AZ20" s="23">
        <f>AY20+'10.05'!AZ20</f>
        <v>0</v>
      </c>
      <c r="BA20" s="34">
        <v>168</v>
      </c>
      <c r="BB20" s="23">
        <f>BA20+'10.05'!BB20</f>
        <v>1796</v>
      </c>
      <c r="BC20" s="19">
        <f t="shared" si="5"/>
        <v>3143</v>
      </c>
      <c r="BD20" s="20">
        <f t="shared" si="5"/>
        <v>37691</v>
      </c>
      <c r="BE20" s="22">
        <v>2</v>
      </c>
      <c r="BF20" s="23">
        <f>BE20+'10.05'!BF20</f>
        <v>22</v>
      </c>
      <c r="BG20" s="34">
        <v>0</v>
      </c>
      <c r="BH20" s="23">
        <f>BG20+'10.05'!BH20</f>
        <v>0</v>
      </c>
      <c r="BI20" s="22">
        <v>1615</v>
      </c>
      <c r="BJ20" s="23">
        <f>BI20+'10.05'!BJ20</f>
        <v>18884</v>
      </c>
      <c r="BK20" s="22">
        <v>1525</v>
      </c>
      <c r="BL20" s="23">
        <f>BK20+'10.05'!BL20</f>
        <v>18775</v>
      </c>
      <c r="BM20" s="22">
        <v>1</v>
      </c>
      <c r="BN20" s="23">
        <f>BM20+'10.05'!BN20</f>
        <v>10</v>
      </c>
      <c r="BO20" s="36">
        <v>5854</v>
      </c>
      <c r="BP20" s="37">
        <v>0</v>
      </c>
      <c r="BQ20" s="23">
        <f>BP20+'10.05'!BQ20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273</v>
      </c>
      <c r="D21" s="31">
        <f t="shared" si="0"/>
        <v>2466</v>
      </c>
      <c r="E21" s="32">
        <v>1017</v>
      </c>
      <c r="F21" s="22">
        <v>170</v>
      </c>
      <c r="G21" s="23">
        <f>F21+'10.05'!G21</f>
        <v>1692</v>
      </c>
      <c r="H21" s="33">
        <v>8</v>
      </c>
      <c r="I21" s="34">
        <v>30</v>
      </c>
      <c r="J21" s="23">
        <f>I21+'10.05'!J21</f>
        <v>56</v>
      </c>
      <c r="K21" s="33">
        <v>4</v>
      </c>
      <c r="L21" s="22">
        <v>20</v>
      </c>
      <c r="M21" s="23">
        <f>L21+'10.05'!M21</f>
        <v>20</v>
      </c>
      <c r="N21" s="33">
        <v>963</v>
      </c>
      <c r="O21" s="22">
        <v>0</v>
      </c>
      <c r="P21" s="23">
        <f>O21+'10.05'!P21</f>
        <v>19</v>
      </c>
      <c r="Q21" s="33">
        <v>912</v>
      </c>
      <c r="R21" s="22">
        <v>0</v>
      </c>
      <c r="S21" s="23">
        <f>R21+'10.05'!S21</f>
        <v>0</v>
      </c>
      <c r="T21" s="33">
        <v>199</v>
      </c>
      <c r="U21" s="22">
        <v>25</v>
      </c>
      <c r="V21" s="23">
        <f>U21+'10.05'!V21</f>
        <v>51</v>
      </c>
      <c r="W21" s="33">
        <v>101</v>
      </c>
      <c r="X21" s="22">
        <v>8</v>
      </c>
      <c r="Y21" s="23">
        <f>X21+'10.05'!Y21</f>
        <v>107</v>
      </c>
      <c r="Z21" s="33">
        <v>42</v>
      </c>
      <c r="AA21" s="22">
        <v>0</v>
      </c>
      <c r="AB21" s="23">
        <f>AA21+'10.05'!AB21</f>
        <v>1</v>
      </c>
      <c r="AC21" s="33">
        <v>20</v>
      </c>
      <c r="AD21" s="22">
        <v>20</v>
      </c>
      <c r="AE21" s="23">
        <f>AD21+'10.05'!AE21</f>
        <v>520</v>
      </c>
      <c r="AF21" s="19">
        <f t="shared" si="1"/>
        <v>957050</v>
      </c>
      <c r="AG21" s="20">
        <f t="shared" si="1"/>
        <v>12000150</v>
      </c>
      <c r="AH21" s="24">
        <v>950</v>
      </c>
      <c r="AI21" s="23">
        <f>AH21+'10.05'!AI21</f>
        <v>14050</v>
      </c>
      <c r="AJ21" s="24">
        <v>105000</v>
      </c>
      <c r="AK21" s="23">
        <f>AJ21+'10.05'!AK21</f>
        <v>2085000</v>
      </c>
      <c r="AL21" s="22">
        <v>1100</v>
      </c>
      <c r="AM21" s="23">
        <f>AL21+'10.05'!AM21</f>
        <v>22600</v>
      </c>
      <c r="AN21" s="22">
        <v>850000</v>
      </c>
      <c r="AO21" s="23">
        <f>AN21+'10.05'!AO21</f>
        <v>9878500</v>
      </c>
      <c r="AP21" s="28" t="s">
        <v>58</v>
      </c>
      <c r="AQ21" s="19">
        <f t="shared" si="3"/>
        <v>5</v>
      </c>
      <c r="AR21" s="20">
        <f t="shared" si="3"/>
        <v>78</v>
      </c>
      <c r="AS21" s="34">
        <v>0</v>
      </c>
      <c r="AT21" s="23">
        <f>AS21+'10.05'!AT21</f>
        <v>2</v>
      </c>
      <c r="AU21" s="34">
        <v>0</v>
      </c>
      <c r="AV21" s="23">
        <f>AU21+'10.05'!AV21</f>
        <v>28</v>
      </c>
      <c r="AW21" s="34">
        <v>0</v>
      </c>
      <c r="AX21" s="23">
        <f>AW21+'10.05'!AX21</f>
        <v>0</v>
      </c>
      <c r="AY21" s="34">
        <v>0</v>
      </c>
      <c r="AZ21" s="23">
        <f>AY21+'10.05'!AZ21</f>
        <v>0</v>
      </c>
      <c r="BA21" s="34">
        <v>5</v>
      </c>
      <c r="BB21" s="23">
        <f>BA21+'10.05'!BB21</f>
        <v>48</v>
      </c>
      <c r="BC21" s="19">
        <f t="shared" si="5"/>
        <v>1395</v>
      </c>
      <c r="BD21" s="20">
        <f t="shared" si="5"/>
        <v>23942</v>
      </c>
      <c r="BE21" s="22">
        <v>80</v>
      </c>
      <c r="BF21" s="23">
        <f>BE21+'10.05'!BF21</f>
        <v>564</v>
      </c>
      <c r="BG21" s="34">
        <v>0</v>
      </c>
      <c r="BH21" s="23">
        <f>BG21+'10.05'!BH21</f>
        <v>0</v>
      </c>
      <c r="BI21" s="22">
        <v>1300</v>
      </c>
      <c r="BJ21" s="23">
        <f>BI21+'10.05'!BJ21</f>
        <v>23300</v>
      </c>
      <c r="BK21" s="22">
        <v>0</v>
      </c>
      <c r="BL21" s="23">
        <f>BK21+'10.05'!BL21</f>
        <v>0</v>
      </c>
      <c r="BM21" s="22">
        <v>15</v>
      </c>
      <c r="BN21" s="23">
        <f>BM21+'10.05'!BN21</f>
        <v>78</v>
      </c>
      <c r="BO21" s="36">
        <v>68</v>
      </c>
      <c r="BP21" s="37">
        <v>2</v>
      </c>
      <c r="BQ21" s="23">
        <f>BP21+'10.05'!BQ21</f>
        <v>16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1777</v>
      </c>
      <c r="D22" s="31">
        <f t="shared" si="0"/>
        <v>22994</v>
      </c>
      <c r="E22" s="32">
        <v>509</v>
      </c>
      <c r="F22" s="22">
        <v>23</v>
      </c>
      <c r="G22" s="23">
        <f>F22+'10.05'!G22</f>
        <v>3456</v>
      </c>
      <c r="H22" s="33">
        <v>8</v>
      </c>
      <c r="I22" s="34">
        <v>23</v>
      </c>
      <c r="J22" s="23">
        <f>I22+'10.05'!J22</f>
        <v>23</v>
      </c>
      <c r="K22" s="33">
        <v>21</v>
      </c>
      <c r="L22" s="22">
        <v>0</v>
      </c>
      <c r="M22" s="23">
        <f>L22+'10.05'!M22</f>
        <v>0</v>
      </c>
      <c r="N22" s="33">
        <v>560</v>
      </c>
      <c r="O22" s="22">
        <v>0</v>
      </c>
      <c r="P22" s="23">
        <f>O22+'10.05'!P22</f>
        <v>515</v>
      </c>
      <c r="Q22" s="33">
        <v>375</v>
      </c>
      <c r="R22" s="22">
        <v>0</v>
      </c>
      <c r="S22" s="23">
        <f>R22+'10.05'!S22</f>
        <v>0</v>
      </c>
      <c r="T22" s="33">
        <v>165</v>
      </c>
      <c r="U22" s="22">
        <v>15</v>
      </c>
      <c r="V22" s="23">
        <f>U22+'10.05'!V22</f>
        <v>254</v>
      </c>
      <c r="W22" s="33">
        <v>28</v>
      </c>
      <c r="X22" s="22">
        <v>76</v>
      </c>
      <c r="Y22" s="23">
        <f>X22+'10.05'!Y22</f>
        <v>788</v>
      </c>
      <c r="Z22" s="33">
        <v>9</v>
      </c>
      <c r="AA22" s="22">
        <v>0</v>
      </c>
      <c r="AB22" s="23">
        <f>AA22+'10.05'!AB22</f>
        <v>0</v>
      </c>
      <c r="AC22" s="33">
        <v>112</v>
      </c>
      <c r="AD22" s="22">
        <v>1640</v>
      </c>
      <c r="AE22" s="23">
        <f>AD22+'10.05'!AE22</f>
        <v>17958</v>
      </c>
      <c r="AF22" s="19">
        <f t="shared" si="1"/>
        <v>309816</v>
      </c>
      <c r="AG22" s="20">
        <f t="shared" si="1"/>
        <v>4706711</v>
      </c>
      <c r="AH22" s="24">
        <v>2731</v>
      </c>
      <c r="AI22" s="23">
        <f>AH22+'10.05'!AI22</f>
        <v>26983</v>
      </c>
      <c r="AJ22" s="24">
        <v>5863</v>
      </c>
      <c r="AK22" s="23">
        <f>AJ22+'10.05'!AK22</f>
        <v>62677</v>
      </c>
      <c r="AL22" s="22">
        <v>11450</v>
      </c>
      <c r="AM22" s="23">
        <f>AL22+'10.05'!AM22</f>
        <v>111372</v>
      </c>
      <c r="AN22" s="22">
        <v>289772</v>
      </c>
      <c r="AO22" s="23">
        <f>AN22+'10.05'!AO22</f>
        <v>4505679</v>
      </c>
      <c r="AP22" s="28" t="s">
        <v>59</v>
      </c>
      <c r="AQ22" s="19">
        <f t="shared" si="3"/>
        <v>680</v>
      </c>
      <c r="AR22" s="20">
        <f t="shared" si="3"/>
        <v>26353</v>
      </c>
      <c r="AS22" s="34">
        <v>0</v>
      </c>
      <c r="AT22" s="23">
        <f>AS22+'10.05'!AT22</f>
        <v>5</v>
      </c>
      <c r="AU22" s="34">
        <v>0</v>
      </c>
      <c r="AV22" s="23">
        <f>AU22+'10.05'!AV22</f>
        <v>5</v>
      </c>
      <c r="AW22" s="34">
        <v>0</v>
      </c>
      <c r="AX22" s="23">
        <f>AW22+'10.05'!AX22</f>
        <v>2</v>
      </c>
      <c r="AY22" s="34">
        <v>0</v>
      </c>
      <c r="AZ22" s="23">
        <f>AY22+'10.05'!AZ22</f>
        <v>1</v>
      </c>
      <c r="BA22" s="34">
        <v>680</v>
      </c>
      <c r="BB22" s="23">
        <f>BA22+'10.05'!BB22</f>
        <v>26340</v>
      </c>
      <c r="BC22" s="19">
        <f t="shared" si="5"/>
        <v>6484</v>
      </c>
      <c r="BD22" s="20">
        <f t="shared" si="5"/>
        <v>80851</v>
      </c>
      <c r="BE22" s="22">
        <v>4</v>
      </c>
      <c r="BF22" s="23">
        <f>BE22+'10.05'!BF22</f>
        <v>55</v>
      </c>
      <c r="BG22" s="34">
        <v>62</v>
      </c>
      <c r="BH22" s="23">
        <f>BG22+'10.05'!BH22</f>
        <v>728</v>
      </c>
      <c r="BI22" s="22">
        <v>3372</v>
      </c>
      <c r="BJ22" s="23">
        <f>BI22+'10.05'!BJ22</f>
        <v>65203</v>
      </c>
      <c r="BK22" s="22">
        <v>3016</v>
      </c>
      <c r="BL22" s="23">
        <f>BK22+'10.05'!BL22</f>
        <v>14480</v>
      </c>
      <c r="BM22" s="22">
        <v>30</v>
      </c>
      <c r="BN22" s="23">
        <f>BM22+'10.05'!BN22</f>
        <v>385</v>
      </c>
      <c r="BO22" s="36">
        <v>26</v>
      </c>
      <c r="BP22" s="37">
        <v>0</v>
      </c>
      <c r="BQ22" s="23">
        <f>BP22+'10.05'!BQ22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4052</v>
      </c>
      <c r="D23" s="65">
        <f t="shared" si="0"/>
        <v>46228</v>
      </c>
      <c r="E23" s="66">
        <f>+E18+E19+E22+E17+E16+E15+E14+E13+E12+E11+E10+E9+E8</f>
        <v>7282</v>
      </c>
      <c r="F23" s="67">
        <f t="shared" ref="F23:J23" si="7">SUM(F8:F22)</f>
        <v>1291</v>
      </c>
      <c r="G23" s="68">
        <f t="shared" si="7"/>
        <v>16947</v>
      </c>
      <c r="H23" s="66">
        <f>+H18+H19+H22+H17+H16+H15+H14+H13+H12+H11+H10+H9+H8</f>
        <v>271</v>
      </c>
      <c r="I23" s="67">
        <f t="shared" si="7"/>
        <v>59</v>
      </c>
      <c r="J23" s="68">
        <f t="shared" si="7"/>
        <v>138</v>
      </c>
      <c r="K23" s="66">
        <f>+K18+K19+K22+K17+K16+K15+K14+K13+K12+K11+K10+K9+K8</f>
        <v>163</v>
      </c>
      <c r="L23" s="67">
        <f t="shared" ref="L23:P23" si="8">SUM(L8:L22)</f>
        <v>21</v>
      </c>
      <c r="M23" s="68">
        <f t="shared" si="8"/>
        <v>27</v>
      </c>
      <c r="N23" s="66">
        <f>+N18+N19+N22+N17+N16+N15+N14+N13+N12+N11+N10+N9+N8</f>
        <v>8607</v>
      </c>
      <c r="O23" s="67">
        <f t="shared" si="8"/>
        <v>133</v>
      </c>
      <c r="P23" s="68">
        <f t="shared" si="8"/>
        <v>1557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61</v>
      </c>
      <c r="T23" s="66">
        <f>+T18+T19+T22+T17+T16+T15+T14+T13+T12+T11+T10+T9+T8</f>
        <v>4115</v>
      </c>
      <c r="U23" s="67">
        <f t="shared" si="9"/>
        <v>47</v>
      </c>
      <c r="V23" s="68">
        <f t="shared" si="9"/>
        <v>428</v>
      </c>
      <c r="W23" s="66">
        <f>+W18+W19+W22+W17+W16+W15+W14+W13+W12+W11+W10+W9+W8</f>
        <v>604</v>
      </c>
      <c r="X23" s="67">
        <f t="shared" ref="X23:AB23" si="10">SUM(X8:X22)</f>
        <v>416</v>
      </c>
      <c r="Y23" s="68">
        <f t="shared" si="10"/>
        <v>4480</v>
      </c>
      <c r="Z23" s="66">
        <f>+Z18+Z19+Z22+Z17+Z16+Z15+Z14+Z13+Z12+Z11+Z10+Z9+Z8</f>
        <v>1629</v>
      </c>
      <c r="AA23" s="67">
        <f t="shared" si="10"/>
        <v>2</v>
      </c>
      <c r="AB23" s="68">
        <f t="shared" si="10"/>
        <v>42</v>
      </c>
      <c r="AC23" s="66">
        <f>+AC18+AC19+AC22+AC17+AC16+AC15+AC14+AC13+AC12+AC11+AC10+AC9+AC8</f>
        <v>64846</v>
      </c>
      <c r="AD23" s="67">
        <f t="shared" ref="AD23:AO23" si="11">SUM(AD8:AD22)</f>
        <v>2082</v>
      </c>
      <c r="AE23" s="68">
        <f t="shared" si="11"/>
        <v>22548</v>
      </c>
      <c r="AF23" s="64">
        <f t="shared" si="11"/>
        <v>12670745</v>
      </c>
      <c r="AG23" s="64">
        <f t="shared" si="11"/>
        <v>53030396</v>
      </c>
      <c r="AH23" s="67">
        <f t="shared" si="11"/>
        <v>28484</v>
      </c>
      <c r="AI23" s="68">
        <f t="shared" si="11"/>
        <v>330690</v>
      </c>
      <c r="AJ23" s="67">
        <f t="shared" si="11"/>
        <v>165683</v>
      </c>
      <c r="AK23" s="68">
        <f t="shared" si="11"/>
        <v>2778100</v>
      </c>
      <c r="AL23" s="67">
        <f t="shared" si="11"/>
        <v>9748549</v>
      </c>
      <c r="AM23" s="68">
        <f t="shared" si="11"/>
        <v>18858588</v>
      </c>
      <c r="AN23" s="67">
        <f t="shared" si="11"/>
        <v>2728029</v>
      </c>
      <c r="AO23" s="68">
        <f t="shared" si="11"/>
        <v>31063018</v>
      </c>
      <c r="AP23" s="62" t="s">
        <v>12</v>
      </c>
      <c r="AQ23" s="64">
        <f t="shared" ref="AQ23:BP23" si="12">SUM(AQ8:AQ22)</f>
        <v>1149</v>
      </c>
      <c r="AR23" s="64">
        <f t="shared" si="12"/>
        <v>32041</v>
      </c>
      <c r="AS23" s="67">
        <f t="shared" si="12"/>
        <v>4</v>
      </c>
      <c r="AT23" s="68">
        <f t="shared" si="12"/>
        <v>50</v>
      </c>
      <c r="AU23" s="67">
        <f t="shared" si="12"/>
        <v>3</v>
      </c>
      <c r="AV23" s="68">
        <f t="shared" si="12"/>
        <v>70</v>
      </c>
      <c r="AW23" s="67">
        <f t="shared" si="12"/>
        <v>1</v>
      </c>
      <c r="AX23" s="68">
        <f t="shared" si="12"/>
        <v>6</v>
      </c>
      <c r="AY23" s="67">
        <f t="shared" si="12"/>
        <v>0</v>
      </c>
      <c r="AZ23" s="68">
        <f t="shared" si="12"/>
        <v>2</v>
      </c>
      <c r="BA23" s="67">
        <f t="shared" si="12"/>
        <v>1141</v>
      </c>
      <c r="BB23" s="68">
        <f t="shared" si="12"/>
        <v>31913</v>
      </c>
      <c r="BC23" s="64">
        <f t="shared" si="12"/>
        <v>30115</v>
      </c>
      <c r="BD23" s="64">
        <f t="shared" si="12"/>
        <v>440699</v>
      </c>
      <c r="BE23" s="67">
        <f t="shared" si="12"/>
        <v>1596</v>
      </c>
      <c r="BF23" s="68">
        <f t="shared" si="12"/>
        <v>16536</v>
      </c>
      <c r="BG23" s="67">
        <f t="shared" si="12"/>
        <v>98</v>
      </c>
      <c r="BH23" s="68">
        <f t="shared" si="12"/>
        <v>1455</v>
      </c>
      <c r="BI23" s="67">
        <f t="shared" si="12"/>
        <v>19990</v>
      </c>
      <c r="BJ23" s="68">
        <f t="shared" si="12"/>
        <v>358527</v>
      </c>
      <c r="BK23" s="67">
        <f t="shared" si="12"/>
        <v>8200</v>
      </c>
      <c r="BL23" s="68">
        <f t="shared" si="12"/>
        <v>62233</v>
      </c>
      <c r="BM23" s="67">
        <f t="shared" si="12"/>
        <v>231</v>
      </c>
      <c r="BN23" s="68">
        <f t="shared" si="12"/>
        <v>1948</v>
      </c>
      <c r="BO23" s="69">
        <f t="shared" si="12"/>
        <v>37704</v>
      </c>
      <c r="BP23" s="70">
        <f t="shared" si="12"/>
        <v>15</v>
      </c>
      <c r="BQ23" s="23">
        <f>BP23+'20.04'!BP23</f>
        <v>41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BR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>
        <f t="shared" si="0"/>
        <v>72</v>
      </c>
      <c r="E9" s="32">
        <v>452</v>
      </c>
      <c r="F9" s="22">
        <v>2</v>
      </c>
      <c r="G9" s="23">
        <f>F9+'11.05'!G9</f>
        <v>36</v>
      </c>
      <c r="H9" s="33">
        <v>12</v>
      </c>
      <c r="I9" s="34">
        <v>1</v>
      </c>
      <c r="J9" s="23">
        <f>I9+'11.05'!J9</f>
        <v>9</v>
      </c>
      <c r="K9" s="33">
        <v>2</v>
      </c>
      <c r="L9" s="22">
        <v>0</v>
      </c>
      <c r="M9" s="23">
        <f>L9+'11.05'!M9</f>
        <v>0</v>
      </c>
      <c r="N9" s="33">
        <v>735</v>
      </c>
      <c r="O9" s="22">
        <v>0</v>
      </c>
      <c r="P9" s="23">
        <f>O9+'11.05'!P9</f>
        <v>0</v>
      </c>
      <c r="Q9" s="33">
        <v>502</v>
      </c>
      <c r="R9" s="22">
        <v>0</v>
      </c>
      <c r="S9" s="23">
        <f>R9+'11.05'!S9</f>
        <v>0</v>
      </c>
      <c r="T9" s="33">
        <v>197</v>
      </c>
      <c r="U9" s="22">
        <v>0</v>
      </c>
      <c r="V9" s="23">
        <f>U9+'11.05'!V9</f>
        <v>0</v>
      </c>
      <c r="W9" s="33">
        <v>47</v>
      </c>
      <c r="X9" s="22">
        <v>0</v>
      </c>
      <c r="Y9" s="23">
        <f>X9+'11.05'!Y9</f>
        <v>15</v>
      </c>
      <c r="Z9" s="33">
        <v>34</v>
      </c>
      <c r="AA9" s="22">
        <v>0</v>
      </c>
      <c r="AB9" s="23">
        <f>AA9+'11.05'!AB9</f>
        <v>0</v>
      </c>
      <c r="AC9" s="33">
        <v>1860</v>
      </c>
      <c r="AD9" s="22">
        <v>0</v>
      </c>
      <c r="AE9" s="23">
        <f>AD9+'11.05'!AE9</f>
        <v>12</v>
      </c>
      <c r="AF9" s="19">
        <f t="shared" si="1"/>
        <v>7552</v>
      </c>
      <c r="AG9" s="20">
        <f t="shared" si="1"/>
        <v>106029</v>
      </c>
      <c r="AH9" s="24">
        <v>55</v>
      </c>
      <c r="AI9" s="23">
        <f>AH9+'11.05'!AI9</f>
        <v>1351</v>
      </c>
      <c r="AJ9" s="24">
        <v>372</v>
      </c>
      <c r="AK9" s="23">
        <f>AJ9+'11.05'!AK9</f>
        <v>11173</v>
      </c>
      <c r="AL9" s="22">
        <v>1025</v>
      </c>
      <c r="AM9" s="23">
        <f>AL9+'11.05'!AM9</f>
        <v>11485</v>
      </c>
      <c r="AN9" s="22">
        <v>6100</v>
      </c>
      <c r="AO9" s="23">
        <f>AN9+'11.05'!AO9</f>
        <v>82020</v>
      </c>
      <c r="AP9" s="28" t="s">
        <v>43</v>
      </c>
      <c r="AQ9" s="19">
        <f t="shared" si="3"/>
        <v>453</v>
      </c>
      <c r="AR9" s="20">
        <f t="shared" si="3"/>
        <v>2027</v>
      </c>
      <c r="AS9" s="34">
        <v>0</v>
      </c>
      <c r="AT9" s="23">
        <f>AS9+'11.05'!AT9</f>
        <v>2</v>
      </c>
      <c r="AU9" s="34">
        <v>1</v>
      </c>
      <c r="AV9" s="23">
        <f>AU9+'11.05'!AV9</f>
        <v>4</v>
      </c>
      <c r="AW9" s="34">
        <v>0</v>
      </c>
      <c r="AX9" s="23">
        <f>AW9+'11.05'!AX9</f>
        <v>1</v>
      </c>
      <c r="AY9" s="34">
        <v>0</v>
      </c>
      <c r="AZ9" s="23">
        <f>AY9+'11.05'!AZ9</f>
        <v>0</v>
      </c>
      <c r="BA9" s="34">
        <v>452</v>
      </c>
      <c r="BB9" s="23">
        <f>BA9+'11.05'!BB9</f>
        <v>2020</v>
      </c>
      <c r="BC9" s="19">
        <f t="shared" si="5"/>
        <v>452</v>
      </c>
      <c r="BD9" s="20">
        <f t="shared" si="5"/>
        <v>5749</v>
      </c>
      <c r="BE9" s="22">
        <v>1</v>
      </c>
      <c r="BF9" s="23">
        <f>BE9+'11.05'!BF9</f>
        <v>18</v>
      </c>
      <c r="BG9" s="34">
        <v>0</v>
      </c>
      <c r="BH9" s="23">
        <f>BG9+'11.05'!BH9</f>
        <v>0</v>
      </c>
      <c r="BI9" s="22">
        <v>450</v>
      </c>
      <c r="BJ9" s="23">
        <f>BI9+'11.05'!BJ9</f>
        <v>5710</v>
      </c>
      <c r="BK9" s="22">
        <v>0</v>
      </c>
      <c r="BL9" s="23">
        <f>BK9+'11.05'!BL9</f>
        <v>0</v>
      </c>
      <c r="BM9" s="22">
        <v>1</v>
      </c>
      <c r="BN9" s="23">
        <f>BM9+'11.05'!BN9</f>
        <v>21</v>
      </c>
      <c r="BO9" s="36">
        <v>14</v>
      </c>
      <c r="BP9" s="37">
        <v>1</v>
      </c>
      <c r="BQ9" s="23">
        <f>BP9+'11.05'!BQ9</f>
        <v>4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131</v>
      </c>
      <c r="D10" s="31">
        <f t="shared" si="0"/>
        <v>1335</v>
      </c>
      <c r="E10" s="32">
        <v>585</v>
      </c>
      <c r="F10" s="22">
        <v>15</v>
      </c>
      <c r="G10" s="23">
        <f>F10+'11.05'!G10</f>
        <v>127</v>
      </c>
      <c r="H10" s="33">
        <v>93</v>
      </c>
      <c r="I10" s="34">
        <v>1</v>
      </c>
      <c r="J10" s="23">
        <f>I10+'11.05'!J10</f>
        <v>17</v>
      </c>
      <c r="K10" s="33">
        <v>34</v>
      </c>
      <c r="L10" s="22">
        <v>1</v>
      </c>
      <c r="M10" s="23">
        <f>L10+'11.05'!M10</f>
        <v>8</v>
      </c>
      <c r="N10" s="33">
        <v>352</v>
      </c>
      <c r="O10" s="22">
        <v>11</v>
      </c>
      <c r="P10" s="23">
        <f>O10+'11.05'!P10</f>
        <v>81</v>
      </c>
      <c r="Q10" s="33">
        <v>549</v>
      </c>
      <c r="R10" s="22">
        <v>9</v>
      </c>
      <c r="S10" s="23">
        <f>R10+'11.05'!S10</f>
        <v>57</v>
      </c>
      <c r="T10" s="33">
        <v>198</v>
      </c>
      <c r="U10" s="22">
        <v>3</v>
      </c>
      <c r="V10" s="23">
        <f>U10+'11.05'!V10</f>
        <v>34</v>
      </c>
      <c r="W10" s="38">
        <v>55</v>
      </c>
      <c r="X10" s="22">
        <v>0</v>
      </c>
      <c r="Y10" s="23">
        <f>X10+'11.05'!Y10</f>
        <v>42</v>
      </c>
      <c r="Z10" s="38">
        <v>71</v>
      </c>
      <c r="AA10" s="22">
        <v>1</v>
      </c>
      <c r="AB10" s="23">
        <f>AA10+'11.05'!AB10</f>
        <v>27</v>
      </c>
      <c r="AC10" s="38">
        <v>1690</v>
      </c>
      <c r="AD10" s="22">
        <v>90</v>
      </c>
      <c r="AE10" s="23">
        <f>AD10+'11.05'!AE10</f>
        <v>942</v>
      </c>
      <c r="AF10" s="19">
        <f t="shared" si="1"/>
        <v>113368</v>
      </c>
      <c r="AG10" s="20">
        <f t="shared" si="1"/>
        <v>1205605</v>
      </c>
      <c r="AH10" s="24">
        <v>1058</v>
      </c>
      <c r="AI10" s="23">
        <f>AH10+'11.05'!AI10</f>
        <v>10668</v>
      </c>
      <c r="AJ10" s="24">
        <v>3500</v>
      </c>
      <c r="AK10" s="23">
        <f>AJ10+'11.05'!AK10</f>
        <v>53015</v>
      </c>
      <c r="AL10" s="22">
        <v>10478</v>
      </c>
      <c r="AM10" s="23">
        <f>AL10+'11.05'!AM10</f>
        <v>133551</v>
      </c>
      <c r="AN10" s="22">
        <v>98332</v>
      </c>
      <c r="AO10" s="23">
        <f>AN10+'11.05'!AO10</f>
        <v>1008371</v>
      </c>
      <c r="AP10" s="28" t="s">
        <v>44</v>
      </c>
      <c r="AQ10" s="19">
        <f t="shared" si="3"/>
        <v>5</v>
      </c>
      <c r="AR10" s="20">
        <f t="shared" si="3"/>
        <v>52</v>
      </c>
      <c r="AS10" s="34">
        <v>0</v>
      </c>
      <c r="AT10" s="23">
        <f>AS10+'11.05'!AT10</f>
        <v>2</v>
      </c>
      <c r="AU10" s="34">
        <v>1</v>
      </c>
      <c r="AV10" s="23">
        <f>AU10+'11.05'!AV10</f>
        <v>3</v>
      </c>
      <c r="AW10" s="34">
        <v>0</v>
      </c>
      <c r="AX10" s="23">
        <f>AW10+'11.05'!AX10</f>
        <v>0</v>
      </c>
      <c r="AY10" s="34">
        <v>0</v>
      </c>
      <c r="AZ10" s="23">
        <f>AY10+'11.05'!AZ10</f>
        <v>0</v>
      </c>
      <c r="BA10" s="34">
        <v>4</v>
      </c>
      <c r="BB10" s="23">
        <f>BA10+'11.05'!BB10</f>
        <v>47</v>
      </c>
      <c r="BC10" s="19">
        <f t="shared" si="5"/>
        <v>4074</v>
      </c>
      <c r="BD10" s="20">
        <f t="shared" si="5"/>
        <v>46358</v>
      </c>
      <c r="BE10" s="22">
        <v>513</v>
      </c>
      <c r="BF10" s="23">
        <f>BE10+'11.05'!BF10</f>
        <v>6110</v>
      </c>
      <c r="BG10" s="34">
        <v>0</v>
      </c>
      <c r="BH10" s="23">
        <f>BG10+'11.05'!BH10</f>
        <v>4</v>
      </c>
      <c r="BI10" s="22">
        <v>2552</v>
      </c>
      <c r="BJ10" s="23">
        <f>BI10+'11.05'!BJ10</f>
        <v>26670</v>
      </c>
      <c r="BK10" s="22">
        <v>1009</v>
      </c>
      <c r="BL10" s="23">
        <f>BK10+'11.05'!BL10</f>
        <v>13574</v>
      </c>
      <c r="BM10" s="22">
        <v>0</v>
      </c>
      <c r="BN10" s="23">
        <f>BM10+'11.05'!BN10</f>
        <v>0</v>
      </c>
      <c r="BO10" s="36">
        <v>32</v>
      </c>
      <c r="BP10" s="37">
        <v>0</v>
      </c>
      <c r="BQ10" s="23">
        <f>BP10+'11.05'!BQ10</f>
        <v>7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434</v>
      </c>
      <c r="E11" s="32">
        <v>883</v>
      </c>
      <c r="F11" s="22">
        <v>15</v>
      </c>
      <c r="G11" s="23">
        <f>F11+'11.05'!G11</f>
        <v>220</v>
      </c>
      <c r="H11" s="33">
        <v>16</v>
      </c>
      <c r="I11" s="34">
        <v>0</v>
      </c>
      <c r="J11" s="23">
        <f>I11+'11.05'!J11</f>
        <v>0</v>
      </c>
      <c r="K11" s="33">
        <v>3</v>
      </c>
      <c r="L11" s="22">
        <v>0</v>
      </c>
      <c r="M11" s="23">
        <f>L11+'11.05'!M11</f>
        <v>0</v>
      </c>
      <c r="N11" s="33">
        <v>875</v>
      </c>
      <c r="O11" s="22">
        <v>0</v>
      </c>
      <c r="P11" s="23">
        <f>O11+'11.05'!P11</f>
        <v>0</v>
      </c>
      <c r="Q11" s="33">
        <v>2424</v>
      </c>
      <c r="R11" s="22">
        <v>0</v>
      </c>
      <c r="S11" s="23">
        <f>R11+'11.05'!S11</f>
        <v>0</v>
      </c>
      <c r="T11" s="33">
        <v>69</v>
      </c>
      <c r="U11" s="22">
        <v>0</v>
      </c>
      <c r="V11" s="23">
        <f>U11+'11.05'!V11</f>
        <v>0</v>
      </c>
      <c r="W11" s="38">
        <v>133</v>
      </c>
      <c r="X11" s="22">
        <v>16</v>
      </c>
      <c r="Y11" s="23">
        <f>X11+'11.05'!Y11</f>
        <v>200</v>
      </c>
      <c r="Z11" s="38">
        <v>1116</v>
      </c>
      <c r="AA11" s="22">
        <v>0</v>
      </c>
      <c r="AB11" s="23">
        <f>AA11+'11.05'!AB11</f>
        <v>0</v>
      </c>
      <c r="AC11" s="38">
        <v>9862</v>
      </c>
      <c r="AD11" s="22">
        <v>1</v>
      </c>
      <c r="AE11" s="23">
        <f>AD11+'11.05'!AE11</f>
        <v>14</v>
      </c>
      <c r="AF11" s="19">
        <f t="shared" si="1"/>
        <v>13400</v>
      </c>
      <c r="AG11" s="20">
        <f t="shared" si="1"/>
        <v>244100</v>
      </c>
      <c r="AH11" s="24">
        <v>1600</v>
      </c>
      <c r="AI11" s="23">
        <f>AH11+'11.05'!AI11</f>
        <v>27800</v>
      </c>
      <c r="AJ11" s="24">
        <v>2300</v>
      </c>
      <c r="AK11" s="23">
        <f>AJ11+'11.05'!AK11</f>
        <v>33100</v>
      </c>
      <c r="AL11" s="22">
        <v>2300</v>
      </c>
      <c r="AM11" s="23">
        <f>AL11+'11.05'!AM11</f>
        <v>61300</v>
      </c>
      <c r="AN11" s="22">
        <v>7200</v>
      </c>
      <c r="AO11" s="23">
        <f>AN11+'11.05'!AO11</f>
        <v>121900</v>
      </c>
      <c r="AP11" s="28" t="s">
        <v>45</v>
      </c>
      <c r="AQ11" s="19">
        <f t="shared" si="3"/>
        <v>1</v>
      </c>
      <c r="AR11" s="20">
        <f t="shared" si="3"/>
        <v>30</v>
      </c>
      <c r="AS11" s="34">
        <v>0</v>
      </c>
      <c r="AT11" s="23">
        <f>AS11+'11.05'!AT11</f>
        <v>0</v>
      </c>
      <c r="AU11" s="34">
        <v>0</v>
      </c>
      <c r="AV11" s="23">
        <f>AU11+'11.05'!AV11</f>
        <v>0</v>
      </c>
      <c r="AW11" s="34">
        <v>0</v>
      </c>
      <c r="AX11" s="23">
        <f>AW11+'11.05'!AX11</f>
        <v>0</v>
      </c>
      <c r="AY11" s="34">
        <v>0</v>
      </c>
      <c r="AZ11" s="23">
        <f>AY11+'11.05'!AZ11</f>
        <v>0</v>
      </c>
      <c r="BA11" s="34">
        <v>1</v>
      </c>
      <c r="BB11" s="23">
        <f>BA11+'11.05'!BB11</f>
        <v>30</v>
      </c>
      <c r="BC11" s="19">
        <f t="shared" si="5"/>
        <v>530</v>
      </c>
      <c r="BD11" s="20">
        <f t="shared" si="5"/>
        <v>8328</v>
      </c>
      <c r="BE11" s="22">
        <v>2</v>
      </c>
      <c r="BF11" s="23">
        <f>BE11+'11.05'!BF11</f>
        <v>19</v>
      </c>
      <c r="BG11" s="34">
        <v>0</v>
      </c>
      <c r="BH11" s="23">
        <f>BG11+'11.05'!BH11</f>
        <v>29</v>
      </c>
      <c r="BI11" s="22">
        <v>520</v>
      </c>
      <c r="BJ11" s="23">
        <f>BI11+'11.05'!BJ11</f>
        <v>8060</v>
      </c>
      <c r="BK11" s="22">
        <v>6</v>
      </c>
      <c r="BL11" s="23">
        <f>BK11+'11.05'!BL11</f>
        <v>203</v>
      </c>
      <c r="BM11" s="22">
        <v>2</v>
      </c>
      <c r="BN11" s="23">
        <f>BM11+'11.05'!BN11</f>
        <v>17</v>
      </c>
      <c r="BO11" s="36">
        <v>11506</v>
      </c>
      <c r="BP11" s="37">
        <v>3</v>
      </c>
      <c r="BQ11" s="23">
        <f>BP11+'11.05'!BQ11</f>
        <v>33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217</v>
      </c>
      <c r="D12" s="31">
        <f t="shared" si="0"/>
        <v>2528</v>
      </c>
      <c r="E12" s="32">
        <v>909</v>
      </c>
      <c r="F12" s="22">
        <v>45</v>
      </c>
      <c r="G12" s="23">
        <f>F12+'11.05'!G12</f>
        <v>585</v>
      </c>
      <c r="H12" s="33">
        <v>80</v>
      </c>
      <c r="I12" s="34">
        <v>2</v>
      </c>
      <c r="J12" s="23">
        <f>I12+'11.05'!J12</f>
        <v>21</v>
      </c>
      <c r="K12" s="33">
        <v>5</v>
      </c>
      <c r="L12" s="22">
        <v>0</v>
      </c>
      <c r="M12" s="23">
        <f>L12+'11.05'!M12</f>
        <v>0</v>
      </c>
      <c r="N12" s="33">
        <v>820</v>
      </c>
      <c r="O12" s="22">
        <v>25</v>
      </c>
      <c r="P12" s="23">
        <f>O12+'11.05'!P12</f>
        <v>162</v>
      </c>
      <c r="Q12" s="33">
        <v>549</v>
      </c>
      <c r="R12" s="22">
        <v>0</v>
      </c>
      <c r="S12" s="23">
        <f>R12+'11.05'!S12</f>
        <v>0</v>
      </c>
      <c r="T12" s="33">
        <v>992</v>
      </c>
      <c r="U12" s="22">
        <v>0</v>
      </c>
      <c r="V12" s="23">
        <f>U12+'11.05'!V12</f>
        <v>0</v>
      </c>
      <c r="W12" s="33">
        <v>38</v>
      </c>
      <c r="X12" s="22">
        <v>114</v>
      </c>
      <c r="Y12" s="23">
        <f>X12+'11.05'!Y12</f>
        <v>1310</v>
      </c>
      <c r="Z12" s="33">
        <v>68</v>
      </c>
      <c r="AA12" s="22">
        <v>0</v>
      </c>
      <c r="AB12" s="23">
        <f>AA12+'11.05'!AB12</f>
        <v>0</v>
      </c>
      <c r="AC12" s="33">
        <v>26703</v>
      </c>
      <c r="AD12" s="22">
        <v>31</v>
      </c>
      <c r="AE12" s="23">
        <f>AD12+'11.05'!AE12</f>
        <v>450</v>
      </c>
      <c r="AF12" s="19">
        <f t="shared" si="1"/>
        <v>35700</v>
      </c>
      <c r="AG12" s="20">
        <f t="shared" si="1"/>
        <v>130998</v>
      </c>
      <c r="AH12" s="24">
        <v>6300</v>
      </c>
      <c r="AI12" s="23">
        <f>AH12+'11.05'!AI12</f>
        <v>16759</v>
      </c>
      <c r="AJ12" s="24">
        <v>10900</v>
      </c>
      <c r="AK12" s="23">
        <f>AJ12+'11.05'!AK12</f>
        <v>34889</v>
      </c>
      <c r="AL12" s="22">
        <v>9250</v>
      </c>
      <c r="AM12" s="23">
        <f>AL12+'11.05'!AM12</f>
        <v>39675</v>
      </c>
      <c r="AN12" s="22">
        <v>9250</v>
      </c>
      <c r="AO12" s="23">
        <f>AN12+'11.05'!AO12</f>
        <v>39675</v>
      </c>
      <c r="AP12" s="28" t="s">
        <v>46</v>
      </c>
      <c r="AQ12" s="19">
        <f t="shared" si="3"/>
        <v>111</v>
      </c>
      <c r="AR12" s="20">
        <f t="shared" si="3"/>
        <v>879</v>
      </c>
      <c r="AS12" s="34">
        <v>0</v>
      </c>
      <c r="AT12" s="23">
        <f>AS12+'11.05'!AT12</f>
        <v>0</v>
      </c>
      <c r="AU12" s="34">
        <v>0</v>
      </c>
      <c r="AV12" s="23">
        <f>AU12+'11.05'!AV12</f>
        <v>0</v>
      </c>
      <c r="AW12" s="34">
        <v>0</v>
      </c>
      <c r="AX12" s="23">
        <f>AW12+'11.05'!AX12</f>
        <v>0</v>
      </c>
      <c r="AY12" s="34">
        <v>0</v>
      </c>
      <c r="AZ12" s="23">
        <f>AY12+'11.05'!AZ12</f>
        <v>0</v>
      </c>
      <c r="BA12" s="34">
        <v>111</v>
      </c>
      <c r="BB12" s="23">
        <f>BA12+'11.05'!BB12</f>
        <v>879</v>
      </c>
      <c r="BC12" s="19">
        <f t="shared" si="5"/>
        <v>2762</v>
      </c>
      <c r="BD12" s="20">
        <f t="shared" si="5"/>
        <v>32797</v>
      </c>
      <c r="BE12" s="22">
        <v>95</v>
      </c>
      <c r="BF12" s="23">
        <f>BE12+'11.05'!BF12</f>
        <v>2603</v>
      </c>
      <c r="BG12" s="34">
        <v>6</v>
      </c>
      <c r="BH12" s="23">
        <f>BG12+'11.05'!BH12</f>
        <v>86</v>
      </c>
      <c r="BI12" s="22">
        <v>2200</v>
      </c>
      <c r="BJ12" s="23">
        <f>BI12+'11.05'!BJ12</f>
        <v>26900</v>
      </c>
      <c r="BK12" s="22">
        <v>400</v>
      </c>
      <c r="BL12" s="23">
        <f>BK12+'11.05'!BL12</f>
        <v>2700</v>
      </c>
      <c r="BM12" s="22">
        <v>61</v>
      </c>
      <c r="BN12" s="23">
        <f>BM12+'11.05'!BN12</f>
        <v>508</v>
      </c>
      <c r="BO12" s="36"/>
      <c r="BP12" s="37">
        <v>2</v>
      </c>
      <c r="BQ12" s="23">
        <f>BP12+'11.05'!BQ12</f>
        <v>17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>
        <f t="shared" si="0"/>
        <v>150</v>
      </c>
      <c r="E13" s="32">
        <v>516</v>
      </c>
      <c r="F13" s="22">
        <v>1</v>
      </c>
      <c r="G13" s="23">
        <f>F13+'11.05'!G13</f>
        <v>13</v>
      </c>
      <c r="H13" s="33">
        <v>10</v>
      </c>
      <c r="I13" s="34">
        <v>0</v>
      </c>
      <c r="J13" s="23">
        <f>I13+'11.05'!J13</f>
        <v>5</v>
      </c>
      <c r="K13" s="33">
        <v>38</v>
      </c>
      <c r="L13" s="22">
        <v>0</v>
      </c>
      <c r="M13" s="23">
        <f>L13+'11.05'!M13</f>
        <v>0</v>
      </c>
      <c r="N13" s="33">
        <v>581</v>
      </c>
      <c r="O13" s="22">
        <v>0</v>
      </c>
      <c r="P13" s="23">
        <f>O13+'11.05'!P13</f>
        <v>5</v>
      </c>
      <c r="Q13" s="33">
        <v>525</v>
      </c>
      <c r="R13" s="22">
        <v>0</v>
      </c>
      <c r="S13" s="23">
        <f>R13+'11.05'!S13</f>
        <v>0</v>
      </c>
      <c r="T13" s="33">
        <v>263</v>
      </c>
      <c r="U13" s="22">
        <v>0</v>
      </c>
      <c r="V13" s="23">
        <f>U13+'11.05'!V13</f>
        <v>0</v>
      </c>
      <c r="W13" s="33">
        <v>43</v>
      </c>
      <c r="X13" s="22">
        <v>0</v>
      </c>
      <c r="Y13" s="23">
        <f>X13+'11.05'!Y13</f>
        <v>0</v>
      </c>
      <c r="Z13" s="33">
        <v>17</v>
      </c>
      <c r="AA13" s="22">
        <v>0</v>
      </c>
      <c r="AB13" s="23">
        <f>AA13+'11.05'!AB13</f>
        <v>0</v>
      </c>
      <c r="AC13" s="33">
        <v>51</v>
      </c>
      <c r="AD13" s="22">
        <v>1</v>
      </c>
      <c r="AE13" s="23">
        <f>AD13+'11.05'!AE13</f>
        <v>127</v>
      </c>
      <c r="AF13" s="19">
        <f t="shared" si="1"/>
        <v>240000</v>
      </c>
      <c r="AG13" s="20">
        <f t="shared" si="1"/>
        <v>3046000</v>
      </c>
      <c r="AH13" s="24">
        <v>2000</v>
      </c>
      <c r="AI13" s="23">
        <f>AH13+'11.05'!AI13</f>
        <v>33000</v>
      </c>
      <c r="AJ13" s="24">
        <v>18000</v>
      </c>
      <c r="AK13" s="23">
        <f>AJ13+'11.05'!AK13</f>
        <v>184000</v>
      </c>
      <c r="AL13" s="22">
        <v>20000</v>
      </c>
      <c r="AM13" s="23">
        <f>AL13+'11.05'!AM13</f>
        <v>270000</v>
      </c>
      <c r="AN13" s="22">
        <v>200000</v>
      </c>
      <c r="AO13" s="23">
        <f>AN13+'11.05'!AO13</f>
        <v>2559000</v>
      </c>
      <c r="AP13" s="28" t="s">
        <v>47</v>
      </c>
      <c r="AQ13" s="19">
        <f t="shared" si="3"/>
        <v>32</v>
      </c>
      <c r="AR13" s="20">
        <f t="shared" si="3"/>
        <v>356</v>
      </c>
      <c r="AS13" s="34">
        <v>1</v>
      </c>
      <c r="AT13" s="23">
        <f>AS13+'11.05'!AT13</f>
        <v>11</v>
      </c>
      <c r="AU13" s="34">
        <v>1</v>
      </c>
      <c r="AV13" s="23">
        <f>AU13+'11.05'!AV13</f>
        <v>11</v>
      </c>
      <c r="AW13" s="34">
        <v>0</v>
      </c>
      <c r="AX13" s="23">
        <f>AW13+'11.05'!AX13</f>
        <v>0</v>
      </c>
      <c r="AY13" s="34">
        <v>0</v>
      </c>
      <c r="AZ13" s="23">
        <f>AY13+'11.05'!AZ13</f>
        <v>0</v>
      </c>
      <c r="BA13" s="34">
        <v>30</v>
      </c>
      <c r="BB13" s="23">
        <f>BA13+'11.05'!BB13</f>
        <v>334</v>
      </c>
      <c r="BC13" s="19">
        <f t="shared" si="5"/>
        <v>15804</v>
      </c>
      <c r="BD13" s="20">
        <f t="shared" si="5"/>
        <v>120022</v>
      </c>
      <c r="BE13" s="22">
        <v>516</v>
      </c>
      <c r="BF13" s="23">
        <f>BE13+'11.05'!BF13</f>
        <v>6192</v>
      </c>
      <c r="BG13" s="34">
        <v>21</v>
      </c>
      <c r="BH13" s="23">
        <f>BG13+'11.05'!BH13</f>
        <v>194</v>
      </c>
      <c r="BI13" s="22">
        <v>15000</v>
      </c>
      <c r="BJ13" s="23">
        <f>BI13+'11.05'!BJ13</f>
        <v>111500</v>
      </c>
      <c r="BK13" s="22">
        <v>200</v>
      </c>
      <c r="BL13" s="23">
        <f>BK13+'11.05'!BL13</f>
        <v>1600</v>
      </c>
      <c r="BM13" s="22">
        <v>67</v>
      </c>
      <c r="BN13" s="23">
        <f>BM13+'11.05'!BN13</f>
        <v>536</v>
      </c>
      <c r="BO13" s="36"/>
      <c r="BP13" s="37">
        <v>1</v>
      </c>
      <c r="BQ13" s="23">
        <f>BP13+'11.05'!BQ13</f>
        <v>6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114</v>
      </c>
      <c r="D14" s="42">
        <f t="shared" si="0"/>
        <v>1345</v>
      </c>
      <c r="E14" s="43">
        <v>304</v>
      </c>
      <c r="F14" s="22">
        <v>94</v>
      </c>
      <c r="G14" s="23">
        <f>F14+'11.05'!G14</f>
        <v>1111</v>
      </c>
      <c r="H14" s="44">
        <v>5</v>
      </c>
      <c r="I14" s="45">
        <v>0</v>
      </c>
      <c r="J14" s="23">
        <f>I14+'11.05'!J14</f>
        <v>0</v>
      </c>
      <c r="K14" s="44">
        <v>34</v>
      </c>
      <c r="L14" s="22">
        <v>0</v>
      </c>
      <c r="M14" s="23">
        <f>L14+'11.05'!M14</f>
        <v>0</v>
      </c>
      <c r="N14" s="44">
        <v>583</v>
      </c>
      <c r="O14" s="22">
        <v>0</v>
      </c>
      <c r="P14" s="23">
        <f>O14+'11.05'!P14</f>
        <v>0</v>
      </c>
      <c r="Q14" s="44">
        <v>254</v>
      </c>
      <c r="R14" s="22">
        <v>0</v>
      </c>
      <c r="S14" s="23">
        <f>R14+'11.05'!S14</f>
        <v>0</v>
      </c>
      <c r="T14" s="44">
        <v>196</v>
      </c>
      <c r="U14" s="22">
        <v>0</v>
      </c>
      <c r="V14" s="23">
        <f>U14+'11.05'!V14</f>
        <v>0</v>
      </c>
      <c r="W14" s="44">
        <v>30</v>
      </c>
      <c r="X14" s="22">
        <v>18</v>
      </c>
      <c r="Y14" s="23">
        <f>X14+'11.05'!Y14</f>
        <v>180</v>
      </c>
      <c r="Z14" s="44">
        <v>10</v>
      </c>
      <c r="AA14" s="22">
        <v>0</v>
      </c>
      <c r="AB14" s="23">
        <f>AA14+'11.05'!AB14</f>
        <v>0</v>
      </c>
      <c r="AC14" s="44">
        <v>2500</v>
      </c>
      <c r="AD14" s="22">
        <v>2</v>
      </c>
      <c r="AE14" s="23">
        <f>AD14+'11.05'!AE14</f>
        <v>54</v>
      </c>
      <c r="AF14" s="19">
        <f t="shared" si="1"/>
        <v>106900</v>
      </c>
      <c r="AG14" s="20">
        <f t="shared" si="1"/>
        <v>1262240</v>
      </c>
      <c r="AH14" s="24">
        <v>3400</v>
      </c>
      <c r="AI14" s="23">
        <f>AH14+'11.05'!AI14</f>
        <v>36760</v>
      </c>
      <c r="AJ14" s="24">
        <v>6700</v>
      </c>
      <c r="AK14" s="23">
        <f>AJ14+'11.05'!AK14</f>
        <v>68950</v>
      </c>
      <c r="AL14" s="22">
        <v>8300</v>
      </c>
      <c r="AM14" s="23">
        <f>AL14+'11.05'!AM14</f>
        <v>76050</v>
      </c>
      <c r="AN14" s="22">
        <v>88500</v>
      </c>
      <c r="AO14" s="23">
        <f>AN14+'11.05'!AO14</f>
        <v>1080480</v>
      </c>
      <c r="AP14" s="39" t="s">
        <v>48</v>
      </c>
      <c r="AQ14" s="19">
        <f t="shared" si="3"/>
        <v>4</v>
      </c>
      <c r="AR14" s="20">
        <f t="shared" si="3"/>
        <v>47</v>
      </c>
      <c r="AS14" s="45">
        <v>0</v>
      </c>
      <c r="AT14" s="23">
        <f>AS14+'11.05'!AT14</f>
        <v>0</v>
      </c>
      <c r="AU14" s="45">
        <v>0</v>
      </c>
      <c r="AV14" s="23">
        <f>AU14+'11.05'!AV14</f>
        <v>2</v>
      </c>
      <c r="AW14" s="45">
        <v>0</v>
      </c>
      <c r="AX14" s="23">
        <f>AW14+'11.05'!AX14</f>
        <v>2</v>
      </c>
      <c r="AY14" s="45">
        <v>0</v>
      </c>
      <c r="AZ14" s="23">
        <f>AY14+'11.05'!AZ14</f>
        <v>1</v>
      </c>
      <c r="BA14" s="45">
        <v>4</v>
      </c>
      <c r="BB14" s="23">
        <f>BA14+'11.05'!BB14</f>
        <v>42</v>
      </c>
      <c r="BC14" s="19">
        <f t="shared" si="5"/>
        <v>1213</v>
      </c>
      <c r="BD14" s="20">
        <f t="shared" si="5"/>
        <v>32545</v>
      </c>
      <c r="BE14" s="22">
        <v>4</v>
      </c>
      <c r="BF14" s="23">
        <f>BE14+'11.05'!BF14</f>
        <v>45</v>
      </c>
      <c r="BG14" s="45">
        <v>2</v>
      </c>
      <c r="BH14" s="23">
        <f>BG14+'11.05'!BH14</f>
        <v>22</v>
      </c>
      <c r="BI14" s="22">
        <v>1200</v>
      </c>
      <c r="BJ14" s="23">
        <f>BI14+'11.05'!BJ14</f>
        <v>32400</v>
      </c>
      <c r="BK14" s="22">
        <v>6</v>
      </c>
      <c r="BL14" s="23">
        <f>BK14+'11.05'!BL14</f>
        <v>53</v>
      </c>
      <c r="BM14" s="22">
        <v>1</v>
      </c>
      <c r="BN14" s="23">
        <f>BM14+'11.05'!BN14</f>
        <v>25</v>
      </c>
      <c r="BO14" s="48">
        <v>22</v>
      </c>
      <c r="BP14" s="49">
        <v>0</v>
      </c>
      <c r="BQ14" s="23">
        <f>BP14+'11.05'!BQ14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431</v>
      </c>
      <c r="D15" s="53">
        <f t="shared" si="0"/>
        <v>5389</v>
      </c>
      <c r="E15" s="54">
        <v>776</v>
      </c>
      <c r="F15" s="55">
        <v>352</v>
      </c>
      <c r="G15" s="23">
        <f>F15+'11.05'!G15</f>
        <v>4081</v>
      </c>
      <c r="H15" s="56">
        <v>9</v>
      </c>
      <c r="I15" s="57">
        <v>0</v>
      </c>
      <c r="J15" s="23">
        <f>I15+'11.05'!J15</f>
        <v>0</v>
      </c>
      <c r="K15" s="56">
        <v>6</v>
      </c>
      <c r="L15" s="55">
        <v>0</v>
      </c>
      <c r="M15" s="23">
        <f>L15+'11.05'!M15</f>
        <v>0</v>
      </c>
      <c r="N15" s="56">
        <v>1305</v>
      </c>
      <c r="O15" s="55">
        <v>0</v>
      </c>
      <c r="P15" s="23">
        <f>O15+'11.05'!P15</f>
        <v>0</v>
      </c>
      <c r="Q15" s="56">
        <v>447</v>
      </c>
      <c r="R15" s="55">
        <v>0</v>
      </c>
      <c r="S15" s="23">
        <f>R15+'11.05'!S15</f>
        <v>0</v>
      </c>
      <c r="T15" s="56">
        <v>337</v>
      </c>
      <c r="U15" s="55">
        <v>0</v>
      </c>
      <c r="V15" s="23">
        <f>U15+'11.05'!V15</f>
        <v>0</v>
      </c>
      <c r="W15" s="56">
        <v>78</v>
      </c>
      <c r="X15" s="55">
        <v>0</v>
      </c>
      <c r="Y15" s="23">
        <f>X15+'11.05'!Y15</f>
        <v>0</v>
      </c>
      <c r="Z15" s="56">
        <v>141</v>
      </c>
      <c r="AA15" s="55">
        <v>0</v>
      </c>
      <c r="AB15" s="23">
        <f>AA15+'11.05'!AB15</f>
        <v>0</v>
      </c>
      <c r="AC15" s="56">
        <v>798</v>
      </c>
      <c r="AD15" s="55">
        <v>79</v>
      </c>
      <c r="AE15" s="23">
        <f>AD15+'11.05'!AE15</f>
        <v>1308</v>
      </c>
      <c r="AF15" s="58">
        <f t="shared" si="1"/>
        <v>2013980</v>
      </c>
      <c r="AG15" s="59">
        <f t="shared" si="1"/>
        <v>29109599</v>
      </c>
      <c r="AH15" s="60">
        <v>943</v>
      </c>
      <c r="AI15" s="23">
        <f>AH15+'11.05'!AI15</f>
        <v>10218</v>
      </c>
      <c r="AJ15" s="60">
        <v>2915</v>
      </c>
      <c r="AK15" s="23">
        <f>AJ15+'11.05'!AK15</f>
        <v>36814</v>
      </c>
      <c r="AL15" s="55">
        <v>1005061</v>
      </c>
      <c r="AM15" s="23">
        <f>AL15+'11.05'!AM15</f>
        <v>18881284</v>
      </c>
      <c r="AN15" s="55">
        <v>1005061</v>
      </c>
      <c r="AO15" s="23">
        <f>AN15+'11.05'!AO15</f>
        <v>10181283</v>
      </c>
      <c r="AP15" s="50" t="s">
        <v>49</v>
      </c>
      <c r="AQ15" s="58">
        <f t="shared" si="3"/>
        <v>6</v>
      </c>
      <c r="AR15" s="59">
        <f t="shared" si="3"/>
        <v>33</v>
      </c>
      <c r="AS15" s="57">
        <v>0</v>
      </c>
      <c r="AT15" s="23">
        <f>AS15+'11.05'!AT15</f>
        <v>2</v>
      </c>
      <c r="AU15" s="57">
        <v>1</v>
      </c>
      <c r="AV15" s="23">
        <f>AU15+'11.05'!AV15</f>
        <v>3</v>
      </c>
      <c r="AW15" s="57">
        <v>1</v>
      </c>
      <c r="AX15" s="23">
        <f>AW15+'11.05'!AX15</f>
        <v>2</v>
      </c>
      <c r="AY15" s="57">
        <v>0</v>
      </c>
      <c r="AZ15" s="23">
        <f>AY15+'11.05'!AZ15</f>
        <v>0</v>
      </c>
      <c r="BA15" s="57">
        <v>4</v>
      </c>
      <c r="BB15" s="23">
        <f>BA15+'11.05'!BB15</f>
        <v>26</v>
      </c>
      <c r="BC15" s="58">
        <f t="shared" si="5"/>
        <v>1710</v>
      </c>
      <c r="BD15" s="59">
        <f t="shared" si="5"/>
        <v>18109</v>
      </c>
      <c r="BE15" s="55">
        <v>92</v>
      </c>
      <c r="BF15" s="23">
        <f>BE15+'11.05'!BF15</f>
        <v>878</v>
      </c>
      <c r="BG15" s="57">
        <v>3</v>
      </c>
      <c r="BH15" s="23">
        <f>BG15+'11.05'!BH15</f>
        <v>19</v>
      </c>
      <c r="BI15" s="55">
        <v>793</v>
      </c>
      <c r="BJ15" s="23">
        <f>BI15+'11.05'!BJ15</f>
        <v>8621</v>
      </c>
      <c r="BK15" s="55">
        <v>809</v>
      </c>
      <c r="BL15" s="23">
        <f>BK15+'11.05'!BL15</f>
        <v>8394</v>
      </c>
      <c r="BM15" s="55">
        <v>13</v>
      </c>
      <c r="BN15" s="23">
        <f>BM15+'11.05'!BN15</f>
        <v>197</v>
      </c>
      <c r="BO15" s="36">
        <v>6274</v>
      </c>
      <c r="BP15" s="37">
        <v>1</v>
      </c>
      <c r="BQ15" s="23">
        <f>BP15+'11.05'!BQ15</f>
        <v>11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131</v>
      </c>
      <c r="D16" s="31">
        <f t="shared" si="0"/>
        <v>1619</v>
      </c>
      <c r="E16" s="32">
        <v>310</v>
      </c>
      <c r="F16" s="22">
        <v>53</v>
      </c>
      <c r="G16" s="23">
        <f>F16+'11.05'!G16</f>
        <v>564</v>
      </c>
      <c r="H16" s="33">
        <v>5</v>
      </c>
      <c r="I16" s="34">
        <v>0</v>
      </c>
      <c r="J16" s="23">
        <f>I16+'11.05'!J16</f>
        <v>0</v>
      </c>
      <c r="K16" s="33">
        <v>3</v>
      </c>
      <c r="L16" s="22">
        <v>0</v>
      </c>
      <c r="M16" s="23">
        <f>L16+'11.05'!M16</f>
        <v>0</v>
      </c>
      <c r="N16" s="33">
        <v>384</v>
      </c>
      <c r="O16" s="22">
        <v>0</v>
      </c>
      <c r="P16" s="23">
        <f>O16+'11.05'!P16</f>
        <v>0</v>
      </c>
      <c r="Q16" s="33">
        <v>245</v>
      </c>
      <c r="R16" s="22">
        <v>0</v>
      </c>
      <c r="S16" s="23">
        <f>R16+'11.05'!S16</f>
        <v>0</v>
      </c>
      <c r="T16" s="33">
        <v>397</v>
      </c>
      <c r="U16" s="22">
        <v>0</v>
      </c>
      <c r="V16" s="23">
        <f>U16+'11.05'!V16</f>
        <v>0</v>
      </c>
      <c r="W16" s="33">
        <v>24</v>
      </c>
      <c r="X16" s="22">
        <v>41</v>
      </c>
      <c r="Y16" s="23">
        <f>X16+'11.05'!Y16</f>
        <v>568</v>
      </c>
      <c r="Z16" s="33">
        <v>18</v>
      </c>
      <c r="AA16" s="22">
        <v>0</v>
      </c>
      <c r="AB16" s="23">
        <f>AA16+'11.05'!AB16</f>
        <v>0</v>
      </c>
      <c r="AC16" s="33">
        <v>18515</v>
      </c>
      <c r="AD16" s="22">
        <v>37</v>
      </c>
      <c r="AE16" s="23">
        <f>AD16+'11.05'!AE16</f>
        <v>487</v>
      </c>
      <c r="AF16" s="19">
        <f t="shared" si="1"/>
        <v>56699</v>
      </c>
      <c r="AG16" s="20">
        <f t="shared" si="1"/>
        <v>707254</v>
      </c>
      <c r="AH16" s="24">
        <v>149</v>
      </c>
      <c r="AI16" s="23">
        <f>AH16+'11.05'!AI16</f>
        <v>1961</v>
      </c>
      <c r="AJ16" s="24">
        <v>1431</v>
      </c>
      <c r="AK16" s="23">
        <f>AJ16+'11.05'!AK16</f>
        <v>15139</v>
      </c>
      <c r="AL16" s="22">
        <v>1578</v>
      </c>
      <c r="AM16" s="23">
        <f>AL16+'11.05'!AM16</f>
        <v>18263</v>
      </c>
      <c r="AN16" s="22">
        <v>53541</v>
      </c>
      <c r="AO16" s="23">
        <f>AN16+'11.05'!AO16</f>
        <v>671891</v>
      </c>
      <c r="AP16" s="28" t="s">
        <v>51</v>
      </c>
      <c r="AQ16" s="19">
        <f t="shared" si="3"/>
        <v>93</v>
      </c>
      <c r="AR16" s="20">
        <f t="shared" si="3"/>
        <v>875</v>
      </c>
      <c r="AS16" s="34">
        <v>0</v>
      </c>
      <c r="AT16" s="23">
        <f>AS16+'11.05'!AT16</f>
        <v>1</v>
      </c>
      <c r="AU16" s="34">
        <v>0</v>
      </c>
      <c r="AV16" s="23">
        <f>AU16+'11.05'!AV16</f>
        <v>0</v>
      </c>
      <c r="AW16" s="34">
        <v>0</v>
      </c>
      <c r="AX16" s="23">
        <f>AW16+'11.05'!AX16</f>
        <v>0</v>
      </c>
      <c r="AY16" s="34">
        <v>0</v>
      </c>
      <c r="AZ16" s="23">
        <f>AY16+'11.05'!AZ16</f>
        <v>0</v>
      </c>
      <c r="BA16" s="34">
        <v>93</v>
      </c>
      <c r="BB16" s="23">
        <f>BA16+'11.05'!BB16</f>
        <v>874</v>
      </c>
      <c r="BC16" s="19">
        <f t="shared" si="5"/>
        <v>1489</v>
      </c>
      <c r="BD16" s="20">
        <f t="shared" si="5"/>
        <v>15670</v>
      </c>
      <c r="BE16" s="22">
        <v>79</v>
      </c>
      <c r="BF16" s="23">
        <f>BE16+'11.05'!BF16</f>
        <v>771</v>
      </c>
      <c r="BG16" s="34">
        <v>0</v>
      </c>
      <c r="BH16" s="23">
        <f>BG16+'11.05'!BH16</f>
        <v>0</v>
      </c>
      <c r="BI16" s="22">
        <v>1367</v>
      </c>
      <c r="BJ16" s="23">
        <f>BI16+'11.05'!BJ16</f>
        <v>14300</v>
      </c>
      <c r="BK16" s="22">
        <v>37</v>
      </c>
      <c r="BL16" s="23">
        <f>BK16+'11.05'!BL16</f>
        <v>540</v>
      </c>
      <c r="BM16" s="22">
        <v>6</v>
      </c>
      <c r="BN16" s="23">
        <f>BM16+'11.05'!BN16</f>
        <v>59</v>
      </c>
      <c r="BO16" s="36">
        <v>2546</v>
      </c>
      <c r="BP16" s="37">
        <v>0</v>
      </c>
      <c r="BQ16" s="23">
        <f>BP16+'11.05'!BQ16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162</v>
      </c>
      <c r="D17" s="31">
        <f t="shared" si="0"/>
        <v>2052</v>
      </c>
      <c r="E17" s="32">
        <v>754</v>
      </c>
      <c r="F17" s="22">
        <v>141</v>
      </c>
      <c r="G17" s="23">
        <f>F17+'11.05'!G17</f>
        <v>1734</v>
      </c>
      <c r="H17" s="33">
        <v>9</v>
      </c>
      <c r="I17" s="34">
        <v>0</v>
      </c>
      <c r="J17" s="23">
        <f>I17+'11.05'!J17</f>
        <v>0</v>
      </c>
      <c r="K17" s="33">
        <v>5</v>
      </c>
      <c r="L17" s="22">
        <v>0</v>
      </c>
      <c r="M17" s="23">
        <f>L17+'11.05'!M17</f>
        <v>0</v>
      </c>
      <c r="N17" s="33">
        <v>768</v>
      </c>
      <c r="O17" s="22">
        <v>0</v>
      </c>
      <c r="P17" s="23">
        <f>O17+'11.05'!P17</f>
        <v>0</v>
      </c>
      <c r="Q17" s="33">
        <v>624</v>
      </c>
      <c r="R17" s="22">
        <v>0</v>
      </c>
      <c r="S17" s="23">
        <f>R17+'11.05'!S17</f>
        <v>0</v>
      </c>
      <c r="T17" s="33">
        <v>742</v>
      </c>
      <c r="U17" s="22">
        <v>0</v>
      </c>
      <c r="V17" s="23">
        <f>U17+'11.05'!V17</f>
        <v>0</v>
      </c>
      <c r="W17" s="33">
        <v>54</v>
      </c>
      <c r="X17" s="22">
        <v>11</v>
      </c>
      <c r="Y17" s="23">
        <f>X17+'11.05'!Y17</f>
        <v>176</v>
      </c>
      <c r="Z17" s="33">
        <v>66</v>
      </c>
      <c r="AA17" s="22">
        <v>0</v>
      </c>
      <c r="AB17" s="23">
        <f>AA17+'11.05'!AB17</f>
        <v>0</v>
      </c>
      <c r="AC17" s="33">
        <v>2580</v>
      </c>
      <c r="AD17" s="22">
        <v>10</v>
      </c>
      <c r="AE17" s="23">
        <f>AD17+'11.05'!AE17</f>
        <v>142</v>
      </c>
      <c r="AF17" s="19">
        <f t="shared" si="1"/>
        <v>109600</v>
      </c>
      <c r="AG17" s="20">
        <f t="shared" si="1"/>
        <v>1232900</v>
      </c>
      <c r="AH17" s="24">
        <v>6000</v>
      </c>
      <c r="AI17" s="23">
        <f>AH17+'11.05'!AI17</f>
        <v>76000</v>
      </c>
      <c r="AJ17" s="24">
        <v>10600</v>
      </c>
      <c r="AK17" s="23">
        <f>AJ17+'11.05'!AK17</f>
        <v>118900</v>
      </c>
      <c r="AL17" s="22">
        <v>24000</v>
      </c>
      <c r="AM17" s="23">
        <f>AL17+'11.05'!AM17</f>
        <v>266500</v>
      </c>
      <c r="AN17" s="22">
        <v>69000</v>
      </c>
      <c r="AO17" s="23">
        <f>AN17+'11.05'!AO17</f>
        <v>771500</v>
      </c>
      <c r="AP17" s="28" t="s">
        <v>52</v>
      </c>
      <c r="AQ17" s="19">
        <f t="shared" si="3"/>
        <v>22</v>
      </c>
      <c r="AR17" s="20">
        <f t="shared" si="3"/>
        <v>211</v>
      </c>
      <c r="AS17" s="34">
        <v>1</v>
      </c>
      <c r="AT17" s="23">
        <f>AS17+'11.05'!AT17</f>
        <v>14</v>
      </c>
      <c r="AU17" s="34">
        <v>1</v>
      </c>
      <c r="AV17" s="23">
        <f>AU17+'11.05'!AV17</f>
        <v>17</v>
      </c>
      <c r="AW17" s="34">
        <v>0</v>
      </c>
      <c r="AX17" s="23">
        <f>AW17+'11.05'!AX17</f>
        <v>0</v>
      </c>
      <c r="AY17" s="34">
        <v>0</v>
      </c>
      <c r="AZ17" s="23">
        <f>AY17+'11.05'!AZ17</f>
        <v>0</v>
      </c>
      <c r="BA17" s="34">
        <v>20</v>
      </c>
      <c r="BB17" s="23">
        <f>BA17+'11.05'!BB17</f>
        <v>180</v>
      </c>
      <c r="BC17" s="19">
        <f t="shared" si="5"/>
        <v>3251</v>
      </c>
      <c r="BD17" s="20">
        <f t="shared" si="5"/>
        <v>28931</v>
      </c>
      <c r="BE17" s="22">
        <v>40</v>
      </c>
      <c r="BF17" s="23">
        <f>BE17+'11.05'!BF17</f>
        <v>437</v>
      </c>
      <c r="BG17" s="34">
        <v>1</v>
      </c>
      <c r="BH17" s="23">
        <f>BG17+'11.05'!BH17</f>
        <v>14</v>
      </c>
      <c r="BI17" s="22">
        <v>2900</v>
      </c>
      <c r="BJ17" s="23">
        <f>BI17+'11.05'!BJ17</f>
        <v>25900</v>
      </c>
      <c r="BK17" s="22">
        <v>300</v>
      </c>
      <c r="BL17" s="23">
        <f>BK17+'11.05'!BL17</f>
        <v>2480</v>
      </c>
      <c r="BM17" s="22">
        <v>10</v>
      </c>
      <c r="BN17" s="23">
        <f>BM17+'11.05'!BN17</f>
        <v>100</v>
      </c>
      <c r="BO17" s="36">
        <v>8022</v>
      </c>
      <c r="BP17" s="37">
        <v>4</v>
      </c>
      <c r="BQ17" s="23">
        <f>BP17+'11.05'!BQ17</f>
        <v>46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205</v>
      </c>
      <c r="D18" s="20">
        <f t="shared" si="0"/>
        <v>3514</v>
      </c>
      <c r="E18" s="21">
        <v>1063</v>
      </c>
      <c r="F18" s="22">
        <v>125</v>
      </c>
      <c r="G18" s="23">
        <f>F18+'11.05'!G18</f>
        <v>2212</v>
      </c>
      <c r="H18" s="21">
        <v>19</v>
      </c>
      <c r="I18" s="22">
        <v>0</v>
      </c>
      <c r="J18" s="23">
        <f>I18+'11.05'!J18</f>
        <v>0</v>
      </c>
      <c r="K18" s="21">
        <v>8</v>
      </c>
      <c r="L18" s="22">
        <v>0</v>
      </c>
      <c r="M18" s="23">
        <f>L18+'11.05'!M18</f>
        <v>0</v>
      </c>
      <c r="N18" s="21">
        <v>1331</v>
      </c>
      <c r="O18" s="22">
        <v>0</v>
      </c>
      <c r="P18" s="23">
        <f>O18+'11.05'!P18</f>
        <v>0</v>
      </c>
      <c r="Q18" s="21">
        <v>777</v>
      </c>
      <c r="R18" s="22">
        <v>0</v>
      </c>
      <c r="S18" s="23">
        <f>R18+'11.05'!S18</f>
        <v>0</v>
      </c>
      <c r="T18" s="21">
        <v>318</v>
      </c>
      <c r="U18" s="22">
        <v>0</v>
      </c>
      <c r="V18" s="23">
        <f>U18+'11.05'!V18</f>
        <v>81</v>
      </c>
      <c r="W18" s="21">
        <v>60</v>
      </c>
      <c r="X18" s="22">
        <v>80</v>
      </c>
      <c r="Y18" s="23">
        <f>X18+'11.05'!Y18</f>
        <v>1221</v>
      </c>
      <c r="Z18" s="21">
        <v>72</v>
      </c>
      <c r="AA18" s="22">
        <v>0</v>
      </c>
      <c r="AB18" s="23">
        <f>AA18+'11.05'!AB18</f>
        <v>0</v>
      </c>
      <c r="AC18" s="21">
        <v>143</v>
      </c>
      <c r="AD18" s="22">
        <v>0</v>
      </c>
      <c r="AE18" s="23">
        <f>AD18+'11.05'!AE18</f>
        <v>0</v>
      </c>
      <c r="AF18" s="19">
        <f t="shared" si="1"/>
        <v>102940</v>
      </c>
      <c r="AG18" s="20">
        <f t="shared" si="1"/>
        <v>1851525</v>
      </c>
      <c r="AH18" s="24">
        <v>87</v>
      </c>
      <c r="AI18" s="23">
        <f>AH18+'11.05'!AI18</f>
        <v>3210</v>
      </c>
      <c r="AJ18" s="24">
        <v>1633</v>
      </c>
      <c r="AK18" s="23">
        <f>AJ18+'11.05'!AK18</f>
        <v>29852</v>
      </c>
      <c r="AL18" s="22">
        <v>1787</v>
      </c>
      <c r="AM18" s="23">
        <f>AL18+'11.05'!AM18</f>
        <v>34337</v>
      </c>
      <c r="AN18" s="22">
        <v>99433</v>
      </c>
      <c r="AO18" s="23">
        <f>AN18+'11.05'!AO18</f>
        <v>1784126</v>
      </c>
      <c r="AP18" s="17" t="s">
        <v>53</v>
      </c>
      <c r="AQ18" s="19">
        <f t="shared" si="3"/>
        <v>1</v>
      </c>
      <c r="AR18" s="20">
        <f t="shared" si="3"/>
        <v>19</v>
      </c>
      <c r="AS18" s="22">
        <v>0</v>
      </c>
      <c r="AT18" s="23">
        <f>AS18+'11.05'!AT18</f>
        <v>2</v>
      </c>
      <c r="AU18" s="22">
        <v>0</v>
      </c>
      <c r="AV18" s="23">
        <f>AU18+'11.05'!AV18</f>
        <v>0</v>
      </c>
      <c r="AW18" s="22">
        <v>0</v>
      </c>
      <c r="AX18" s="23">
        <f>AW18+'11.05'!AX18</f>
        <v>0</v>
      </c>
      <c r="AY18" s="22">
        <v>0</v>
      </c>
      <c r="AZ18" s="23">
        <f>AY18+'11.05'!AZ18</f>
        <v>0</v>
      </c>
      <c r="BA18" s="22">
        <v>1</v>
      </c>
      <c r="BB18" s="23">
        <f>BA18+'11.05'!BB18</f>
        <v>17</v>
      </c>
      <c r="BC18" s="19">
        <f t="shared" si="5"/>
        <v>193</v>
      </c>
      <c r="BD18" s="20">
        <f t="shared" si="5"/>
        <v>9061</v>
      </c>
      <c r="BE18" s="22">
        <v>1</v>
      </c>
      <c r="BF18" s="23">
        <f>BE18+'11.05'!BF18</f>
        <v>13</v>
      </c>
      <c r="BG18" s="22">
        <v>0</v>
      </c>
      <c r="BH18" s="23">
        <f>BG18+'11.05'!BH18</f>
        <v>388</v>
      </c>
      <c r="BI18" s="22">
        <v>115</v>
      </c>
      <c r="BJ18" s="23">
        <f>BI18+'11.05'!BJ18</f>
        <v>7576</v>
      </c>
      <c r="BK18" s="22">
        <v>60</v>
      </c>
      <c r="BL18" s="23">
        <f>BK18+'11.05'!BL18</f>
        <v>961</v>
      </c>
      <c r="BM18" s="22">
        <v>17</v>
      </c>
      <c r="BN18" s="23">
        <f>BM18+'11.05'!BN18</f>
        <v>123</v>
      </c>
      <c r="BO18" s="36">
        <v>442</v>
      </c>
      <c r="BP18" s="37">
        <v>1</v>
      </c>
      <c r="BQ18" s="23">
        <f>BP18+'11.05'!BQ18</f>
        <v>34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38</v>
      </c>
      <c r="D19" s="31">
        <f t="shared" si="0"/>
        <v>427</v>
      </c>
      <c r="E19" s="33">
        <v>221</v>
      </c>
      <c r="F19" s="22">
        <v>6</v>
      </c>
      <c r="G19" s="23">
        <f>F19+'11.05'!G19</f>
        <v>87</v>
      </c>
      <c r="H19" s="33">
        <v>5</v>
      </c>
      <c r="I19" s="34">
        <v>0</v>
      </c>
      <c r="J19" s="23">
        <f>I19+'11.05'!J19</f>
        <v>0</v>
      </c>
      <c r="K19" s="33">
        <v>4</v>
      </c>
      <c r="L19" s="22">
        <v>0</v>
      </c>
      <c r="M19" s="23">
        <f>L19+'11.05'!M19</f>
        <v>0</v>
      </c>
      <c r="N19" s="33">
        <v>313</v>
      </c>
      <c r="O19" s="22">
        <v>15</v>
      </c>
      <c r="P19" s="23">
        <f>O19+'11.05'!P19</f>
        <v>120</v>
      </c>
      <c r="Q19" s="33">
        <v>203</v>
      </c>
      <c r="R19" s="22">
        <v>0</v>
      </c>
      <c r="S19" s="23">
        <f>R19+'11.05'!S19</f>
        <v>0</v>
      </c>
      <c r="T19" s="33">
        <v>241</v>
      </c>
      <c r="U19" s="22">
        <v>0</v>
      </c>
      <c r="V19" s="23">
        <f>U19+'11.05'!V19</f>
        <v>0</v>
      </c>
      <c r="W19" s="33">
        <v>14</v>
      </c>
      <c r="X19" s="22">
        <v>17</v>
      </c>
      <c r="Y19" s="23">
        <f>X19+'11.05'!Y19</f>
        <v>157</v>
      </c>
      <c r="Z19" s="33">
        <v>7</v>
      </c>
      <c r="AA19" s="22">
        <v>0</v>
      </c>
      <c r="AB19" s="23">
        <f>AA19+'11.05'!AB19</f>
        <v>0</v>
      </c>
      <c r="AC19" s="33">
        <v>32</v>
      </c>
      <c r="AD19" s="22">
        <v>0</v>
      </c>
      <c r="AE19" s="23">
        <f>AD19+'11.05'!AE19</f>
        <v>63</v>
      </c>
      <c r="AF19" s="19">
        <f t="shared" si="1"/>
        <v>4750</v>
      </c>
      <c r="AG19" s="20">
        <f t="shared" si="1"/>
        <v>38650</v>
      </c>
      <c r="AH19" s="24">
        <v>575</v>
      </c>
      <c r="AI19" s="23">
        <f>AH19+'11.05'!AI19</f>
        <v>6525</v>
      </c>
      <c r="AJ19" s="24">
        <v>575</v>
      </c>
      <c r="AK19" s="23">
        <f>AJ19+'11.05'!AK19</f>
        <v>6525</v>
      </c>
      <c r="AL19" s="22">
        <v>1800</v>
      </c>
      <c r="AM19" s="23">
        <f>AL19+'11.05'!AM19</f>
        <v>12800</v>
      </c>
      <c r="AN19" s="22">
        <v>1800</v>
      </c>
      <c r="AO19" s="23">
        <f>AN19+'11.05'!AO19</f>
        <v>12800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AS19+'11.05'!AT19</f>
        <v>0</v>
      </c>
      <c r="AU19" s="34">
        <v>0</v>
      </c>
      <c r="AV19" s="23">
        <f>AU19+'11.05'!AV19</f>
        <v>2</v>
      </c>
      <c r="AW19" s="34">
        <v>0</v>
      </c>
      <c r="AX19" s="23">
        <f>AW19+'11.05'!AX19</f>
        <v>0</v>
      </c>
      <c r="AY19" s="34">
        <v>0</v>
      </c>
      <c r="AZ19" s="23">
        <f>AY19+'11.05'!AZ19</f>
        <v>0</v>
      </c>
      <c r="BA19" s="34">
        <v>0</v>
      </c>
      <c r="BB19" s="23">
        <f>BA19+'11.05'!BB19</f>
        <v>0</v>
      </c>
      <c r="BC19" s="19">
        <f t="shared" si="5"/>
        <v>1119</v>
      </c>
      <c r="BD19" s="20">
        <f t="shared" si="5"/>
        <v>13242</v>
      </c>
      <c r="BE19" s="22">
        <v>14</v>
      </c>
      <c r="BF19" s="23">
        <f>BE19+'11.05'!BF19</f>
        <v>166</v>
      </c>
      <c r="BG19" s="34">
        <v>0</v>
      </c>
      <c r="BH19" s="23">
        <f>BG19+'11.05'!BH19</f>
        <v>4</v>
      </c>
      <c r="BI19" s="22">
        <v>1000</v>
      </c>
      <c r="BJ19" s="23">
        <f>BI19+'11.05'!BJ19</f>
        <v>11600</v>
      </c>
      <c r="BK19" s="22">
        <v>100</v>
      </c>
      <c r="BL19" s="23">
        <f>BK19+'11.05'!BL19</f>
        <v>1400</v>
      </c>
      <c r="BM19" s="22">
        <v>5</v>
      </c>
      <c r="BN19" s="23">
        <f>BM19+'11.05'!BN19</f>
        <v>72</v>
      </c>
      <c r="BO19" s="36">
        <v>2898</v>
      </c>
      <c r="BP19" s="37">
        <v>0</v>
      </c>
      <c r="BQ19" s="23">
        <f>BP19+'11.05'!BQ19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308</v>
      </c>
      <c r="D20" s="31">
        <f t="shared" si="0"/>
        <v>3677</v>
      </c>
      <c r="E20" s="32">
        <v>723</v>
      </c>
      <c r="F20" s="22">
        <v>168</v>
      </c>
      <c r="G20" s="23">
        <f>F20+'11.05'!G20</f>
        <v>2046</v>
      </c>
      <c r="H20" s="33">
        <v>5</v>
      </c>
      <c r="I20" s="34">
        <v>1</v>
      </c>
      <c r="J20" s="23">
        <f>I20+'11.05'!J20</f>
        <v>12</v>
      </c>
      <c r="K20" s="33">
        <v>3</v>
      </c>
      <c r="L20" s="22">
        <v>0</v>
      </c>
      <c r="M20" s="23">
        <f>L20+'11.05'!M20</f>
        <v>0</v>
      </c>
      <c r="N20" s="33">
        <v>975</v>
      </c>
      <c r="O20" s="22">
        <v>78</v>
      </c>
      <c r="P20" s="23">
        <f>O20+'11.05'!P20</f>
        <v>784</v>
      </c>
      <c r="Q20" s="61">
        <v>1862</v>
      </c>
      <c r="R20" s="22">
        <v>1</v>
      </c>
      <c r="S20" s="23">
        <f>R20+'11.05'!S20</f>
        <v>14</v>
      </c>
      <c r="T20" s="33">
        <v>35</v>
      </c>
      <c r="U20" s="22">
        <v>1</v>
      </c>
      <c r="V20" s="23">
        <f>U20+'11.05'!V20</f>
        <v>12</v>
      </c>
      <c r="W20" s="33">
        <v>64</v>
      </c>
      <c r="X20" s="22">
        <v>1</v>
      </c>
      <c r="Y20" s="23">
        <f>X20+'11.05'!Y20</f>
        <v>14</v>
      </c>
      <c r="Z20" s="33">
        <v>15</v>
      </c>
      <c r="AA20" s="22">
        <v>2</v>
      </c>
      <c r="AB20" s="23">
        <f>AA20+'11.05'!AB20</f>
        <v>17</v>
      </c>
      <c r="AC20" s="33">
        <v>1546</v>
      </c>
      <c r="AD20" s="22">
        <v>56</v>
      </c>
      <c r="AE20" s="23">
        <f>AD20+'11.05'!AE20</f>
        <v>778</v>
      </c>
      <c r="AF20" s="19">
        <f t="shared" si="1"/>
        <v>18310</v>
      </c>
      <c r="AG20" s="20">
        <f t="shared" si="1"/>
        <v>211834</v>
      </c>
      <c r="AH20" s="24">
        <v>7670</v>
      </c>
      <c r="AI20" s="23">
        <f>AH20+'11.05'!AI20</f>
        <v>95242</v>
      </c>
      <c r="AJ20" s="24">
        <v>9690</v>
      </c>
      <c r="AK20" s="23">
        <f>AJ20+'11.05'!AK20</f>
        <v>106682</v>
      </c>
      <c r="AL20" s="22">
        <v>550</v>
      </c>
      <c r="AM20" s="23">
        <f>AL20+'11.05'!AM20</f>
        <v>5500</v>
      </c>
      <c r="AN20" s="22">
        <v>400</v>
      </c>
      <c r="AO20" s="23">
        <f>AN20+'11.05'!AO20</f>
        <v>4410</v>
      </c>
      <c r="AP20" s="28" t="s">
        <v>55</v>
      </c>
      <c r="AQ20" s="19">
        <f t="shared" si="3"/>
        <v>159</v>
      </c>
      <c r="AR20" s="20">
        <f t="shared" si="3"/>
        <v>1966</v>
      </c>
      <c r="AS20" s="34">
        <v>1</v>
      </c>
      <c r="AT20" s="23">
        <f>AS20+'11.05'!AT20</f>
        <v>12</v>
      </c>
      <c r="AU20" s="34">
        <v>0</v>
      </c>
      <c r="AV20" s="23">
        <f>AU20+'11.05'!AV20</f>
        <v>0</v>
      </c>
      <c r="AW20" s="34">
        <v>0</v>
      </c>
      <c r="AX20" s="23">
        <f>AW20+'11.05'!AX20</f>
        <v>0</v>
      </c>
      <c r="AY20" s="34">
        <v>0</v>
      </c>
      <c r="AZ20" s="23">
        <f>AY20+'11.05'!AZ20</f>
        <v>0</v>
      </c>
      <c r="BA20" s="34">
        <v>158</v>
      </c>
      <c r="BB20" s="23">
        <f>BA20+'11.05'!BB20</f>
        <v>1954</v>
      </c>
      <c r="BC20" s="19">
        <f t="shared" si="5"/>
        <v>3263</v>
      </c>
      <c r="BD20" s="20">
        <f t="shared" si="5"/>
        <v>40954</v>
      </c>
      <c r="BE20" s="22">
        <v>2</v>
      </c>
      <c r="BF20" s="23">
        <f>BE20+'11.05'!BF20</f>
        <v>24</v>
      </c>
      <c r="BG20" s="34">
        <v>0</v>
      </c>
      <c r="BH20" s="23">
        <f>BG20+'11.05'!BH20</f>
        <v>0</v>
      </c>
      <c r="BI20" s="22">
        <v>1685</v>
      </c>
      <c r="BJ20" s="23">
        <f>BI20+'11.05'!BJ20</f>
        <v>20569</v>
      </c>
      <c r="BK20" s="22">
        <v>1575</v>
      </c>
      <c r="BL20" s="23">
        <f>BK20+'11.05'!BL20</f>
        <v>20350</v>
      </c>
      <c r="BM20" s="22">
        <v>1</v>
      </c>
      <c r="BN20" s="23">
        <f>BM20+'11.05'!BN20</f>
        <v>11</v>
      </c>
      <c r="BO20" s="36">
        <v>5854</v>
      </c>
      <c r="BP20" s="37">
        <v>0</v>
      </c>
      <c r="BQ20" s="23">
        <f>BP20+'11.05'!BQ20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216</v>
      </c>
      <c r="D21" s="31">
        <f t="shared" si="0"/>
        <v>2682</v>
      </c>
      <c r="E21" s="32">
        <v>1017</v>
      </c>
      <c r="F21" s="22">
        <v>145</v>
      </c>
      <c r="G21" s="23">
        <f>F21+'11.05'!G21</f>
        <v>1837</v>
      </c>
      <c r="H21" s="33">
        <v>8</v>
      </c>
      <c r="I21" s="34">
        <v>25</v>
      </c>
      <c r="J21" s="23">
        <f>I21+'11.05'!J21</f>
        <v>81</v>
      </c>
      <c r="K21" s="33">
        <v>4</v>
      </c>
      <c r="L21" s="22">
        <v>0</v>
      </c>
      <c r="M21" s="23">
        <f>L21+'11.05'!M21</f>
        <v>20</v>
      </c>
      <c r="N21" s="33">
        <v>963</v>
      </c>
      <c r="O21" s="22">
        <v>12</v>
      </c>
      <c r="P21" s="23">
        <f>O21+'11.05'!P21</f>
        <v>31</v>
      </c>
      <c r="Q21" s="33">
        <v>912</v>
      </c>
      <c r="R21" s="22">
        <v>0</v>
      </c>
      <c r="S21" s="23">
        <f>R21+'11.05'!S21</f>
        <v>0</v>
      </c>
      <c r="T21" s="33">
        <v>199</v>
      </c>
      <c r="U21" s="22">
        <v>15</v>
      </c>
      <c r="V21" s="23">
        <f>U21+'11.05'!V21</f>
        <v>66</v>
      </c>
      <c r="W21" s="33">
        <v>101</v>
      </c>
      <c r="X21" s="22">
        <v>9</v>
      </c>
      <c r="Y21" s="23">
        <f>X21+'11.05'!Y21</f>
        <v>116</v>
      </c>
      <c r="Z21" s="33">
        <v>42</v>
      </c>
      <c r="AA21" s="22">
        <v>0</v>
      </c>
      <c r="AB21" s="23">
        <f>AA21+'11.05'!AB21</f>
        <v>1</v>
      </c>
      <c r="AC21" s="33">
        <v>20</v>
      </c>
      <c r="AD21" s="22">
        <v>10</v>
      </c>
      <c r="AE21" s="23">
        <f>AD21+'11.05'!AE21</f>
        <v>530</v>
      </c>
      <c r="AF21" s="19">
        <f t="shared" si="1"/>
        <v>1000130</v>
      </c>
      <c r="AG21" s="20">
        <f t="shared" si="1"/>
        <v>13000280</v>
      </c>
      <c r="AH21" s="24">
        <v>980</v>
      </c>
      <c r="AI21" s="23">
        <f>AH21+'11.05'!AI21</f>
        <v>15030</v>
      </c>
      <c r="AJ21" s="24">
        <v>98000</v>
      </c>
      <c r="AK21" s="23">
        <f>AJ21+'11.05'!AK21</f>
        <v>2183000</v>
      </c>
      <c r="AL21" s="22">
        <v>1150</v>
      </c>
      <c r="AM21" s="23">
        <f>AL21+'11.05'!AM21</f>
        <v>23750</v>
      </c>
      <c r="AN21" s="22">
        <v>900000</v>
      </c>
      <c r="AO21" s="23">
        <f>AN21+'11.05'!AO21</f>
        <v>10778500</v>
      </c>
      <c r="AP21" s="28" t="s">
        <v>58</v>
      </c>
      <c r="AQ21" s="19">
        <f t="shared" si="3"/>
        <v>3</v>
      </c>
      <c r="AR21" s="20">
        <f t="shared" si="3"/>
        <v>81</v>
      </c>
      <c r="AS21" s="34">
        <v>0</v>
      </c>
      <c r="AT21" s="23">
        <f>AS21+'11.05'!AT21</f>
        <v>2</v>
      </c>
      <c r="AU21" s="34">
        <v>0</v>
      </c>
      <c r="AV21" s="23">
        <f>AU21+'11.05'!AV21</f>
        <v>28</v>
      </c>
      <c r="AW21" s="34">
        <v>0</v>
      </c>
      <c r="AX21" s="23">
        <f>AW21+'11.05'!AX21</f>
        <v>0</v>
      </c>
      <c r="AY21" s="34">
        <v>0</v>
      </c>
      <c r="AZ21" s="23">
        <f>AY21+'11.05'!AZ21</f>
        <v>0</v>
      </c>
      <c r="BA21" s="34">
        <v>3</v>
      </c>
      <c r="BB21" s="23">
        <f>BA21+'11.05'!BB21</f>
        <v>51</v>
      </c>
      <c r="BC21" s="19">
        <f t="shared" si="5"/>
        <v>1240</v>
      </c>
      <c r="BD21" s="20">
        <f t="shared" si="5"/>
        <v>25182</v>
      </c>
      <c r="BE21" s="22">
        <v>78</v>
      </c>
      <c r="BF21" s="23">
        <f>BE21+'11.05'!BF21</f>
        <v>642</v>
      </c>
      <c r="BG21" s="34">
        <v>0</v>
      </c>
      <c r="BH21" s="23">
        <f>BG21+'11.05'!BH21</f>
        <v>0</v>
      </c>
      <c r="BI21" s="22">
        <v>1150</v>
      </c>
      <c r="BJ21" s="23">
        <f>BI21+'11.05'!BJ21</f>
        <v>24450</v>
      </c>
      <c r="BK21" s="22">
        <v>0</v>
      </c>
      <c r="BL21" s="23">
        <f>BK21+'11.05'!BL21</f>
        <v>0</v>
      </c>
      <c r="BM21" s="22">
        <v>12</v>
      </c>
      <c r="BN21" s="23">
        <f>BM21+'11.05'!BN21</f>
        <v>90</v>
      </c>
      <c r="BO21" s="36">
        <v>68</v>
      </c>
      <c r="BP21" s="37">
        <v>3</v>
      </c>
      <c r="BQ21" s="23">
        <f>BP21+'11.05'!BQ21</f>
        <v>19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2366</v>
      </c>
      <c r="D22" s="31">
        <f t="shared" si="0"/>
        <v>25360</v>
      </c>
      <c r="E22" s="32">
        <v>509</v>
      </c>
      <c r="F22" s="22">
        <v>357</v>
      </c>
      <c r="G22" s="23">
        <f>F22+'11.05'!G22</f>
        <v>3813</v>
      </c>
      <c r="H22" s="33">
        <v>8</v>
      </c>
      <c r="I22" s="34">
        <v>0</v>
      </c>
      <c r="J22" s="23">
        <f>I22+'11.05'!J22</f>
        <v>23</v>
      </c>
      <c r="K22" s="33">
        <v>21</v>
      </c>
      <c r="L22" s="22">
        <v>0</v>
      </c>
      <c r="M22" s="23">
        <f>L22+'11.05'!M22</f>
        <v>0</v>
      </c>
      <c r="N22" s="33">
        <v>560</v>
      </c>
      <c r="O22" s="22">
        <v>56</v>
      </c>
      <c r="P22" s="23">
        <f>O22+'11.05'!P22</f>
        <v>571</v>
      </c>
      <c r="Q22" s="33">
        <v>375</v>
      </c>
      <c r="R22" s="22">
        <v>0</v>
      </c>
      <c r="S22" s="23">
        <f>R22+'11.05'!S22</f>
        <v>0</v>
      </c>
      <c r="T22" s="33">
        <v>165</v>
      </c>
      <c r="U22" s="22">
        <v>22</v>
      </c>
      <c r="V22" s="23">
        <f>U22+'11.05'!V22</f>
        <v>276</v>
      </c>
      <c r="W22" s="33">
        <v>28</v>
      </c>
      <c r="X22" s="22">
        <v>81</v>
      </c>
      <c r="Y22" s="23">
        <f>X22+'11.05'!Y22</f>
        <v>869</v>
      </c>
      <c r="Z22" s="33">
        <v>9</v>
      </c>
      <c r="AA22" s="22">
        <v>0</v>
      </c>
      <c r="AB22" s="23">
        <f>AA22+'11.05'!AB22</f>
        <v>0</v>
      </c>
      <c r="AC22" s="33">
        <v>112</v>
      </c>
      <c r="AD22" s="22">
        <v>1850</v>
      </c>
      <c r="AE22" s="23">
        <f>AD22+'11.05'!AE22</f>
        <v>19808</v>
      </c>
      <c r="AF22" s="19">
        <f t="shared" si="1"/>
        <v>375548</v>
      </c>
      <c r="AG22" s="20">
        <f t="shared" si="1"/>
        <v>5082259</v>
      </c>
      <c r="AH22" s="24">
        <v>3107</v>
      </c>
      <c r="AI22" s="23">
        <f>AH22+'11.05'!AI22</f>
        <v>30090</v>
      </c>
      <c r="AJ22" s="24">
        <v>6089</v>
      </c>
      <c r="AK22" s="23">
        <f>AJ22+'11.05'!AK22</f>
        <v>68766</v>
      </c>
      <c r="AL22" s="22">
        <v>10880</v>
      </c>
      <c r="AM22" s="23">
        <f>AL22+'11.05'!AM22</f>
        <v>122252</v>
      </c>
      <c r="AN22" s="22">
        <v>355472</v>
      </c>
      <c r="AO22" s="23">
        <f>AN22+'11.05'!AO22</f>
        <v>4861151</v>
      </c>
      <c r="AP22" s="28" t="s">
        <v>59</v>
      </c>
      <c r="AQ22" s="19">
        <f t="shared" si="3"/>
        <v>862</v>
      </c>
      <c r="AR22" s="20">
        <f t="shared" si="3"/>
        <v>27215</v>
      </c>
      <c r="AS22" s="34">
        <v>0</v>
      </c>
      <c r="AT22" s="23">
        <f>AS22+'11.05'!AT22</f>
        <v>5</v>
      </c>
      <c r="AU22" s="34">
        <v>0</v>
      </c>
      <c r="AV22" s="23">
        <f>AU22+'11.05'!AV22</f>
        <v>5</v>
      </c>
      <c r="AW22" s="34">
        <v>0</v>
      </c>
      <c r="AX22" s="23">
        <f>AW22+'11.05'!AX22</f>
        <v>2</v>
      </c>
      <c r="AY22" s="34">
        <v>0</v>
      </c>
      <c r="AZ22" s="23">
        <f>AY22+'11.05'!AZ22</f>
        <v>1</v>
      </c>
      <c r="BA22" s="34">
        <v>862</v>
      </c>
      <c r="BB22" s="23">
        <f>BA22+'11.05'!BB22</f>
        <v>27202</v>
      </c>
      <c r="BC22" s="19">
        <f t="shared" si="5"/>
        <v>6464</v>
      </c>
      <c r="BD22" s="20">
        <f t="shared" si="5"/>
        <v>87315</v>
      </c>
      <c r="BE22" s="22">
        <v>8</v>
      </c>
      <c r="BF22" s="23">
        <f>BE22+'11.05'!BF22</f>
        <v>63</v>
      </c>
      <c r="BG22" s="34">
        <v>73</v>
      </c>
      <c r="BH22" s="23">
        <f>BG22+'11.05'!BH22</f>
        <v>801</v>
      </c>
      <c r="BI22" s="22">
        <v>3051</v>
      </c>
      <c r="BJ22" s="23">
        <f>BI22+'11.05'!BJ22</f>
        <v>68254</v>
      </c>
      <c r="BK22" s="22">
        <v>3264</v>
      </c>
      <c r="BL22" s="23">
        <f>BK22+'11.05'!BL22</f>
        <v>17744</v>
      </c>
      <c r="BM22" s="22">
        <v>68</v>
      </c>
      <c r="BN22" s="23">
        <f>BM22+'11.05'!BN22</f>
        <v>453</v>
      </c>
      <c r="BO22" s="36">
        <v>26</v>
      </c>
      <c r="BP22" s="37">
        <v>0</v>
      </c>
      <c r="BQ22" s="23">
        <f>BP22+'11.05'!BQ22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4356</v>
      </c>
      <c r="D23" s="65">
        <f t="shared" si="0"/>
        <v>50584</v>
      </c>
      <c r="E23" s="66">
        <f>+E18+E19+E22+E17+E16+E15+E14+E13+E12+E11+E10+E9+E8</f>
        <v>7282</v>
      </c>
      <c r="F23" s="67">
        <f t="shared" ref="F23:J23" si="7">SUM(F8:F22)</f>
        <v>1519</v>
      </c>
      <c r="G23" s="68">
        <f t="shared" si="7"/>
        <v>18466</v>
      </c>
      <c r="H23" s="66">
        <f>+H18+H19+H22+H17+H16+H15+H14+H13+H12+H11+H10+H9+H8</f>
        <v>271</v>
      </c>
      <c r="I23" s="67">
        <f t="shared" si="7"/>
        <v>30</v>
      </c>
      <c r="J23" s="68">
        <f t="shared" si="7"/>
        <v>168</v>
      </c>
      <c r="K23" s="66">
        <f>+K18+K19+K22+K17+K16+K15+K14+K13+K12+K11+K10+K9+K8</f>
        <v>163</v>
      </c>
      <c r="L23" s="67">
        <f t="shared" ref="L23:P23" si="8">SUM(L8:L22)</f>
        <v>1</v>
      </c>
      <c r="M23" s="68">
        <f t="shared" si="8"/>
        <v>28</v>
      </c>
      <c r="N23" s="66">
        <f>+N18+N19+N22+N17+N16+N15+N14+N13+N12+N11+N10+N9+N8</f>
        <v>8607</v>
      </c>
      <c r="O23" s="67">
        <f t="shared" si="8"/>
        <v>197</v>
      </c>
      <c r="P23" s="68">
        <f t="shared" si="8"/>
        <v>1754</v>
      </c>
      <c r="Q23" s="66">
        <f>+Q18+Q19+Q22+Q17+Q16+Q15+Q14+Q13+Q12+Q11+Q10+Q9+Q8</f>
        <v>7474</v>
      </c>
      <c r="R23" s="67">
        <f t="shared" ref="R23:V23" si="9">SUM(R8:R22)</f>
        <v>10</v>
      </c>
      <c r="S23" s="68">
        <f t="shared" si="9"/>
        <v>71</v>
      </c>
      <c r="T23" s="66">
        <f>+T18+T19+T22+T17+T16+T15+T14+T13+T12+T11+T10+T9+T8</f>
        <v>4115</v>
      </c>
      <c r="U23" s="67">
        <f t="shared" si="9"/>
        <v>41</v>
      </c>
      <c r="V23" s="68">
        <f t="shared" si="9"/>
        <v>469</v>
      </c>
      <c r="W23" s="66">
        <f>+W18+W19+W22+W17+W16+W15+W14+W13+W12+W11+W10+W9+W8</f>
        <v>604</v>
      </c>
      <c r="X23" s="67">
        <f t="shared" ref="X23:AB23" si="10">SUM(X8:X22)</f>
        <v>388</v>
      </c>
      <c r="Y23" s="68">
        <f t="shared" si="10"/>
        <v>4868</v>
      </c>
      <c r="Z23" s="66">
        <f>+Z18+Z19+Z22+Z17+Z16+Z15+Z14+Z13+Z12+Z11+Z10+Z9+Z8</f>
        <v>1629</v>
      </c>
      <c r="AA23" s="67">
        <f t="shared" si="10"/>
        <v>3</v>
      </c>
      <c r="AB23" s="68">
        <f t="shared" si="10"/>
        <v>45</v>
      </c>
      <c r="AC23" s="66">
        <f>+AC18+AC19+AC22+AC17+AC16+AC15+AC14+AC13+AC12+AC11+AC10+AC9+AC8</f>
        <v>64846</v>
      </c>
      <c r="AD23" s="67">
        <f t="shared" ref="AD23:AO23" si="11">SUM(AD8:AD22)</f>
        <v>2167</v>
      </c>
      <c r="AE23" s="68">
        <f t="shared" si="11"/>
        <v>24715</v>
      </c>
      <c r="AF23" s="64">
        <f t="shared" si="11"/>
        <v>4198877</v>
      </c>
      <c r="AG23" s="64">
        <f t="shared" si="11"/>
        <v>57229273</v>
      </c>
      <c r="AH23" s="67">
        <f t="shared" si="11"/>
        <v>33924</v>
      </c>
      <c r="AI23" s="68">
        <f t="shared" si="11"/>
        <v>364614</v>
      </c>
      <c r="AJ23" s="67">
        <f t="shared" si="11"/>
        <v>172705</v>
      </c>
      <c r="AK23" s="68">
        <f t="shared" si="11"/>
        <v>2950805</v>
      </c>
      <c r="AL23" s="67">
        <f t="shared" si="11"/>
        <v>1098159</v>
      </c>
      <c r="AM23" s="68">
        <f t="shared" si="11"/>
        <v>19956747</v>
      </c>
      <c r="AN23" s="67">
        <f t="shared" si="11"/>
        <v>2894089</v>
      </c>
      <c r="AO23" s="68">
        <f t="shared" si="11"/>
        <v>33957107</v>
      </c>
      <c r="AP23" s="62" t="s">
        <v>12</v>
      </c>
      <c r="AQ23" s="64">
        <f t="shared" ref="AQ23:BP23" si="12">SUM(AQ8:AQ22)</f>
        <v>1752</v>
      </c>
      <c r="AR23" s="64">
        <f t="shared" si="12"/>
        <v>33793</v>
      </c>
      <c r="AS23" s="67">
        <f t="shared" si="12"/>
        <v>3</v>
      </c>
      <c r="AT23" s="68">
        <f t="shared" si="12"/>
        <v>53</v>
      </c>
      <c r="AU23" s="67">
        <f t="shared" si="12"/>
        <v>5</v>
      </c>
      <c r="AV23" s="68">
        <f t="shared" si="12"/>
        <v>75</v>
      </c>
      <c r="AW23" s="67">
        <f t="shared" si="12"/>
        <v>1</v>
      </c>
      <c r="AX23" s="68">
        <f t="shared" si="12"/>
        <v>7</v>
      </c>
      <c r="AY23" s="67">
        <f t="shared" si="12"/>
        <v>0</v>
      </c>
      <c r="AZ23" s="68">
        <f t="shared" si="12"/>
        <v>2</v>
      </c>
      <c r="BA23" s="67">
        <f t="shared" si="12"/>
        <v>1743</v>
      </c>
      <c r="BB23" s="68">
        <f t="shared" si="12"/>
        <v>33656</v>
      </c>
      <c r="BC23" s="64">
        <f t="shared" si="12"/>
        <v>43564</v>
      </c>
      <c r="BD23" s="64">
        <f t="shared" si="12"/>
        <v>484263</v>
      </c>
      <c r="BE23" s="67">
        <f t="shared" si="12"/>
        <v>1445</v>
      </c>
      <c r="BF23" s="68">
        <f t="shared" si="12"/>
        <v>17981</v>
      </c>
      <c r="BG23" s="67">
        <f t="shared" si="12"/>
        <v>106</v>
      </c>
      <c r="BH23" s="68">
        <f t="shared" si="12"/>
        <v>1561</v>
      </c>
      <c r="BI23" s="67">
        <f t="shared" si="12"/>
        <v>33983</v>
      </c>
      <c r="BJ23" s="68">
        <f t="shared" si="12"/>
        <v>392510</v>
      </c>
      <c r="BK23" s="67">
        <f t="shared" si="12"/>
        <v>7766</v>
      </c>
      <c r="BL23" s="68">
        <f t="shared" si="12"/>
        <v>69999</v>
      </c>
      <c r="BM23" s="67">
        <f t="shared" si="12"/>
        <v>264</v>
      </c>
      <c r="BN23" s="68">
        <f t="shared" si="12"/>
        <v>2212</v>
      </c>
      <c r="BO23" s="69">
        <f t="shared" si="12"/>
        <v>37704</v>
      </c>
      <c r="BP23" s="70">
        <f t="shared" si="12"/>
        <v>16</v>
      </c>
      <c r="BQ23" s="23">
        <f>BP23+'20.04'!BP23</f>
        <v>42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BR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76</v>
      </c>
      <c r="E9" s="32">
        <v>452</v>
      </c>
      <c r="F9" s="22">
        <v>3</v>
      </c>
      <c r="G9" s="23">
        <f>F9+'12.05'!G9</f>
        <v>39</v>
      </c>
      <c r="H9" s="33">
        <v>12</v>
      </c>
      <c r="I9" s="34">
        <v>1</v>
      </c>
      <c r="J9" s="23">
        <f>I9+'12.05'!J9</f>
        <v>10</v>
      </c>
      <c r="K9" s="33">
        <v>2</v>
      </c>
      <c r="L9" s="22">
        <v>0</v>
      </c>
      <c r="M9" s="23">
        <f>L9+'12.05'!M9</f>
        <v>0</v>
      </c>
      <c r="N9" s="33">
        <v>735</v>
      </c>
      <c r="O9" s="22">
        <v>0</v>
      </c>
      <c r="P9" s="23">
        <f>O9+'12.05'!P9</f>
        <v>0</v>
      </c>
      <c r="Q9" s="33">
        <v>502</v>
      </c>
      <c r="R9" s="22">
        <v>0</v>
      </c>
      <c r="S9" s="23">
        <f>R9+'12.05'!S9</f>
        <v>0</v>
      </c>
      <c r="T9" s="33">
        <v>197</v>
      </c>
      <c r="U9" s="22">
        <v>0</v>
      </c>
      <c r="V9" s="23">
        <f>U9+'12.05'!V9</f>
        <v>0</v>
      </c>
      <c r="W9" s="33">
        <v>47</v>
      </c>
      <c r="X9" s="22">
        <v>0</v>
      </c>
      <c r="Y9" s="23">
        <f>X9+'12.05'!Y9</f>
        <v>15</v>
      </c>
      <c r="Z9" s="33">
        <v>34</v>
      </c>
      <c r="AA9" s="22">
        <v>0</v>
      </c>
      <c r="AB9" s="23">
        <f>AA9+'12.05'!AB9</f>
        <v>0</v>
      </c>
      <c r="AC9" s="33">
        <v>1860</v>
      </c>
      <c r="AD9" s="22">
        <v>0</v>
      </c>
      <c r="AE9" s="23">
        <f>AD9+'12.05'!AE9</f>
        <v>12</v>
      </c>
      <c r="AF9" s="19">
        <f t="shared" si="1"/>
        <v>8641</v>
      </c>
      <c r="AG9" s="20">
        <f t="shared" si="1"/>
        <v>114670</v>
      </c>
      <c r="AH9" s="24">
        <v>121</v>
      </c>
      <c r="AI9" s="23">
        <f>AH9+'12.05'!AI9</f>
        <v>1472</v>
      </c>
      <c r="AJ9" s="24">
        <v>330</v>
      </c>
      <c r="AK9" s="23">
        <f>AJ9+'12.05'!AK9</f>
        <v>11503</v>
      </c>
      <c r="AL9" s="22">
        <v>1340</v>
      </c>
      <c r="AM9" s="23">
        <f>AL9+'12.05'!AM9</f>
        <v>12825</v>
      </c>
      <c r="AN9" s="22">
        <v>6850</v>
      </c>
      <c r="AO9" s="23">
        <f>AN9+'12.05'!AO9</f>
        <v>88870</v>
      </c>
      <c r="AP9" s="28" t="s">
        <v>43</v>
      </c>
      <c r="AQ9" s="19">
        <f t="shared" si="3"/>
        <v>142</v>
      </c>
      <c r="AR9" s="20">
        <f t="shared" si="3"/>
        <v>2169</v>
      </c>
      <c r="AS9" s="34">
        <v>1</v>
      </c>
      <c r="AT9" s="23">
        <f>AS9+'12.05'!AT9</f>
        <v>3</v>
      </c>
      <c r="AU9" s="34">
        <v>0</v>
      </c>
      <c r="AV9" s="23">
        <f>AU9+'12.05'!AV9</f>
        <v>4</v>
      </c>
      <c r="AW9" s="34">
        <v>1</v>
      </c>
      <c r="AX9" s="23">
        <f>AW9+'12.05'!AX9</f>
        <v>2</v>
      </c>
      <c r="AY9" s="34">
        <v>0</v>
      </c>
      <c r="AZ9" s="23">
        <f>AY9+'12.05'!AZ9</f>
        <v>0</v>
      </c>
      <c r="BA9" s="34">
        <v>140</v>
      </c>
      <c r="BB9" s="23">
        <f>BA9+'12.05'!BB9</f>
        <v>2160</v>
      </c>
      <c r="BC9" s="19">
        <f t="shared" si="5"/>
        <v>201</v>
      </c>
      <c r="BD9" s="20">
        <f t="shared" si="5"/>
        <v>5950</v>
      </c>
      <c r="BE9" s="22">
        <v>1</v>
      </c>
      <c r="BF9" s="23">
        <f>BE9+'12.05'!BF9</f>
        <v>19</v>
      </c>
      <c r="BG9" s="34">
        <v>0</v>
      </c>
      <c r="BH9" s="23">
        <f>BG9+'12.05'!BH9</f>
        <v>0</v>
      </c>
      <c r="BI9" s="22">
        <v>200</v>
      </c>
      <c r="BJ9" s="23">
        <f>BI9+'12.05'!BJ9</f>
        <v>5910</v>
      </c>
      <c r="BK9" s="22">
        <v>0</v>
      </c>
      <c r="BL9" s="23">
        <f>BK9+'12.05'!BL9</f>
        <v>0</v>
      </c>
      <c r="BM9" s="22">
        <v>0</v>
      </c>
      <c r="BN9" s="23">
        <f>BM9+'12.05'!BN9</f>
        <v>21</v>
      </c>
      <c r="BO9" s="36">
        <v>14</v>
      </c>
      <c r="BP9" s="37">
        <v>0</v>
      </c>
      <c r="BQ9" s="23">
        <f>BP9+'12.05'!BQ9</f>
        <v>4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205</v>
      </c>
      <c r="D10" s="31">
        <f t="shared" si="0"/>
        <v>1540</v>
      </c>
      <c r="E10" s="32">
        <v>585</v>
      </c>
      <c r="F10" s="22">
        <v>28</v>
      </c>
      <c r="G10" s="23">
        <f>F10+'12.05'!G10</f>
        <v>155</v>
      </c>
      <c r="H10" s="33">
        <v>93</v>
      </c>
      <c r="I10" s="34">
        <v>3</v>
      </c>
      <c r="J10" s="23">
        <f>I10+'12.05'!J10</f>
        <v>20</v>
      </c>
      <c r="K10" s="33">
        <v>34</v>
      </c>
      <c r="L10" s="22">
        <v>3</v>
      </c>
      <c r="M10" s="23">
        <f>L10+'12.05'!M10</f>
        <v>11</v>
      </c>
      <c r="N10" s="33">
        <v>352</v>
      </c>
      <c r="O10" s="22">
        <v>15</v>
      </c>
      <c r="P10" s="23">
        <f>O10+'12.05'!P10</f>
        <v>96</v>
      </c>
      <c r="Q10" s="33">
        <v>549</v>
      </c>
      <c r="R10" s="22">
        <v>16</v>
      </c>
      <c r="S10" s="23">
        <f>R10+'12.05'!S10</f>
        <v>73</v>
      </c>
      <c r="T10" s="33">
        <v>198</v>
      </c>
      <c r="U10" s="22">
        <v>12</v>
      </c>
      <c r="V10" s="23">
        <f>U10+'12.05'!V10</f>
        <v>46</v>
      </c>
      <c r="W10" s="38">
        <v>55</v>
      </c>
      <c r="X10" s="22">
        <v>0</v>
      </c>
      <c r="Y10" s="23">
        <f>X10+'12.05'!Y10</f>
        <v>42</v>
      </c>
      <c r="Z10" s="38">
        <v>71</v>
      </c>
      <c r="AA10" s="22">
        <v>2</v>
      </c>
      <c r="AB10" s="23">
        <f>AA10+'12.05'!AB10</f>
        <v>29</v>
      </c>
      <c r="AC10" s="38">
        <v>1690</v>
      </c>
      <c r="AD10" s="22">
        <v>126</v>
      </c>
      <c r="AE10" s="23">
        <f>AD10+'12.05'!AE10</f>
        <v>1068</v>
      </c>
      <c r="AF10" s="19">
        <f t="shared" si="1"/>
        <v>130495</v>
      </c>
      <c r="AG10" s="20">
        <f t="shared" si="1"/>
        <v>1336100</v>
      </c>
      <c r="AH10" s="24">
        <v>2824</v>
      </c>
      <c r="AI10" s="23">
        <f>AH10+'12.05'!AI10</f>
        <v>13492</v>
      </c>
      <c r="AJ10" s="24">
        <v>11212</v>
      </c>
      <c r="AK10" s="23">
        <f>AJ10+'12.05'!AK10</f>
        <v>64227</v>
      </c>
      <c r="AL10" s="22">
        <v>13638</v>
      </c>
      <c r="AM10" s="23">
        <f>AL10+'12.05'!AM10</f>
        <v>147189</v>
      </c>
      <c r="AN10" s="22">
        <v>102821</v>
      </c>
      <c r="AO10" s="23">
        <f>AN10+'12.05'!AO10</f>
        <v>1111192</v>
      </c>
      <c r="AP10" s="28" t="s">
        <v>44</v>
      </c>
      <c r="AQ10" s="19">
        <f t="shared" si="3"/>
        <v>6</v>
      </c>
      <c r="AR10" s="20">
        <f t="shared" si="3"/>
        <v>58</v>
      </c>
      <c r="AS10" s="34">
        <v>0</v>
      </c>
      <c r="AT10" s="23">
        <f>AS10+'12.05'!AT10</f>
        <v>2</v>
      </c>
      <c r="AU10" s="34">
        <v>0</v>
      </c>
      <c r="AV10" s="23">
        <f>AU10+'12.05'!AV10</f>
        <v>3</v>
      </c>
      <c r="AW10" s="34">
        <v>0</v>
      </c>
      <c r="AX10" s="23">
        <f>AW10+'12.05'!AX10</f>
        <v>0</v>
      </c>
      <c r="AY10" s="34">
        <v>0</v>
      </c>
      <c r="AZ10" s="23">
        <f>AY10+'12.05'!AZ10</f>
        <v>0</v>
      </c>
      <c r="BA10" s="34">
        <v>6</v>
      </c>
      <c r="BB10" s="23">
        <f>BA10+'12.05'!BB10</f>
        <v>53</v>
      </c>
      <c r="BC10" s="19">
        <f t="shared" si="5"/>
        <v>9658</v>
      </c>
      <c r="BD10" s="20">
        <f t="shared" si="5"/>
        <v>56016</v>
      </c>
      <c r="BE10" s="22">
        <v>581</v>
      </c>
      <c r="BF10" s="23">
        <f>BE10+'12.05'!BF10</f>
        <v>6691</v>
      </c>
      <c r="BG10" s="34">
        <v>5</v>
      </c>
      <c r="BH10" s="23">
        <f>BG10+'12.05'!BH10</f>
        <v>9</v>
      </c>
      <c r="BI10" s="22">
        <v>2992</v>
      </c>
      <c r="BJ10" s="23">
        <f>BI10+'12.05'!BJ10</f>
        <v>29662</v>
      </c>
      <c r="BK10" s="22">
        <v>6080</v>
      </c>
      <c r="BL10" s="23">
        <f>BK10+'12.05'!BL10</f>
        <v>19654</v>
      </c>
      <c r="BM10" s="22">
        <v>0</v>
      </c>
      <c r="BN10" s="23">
        <f>BM10+'12.05'!BN10</f>
        <v>0</v>
      </c>
      <c r="BO10" s="36">
        <v>32</v>
      </c>
      <c r="BP10" s="37">
        <v>1</v>
      </c>
      <c r="BQ10" s="23">
        <f>BP10+'12.05'!BQ10</f>
        <v>8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46</v>
      </c>
      <c r="D11" s="31">
        <f t="shared" si="0"/>
        <v>480</v>
      </c>
      <c r="E11" s="32">
        <v>883</v>
      </c>
      <c r="F11" s="22">
        <v>21</v>
      </c>
      <c r="G11" s="23">
        <f>F11+'12.05'!G11</f>
        <v>241</v>
      </c>
      <c r="H11" s="33">
        <v>16</v>
      </c>
      <c r="I11" s="34">
        <v>0</v>
      </c>
      <c r="J11" s="23">
        <f>I11+'12.05'!J11</f>
        <v>0</v>
      </c>
      <c r="K11" s="33">
        <v>3</v>
      </c>
      <c r="L11" s="22">
        <v>0</v>
      </c>
      <c r="M11" s="23">
        <f>L11+'12.05'!M11</f>
        <v>0</v>
      </c>
      <c r="N11" s="33">
        <v>875</v>
      </c>
      <c r="O11" s="22">
        <v>0</v>
      </c>
      <c r="P11" s="23">
        <f>O11+'12.05'!P11</f>
        <v>0</v>
      </c>
      <c r="Q11" s="33">
        <v>2424</v>
      </c>
      <c r="R11" s="22">
        <v>0</v>
      </c>
      <c r="S11" s="23">
        <f>R11+'12.05'!S11</f>
        <v>0</v>
      </c>
      <c r="T11" s="33">
        <v>69</v>
      </c>
      <c r="U11" s="22">
        <v>0</v>
      </c>
      <c r="V11" s="23">
        <f>U11+'12.05'!V11</f>
        <v>0</v>
      </c>
      <c r="W11" s="38">
        <v>133</v>
      </c>
      <c r="X11" s="22">
        <v>22</v>
      </c>
      <c r="Y11" s="23">
        <f>X11+'12.05'!Y11</f>
        <v>222</v>
      </c>
      <c r="Z11" s="38">
        <v>1116</v>
      </c>
      <c r="AA11" s="22">
        <v>0</v>
      </c>
      <c r="AB11" s="23">
        <f>AA11+'12.05'!AB11</f>
        <v>0</v>
      </c>
      <c r="AC11" s="38">
        <v>9862</v>
      </c>
      <c r="AD11" s="22">
        <v>3</v>
      </c>
      <c r="AE11" s="23">
        <f>AD11+'12.05'!AE11</f>
        <v>17</v>
      </c>
      <c r="AF11" s="19">
        <f t="shared" si="1"/>
        <v>24200</v>
      </c>
      <c r="AG11" s="20">
        <f t="shared" si="1"/>
        <v>268300</v>
      </c>
      <c r="AH11" s="24">
        <v>3100</v>
      </c>
      <c r="AI11" s="23">
        <f>AH11+'12.05'!AI11</f>
        <v>30900</v>
      </c>
      <c r="AJ11" s="24">
        <v>2100</v>
      </c>
      <c r="AK11" s="23">
        <f>AJ11+'12.05'!AK11</f>
        <v>35200</v>
      </c>
      <c r="AL11" s="22">
        <v>7200</v>
      </c>
      <c r="AM11" s="23">
        <f>AL11+'12.05'!AM11</f>
        <v>68500</v>
      </c>
      <c r="AN11" s="22">
        <v>11800</v>
      </c>
      <c r="AO11" s="23">
        <f>AN11+'12.05'!AO11</f>
        <v>133700</v>
      </c>
      <c r="AP11" s="28" t="s">
        <v>45</v>
      </c>
      <c r="AQ11" s="19">
        <f t="shared" si="3"/>
        <v>3</v>
      </c>
      <c r="AR11" s="20">
        <f t="shared" si="3"/>
        <v>33</v>
      </c>
      <c r="AS11" s="34">
        <v>0</v>
      </c>
      <c r="AT11" s="23">
        <f>AS11+'12.05'!AT11</f>
        <v>0</v>
      </c>
      <c r="AU11" s="34">
        <v>0</v>
      </c>
      <c r="AV11" s="23">
        <f>AU11+'12.05'!AV11</f>
        <v>0</v>
      </c>
      <c r="AW11" s="34">
        <v>0</v>
      </c>
      <c r="AX11" s="23">
        <f>AW11+'12.05'!AX11</f>
        <v>0</v>
      </c>
      <c r="AY11" s="34">
        <v>0</v>
      </c>
      <c r="AZ11" s="23">
        <f>AY11+'12.05'!AZ11</f>
        <v>0</v>
      </c>
      <c r="BA11" s="34">
        <v>3</v>
      </c>
      <c r="BB11" s="23">
        <f>BA11+'12.05'!BB11</f>
        <v>33</v>
      </c>
      <c r="BC11" s="19">
        <f t="shared" si="5"/>
        <v>675</v>
      </c>
      <c r="BD11" s="20">
        <f t="shared" si="5"/>
        <v>9003</v>
      </c>
      <c r="BE11" s="22">
        <v>1</v>
      </c>
      <c r="BF11" s="23">
        <f>BE11+'12.05'!BF11</f>
        <v>20</v>
      </c>
      <c r="BG11" s="34">
        <v>4</v>
      </c>
      <c r="BH11" s="23">
        <f>BG11+'12.05'!BH11</f>
        <v>33</v>
      </c>
      <c r="BI11" s="22">
        <v>652</v>
      </c>
      <c r="BJ11" s="23">
        <f>BI11+'12.05'!BJ11</f>
        <v>8712</v>
      </c>
      <c r="BK11" s="22">
        <v>16</v>
      </c>
      <c r="BL11" s="23">
        <f>BK11+'12.05'!BL11</f>
        <v>219</v>
      </c>
      <c r="BM11" s="22">
        <v>2</v>
      </c>
      <c r="BN11" s="23">
        <f>BM11+'12.05'!BN11</f>
        <v>19</v>
      </c>
      <c r="BO11" s="36">
        <v>11506</v>
      </c>
      <c r="BP11" s="37">
        <v>2</v>
      </c>
      <c r="BQ11" s="23">
        <f>BP11+'12.05'!BQ11</f>
        <v>35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237</v>
      </c>
      <c r="D12" s="31">
        <f t="shared" si="0"/>
        <v>2765</v>
      </c>
      <c r="E12" s="32">
        <v>909</v>
      </c>
      <c r="F12" s="22">
        <v>50</v>
      </c>
      <c r="G12" s="23">
        <f>F12+'12.05'!G12</f>
        <v>635</v>
      </c>
      <c r="H12" s="33">
        <v>80</v>
      </c>
      <c r="I12" s="34">
        <v>3</v>
      </c>
      <c r="J12" s="23">
        <f>I12+'12.05'!J12</f>
        <v>24</v>
      </c>
      <c r="K12" s="33">
        <v>5</v>
      </c>
      <c r="L12" s="22">
        <v>0</v>
      </c>
      <c r="M12" s="23">
        <f>L12+'12.05'!M12</f>
        <v>0</v>
      </c>
      <c r="N12" s="33">
        <v>820</v>
      </c>
      <c r="O12" s="22">
        <v>18</v>
      </c>
      <c r="P12" s="23">
        <f>O12+'12.05'!P12</f>
        <v>180</v>
      </c>
      <c r="Q12" s="33">
        <v>549</v>
      </c>
      <c r="R12" s="22">
        <v>0</v>
      </c>
      <c r="S12" s="23">
        <f>R12+'12.05'!S12</f>
        <v>0</v>
      </c>
      <c r="T12" s="33">
        <v>992</v>
      </c>
      <c r="U12" s="22">
        <v>0</v>
      </c>
      <c r="V12" s="23">
        <f>U12+'12.05'!V12</f>
        <v>0</v>
      </c>
      <c r="W12" s="33">
        <v>38</v>
      </c>
      <c r="X12" s="22">
        <v>130</v>
      </c>
      <c r="Y12" s="23">
        <f>X12+'12.05'!Y12</f>
        <v>1440</v>
      </c>
      <c r="Z12" s="33">
        <v>68</v>
      </c>
      <c r="AA12" s="22">
        <v>0</v>
      </c>
      <c r="AB12" s="23">
        <f>AA12+'12.05'!AB12</f>
        <v>0</v>
      </c>
      <c r="AC12" s="33">
        <v>26703</v>
      </c>
      <c r="AD12" s="22">
        <v>36</v>
      </c>
      <c r="AE12" s="23">
        <f>AD12+'12.05'!AE12</f>
        <v>486</v>
      </c>
      <c r="AF12" s="19">
        <f t="shared" si="1"/>
        <v>27205</v>
      </c>
      <c r="AG12" s="20">
        <f t="shared" si="1"/>
        <v>158203</v>
      </c>
      <c r="AH12" s="24">
        <v>6000</v>
      </c>
      <c r="AI12" s="23">
        <f>AH12+'12.05'!AI12</f>
        <v>22759</v>
      </c>
      <c r="AJ12" s="24">
        <v>9600</v>
      </c>
      <c r="AK12" s="23">
        <f>AJ12+'12.05'!AK12</f>
        <v>44489</v>
      </c>
      <c r="AL12" s="22">
        <v>5802</v>
      </c>
      <c r="AM12" s="23">
        <f>AL12+'12.05'!AM12</f>
        <v>45477</v>
      </c>
      <c r="AN12" s="22">
        <v>5803</v>
      </c>
      <c r="AO12" s="23">
        <f>AN12+'12.05'!AO12</f>
        <v>45478</v>
      </c>
      <c r="AP12" s="28" t="s">
        <v>46</v>
      </c>
      <c r="AQ12" s="19">
        <f t="shared" si="3"/>
        <v>121</v>
      </c>
      <c r="AR12" s="20">
        <f t="shared" si="3"/>
        <v>1000</v>
      </c>
      <c r="AS12" s="34">
        <v>0</v>
      </c>
      <c r="AT12" s="23">
        <f>AS12+'12.05'!AT12</f>
        <v>0</v>
      </c>
      <c r="AU12" s="34">
        <v>0</v>
      </c>
      <c r="AV12" s="23">
        <f>AU12+'12.05'!AV12</f>
        <v>0</v>
      </c>
      <c r="AW12" s="34">
        <v>0</v>
      </c>
      <c r="AX12" s="23">
        <f>AW12+'12.05'!AX12</f>
        <v>0</v>
      </c>
      <c r="AY12" s="34">
        <v>0</v>
      </c>
      <c r="AZ12" s="23">
        <f>AY12+'12.05'!AZ12</f>
        <v>0</v>
      </c>
      <c r="BA12" s="34">
        <v>121</v>
      </c>
      <c r="BB12" s="23">
        <f>BA12+'12.05'!BB12</f>
        <v>1000</v>
      </c>
      <c r="BC12" s="19">
        <f t="shared" si="5"/>
        <v>3332</v>
      </c>
      <c r="BD12" s="20">
        <f t="shared" si="5"/>
        <v>36129</v>
      </c>
      <c r="BE12" s="22">
        <v>96</v>
      </c>
      <c r="BF12" s="23">
        <f>BE12+'12.05'!BF12</f>
        <v>2699</v>
      </c>
      <c r="BG12" s="34">
        <v>15</v>
      </c>
      <c r="BH12" s="23">
        <f>BG12+'12.05'!BH12</f>
        <v>101</v>
      </c>
      <c r="BI12" s="22">
        <v>2700</v>
      </c>
      <c r="BJ12" s="23">
        <f>BI12+'12.05'!BJ12</f>
        <v>29600</v>
      </c>
      <c r="BK12" s="22">
        <v>450</v>
      </c>
      <c r="BL12" s="23">
        <f>BK12+'12.05'!BL12</f>
        <v>3150</v>
      </c>
      <c r="BM12" s="22">
        <v>71</v>
      </c>
      <c r="BN12" s="23">
        <f>BM12+'12.05'!BN12</f>
        <v>579</v>
      </c>
      <c r="BO12" s="36"/>
      <c r="BP12" s="37">
        <v>3</v>
      </c>
      <c r="BQ12" s="23">
        <f>BP12+'12.05'!BQ12</f>
        <v>20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154</v>
      </c>
      <c r="E13" s="32">
        <v>516</v>
      </c>
      <c r="F13" s="22">
        <v>1</v>
      </c>
      <c r="G13" s="23">
        <f>F13+'12.05'!G13</f>
        <v>14</v>
      </c>
      <c r="H13" s="33">
        <v>10</v>
      </c>
      <c r="I13" s="34">
        <v>1</v>
      </c>
      <c r="J13" s="23">
        <f>I13+'12.05'!J13</f>
        <v>6</v>
      </c>
      <c r="K13" s="33">
        <v>38</v>
      </c>
      <c r="L13" s="22">
        <v>0</v>
      </c>
      <c r="M13" s="23">
        <f>L13+'12.05'!M13</f>
        <v>0</v>
      </c>
      <c r="N13" s="33">
        <v>581</v>
      </c>
      <c r="O13" s="22">
        <v>1</v>
      </c>
      <c r="P13" s="23">
        <f>O13+'12.05'!P13</f>
        <v>6</v>
      </c>
      <c r="Q13" s="33">
        <v>525</v>
      </c>
      <c r="R13" s="22">
        <v>0</v>
      </c>
      <c r="S13" s="23">
        <f>R13+'12.05'!S13</f>
        <v>0</v>
      </c>
      <c r="T13" s="33">
        <v>263</v>
      </c>
      <c r="U13" s="22">
        <v>0</v>
      </c>
      <c r="V13" s="23">
        <f>U13+'12.05'!V13</f>
        <v>0</v>
      </c>
      <c r="W13" s="33">
        <v>43</v>
      </c>
      <c r="X13" s="22">
        <v>0</v>
      </c>
      <c r="Y13" s="23">
        <f>X13+'12.05'!Y13</f>
        <v>0</v>
      </c>
      <c r="Z13" s="33">
        <v>17</v>
      </c>
      <c r="AA13" s="22">
        <v>0</v>
      </c>
      <c r="AB13" s="23">
        <f>AA13+'12.05'!AB13</f>
        <v>0</v>
      </c>
      <c r="AC13" s="33">
        <v>51</v>
      </c>
      <c r="AD13" s="22">
        <v>1</v>
      </c>
      <c r="AE13" s="23">
        <f>AD13+'12.05'!AE13</f>
        <v>128</v>
      </c>
      <c r="AF13" s="19">
        <f t="shared" si="1"/>
        <v>235000</v>
      </c>
      <c r="AG13" s="20">
        <f t="shared" si="1"/>
        <v>3281000</v>
      </c>
      <c r="AH13" s="24">
        <v>2000</v>
      </c>
      <c r="AI13" s="23">
        <f>AH13+'12.05'!AI13</f>
        <v>35000</v>
      </c>
      <c r="AJ13" s="24">
        <v>13000</v>
      </c>
      <c r="AK13" s="23">
        <f>AJ13+'12.05'!AK13</f>
        <v>197000</v>
      </c>
      <c r="AL13" s="22">
        <v>20000</v>
      </c>
      <c r="AM13" s="23">
        <f>AL13+'12.05'!AM13</f>
        <v>290000</v>
      </c>
      <c r="AN13" s="22">
        <v>200000</v>
      </c>
      <c r="AO13" s="23">
        <f>AN13+'12.05'!AO13</f>
        <v>2759000</v>
      </c>
      <c r="AP13" s="28" t="s">
        <v>47</v>
      </c>
      <c r="AQ13" s="19">
        <f t="shared" si="3"/>
        <v>32</v>
      </c>
      <c r="AR13" s="20">
        <f t="shared" si="3"/>
        <v>388</v>
      </c>
      <c r="AS13" s="34">
        <v>1</v>
      </c>
      <c r="AT13" s="23">
        <f>AS13+'12.05'!AT13</f>
        <v>12</v>
      </c>
      <c r="AU13" s="34">
        <v>1</v>
      </c>
      <c r="AV13" s="23">
        <f>AU13+'12.05'!AV13</f>
        <v>12</v>
      </c>
      <c r="AW13" s="34">
        <v>0</v>
      </c>
      <c r="AX13" s="23">
        <f>AW13+'12.05'!AX13</f>
        <v>0</v>
      </c>
      <c r="AY13" s="34">
        <v>0</v>
      </c>
      <c r="AZ13" s="23">
        <f>AY13+'12.05'!AZ13</f>
        <v>0</v>
      </c>
      <c r="BA13" s="34">
        <v>30</v>
      </c>
      <c r="BB13" s="23">
        <f>BA13+'12.05'!BB13</f>
        <v>364</v>
      </c>
      <c r="BC13" s="19">
        <f t="shared" si="5"/>
        <v>5610</v>
      </c>
      <c r="BD13" s="20">
        <f t="shared" si="5"/>
        <v>125632</v>
      </c>
      <c r="BE13" s="22">
        <v>516</v>
      </c>
      <c r="BF13" s="23">
        <f>BE13+'12.05'!BF13</f>
        <v>6708</v>
      </c>
      <c r="BG13" s="34">
        <v>7</v>
      </c>
      <c r="BH13" s="23">
        <f>BG13+'12.05'!BH13</f>
        <v>201</v>
      </c>
      <c r="BI13" s="22">
        <v>5000</v>
      </c>
      <c r="BJ13" s="23">
        <f>BI13+'12.05'!BJ13</f>
        <v>116500</v>
      </c>
      <c r="BK13" s="22">
        <v>20</v>
      </c>
      <c r="BL13" s="23">
        <f>BK13+'12.05'!BL13</f>
        <v>1620</v>
      </c>
      <c r="BM13" s="22">
        <v>67</v>
      </c>
      <c r="BN13" s="23">
        <f>BM13+'12.05'!BN13</f>
        <v>603</v>
      </c>
      <c r="BO13" s="36"/>
      <c r="BP13" s="37">
        <v>1</v>
      </c>
      <c r="BQ13" s="23">
        <f>BP13+'12.05'!BQ13</f>
        <v>7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126</v>
      </c>
      <c r="D14" s="42">
        <f t="shared" si="0"/>
        <v>1471</v>
      </c>
      <c r="E14" s="43">
        <v>304</v>
      </c>
      <c r="F14" s="22">
        <v>110</v>
      </c>
      <c r="G14" s="23">
        <f>F14+'12.05'!G14</f>
        <v>1221</v>
      </c>
      <c r="H14" s="44">
        <v>5</v>
      </c>
      <c r="I14" s="45">
        <v>0</v>
      </c>
      <c r="J14" s="23">
        <f>I14+'12.05'!J14</f>
        <v>0</v>
      </c>
      <c r="K14" s="44">
        <v>34</v>
      </c>
      <c r="L14" s="22">
        <v>0</v>
      </c>
      <c r="M14" s="23">
        <f>L14+'12.05'!M14</f>
        <v>0</v>
      </c>
      <c r="N14" s="44">
        <v>583</v>
      </c>
      <c r="O14" s="22">
        <v>0</v>
      </c>
      <c r="P14" s="23">
        <f>O14+'12.05'!P14</f>
        <v>0</v>
      </c>
      <c r="Q14" s="44">
        <v>254</v>
      </c>
      <c r="R14" s="22">
        <v>0</v>
      </c>
      <c r="S14" s="23">
        <f>R14+'12.05'!S14</f>
        <v>0</v>
      </c>
      <c r="T14" s="44">
        <v>196</v>
      </c>
      <c r="U14" s="22">
        <v>0</v>
      </c>
      <c r="V14" s="23">
        <f>U14+'12.05'!V14</f>
        <v>0</v>
      </c>
      <c r="W14" s="44">
        <v>30</v>
      </c>
      <c r="X14" s="22">
        <v>12</v>
      </c>
      <c r="Y14" s="23">
        <f>X14+'12.05'!Y14</f>
        <v>192</v>
      </c>
      <c r="Z14" s="44">
        <v>10</v>
      </c>
      <c r="AA14" s="22">
        <v>0</v>
      </c>
      <c r="AB14" s="23">
        <f>AA14+'12.05'!AB14</f>
        <v>0</v>
      </c>
      <c r="AC14" s="44">
        <v>2500</v>
      </c>
      <c r="AD14" s="22">
        <v>4</v>
      </c>
      <c r="AE14" s="23">
        <f>AD14+'12.05'!AE14</f>
        <v>58</v>
      </c>
      <c r="AF14" s="19">
        <f t="shared" si="1"/>
        <v>114250</v>
      </c>
      <c r="AG14" s="20">
        <f t="shared" si="1"/>
        <v>1376490</v>
      </c>
      <c r="AH14" s="24">
        <v>3750</v>
      </c>
      <c r="AI14" s="23">
        <f>AH14+'12.05'!AI14</f>
        <v>40510</v>
      </c>
      <c r="AJ14" s="24">
        <v>7500</v>
      </c>
      <c r="AK14" s="23">
        <f>AJ14+'12.05'!AK14</f>
        <v>76450</v>
      </c>
      <c r="AL14" s="22">
        <v>8800</v>
      </c>
      <c r="AM14" s="23">
        <f>AL14+'12.05'!AM14</f>
        <v>84850</v>
      </c>
      <c r="AN14" s="22">
        <v>94200</v>
      </c>
      <c r="AO14" s="23">
        <f>AN14+'12.05'!AO14</f>
        <v>1174680</v>
      </c>
      <c r="AP14" s="39" t="s">
        <v>48</v>
      </c>
      <c r="AQ14" s="19">
        <f t="shared" si="3"/>
        <v>4</v>
      </c>
      <c r="AR14" s="20">
        <f t="shared" si="3"/>
        <v>51</v>
      </c>
      <c r="AS14" s="45">
        <v>0</v>
      </c>
      <c r="AT14" s="23">
        <f>AS14+'12.05'!AT14</f>
        <v>0</v>
      </c>
      <c r="AU14" s="45">
        <v>1</v>
      </c>
      <c r="AV14" s="23">
        <f>AU14+'12.05'!AV14</f>
        <v>3</v>
      </c>
      <c r="AW14" s="45">
        <v>1</v>
      </c>
      <c r="AX14" s="23">
        <f>AW14+'12.05'!AX14</f>
        <v>3</v>
      </c>
      <c r="AY14" s="45">
        <v>0</v>
      </c>
      <c r="AZ14" s="23">
        <f>AY14+'12.05'!AZ14</f>
        <v>1</v>
      </c>
      <c r="BA14" s="45">
        <v>2</v>
      </c>
      <c r="BB14" s="23">
        <f>BA14+'12.05'!BB14</f>
        <v>44</v>
      </c>
      <c r="BC14" s="19">
        <f t="shared" si="5"/>
        <v>1359</v>
      </c>
      <c r="BD14" s="20">
        <f t="shared" si="5"/>
        <v>33904</v>
      </c>
      <c r="BE14" s="22">
        <v>2</v>
      </c>
      <c r="BF14" s="23">
        <f>BE14+'12.05'!BF14</f>
        <v>47</v>
      </c>
      <c r="BG14" s="45">
        <v>1</v>
      </c>
      <c r="BH14" s="23">
        <f>BG14+'12.05'!BH14</f>
        <v>23</v>
      </c>
      <c r="BI14" s="22">
        <v>1350</v>
      </c>
      <c r="BJ14" s="23">
        <f>BI14+'12.05'!BJ14</f>
        <v>33750</v>
      </c>
      <c r="BK14" s="22">
        <v>4</v>
      </c>
      <c r="BL14" s="23">
        <f>BK14+'12.05'!BL14</f>
        <v>57</v>
      </c>
      <c r="BM14" s="22">
        <v>2</v>
      </c>
      <c r="BN14" s="23">
        <f>BM14+'12.05'!BN14</f>
        <v>27</v>
      </c>
      <c r="BO14" s="48">
        <v>22</v>
      </c>
      <c r="BP14" s="49">
        <v>0</v>
      </c>
      <c r="BQ14" s="23">
        <f>BP14+'12.05'!BQ14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396</v>
      </c>
      <c r="D15" s="53">
        <f t="shared" si="0"/>
        <v>5785</v>
      </c>
      <c r="E15" s="54">
        <v>776</v>
      </c>
      <c r="F15" s="55">
        <v>321</v>
      </c>
      <c r="G15" s="23">
        <f>F15+'12.05'!G15</f>
        <v>4402</v>
      </c>
      <c r="H15" s="56">
        <v>9</v>
      </c>
      <c r="I15" s="57">
        <v>0</v>
      </c>
      <c r="J15" s="23">
        <f>I15+'12.05'!J15</f>
        <v>0</v>
      </c>
      <c r="K15" s="56">
        <v>6</v>
      </c>
      <c r="L15" s="55">
        <v>0</v>
      </c>
      <c r="M15" s="23">
        <f>L15+'12.05'!M15</f>
        <v>0</v>
      </c>
      <c r="N15" s="56">
        <v>1305</v>
      </c>
      <c r="O15" s="55">
        <v>0</v>
      </c>
      <c r="P15" s="23">
        <f>O15+'12.05'!P15</f>
        <v>0</v>
      </c>
      <c r="Q15" s="56">
        <v>447</v>
      </c>
      <c r="R15" s="55">
        <v>0</v>
      </c>
      <c r="S15" s="23">
        <f>R15+'12.05'!S15</f>
        <v>0</v>
      </c>
      <c r="T15" s="56">
        <v>337</v>
      </c>
      <c r="U15" s="55">
        <v>0</v>
      </c>
      <c r="V15" s="23">
        <f>U15+'12.05'!V15</f>
        <v>0</v>
      </c>
      <c r="W15" s="56">
        <v>78</v>
      </c>
      <c r="X15" s="55">
        <v>0</v>
      </c>
      <c r="Y15" s="23">
        <f>X15+'12.05'!Y15</f>
        <v>0</v>
      </c>
      <c r="Z15" s="56">
        <v>141</v>
      </c>
      <c r="AA15" s="55">
        <v>0</v>
      </c>
      <c r="AB15" s="23">
        <f>AA15+'12.05'!AB15</f>
        <v>0</v>
      </c>
      <c r="AC15" s="56">
        <v>798</v>
      </c>
      <c r="AD15" s="55">
        <v>75</v>
      </c>
      <c r="AE15" s="23">
        <f>AD15+'12.05'!AE15</f>
        <v>1383</v>
      </c>
      <c r="AF15" s="58">
        <f t="shared" si="1"/>
        <v>1743129</v>
      </c>
      <c r="AG15" s="59">
        <f t="shared" si="1"/>
        <v>30852728</v>
      </c>
      <c r="AH15" s="60">
        <v>882</v>
      </c>
      <c r="AI15" s="23">
        <f>AH15+'12.05'!AI15</f>
        <v>11100</v>
      </c>
      <c r="AJ15" s="60">
        <v>2675</v>
      </c>
      <c r="AK15" s="23">
        <f>AJ15+'12.05'!AK15</f>
        <v>39489</v>
      </c>
      <c r="AL15" s="55">
        <v>869786</v>
      </c>
      <c r="AM15" s="23">
        <f>AL15+'12.05'!AM15</f>
        <v>19751070</v>
      </c>
      <c r="AN15" s="55">
        <v>869786</v>
      </c>
      <c r="AO15" s="23">
        <f>AN15+'12.05'!AO15</f>
        <v>11051069</v>
      </c>
      <c r="AP15" s="50" t="s">
        <v>49</v>
      </c>
      <c r="AQ15" s="58">
        <f t="shared" si="3"/>
        <v>2</v>
      </c>
      <c r="AR15" s="59">
        <f t="shared" si="3"/>
        <v>35</v>
      </c>
      <c r="AS15" s="57">
        <v>0</v>
      </c>
      <c r="AT15" s="23">
        <f>AS15+'12.05'!AT15</f>
        <v>2</v>
      </c>
      <c r="AU15" s="57">
        <v>0</v>
      </c>
      <c r="AV15" s="23">
        <f>AU15+'12.05'!AV15</f>
        <v>3</v>
      </c>
      <c r="AW15" s="57">
        <v>0</v>
      </c>
      <c r="AX15" s="23">
        <f>AW15+'12.05'!AX15</f>
        <v>2</v>
      </c>
      <c r="AY15" s="57">
        <v>0</v>
      </c>
      <c r="AZ15" s="23">
        <f>AY15+'12.05'!AZ15</f>
        <v>0</v>
      </c>
      <c r="BA15" s="57">
        <v>2</v>
      </c>
      <c r="BB15" s="23">
        <f>BA15+'12.05'!BB15</f>
        <v>28</v>
      </c>
      <c r="BC15" s="58">
        <f t="shared" si="5"/>
        <v>1483</v>
      </c>
      <c r="BD15" s="59">
        <f t="shared" si="5"/>
        <v>19592</v>
      </c>
      <c r="BE15" s="55">
        <v>65</v>
      </c>
      <c r="BF15" s="23">
        <f>BE15+'12.05'!BF15</f>
        <v>943</v>
      </c>
      <c r="BG15" s="57">
        <v>1</v>
      </c>
      <c r="BH15" s="23">
        <f>BG15+'12.05'!BH15</f>
        <v>20</v>
      </c>
      <c r="BI15" s="55">
        <v>719</v>
      </c>
      <c r="BJ15" s="23">
        <f>BI15+'12.05'!BJ15</f>
        <v>9340</v>
      </c>
      <c r="BK15" s="55">
        <v>684</v>
      </c>
      <c r="BL15" s="23">
        <f>BK15+'12.05'!BL15</f>
        <v>9078</v>
      </c>
      <c r="BM15" s="55">
        <v>14</v>
      </c>
      <c r="BN15" s="23">
        <f>BM15+'12.05'!BN15</f>
        <v>211</v>
      </c>
      <c r="BO15" s="36">
        <v>6274</v>
      </c>
      <c r="BP15" s="37">
        <v>0</v>
      </c>
      <c r="BQ15" s="23">
        <f>BP15+'12.05'!BQ15</f>
        <v>11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1752</v>
      </c>
      <c r="E16" s="32">
        <v>310</v>
      </c>
      <c r="F16" s="22">
        <v>46</v>
      </c>
      <c r="G16" s="23">
        <f>F16+'12.05'!G16</f>
        <v>610</v>
      </c>
      <c r="H16" s="33">
        <v>5</v>
      </c>
      <c r="I16" s="34">
        <v>0</v>
      </c>
      <c r="J16" s="23">
        <f>I16+'12.05'!J16</f>
        <v>0</v>
      </c>
      <c r="K16" s="33">
        <v>3</v>
      </c>
      <c r="L16" s="22">
        <v>0</v>
      </c>
      <c r="M16" s="23">
        <f>L16+'12.05'!M16</f>
        <v>0</v>
      </c>
      <c r="N16" s="33">
        <v>384</v>
      </c>
      <c r="O16" s="22">
        <v>0</v>
      </c>
      <c r="P16" s="23">
        <f>O16+'12.05'!P16</f>
        <v>0</v>
      </c>
      <c r="Q16" s="33">
        <v>245</v>
      </c>
      <c r="R16" s="22">
        <v>0</v>
      </c>
      <c r="S16" s="23">
        <f>R16+'12.05'!S16</f>
        <v>0</v>
      </c>
      <c r="T16" s="33">
        <v>397</v>
      </c>
      <c r="U16" s="22">
        <v>0</v>
      </c>
      <c r="V16" s="23">
        <f>U16+'12.05'!V16</f>
        <v>0</v>
      </c>
      <c r="W16" s="33">
        <v>24</v>
      </c>
      <c r="X16" s="22">
        <v>49</v>
      </c>
      <c r="Y16" s="23">
        <f>X16+'12.05'!Y16</f>
        <v>617</v>
      </c>
      <c r="Z16" s="33">
        <v>18</v>
      </c>
      <c r="AA16" s="22">
        <v>0</v>
      </c>
      <c r="AB16" s="23">
        <f>AA16+'12.05'!AB16</f>
        <v>0</v>
      </c>
      <c r="AC16" s="33">
        <v>18515</v>
      </c>
      <c r="AD16" s="22">
        <v>38</v>
      </c>
      <c r="AE16" s="23">
        <f>AD16+'12.05'!AE16</f>
        <v>525</v>
      </c>
      <c r="AF16" s="19">
        <f t="shared" si="1"/>
        <v>58990</v>
      </c>
      <c r="AG16" s="20">
        <f t="shared" si="1"/>
        <v>766244</v>
      </c>
      <c r="AH16" s="24">
        <v>167</v>
      </c>
      <c r="AI16" s="23">
        <f>AH16+'12.05'!AI16</f>
        <v>2128</v>
      </c>
      <c r="AJ16" s="24">
        <v>1514</v>
      </c>
      <c r="AK16" s="23">
        <f>AJ16+'12.05'!AK16</f>
        <v>16653</v>
      </c>
      <c r="AL16" s="22">
        <v>1672</v>
      </c>
      <c r="AM16" s="23">
        <f>AL16+'12.05'!AM16</f>
        <v>19935</v>
      </c>
      <c r="AN16" s="22">
        <v>55637</v>
      </c>
      <c r="AO16" s="23">
        <f>AN16+'12.05'!AO16</f>
        <v>727528</v>
      </c>
      <c r="AP16" s="28" t="s">
        <v>51</v>
      </c>
      <c r="AQ16" s="19">
        <f t="shared" si="3"/>
        <v>88</v>
      </c>
      <c r="AR16" s="20">
        <f t="shared" si="3"/>
        <v>963</v>
      </c>
      <c r="AS16" s="34">
        <v>0</v>
      </c>
      <c r="AT16" s="23">
        <f>AS16+'12.05'!AT16</f>
        <v>1</v>
      </c>
      <c r="AU16" s="34">
        <v>0</v>
      </c>
      <c r="AV16" s="23">
        <f>AU16+'12.05'!AV16</f>
        <v>0</v>
      </c>
      <c r="AW16" s="34">
        <v>0</v>
      </c>
      <c r="AX16" s="23">
        <f>AW16+'12.05'!AX16</f>
        <v>0</v>
      </c>
      <c r="AY16" s="34">
        <v>0</v>
      </c>
      <c r="AZ16" s="23">
        <f>AY16+'12.05'!AZ16</f>
        <v>0</v>
      </c>
      <c r="BA16" s="34">
        <v>88</v>
      </c>
      <c r="BB16" s="23">
        <f>BA16+'12.05'!BB16</f>
        <v>962</v>
      </c>
      <c r="BC16" s="19">
        <f t="shared" si="5"/>
        <v>1361</v>
      </c>
      <c r="BD16" s="20">
        <f t="shared" si="5"/>
        <v>17031</v>
      </c>
      <c r="BE16" s="22">
        <v>81</v>
      </c>
      <c r="BF16" s="23">
        <f>BE16+'12.05'!BF16</f>
        <v>852</v>
      </c>
      <c r="BG16" s="34">
        <v>0</v>
      </c>
      <c r="BH16" s="23">
        <f>BG16+'12.05'!BH16</f>
        <v>0</v>
      </c>
      <c r="BI16" s="22">
        <v>1234</v>
      </c>
      <c r="BJ16" s="23">
        <f>BI16+'12.05'!BJ16</f>
        <v>15534</v>
      </c>
      <c r="BK16" s="22">
        <v>39</v>
      </c>
      <c r="BL16" s="23">
        <f>BK16+'12.05'!BL16</f>
        <v>579</v>
      </c>
      <c r="BM16" s="22">
        <v>7</v>
      </c>
      <c r="BN16" s="23">
        <f>BM16+'12.05'!BN16</f>
        <v>66</v>
      </c>
      <c r="BO16" s="36">
        <v>2546</v>
      </c>
      <c r="BP16" s="37">
        <v>0</v>
      </c>
      <c r="BQ16" s="23">
        <f>BP16+'12.05'!BQ16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165</v>
      </c>
      <c r="D17" s="31">
        <f t="shared" si="0"/>
        <v>2217</v>
      </c>
      <c r="E17" s="32">
        <v>754</v>
      </c>
      <c r="F17" s="22">
        <v>146</v>
      </c>
      <c r="G17" s="23">
        <f>F17+'12.05'!G17</f>
        <v>1880</v>
      </c>
      <c r="H17" s="33">
        <v>9</v>
      </c>
      <c r="I17" s="34">
        <v>0</v>
      </c>
      <c r="J17" s="23">
        <f>I17+'12.05'!J17</f>
        <v>0</v>
      </c>
      <c r="K17" s="33">
        <v>5</v>
      </c>
      <c r="L17" s="22">
        <v>0</v>
      </c>
      <c r="M17" s="23">
        <f>L17+'12.05'!M17</f>
        <v>0</v>
      </c>
      <c r="N17" s="33">
        <v>768</v>
      </c>
      <c r="O17" s="22">
        <v>0</v>
      </c>
      <c r="P17" s="23">
        <f>O17+'12.05'!P17</f>
        <v>0</v>
      </c>
      <c r="Q17" s="33">
        <v>624</v>
      </c>
      <c r="R17" s="22">
        <v>0</v>
      </c>
      <c r="S17" s="23">
        <f>R17+'12.05'!S17</f>
        <v>0</v>
      </c>
      <c r="T17" s="33">
        <v>742</v>
      </c>
      <c r="U17" s="22">
        <v>0</v>
      </c>
      <c r="V17" s="23">
        <f>U17+'12.05'!V17</f>
        <v>0</v>
      </c>
      <c r="W17" s="33">
        <v>54</v>
      </c>
      <c r="X17" s="22">
        <v>10</v>
      </c>
      <c r="Y17" s="23">
        <f>X17+'12.05'!Y17</f>
        <v>186</v>
      </c>
      <c r="Z17" s="33">
        <v>66</v>
      </c>
      <c r="AA17" s="22">
        <v>0</v>
      </c>
      <c r="AB17" s="23">
        <f>AA17+'12.05'!AB17</f>
        <v>0</v>
      </c>
      <c r="AC17" s="33">
        <v>2580</v>
      </c>
      <c r="AD17" s="22">
        <v>9</v>
      </c>
      <c r="AE17" s="23">
        <f>AD17+'12.05'!AE17</f>
        <v>151</v>
      </c>
      <c r="AF17" s="19">
        <f t="shared" si="1"/>
        <v>105800</v>
      </c>
      <c r="AG17" s="20">
        <f t="shared" si="1"/>
        <v>1338700</v>
      </c>
      <c r="AH17" s="24">
        <v>6100</v>
      </c>
      <c r="AI17" s="23">
        <f>AH17+'12.05'!AI17</f>
        <v>82100</v>
      </c>
      <c r="AJ17" s="24">
        <v>9700</v>
      </c>
      <c r="AK17" s="23">
        <f>AJ17+'12.05'!AK17</f>
        <v>128600</v>
      </c>
      <c r="AL17" s="22">
        <v>21000</v>
      </c>
      <c r="AM17" s="23">
        <f>AL17+'12.05'!AM17</f>
        <v>287500</v>
      </c>
      <c r="AN17" s="22">
        <v>69000</v>
      </c>
      <c r="AO17" s="23">
        <f>AN17+'12.05'!AO17</f>
        <v>840500</v>
      </c>
      <c r="AP17" s="28" t="s">
        <v>52</v>
      </c>
      <c r="AQ17" s="19">
        <f t="shared" si="3"/>
        <v>25</v>
      </c>
      <c r="AR17" s="20">
        <f t="shared" si="3"/>
        <v>236</v>
      </c>
      <c r="AS17" s="34">
        <v>1</v>
      </c>
      <c r="AT17" s="23">
        <f>AS17+'12.05'!AT17</f>
        <v>15</v>
      </c>
      <c r="AU17" s="34">
        <v>2</v>
      </c>
      <c r="AV17" s="23">
        <f>AU17+'12.05'!AV17</f>
        <v>19</v>
      </c>
      <c r="AW17" s="34">
        <v>0</v>
      </c>
      <c r="AX17" s="23">
        <f>AW17+'12.05'!AX17</f>
        <v>0</v>
      </c>
      <c r="AY17" s="34">
        <v>0</v>
      </c>
      <c r="AZ17" s="23">
        <f>AY17+'12.05'!AZ17</f>
        <v>0</v>
      </c>
      <c r="BA17" s="34">
        <v>22</v>
      </c>
      <c r="BB17" s="23">
        <f>BA17+'12.05'!BB17</f>
        <v>202</v>
      </c>
      <c r="BC17" s="19">
        <f t="shared" si="5"/>
        <v>3339</v>
      </c>
      <c r="BD17" s="20">
        <f t="shared" si="5"/>
        <v>32270</v>
      </c>
      <c r="BE17" s="22">
        <v>42</v>
      </c>
      <c r="BF17" s="23">
        <f>BE17+'12.05'!BF17</f>
        <v>479</v>
      </c>
      <c r="BG17" s="34">
        <v>1</v>
      </c>
      <c r="BH17" s="23">
        <f>BG17+'12.05'!BH17</f>
        <v>15</v>
      </c>
      <c r="BI17" s="22">
        <v>3000</v>
      </c>
      <c r="BJ17" s="23">
        <f>BI17+'12.05'!BJ17</f>
        <v>28900</v>
      </c>
      <c r="BK17" s="22">
        <v>285</v>
      </c>
      <c r="BL17" s="23">
        <f>BK17+'12.05'!BL17</f>
        <v>2765</v>
      </c>
      <c r="BM17" s="22">
        <v>11</v>
      </c>
      <c r="BN17" s="23">
        <f>BM17+'12.05'!BN17</f>
        <v>111</v>
      </c>
      <c r="BO17" s="36">
        <v>8022</v>
      </c>
      <c r="BP17" s="37">
        <v>4</v>
      </c>
      <c r="BQ17" s="23">
        <f>BP17+'12.05'!BQ17</f>
        <v>50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278</v>
      </c>
      <c r="D18" s="20">
        <f t="shared" si="0"/>
        <v>3792</v>
      </c>
      <c r="E18" s="21">
        <v>1063</v>
      </c>
      <c r="F18" s="22">
        <v>185</v>
      </c>
      <c r="G18" s="23">
        <f>F18+'12.05'!G18</f>
        <v>2397</v>
      </c>
      <c r="H18" s="21">
        <v>19</v>
      </c>
      <c r="I18" s="22">
        <v>0</v>
      </c>
      <c r="J18" s="23">
        <f>I18+'12.05'!J18</f>
        <v>0</v>
      </c>
      <c r="K18" s="21">
        <v>8</v>
      </c>
      <c r="L18" s="22">
        <v>0</v>
      </c>
      <c r="M18" s="23">
        <f>L18+'12.05'!M18</f>
        <v>0</v>
      </c>
      <c r="N18" s="21">
        <v>1331</v>
      </c>
      <c r="O18" s="22">
        <v>0</v>
      </c>
      <c r="P18" s="23">
        <f>O18+'12.05'!P18</f>
        <v>0</v>
      </c>
      <c r="Q18" s="21">
        <v>777</v>
      </c>
      <c r="R18" s="22">
        <v>0</v>
      </c>
      <c r="S18" s="23">
        <f>R18+'12.05'!S18</f>
        <v>0</v>
      </c>
      <c r="T18" s="21">
        <v>318</v>
      </c>
      <c r="U18" s="22">
        <v>0</v>
      </c>
      <c r="V18" s="23">
        <f>U18+'12.05'!V18</f>
        <v>81</v>
      </c>
      <c r="W18" s="21">
        <v>60</v>
      </c>
      <c r="X18" s="22">
        <v>93</v>
      </c>
      <c r="Y18" s="23">
        <f>X18+'12.05'!Y18</f>
        <v>1314</v>
      </c>
      <c r="Z18" s="21">
        <v>72</v>
      </c>
      <c r="AA18" s="22">
        <v>0</v>
      </c>
      <c r="AB18" s="23">
        <f>AA18+'12.05'!AB18</f>
        <v>0</v>
      </c>
      <c r="AC18" s="21">
        <v>143</v>
      </c>
      <c r="AD18" s="22">
        <v>0</v>
      </c>
      <c r="AE18" s="23">
        <f>AD18+'12.05'!AE18</f>
        <v>0</v>
      </c>
      <c r="AF18" s="19">
        <f t="shared" si="1"/>
        <v>103139</v>
      </c>
      <c r="AG18" s="20">
        <f t="shared" si="1"/>
        <v>1954664</v>
      </c>
      <c r="AH18" s="24">
        <v>95</v>
      </c>
      <c r="AI18" s="23">
        <f>AH18+'12.05'!AI18</f>
        <v>3305</v>
      </c>
      <c r="AJ18" s="24">
        <v>1729</v>
      </c>
      <c r="AK18" s="23">
        <f>AJ18+'12.05'!AK18</f>
        <v>31581</v>
      </c>
      <c r="AL18" s="22">
        <v>1795</v>
      </c>
      <c r="AM18" s="23">
        <f>AL18+'12.05'!AM18</f>
        <v>36132</v>
      </c>
      <c r="AN18" s="22">
        <v>99520</v>
      </c>
      <c r="AO18" s="23">
        <f>AN18+'12.05'!AO18</f>
        <v>1883646</v>
      </c>
      <c r="AP18" s="17" t="s">
        <v>53</v>
      </c>
      <c r="AQ18" s="19">
        <f t="shared" si="3"/>
        <v>2</v>
      </c>
      <c r="AR18" s="20">
        <f t="shared" si="3"/>
        <v>21</v>
      </c>
      <c r="AS18" s="22">
        <v>1</v>
      </c>
      <c r="AT18" s="23">
        <f>AS18+'12.05'!AT18</f>
        <v>3</v>
      </c>
      <c r="AU18" s="22">
        <v>0</v>
      </c>
      <c r="AV18" s="23">
        <f>AU18+'12.05'!AV18</f>
        <v>0</v>
      </c>
      <c r="AW18" s="22">
        <v>0</v>
      </c>
      <c r="AX18" s="23">
        <f>AW18+'12.05'!AX18</f>
        <v>0</v>
      </c>
      <c r="AY18" s="22">
        <v>0</v>
      </c>
      <c r="AZ18" s="23">
        <f>AY18+'12.05'!AZ18</f>
        <v>0</v>
      </c>
      <c r="BA18" s="22">
        <v>1</v>
      </c>
      <c r="BB18" s="23">
        <f>BA18+'12.05'!BB18</f>
        <v>18</v>
      </c>
      <c r="BC18" s="19">
        <f t="shared" si="5"/>
        <v>347</v>
      </c>
      <c r="BD18" s="20">
        <f t="shared" si="5"/>
        <v>9408</v>
      </c>
      <c r="BE18" s="22">
        <v>1</v>
      </c>
      <c r="BF18" s="23">
        <f>BE18+'12.05'!BF18</f>
        <v>14</v>
      </c>
      <c r="BG18" s="22">
        <v>0</v>
      </c>
      <c r="BH18" s="23">
        <f>BG18+'12.05'!BH18</f>
        <v>388</v>
      </c>
      <c r="BI18" s="22">
        <v>240</v>
      </c>
      <c r="BJ18" s="23">
        <f>BI18+'12.05'!BJ18</f>
        <v>7816</v>
      </c>
      <c r="BK18" s="22">
        <v>89</v>
      </c>
      <c r="BL18" s="23">
        <f>BK18+'12.05'!BL18</f>
        <v>1050</v>
      </c>
      <c r="BM18" s="22">
        <v>17</v>
      </c>
      <c r="BN18" s="23">
        <f>BM18+'12.05'!BN18</f>
        <v>140</v>
      </c>
      <c r="BO18" s="36">
        <v>442</v>
      </c>
      <c r="BP18" s="37">
        <v>1</v>
      </c>
      <c r="BQ18" s="23">
        <f>BP18+'12.05'!BQ18</f>
        <v>35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38</v>
      </c>
      <c r="D19" s="31">
        <f t="shared" si="0"/>
        <v>465</v>
      </c>
      <c r="E19" s="33">
        <v>221</v>
      </c>
      <c r="F19" s="22">
        <v>4</v>
      </c>
      <c r="G19" s="23">
        <f>F19+'12.05'!G19</f>
        <v>91</v>
      </c>
      <c r="H19" s="33">
        <v>5</v>
      </c>
      <c r="I19" s="34">
        <v>0</v>
      </c>
      <c r="J19" s="23">
        <f>I19+'12.05'!J19</f>
        <v>0</v>
      </c>
      <c r="K19" s="33">
        <v>4</v>
      </c>
      <c r="L19" s="22">
        <v>0</v>
      </c>
      <c r="M19" s="23">
        <f>L19+'12.05'!M19</f>
        <v>0</v>
      </c>
      <c r="N19" s="33">
        <v>313</v>
      </c>
      <c r="O19" s="22">
        <v>16</v>
      </c>
      <c r="P19" s="23">
        <f>O19+'12.05'!P19</f>
        <v>136</v>
      </c>
      <c r="Q19" s="33">
        <v>203</v>
      </c>
      <c r="R19" s="22">
        <v>0</v>
      </c>
      <c r="S19" s="23">
        <f>R19+'12.05'!S19</f>
        <v>0</v>
      </c>
      <c r="T19" s="33">
        <v>241</v>
      </c>
      <c r="U19" s="22">
        <v>0</v>
      </c>
      <c r="V19" s="23">
        <f>U19+'12.05'!V19</f>
        <v>0</v>
      </c>
      <c r="W19" s="33">
        <v>14</v>
      </c>
      <c r="X19" s="22">
        <v>18</v>
      </c>
      <c r="Y19" s="23">
        <f>X19+'12.05'!Y19</f>
        <v>175</v>
      </c>
      <c r="Z19" s="33">
        <v>7</v>
      </c>
      <c r="AA19" s="22">
        <v>0</v>
      </c>
      <c r="AB19" s="23">
        <f>AA19+'12.05'!AB19</f>
        <v>0</v>
      </c>
      <c r="AC19" s="33">
        <v>32</v>
      </c>
      <c r="AD19" s="22">
        <v>0</v>
      </c>
      <c r="AE19" s="23">
        <f>AD19+'12.05'!AE19</f>
        <v>63</v>
      </c>
      <c r="AF19" s="19">
        <f t="shared" si="1"/>
        <v>2900</v>
      </c>
      <c r="AG19" s="20">
        <f t="shared" si="1"/>
        <v>41550</v>
      </c>
      <c r="AH19" s="24">
        <v>300</v>
      </c>
      <c r="AI19" s="23">
        <f>AH19+'12.05'!AI19</f>
        <v>6825</v>
      </c>
      <c r="AJ19" s="24">
        <v>550</v>
      </c>
      <c r="AK19" s="23">
        <f>AJ19+'12.05'!AK19</f>
        <v>7075</v>
      </c>
      <c r="AL19" s="22">
        <v>1025</v>
      </c>
      <c r="AM19" s="23">
        <f>AL19+'12.05'!AM19</f>
        <v>13825</v>
      </c>
      <c r="AN19" s="22">
        <v>1025</v>
      </c>
      <c r="AO19" s="23">
        <f>AN19+'12.05'!AO19</f>
        <v>13825</v>
      </c>
      <c r="AP19" s="28" t="s">
        <v>54</v>
      </c>
      <c r="AQ19" s="19">
        <f t="shared" si="3"/>
        <v>0</v>
      </c>
      <c r="AR19" s="20">
        <f t="shared" si="3"/>
        <v>2</v>
      </c>
      <c r="AS19" s="34">
        <v>0</v>
      </c>
      <c r="AT19" s="23">
        <f>AS19+'12.05'!AT19</f>
        <v>0</v>
      </c>
      <c r="AU19" s="34">
        <v>0</v>
      </c>
      <c r="AV19" s="23">
        <f>AU19+'12.05'!AV19</f>
        <v>2</v>
      </c>
      <c r="AW19" s="34">
        <v>0</v>
      </c>
      <c r="AX19" s="23">
        <f>AW19+'12.05'!AX19</f>
        <v>0</v>
      </c>
      <c r="AY19" s="34">
        <v>0</v>
      </c>
      <c r="AZ19" s="23">
        <f>AY19+'12.05'!AZ19</f>
        <v>0</v>
      </c>
      <c r="BA19" s="34">
        <v>0</v>
      </c>
      <c r="BB19" s="23">
        <f>BA19+'12.05'!BB19</f>
        <v>0</v>
      </c>
      <c r="BC19" s="19">
        <f t="shared" si="5"/>
        <v>871</v>
      </c>
      <c r="BD19" s="20">
        <f t="shared" si="5"/>
        <v>14113</v>
      </c>
      <c r="BE19" s="22">
        <v>15</v>
      </c>
      <c r="BF19" s="23">
        <f>BE19+'12.05'!BF19</f>
        <v>181</v>
      </c>
      <c r="BG19" s="34">
        <v>0</v>
      </c>
      <c r="BH19" s="23">
        <f>BG19+'12.05'!BH19</f>
        <v>4</v>
      </c>
      <c r="BI19" s="22">
        <v>750</v>
      </c>
      <c r="BJ19" s="23">
        <f>BI19+'12.05'!BJ19</f>
        <v>12350</v>
      </c>
      <c r="BK19" s="22">
        <v>100</v>
      </c>
      <c r="BL19" s="23">
        <f>BK19+'12.05'!BL19</f>
        <v>1500</v>
      </c>
      <c r="BM19" s="22">
        <v>6</v>
      </c>
      <c r="BN19" s="23">
        <f>BM19+'12.05'!BN19</f>
        <v>78</v>
      </c>
      <c r="BO19" s="36">
        <v>2898</v>
      </c>
      <c r="BP19" s="37">
        <v>0</v>
      </c>
      <c r="BQ19" s="23">
        <f>BP19+'12.05'!BQ19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129</v>
      </c>
      <c r="D20" s="31">
        <f t="shared" si="0"/>
        <v>3806</v>
      </c>
      <c r="E20" s="32">
        <v>723</v>
      </c>
      <c r="F20" s="22">
        <v>48</v>
      </c>
      <c r="G20" s="23">
        <f>F20+'12.05'!G20</f>
        <v>2094</v>
      </c>
      <c r="H20" s="33">
        <v>5</v>
      </c>
      <c r="I20" s="34">
        <v>1</v>
      </c>
      <c r="J20" s="23">
        <f>I20+'12.05'!J20</f>
        <v>13</v>
      </c>
      <c r="K20" s="33">
        <v>3</v>
      </c>
      <c r="L20" s="22">
        <v>0</v>
      </c>
      <c r="M20" s="23">
        <f>L20+'12.05'!M20</f>
        <v>0</v>
      </c>
      <c r="N20" s="33">
        <v>975</v>
      </c>
      <c r="O20" s="22">
        <v>41</v>
      </c>
      <c r="P20" s="23">
        <f>O20+'12.05'!P20</f>
        <v>825</v>
      </c>
      <c r="Q20" s="61">
        <v>1862</v>
      </c>
      <c r="R20" s="22">
        <v>1</v>
      </c>
      <c r="S20" s="23">
        <f>R20+'12.05'!S20</f>
        <v>15</v>
      </c>
      <c r="T20" s="33">
        <v>35</v>
      </c>
      <c r="U20" s="22">
        <v>1</v>
      </c>
      <c r="V20" s="23">
        <f>U20+'12.05'!V20</f>
        <v>13</v>
      </c>
      <c r="W20" s="33">
        <v>64</v>
      </c>
      <c r="X20" s="22">
        <v>1</v>
      </c>
      <c r="Y20" s="23">
        <f>X20+'12.05'!Y20</f>
        <v>15</v>
      </c>
      <c r="Z20" s="33">
        <v>15</v>
      </c>
      <c r="AA20" s="22">
        <v>1</v>
      </c>
      <c r="AB20" s="23">
        <f>AA20+'12.05'!AB20</f>
        <v>18</v>
      </c>
      <c r="AC20" s="33">
        <v>1546</v>
      </c>
      <c r="AD20" s="22">
        <v>35</v>
      </c>
      <c r="AE20" s="23">
        <f>AD20+'12.05'!AE20</f>
        <v>813</v>
      </c>
      <c r="AF20" s="19">
        <f t="shared" si="1"/>
        <v>16480</v>
      </c>
      <c r="AG20" s="20">
        <f t="shared" si="1"/>
        <v>228314</v>
      </c>
      <c r="AH20" s="24">
        <v>7840</v>
      </c>
      <c r="AI20" s="23">
        <f>AH20+'12.05'!AI20</f>
        <v>103082</v>
      </c>
      <c r="AJ20" s="24">
        <v>7790</v>
      </c>
      <c r="AK20" s="23">
        <f>AJ20+'12.05'!AK20</f>
        <v>114472</v>
      </c>
      <c r="AL20" s="22">
        <v>450</v>
      </c>
      <c r="AM20" s="23">
        <f>AL20+'12.05'!AM20</f>
        <v>5950</v>
      </c>
      <c r="AN20" s="22">
        <v>400</v>
      </c>
      <c r="AO20" s="23">
        <f>AN20+'12.05'!AO20</f>
        <v>4810</v>
      </c>
      <c r="AP20" s="28" t="s">
        <v>55</v>
      </c>
      <c r="AQ20" s="19">
        <f t="shared" si="3"/>
        <v>126</v>
      </c>
      <c r="AR20" s="20">
        <f t="shared" si="3"/>
        <v>2092</v>
      </c>
      <c r="AS20" s="34">
        <v>1</v>
      </c>
      <c r="AT20" s="23">
        <f>AS20+'12.05'!AT20</f>
        <v>13</v>
      </c>
      <c r="AU20" s="34">
        <v>0</v>
      </c>
      <c r="AV20" s="23">
        <f>AU20+'12.05'!AV20</f>
        <v>0</v>
      </c>
      <c r="AW20" s="34">
        <v>0</v>
      </c>
      <c r="AX20" s="23">
        <f>AW20+'12.05'!AX20</f>
        <v>0</v>
      </c>
      <c r="AY20" s="34">
        <v>0</v>
      </c>
      <c r="AZ20" s="23">
        <f>AY20+'12.05'!AZ20</f>
        <v>0</v>
      </c>
      <c r="BA20" s="34">
        <v>125</v>
      </c>
      <c r="BB20" s="23">
        <f>BA20+'12.05'!BB20</f>
        <v>2079</v>
      </c>
      <c r="BC20" s="19">
        <f t="shared" si="5"/>
        <v>3263</v>
      </c>
      <c r="BD20" s="20">
        <f t="shared" si="5"/>
        <v>44217</v>
      </c>
      <c r="BE20" s="22">
        <v>2</v>
      </c>
      <c r="BF20" s="23">
        <f>BE20+'12.05'!BF20</f>
        <v>26</v>
      </c>
      <c r="BG20" s="34">
        <v>0</v>
      </c>
      <c r="BH20" s="23">
        <f>BG20+'12.05'!BH20</f>
        <v>0</v>
      </c>
      <c r="BI20" s="22">
        <v>1685</v>
      </c>
      <c r="BJ20" s="23">
        <f>BI20+'12.05'!BJ20</f>
        <v>22254</v>
      </c>
      <c r="BK20" s="22">
        <v>1575</v>
      </c>
      <c r="BL20" s="23">
        <f>BK20+'12.05'!BL20</f>
        <v>21925</v>
      </c>
      <c r="BM20" s="22">
        <v>1</v>
      </c>
      <c r="BN20" s="23">
        <f>BM20+'12.05'!BN20</f>
        <v>12</v>
      </c>
      <c r="BO20" s="36">
        <v>5854</v>
      </c>
      <c r="BP20" s="37">
        <v>0</v>
      </c>
      <c r="BQ20" s="23">
        <f>BP20+'12.05'!BQ20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228</v>
      </c>
      <c r="D21" s="31">
        <f t="shared" si="0"/>
        <v>2910</v>
      </c>
      <c r="E21" s="32">
        <v>1017</v>
      </c>
      <c r="F21" s="22">
        <v>168</v>
      </c>
      <c r="G21" s="23">
        <f>F21+'12.05'!G21</f>
        <v>2005</v>
      </c>
      <c r="H21" s="33">
        <v>8</v>
      </c>
      <c r="I21" s="34">
        <v>21</v>
      </c>
      <c r="J21" s="23">
        <f>I21+'12.05'!J21</f>
        <v>102</v>
      </c>
      <c r="K21" s="33">
        <v>4</v>
      </c>
      <c r="L21" s="22">
        <v>0</v>
      </c>
      <c r="M21" s="23">
        <f>L21+'12.05'!M21</f>
        <v>20</v>
      </c>
      <c r="N21" s="33">
        <v>963</v>
      </c>
      <c r="O21" s="22">
        <v>8</v>
      </c>
      <c r="P21" s="23">
        <f>O21+'12.05'!P21</f>
        <v>39</v>
      </c>
      <c r="Q21" s="33">
        <v>912</v>
      </c>
      <c r="R21" s="22">
        <v>0</v>
      </c>
      <c r="S21" s="23">
        <f>R21+'12.05'!S21</f>
        <v>0</v>
      </c>
      <c r="T21" s="33">
        <v>199</v>
      </c>
      <c r="U21" s="22">
        <v>9</v>
      </c>
      <c r="V21" s="23">
        <f>U21+'12.05'!V21</f>
        <v>75</v>
      </c>
      <c r="W21" s="33">
        <v>101</v>
      </c>
      <c r="X21" s="22">
        <v>11</v>
      </c>
      <c r="Y21" s="23">
        <f>X21+'12.05'!Y21</f>
        <v>127</v>
      </c>
      <c r="Z21" s="33">
        <v>42</v>
      </c>
      <c r="AA21" s="22">
        <v>0</v>
      </c>
      <c r="AB21" s="23">
        <f>AA21+'12.05'!AB21</f>
        <v>1</v>
      </c>
      <c r="AC21" s="33">
        <v>20</v>
      </c>
      <c r="AD21" s="22">
        <v>11</v>
      </c>
      <c r="AE21" s="23">
        <f>AD21+'12.05'!AE21</f>
        <v>541</v>
      </c>
      <c r="AF21" s="19">
        <f t="shared" si="1"/>
        <v>1054300</v>
      </c>
      <c r="AG21" s="20">
        <f t="shared" si="1"/>
        <v>14054580</v>
      </c>
      <c r="AH21" s="24">
        <v>1150</v>
      </c>
      <c r="AI21" s="23">
        <f>AH21+'12.05'!AI21</f>
        <v>16180</v>
      </c>
      <c r="AJ21" s="24">
        <v>102000</v>
      </c>
      <c r="AK21" s="23">
        <f>AJ21+'12.05'!AK21</f>
        <v>2285000</v>
      </c>
      <c r="AL21" s="22">
        <v>1150</v>
      </c>
      <c r="AM21" s="23">
        <f>AL21+'12.05'!AM21</f>
        <v>24900</v>
      </c>
      <c r="AN21" s="22">
        <v>950000</v>
      </c>
      <c r="AO21" s="23">
        <f>AN21+'12.05'!AO21</f>
        <v>11728500</v>
      </c>
      <c r="AP21" s="28" t="s">
        <v>58</v>
      </c>
      <c r="AQ21" s="19">
        <f t="shared" si="3"/>
        <v>1</v>
      </c>
      <c r="AR21" s="20">
        <f t="shared" si="3"/>
        <v>82</v>
      </c>
      <c r="AS21" s="34">
        <v>0</v>
      </c>
      <c r="AT21" s="23">
        <f>AS21+'12.05'!AT21</f>
        <v>2</v>
      </c>
      <c r="AU21" s="34">
        <v>0</v>
      </c>
      <c r="AV21" s="23">
        <f>AU21+'12.05'!AV21</f>
        <v>28</v>
      </c>
      <c r="AW21" s="34">
        <v>0</v>
      </c>
      <c r="AX21" s="23">
        <f>AW21+'12.05'!AX21</f>
        <v>0</v>
      </c>
      <c r="AY21" s="34">
        <v>0</v>
      </c>
      <c r="AZ21" s="23">
        <f>AY21+'12.05'!AZ21</f>
        <v>0</v>
      </c>
      <c r="BA21" s="34">
        <v>1</v>
      </c>
      <c r="BB21" s="23">
        <f>BA21+'12.05'!BB21</f>
        <v>52</v>
      </c>
      <c r="BC21" s="19">
        <f t="shared" si="5"/>
        <v>1034</v>
      </c>
      <c r="BD21" s="20">
        <f t="shared" si="5"/>
        <v>26216</v>
      </c>
      <c r="BE21" s="22">
        <v>30</v>
      </c>
      <c r="BF21" s="23">
        <f>BE21+'12.05'!BF21</f>
        <v>672</v>
      </c>
      <c r="BG21" s="34">
        <v>0</v>
      </c>
      <c r="BH21" s="23">
        <f>BG21+'12.05'!BH21</f>
        <v>0</v>
      </c>
      <c r="BI21" s="22">
        <v>1000</v>
      </c>
      <c r="BJ21" s="23">
        <f>BI21+'12.05'!BJ21</f>
        <v>25450</v>
      </c>
      <c r="BK21" s="22">
        <v>0</v>
      </c>
      <c r="BL21" s="23">
        <f>BK21+'12.05'!BL21</f>
        <v>0</v>
      </c>
      <c r="BM21" s="22">
        <v>4</v>
      </c>
      <c r="BN21" s="23">
        <f>BM21+'12.05'!BN21</f>
        <v>94</v>
      </c>
      <c r="BO21" s="36">
        <v>68</v>
      </c>
      <c r="BP21" s="37">
        <v>4</v>
      </c>
      <c r="BQ21" s="23">
        <f>BP21+'12.05'!BQ21</f>
        <v>23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2126</v>
      </c>
      <c r="D22" s="31">
        <f t="shared" si="0"/>
        <v>27486</v>
      </c>
      <c r="E22" s="32">
        <v>509</v>
      </c>
      <c r="F22" s="22">
        <v>410</v>
      </c>
      <c r="G22" s="23">
        <f>F22+'12.05'!G22</f>
        <v>4223</v>
      </c>
      <c r="H22" s="33">
        <v>8</v>
      </c>
      <c r="I22" s="34">
        <v>0</v>
      </c>
      <c r="J22" s="23">
        <f>I22+'12.05'!J22</f>
        <v>23</v>
      </c>
      <c r="K22" s="33">
        <v>21</v>
      </c>
      <c r="L22" s="22">
        <v>0</v>
      </c>
      <c r="M22" s="23">
        <f>L22+'12.05'!M22</f>
        <v>0</v>
      </c>
      <c r="N22" s="33">
        <v>560</v>
      </c>
      <c r="O22" s="22">
        <v>74</v>
      </c>
      <c r="P22" s="23">
        <f>O22+'12.05'!P22</f>
        <v>645</v>
      </c>
      <c r="Q22" s="33">
        <v>375</v>
      </c>
      <c r="R22" s="22">
        <v>0</v>
      </c>
      <c r="S22" s="23">
        <f>R22+'12.05'!S22</f>
        <v>0</v>
      </c>
      <c r="T22" s="33">
        <v>165</v>
      </c>
      <c r="U22" s="22">
        <v>24</v>
      </c>
      <c r="V22" s="23">
        <f>U22+'12.05'!V22</f>
        <v>300</v>
      </c>
      <c r="W22" s="33">
        <v>28</v>
      </c>
      <c r="X22" s="22">
        <v>79</v>
      </c>
      <c r="Y22" s="23">
        <f>X22+'12.05'!Y22</f>
        <v>948</v>
      </c>
      <c r="Z22" s="33">
        <v>9</v>
      </c>
      <c r="AA22" s="22">
        <v>0</v>
      </c>
      <c r="AB22" s="23">
        <f>AA22+'12.05'!AB22</f>
        <v>0</v>
      </c>
      <c r="AC22" s="33">
        <v>112</v>
      </c>
      <c r="AD22" s="22">
        <v>1539</v>
      </c>
      <c r="AE22" s="23">
        <f>AD22+'12.05'!AE22</f>
        <v>21347</v>
      </c>
      <c r="AF22" s="19">
        <f t="shared" si="1"/>
        <v>346312</v>
      </c>
      <c r="AG22" s="20">
        <f t="shared" si="1"/>
        <v>5428571</v>
      </c>
      <c r="AH22" s="24">
        <v>3250</v>
      </c>
      <c r="AI22" s="23">
        <f>AH22+'12.05'!AI22</f>
        <v>33340</v>
      </c>
      <c r="AJ22" s="24">
        <v>7602</v>
      </c>
      <c r="AK22" s="23">
        <f>AJ22+'12.05'!AK22</f>
        <v>76368</v>
      </c>
      <c r="AL22" s="22">
        <v>11245</v>
      </c>
      <c r="AM22" s="23">
        <f>AL22+'12.05'!AM22</f>
        <v>133497</v>
      </c>
      <c r="AN22" s="22">
        <v>324215</v>
      </c>
      <c r="AO22" s="23">
        <f>AN22+'12.05'!AO22</f>
        <v>5185366</v>
      </c>
      <c r="AP22" s="28" t="s">
        <v>59</v>
      </c>
      <c r="AQ22" s="19">
        <f t="shared" si="3"/>
        <v>1690</v>
      </c>
      <c r="AR22" s="20">
        <f t="shared" si="3"/>
        <v>28905</v>
      </c>
      <c r="AS22" s="34">
        <v>0</v>
      </c>
      <c r="AT22" s="23">
        <f>AS22+'12.05'!AT22</f>
        <v>5</v>
      </c>
      <c r="AU22" s="34">
        <v>0</v>
      </c>
      <c r="AV22" s="23">
        <f>AU22+'12.05'!AV22</f>
        <v>5</v>
      </c>
      <c r="AW22" s="34">
        <v>0</v>
      </c>
      <c r="AX22" s="23">
        <f>AW22+'12.05'!AX22</f>
        <v>2</v>
      </c>
      <c r="AY22" s="34">
        <v>0</v>
      </c>
      <c r="AZ22" s="23">
        <f>AY22+'12.05'!AZ22</f>
        <v>1</v>
      </c>
      <c r="BA22" s="34">
        <v>1690</v>
      </c>
      <c r="BB22" s="23">
        <f>BA22+'12.05'!BB22</f>
        <v>28892</v>
      </c>
      <c r="BC22" s="19">
        <f t="shared" si="5"/>
        <v>6744</v>
      </c>
      <c r="BD22" s="20">
        <f t="shared" si="5"/>
        <v>94059</v>
      </c>
      <c r="BE22" s="22">
        <v>5</v>
      </c>
      <c r="BF22" s="23">
        <f>BE22+'12.05'!BF22</f>
        <v>68</v>
      </c>
      <c r="BG22" s="34">
        <v>43</v>
      </c>
      <c r="BH22" s="23">
        <f>BG22+'12.05'!BH22</f>
        <v>844</v>
      </c>
      <c r="BI22" s="22">
        <v>2859</v>
      </c>
      <c r="BJ22" s="23">
        <f>BI22+'12.05'!BJ22</f>
        <v>71113</v>
      </c>
      <c r="BK22" s="22">
        <v>3754</v>
      </c>
      <c r="BL22" s="23">
        <f>BK22+'12.05'!BL22</f>
        <v>21498</v>
      </c>
      <c r="BM22" s="22">
        <v>83</v>
      </c>
      <c r="BN22" s="23">
        <f>BM22+'12.05'!BN22</f>
        <v>536</v>
      </c>
      <c r="BO22" s="36">
        <v>26</v>
      </c>
      <c r="BP22" s="37">
        <v>0</v>
      </c>
      <c r="BQ22" s="23">
        <f>BP22+'12.05'!BQ22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4115</v>
      </c>
      <c r="D23" s="65">
        <f t="shared" si="0"/>
        <v>54699</v>
      </c>
      <c r="E23" s="66">
        <f>+E18+E19+E22+E17+E16+E15+E14+E13+E12+E11+E10+E9+E8</f>
        <v>7282</v>
      </c>
      <c r="F23" s="67">
        <f t="shared" ref="F23:J23" si="7">SUM(F8:F22)</f>
        <v>1541</v>
      </c>
      <c r="G23" s="68">
        <f t="shared" si="7"/>
        <v>20007</v>
      </c>
      <c r="H23" s="66">
        <f>+H18+H19+H22+H17+H16+H15+H14+H13+H12+H11+H10+H9+H8</f>
        <v>271</v>
      </c>
      <c r="I23" s="67">
        <f t="shared" si="7"/>
        <v>30</v>
      </c>
      <c r="J23" s="68">
        <f t="shared" si="7"/>
        <v>198</v>
      </c>
      <c r="K23" s="66">
        <f>+K18+K19+K22+K17+K16+K15+K14+K13+K12+K11+K10+K9+K8</f>
        <v>163</v>
      </c>
      <c r="L23" s="67">
        <f t="shared" ref="L23:P23" si="8">SUM(L8:L22)</f>
        <v>3</v>
      </c>
      <c r="M23" s="68">
        <f t="shared" si="8"/>
        <v>31</v>
      </c>
      <c r="N23" s="66">
        <f>+N18+N19+N22+N17+N16+N15+N14+N13+N12+N11+N10+N9+N8</f>
        <v>8607</v>
      </c>
      <c r="O23" s="67">
        <f t="shared" si="8"/>
        <v>173</v>
      </c>
      <c r="P23" s="68">
        <f t="shared" si="8"/>
        <v>1927</v>
      </c>
      <c r="Q23" s="66">
        <f>+Q18+Q19+Q22+Q17+Q16+Q15+Q14+Q13+Q12+Q11+Q10+Q9+Q8</f>
        <v>7474</v>
      </c>
      <c r="R23" s="67">
        <f t="shared" ref="R23:V23" si="9">SUM(R8:R22)</f>
        <v>17</v>
      </c>
      <c r="S23" s="68">
        <f t="shared" si="9"/>
        <v>88</v>
      </c>
      <c r="T23" s="66">
        <f>+T18+T19+T22+T17+T16+T15+T14+T13+T12+T11+T10+T9+T8</f>
        <v>4115</v>
      </c>
      <c r="U23" s="67">
        <f t="shared" si="9"/>
        <v>46</v>
      </c>
      <c r="V23" s="68">
        <f t="shared" si="9"/>
        <v>515</v>
      </c>
      <c r="W23" s="66">
        <f>+W18+W19+W22+W17+W16+W15+W14+W13+W12+W11+W10+W9+W8</f>
        <v>604</v>
      </c>
      <c r="X23" s="67">
        <f t="shared" ref="X23:AB23" si="10">SUM(X8:X22)</f>
        <v>425</v>
      </c>
      <c r="Y23" s="68">
        <f t="shared" si="10"/>
        <v>5293</v>
      </c>
      <c r="Z23" s="66">
        <f>+Z18+Z19+Z22+Z17+Z16+Z15+Z14+Z13+Z12+Z11+Z10+Z9+Z8</f>
        <v>1629</v>
      </c>
      <c r="AA23" s="67">
        <f t="shared" si="10"/>
        <v>3</v>
      </c>
      <c r="AB23" s="68">
        <f t="shared" si="10"/>
        <v>48</v>
      </c>
      <c r="AC23" s="66">
        <f>+AC18+AC19+AC22+AC17+AC16+AC15+AC14+AC13+AC12+AC11+AC10+AC9+AC8</f>
        <v>64846</v>
      </c>
      <c r="AD23" s="67">
        <f t="shared" ref="AD23:AO23" si="11">SUM(AD8:AD22)</f>
        <v>1877</v>
      </c>
      <c r="AE23" s="68">
        <f t="shared" si="11"/>
        <v>26592</v>
      </c>
      <c r="AF23" s="64">
        <f t="shared" si="11"/>
        <v>3970841</v>
      </c>
      <c r="AG23" s="64">
        <f t="shared" si="11"/>
        <v>61200114</v>
      </c>
      <c r="AH23" s="67">
        <f t="shared" si="11"/>
        <v>37579</v>
      </c>
      <c r="AI23" s="68">
        <f t="shared" si="11"/>
        <v>402193</v>
      </c>
      <c r="AJ23" s="67">
        <f t="shared" si="11"/>
        <v>177302</v>
      </c>
      <c r="AK23" s="68">
        <f t="shared" si="11"/>
        <v>3128107</v>
      </c>
      <c r="AL23" s="67">
        <f t="shared" si="11"/>
        <v>964903</v>
      </c>
      <c r="AM23" s="68">
        <f t="shared" si="11"/>
        <v>20921650</v>
      </c>
      <c r="AN23" s="67">
        <f t="shared" si="11"/>
        <v>2791057</v>
      </c>
      <c r="AO23" s="68">
        <f t="shared" si="11"/>
        <v>36748164</v>
      </c>
      <c r="AP23" s="62" t="s">
        <v>12</v>
      </c>
      <c r="AQ23" s="64">
        <f t="shared" ref="AQ23:BP23" si="12">SUM(AQ8:AQ22)</f>
        <v>2242</v>
      </c>
      <c r="AR23" s="64">
        <f t="shared" si="12"/>
        <v>36035</v>
      </c>
      <c r="AS23" s="67">
        <f t="shared" si="12"/>
        <v>5</v>
      </c>
      <c r="AT23" s="68">
        <f t="shared" si="12"/>
        <v>58</v>
      </c>
      <c r="AU23" s="67">
        <f t="shared" si="12"/>
        <v>4</v>
      </c>
      <c r="AV23" s="68">
        <f t="shared" si="12"/>
        <v>79</v>
      </c>
      <c r="AW23" s="67">
        <f t="shared" si="12"/>
        <v>2</v>
      </c>
      <c r="AX23" s="68">
        <f t="shared" si="12"/>
        <v>9</v>
      </c>
      <c r="AY23" s="67">
        <f t="shared" si="12"/>
        <v>0</v>
      </c>
      <c r="AZ23" s="68">
        <f t="shared" si="12"/>
        <v>2</v>
      </c>
      <c r="BA23" s="67">
        <f t="shared" si="12"/>
        <v>2231</v>
      </c>
      <c r="BB23" s="68">
        <f t="shared" si="12"/>
        <v>35887</v>
      </c>
      <c r="BC23" s="64">
        <f t="shared" si="12"/>
        <v>39277</v>
      </c>
      <c r="BD23" s="64">
        <f t="shared" si="12"/>
        <v>523540</v>
      </c>
      <c r="BE23" s="67">
        <f t="shared" si="12"/>
        <v>1438</v>
      </c>
      <c r="BF23" s="68">
        <f t="shared" si="12"/>
        <v>19419</v>
      </c>
      <c r="BG23" s="67">
        <f t="shared" si="12"/>
        <v>77</v>
      </c>
      <c r="BH23" s="68">
        <f t="shared" si="12"/>
        <v>1638</v>
      </c>
      <c r="BI23" s="67">
        <f t="shared" si="12"/>
        <v>24381</v>
      </c>
      <c r="BJ23" s="68">
        <f t="shared" si="12"/>
        <v>416891</v>
      </c>
      <c r="BK23" s="67">
        <f t="shared" si="12"/>
        <v>13096</v>
      </c>
      <c r="BL23" s="68">
        <f t="shared" si="12"/>
        <v>83095</v>
      </c>
      <c r="BM23" s="67">
        <f t="shared" si="12"/>
        <v>285</v>
      </c>
      <c r="BN23" s="68">
        <f t="shared" si="12"/>
        <v>2497</v>
      </c>
      <c r="BO23" s="69">
        <f t="shared" si="12"/>
        <v>37704</v>
      </c>
      <c r="BP23" s="70">
        <f t="shared" si="12"/>
        <v>16</v>
      </c>
      <c r="BQ23" s="23">
        <f>BP23+'20.04'!BP23</f>
        <v>42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030A0"/>
  </sheetPr>
  <dimension ref="A1:BR23"/>
  <sheetViews>
    <sheetView zoomScale="90" zoomScaleNormal="90" workbookViewId="0">
      <pane xSplit="4" ySplit="8" topLeftCell="AQ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80</v>
      </c>
      <c r="E9" s="32">
        <v>452</v>
      </c>
      <c r="F9" s="22">
        <v>3</v>
      </c>
      <c r="G9" s="23">
        <f>F9+'13.05'!G9</f>
        <v>42</v>
      </c>
      <c r="H9" s="33">
        <v>12</v>
      </c>
      <c r="I9" s="34">
        <v>1</v>
      </c>
      <c r="J9" s="23">
        <f>I9+'13.05'!J9</f>
        <v>11</v>
      </c>
      <c r="K9" s="33">
        <v>2</v>
      </c>
      <c r="L9" s="22">
        <v>0</v>
      </c>
      <c r="M9" s="23">
        <f>L9+'13.05'!M9</f>
        <v>0</v>
      </c>
      <c r="N9" s="33">
        <v>735</v>
      </c>
      <c r="O9" s="22">
        <v>0</v>
      </c>
      <c r="P9" s="23">
        <f>O9+'13.05'!P9</f>
        <v>0</v>
      </c>
      <c r="Q9" s="33">
        <v>502</v>
      </c>
      <c r="R9" s="22">
        <v>0</v>
      </c>
      <c r="S9" s="23">
        <f>R9+'13.05'!S9</f>
        <v>0</v>
      </c>
      <c r="T9" s="33">
        <v>197</v>
      </c>
      <c r="U9" s="22">
        <v>0</v>
      </c>
      <c r="V9" s="23">
        <f>U9+'13.05'!V9</f>
        <v>0</v>
      </c>
      <c r="W9" s="33">
        <v>47</v>
      </c>
      <c r="X9" s="22">
        <v>0</v>
      </c>
      <c r="Y9" s="23">
        <f>X9+'13.05'!Y9</f>
        <v>15</v>
      </c>
      <c r="Z9" s="33">
        <v>34</v>
      </c>
      <c r="AA9" s="22">
        <v>0</v>
      </c>
      <c r="AB9" s="23">
        <f>AA9+'13.05'!AB9</f>
        <v>0</v>
      </c>
      <c r="AC9" s="33">
        <v>1860</v>
      </c>
      <c r="AD9" s="22">
        <v>0</v>
      </c>
      <c r="AE9" s="23">
        <f>AD9+'13.05'!AE9</f>
        <v>12</v>
      </c>
      <c r="AF9" s="19">
        <f t="shared" si="1"/>
        <v>8555</v>
      </c>
      <c r="AG9" s="20">
        <f t="shared" si="1"/>
        <v>123225</v>
      </c>
      <c r="AH9" s="24">
        <v>115</v>
      </c>
      <c r="AI9" s="23">
        <f>AH9+'13.05'!AI9</f>
        <v>1587</v>
      </c>
      <c r="AJ9" s="24">
        <v>310</v>
      </c>
      <c r="AK9" s="23">
        <f>AJ9+'13.05'!AK9</f>
        <v>11813</v>
      </c>
      <c r="AL9" s="22">
        <v>1310</v>
      </c>
      <c r="AM9" s="23">
        <f>AL9+'13.05'!AM9</f>
        <v>14135</v>
      </c>
      <c r="AN9" s="22">
        <v>6820</v>
      </c>
      <c r="AO9" s="23">
        <f>AN9+'13.05'!AO9</f>
        <v>95690</v>
      </c>
      <c r="AP9" s="28" t="s">
        <v>43</v>
      </c>
      <c r="AQ9" s="19">
        <f t="shared" si="3"/>
        <v>123</v>
      </c>
      <c r="AR9" s="20">
        <f t="shared" si="3"/>
        <v>2292</v>
      </c>
      <c r="AS9" s="34">
        <v>0</v>
      </c>
      <c r="AT9" s="23">
        <f>AS9+'13.05'!AT9</f>
        <v>3</v>
      </c>
      <c r="AU9" s="34">
        <v>0</v>
      </c>
      <c r="AV9" s="23">
        <f>AU9+'13.05'!AV9</f>
        <v>4</v>
      </c>
      <c r="AW9" s="34">
        <v>1</v>
      </c>
      <c r="AX9" s="23">
        <f>AW9+'13.05'!AX9</f>
        <v>3</v>
      </c>
      <c r="AY9" s="34">
        <v>0</v>
      </c>
      <c r="AZ9" s="23">
        <f>AY9+'13.05'!AZ9</f>
        <v>0</v>
      </c>
      <c r="BA9" s="34">
        <v>122</v>
      </c>
      <c r="BB9" s="23">
        <f>BA9+'13.05'!BB9</f>
        <v>2282</v>
      </c>
      <c r="BC9" s="19">
        <f t="shared" si="5"/>
        <v>252</v>
      </c>
      <c r="BD9" s="20">
        <f t="shared" si="5"/>
        <v>6202</v>
      </c>
      <c r="BE9" s="22">
        <v>2</v>
      </c>
      <c r="BF9" s="23">
        <f>BE9+'13.05'!BF9</f>
        <v>21</v>
      </c>
      <c r="BG9" s="34">
        <v>0</v>
      </c>
      <c r="BH9" s="23">
        <f>BG9+'13.05'!BH9</f>
        <v>0</v>
      </c>
      <c r="BI9" s="22">
        <v>250</v>
      </c>
      <c r="BJ9" s="23">
        <f>BI9+'13.05'!BJ9</f>
        <v>6160</v>
      </c>
      <c r="BK9" s="22">
        <v>0</v>
      </c>
      <c r="BL9" s="23">
        <f>BK9+'13.05'!BL9</f>
        <v>0</v>
      </c>
      <c r="BM9" s="22">
        <v>0</v>
      </c>
      <c r="BN9" s="23">
        <f>BM9+'13.05'!BN9</f>
        <v>21</v>
      </c>
      <c r="BO9" s="36">
        <v>14</v>
      </c>
      <c r="BP9" s="37">
        <v>0</v>
      </c>
      <c r="BQ9" s="23">
        <f>BP9+'13.05'!BQ9</f>
        <v>4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181</v>
      </c>
      <c r="D10" s="31">
        <f t="shared" si="0"/>
        <v>1721</v>
      </c>
      <c r="E10" s="32">
        <v>585</v>
      </c>
      <c r="F10" s="22">
        <v>29</v>
      </c>
      <c r="G10" s="23">
        <f>F10+'13.05'!G10</f>
        <v>184</v>
      </c>
      <c r="H10" s="33">
        <v>93</v>
      </c>
      <c r="I10" s="34">
        <v>3</v>
      </c>
      <c r="J10" s="23">
        <f>I10+'13.05'!J10</f>
        <v>23</v>
      </c>
      <c r="K10" s="33">
        <v>34</v>
      </c>
      <c r="L10" s="22">
        <v>1</v>
      </c>
      <c r="M10" s="23">
        <f>L10+'13.05'!M10</f>
        <v>12</v>
      </c>
      <c r="N10" s="33">
        <v>352</v>
      </c>
      <c r="O10" s="22">
        <v>17</v>
      </c>
      <c r="P10" s="23">
        <f>O10+'13.05'!P10</f>
        <v>113</v>
      </c>
      <c r="Q10" s="33">
        <v>549</v>
      </c>
      <c r="R10" s="22">
        <v>13</v>
      </c>
      <c r="S10" s="23">
        <f>R10+'13.05'!S10</f>
        <v>86</v>
      </c>
      <c r="T10" s="33">
        <v>198</v>
      </c>
      <c r="U10" s="22">
        <v>6</v>
      </c>
      <c r="V10" s="23">
        <f>U10+'13.05'!V10</f>
        <v>52</v>
      </c>
      <c r="W10" s="38">
        <v>55</v>
      </c>
      <c r="X10" s="22">
        <v>1</v>
      </c>
      <c r="Y10" s="23">
        <f>X10+'13.05'!Y10</f>
        <v>43</v>
      </c>
      <c r="Z10" s="38">
        <v>71</v>
      </c>
      <c r="AA10" s="22">
        <v>5</v>
      </c>
      <c r="AB10" s="23">
        <f>AA10+'13.05'!AB10</f>
        <v>34</v>
      </c>
      <c r="AC10" s="38">
        <v>1690</v>
      </c>
      <c r="AD10" s="22">
        <v>106</v>
      </c>
      <c r="AE10" s="23">
        <f>AD10+'13.05'!AE10</f>
        <v>1174</v>
      </c>
      <c r="AF10" s="19">
        <f t="shared" si="1"/>
        <v>121727</v>
      </c>
      <c r="AG10" s="20">
        <f t="shared" si="1"/>
        <v>1457827</v>
      </c>
      <c r="AH10" s="24">
        <v>2900</v>
      </c>
      <c r="AI10" s="23">
        <f>AH10+'13.05'!AI10</f>
        <v>16392</v>
      </c>
      <c r="AJ10" s="24">
        <v>8123</v>
      </c>
      <c r="AK10" s="23">
        <f>AJ10+'13.05'!AK10</f>
        <v>72350</v>
      </c>
      <c r="AL10" s="22">
        <v>12191</v>
      </c>
      <c r="AM10" s="23">
        <f>AL10+'13.05'!AM10</f>
        <v>159380</v>
      </c>
      <c r="AN10" s="22">
        <v>98513</v>
      </c>
      <c r="AO10" s="23">
        <f>AN10+'13.05'!AO10</f>
        <v>1209705</v>
      </c>
      <c r="AP10" s="28" t="s">
        <v>44</v>
      </c>
      <c r="AQ10" s="19">
        <f t="shared" si="3"/>
        <v>10</v>
      </c>
      <c r="AR10" s="20">
        <f t="shared" si="3"/>
        <v>68</v>
      </c>
      <c r="AS10" s="34">
        <v>1</v>
      </c>
      <c r="AT10" s="23">
        <f>AS10+'13.05'!AT10</f>
        <v>3</v>
      </c>
      <c r="AU10" s="34">
        <v>0</v>
      </c>
      <c r="AV10" s="23">
        <f>AU10+'13.05'!AV10</f>
        <v>3</v>
      </c>
      <c r="AW10" s="34">
        <v>0</v>
      </c>
      <c r="AX10" s="23">
        <f>AW10+'13.05'!AX10</f>
        <v>0</v>
      </c>
      <c r="AY10" s="34">
        <v>0</v>
      </c>
      <c r="AZ10" s="23">
        <f>AY10+'13.05'!AZ10</f>
        <v>0</v>
      </c>
      <c r="BA10" s="34">
        <v>9</v>
      </c>
      <c r="BB10" s="23">
        <f>BA10+'13.05'!BB10</f>
        <v>62</v>
      </c>
      <c r="BC10" s="19">
        <f t="shared" si="5"/>
        <v>9407</v>
      </c>
      <c r="BD10" s="20">
        <f t="shared" si="5"/>
        <v>65423</v>
      </c>
      <c r="BE10" s="22">
        <v>566</v>
      </c>
      <c r="BF10" s="23">
        <f>BE10+'13.05'!BF10</f>
        <v>7257</v>
      </c>
      <c r="BG10" s="34">
        <v>4</v>
      </c>
      <c r="BH10" s="23">
        <f>BG10+'13.05'!BH10</f>
        <v>13</v>
      </c>
      <c r="BI10" s="22">
        <v>2778</v>
      </c>
      <c r="BJ10" s="23">
        <f>BI10+'13.05'!BJ10</f>
        <v>32440</v>
      </c>
      <c r="BK10" s="22">
        <v>6056</v>
      </c>
      <c r="BL10" s="23">
        <f>BK10+'13.05'!BL10</f>
        <v>25710</v>
      </c>
      <c r="BM10" s="22">
        <v>3</v>
      </c>
      <c r="BN10" s="23">
        <f>BM10+'13.05'!BN10</f>
        <v>3</v>
      </c>
      <c r="BO10" s="36">
        <v>32</v>
      </c>
      <c r="BP10" s="37"/>
      <c r="BQ10" s="23">
        <f>BP10+'13.05'!BQ10</f>
        <v>8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42</v>
      </c>
      <c r="D11" s="31">
        <f t="shared" si="0"/>
        <v>522</v>
      </c>
      <c r="E11" s="32">
        <v>883</v>
      </c>
      <c r="F11" s="22">
        <v>20</v>
      </c>
      <c r="G11" s="23">
        <f>F11+'13.05'!G11</f>
        <v>261</v>
      </c>
      <c r="H11" s="33">
        <v>16</v>
      </c>
      <c r="I11" s="34">
        <v>0</v>
      </c>
      <c r="J11" s="23">
        <f>I11+'13.05'!J11</f>
        <v>0</v>
      </c>
      <c r="K11" s="33">
        <v>3</v>
      </c>
      <c r="L11" s="22">
        <v>0</v>
      </c>
      <c r="M11" s="23">
        <f>L11+'13.05'!M11</f>
        <v>0</v>
      </c>
      <c r="N11" s="33">
        <v>875</v>
      </c>
      <c r="O11" s="22">
        <v>0</v>
      </c>
      <c r="P11" s="23">
        <f>O11+'13.05'!P11</f>
        <v>0</v>
      </c>
      <c r="Q11" s="33">
        <v>2424</v>
      </c>
      <c r="R11" s="22">
        <v>0</v>
      </c>
      <c r="S11" s="23">
        <f>R11+'13.05'!S11</f>
        <v>0</v>
      </c>
      <c r="T11" s="33">
        <v>69</v>
      </c>
      <c r="U11" s="22">
        <v>0</v>
      </c>
      <c r="V11" s="23">
        <f>U11+'13.05'!V11</f>
        <v>0</v>
      </c>
      <c r="W11" s="38">
        <v>133</v>
      </c>
      <c r="X11" s="22">
        <v>18</v>
      </c>
      <c r="Y11" s="23">
        <f>X11+'13.05'!Y11</f>
        <v>240</v>
      </c>
      <c r="Z11" s="38">
        <v>1116</v>
      </c>
      <c r="AA11" s="22">
        <v>0</v>
      </c>
      <c r="AB11" s="23">
        <f>AA11+'13.05'!AB11</f>
        <v>0</v>
      </c>
      <c r="AC11" s="38">
        <v>9862</v>
      </c>
      <c r="AD11" s="22">
        <v>4</v>
      </c>
      <c r="AE11" s="23">
        <f>AD11+'13.05'!AE11</f>
        <v>21</v>
      </c>
      <c r="AF11" s="19">
        <f t="shared" si="1"/>
        <v>20600</v>
      </c>
      <c r="AG11" s="20">
        <f t="shared" si="1"/>
        <v>288900</v>
      </c>
      <c r="AH11" s="24">
        <v>3300</v>
      </c>
      <c r="AI11" s="23">
        <f>AH11+'13.05'!AI11</f>
        <v>34200</v>
      </c>
      <c r="AJ11" s="24">
        <v>2300</v>
      </c>
      <c r="AK11" s="23">
        <f>AJ11+'13.05'!AK11</f>
        <v>37500</v>
      </c>
      <c r="AL11" s="22">
        <v>3600</v>
      </c>
      <c r="AM11" s="23">
        <f>AL11+'13.05'!AM11</f>
        <v>72100</v>
      </c>
      <c r="AN11" s="22">
        <v>11400</v>
      </c>
      <c r="AO11" s="23">
        <f>AN11+'13.05'!AO11</f>
        <v>145100</v>
      </c>
      <c r="AP11" s="28" t="s">
        <v>45</v>
      </c>
      <c r="AQ11" s="19">
        <f t="shared" si="3"/>
        <v>2</v>
      </c>
      <c r="AR11" s="20">
        <f t="shared" si="3"/>
        <v>35</v>
      </c>
      <c r="AS11" s="34">
        <v>0</v>
      </c>
      <c r="AT11" s="23">
        <f>AS11+'13.05'!AT11</f>
        <v>0</v>
      </c>
      <c r="AU11" s="34">
        <v>0</v>
      </c>
      <c r="AV11" s="23">
        <f>AU11+'13.05'!AV11</f>
        <v>0</v>
      </c>
      <c r="AW11" s="34">
        <v>0</v>
      </c>
      <c r="AX11" s="23">
        <f>AW11+'13.05'!AX11</f>
        <v>0</v>
      </c>
      <c r="AY11" s="34">
        <v>0</v>
      </c>
      <c r="AZ11" s="23">
        <f>AY11+'13.05'!AZ11</f>
        <v>0</v>
      </c>
      <c r="BA11" s="34">
        <v>2</v>
      </c>
      <c r="BB11" s="23">
        <f>BA11+'13.05'!BB11</f>
        <v>35</v>
      </c>
      <c r="BC11" s="19">
        <f t="shared" si="5"/>
        <v>642</v>
      </c>
      <c r="BD11" s="20">
        <f t="shared" si="5"/>
        <v>9645</v>
      </c>
      <c r="BE11" s="22">
        <v>2</v>
      </c>
      <c r="BF11" s="23">
        <f>BE11+'13.05'!BF11</f>
        <v>22</v>
      </c>
      <c r="BG11" s="34">
        <v>5</v>
      </c>
      <c r="BH11" s="23">
        <f>BG11+'13.05'!BH11</f>
        <v>38</v>
      </c>
      <c r="BI11" s="22">
        <v>620</v>
      </c>
      <c r="BJ11" s="23">
        <f>BI11+'13.05'!BJ11</f>
        <v>9332</v>
      </c>
      <c r="BK11" s="22">
        <v>12</v>
      </c>
      <c r="BL11" s="23">
        <f>BK11+'13.05'!BL11</f>
        <v>231</v>
      </c>
      <c r="BM11" s="22">
        <v>3</v>
      </c>
      <c r="BN11" s="23">
        <f>BM11+'13.05'!BN11</f>
        <v>22</v>
      </c>
      <c r="BO11" s="36">
        <v>11506</v>
      </c>
      <c r="BP11" s="37">
        <v>3</v>
      </c>
      <c r="BQ11" s="23">
        <f>BP11+'13.05'!BQ11</f>
        <v>38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193</v>
      </c>
      <c r="D12" s="31">
        <f t="shared" si="0"/>
        <v>2958</v>
      </c>
      <c r="E12" s="32">
        <v>909</v>
      </c>
      <c r="F12" s="22">
        <v>48</v>
      </c>
      <c r="G12" s="23">
        <f>F12+'13.05'!G12</f>
        <v>683</v>
      </c>
      <c r="H12" s="33">
        <v>80</v>
      </c>
      <c r="I12" s="34">
        <v>2</v>
      </c>
      <c r="J12" s="23">
        <f>I12+'13.05'!J12</f>
        <v>26</v>
      </c>
      <c r="K12" s="33">
        <v>5</v>
      </c>
      <c r="L12" s="22">
        <v>0</v>
      </c>
      <c r="M12" s="23">
        <f>L12+'13.05'!M12</f>
        <v>0</v>
      </c>
      <c r="N12" s="33">
        <v>820</v>
      </c>
      <c r="O12" s="22">
        <v>21</v>
      </c>
      <c r="P12" s="23">
        <f>O12+'13.05'!P12</f>
        <v>201</v>
      </c>
      <c r="Q12" s="33">
        <v>549</v>
      </c>
      <c r="R12" s="22">
        <v>0</v>
      </c>
      <c r="S12" s="23">
        <f>R12+'13.05'!S12</f>
        <v>0</v>
      </c>
      <c r="T12" s="33">
        <v>992</v>
      </c>
      <c r="U12" s="22">
        <v>0</v>
      </c>
      <c r="V12" s="23">
        <f>U12+'13.05'!V12</f>
        <v>0</v>
      </c>
      <c r="W12" s="33">
        <v>38</v>
      </c>
      <c r="X12" s="22">
        <v>120</v>
      </c>
      <c r="Y12" s="23">
        <f>X12+'13.05'!Y12</f>
        <v>1560</v>
      </c>
      <c r="Z12" s="33">
        <v>68</v>
      </c>
      <c r="AA12" s="22">
        <v>0</v>
      </c>
      <c r="AB12" s="23">
        <f>AA12+'13.05'!AB12</f>
        <v>0</v>
      </c>
      <c r="AC12" s="33">
        <v>26703</v>
      </c>
      <c r="AD12" s="22">
        <v>2</v>
      </c>
      <c r="AE12" s="23">
        <f>AD12+'13.05'!AE12</f>
        <v>488</v>
      </c>
      <c r="AF12" s="19">
        <f t="shared" si="1"/>
        <v>34201</v>
      </c>
      <c r="AG12" s="20">
        <f t="shared" si="1"/>
        <v>192404</v>
      </c>
      <c r="AH12" s="24">
        <v>4200</v>
      </c>
      <c r="AI12" s="23">
        <f>AH12+'13.05'!AI12</f>
        <v>26959</v>
      </c>
      <c r="AJ12" s="24">
        <v>11900</v>
      </c>
      <c r="AK12" s="23">
        <f>AJ12+'13.05'!AK12</f>
        <v>56389</v>
      </c>
      <c r="AL12" s="22">
        <v>9050</v>
      </c>
      <c r="AM12" s="23">
        <f>AL12+'13.05'!AM12</f>
        <v>54527</v>
      </c>
      <c r="AN12" s="22">
        <v>9051</v>
      </c>
      <c r="AO12" s="23">
        <f>AN12+'13.05'!AO12</f>
        <v>54529</v>
      </c>
      <c r="AP12" s="28" t="s">
        <v>46</v>
      </c>
      <c r="AQ12" s="19">
        <f t="shared" si="3"/>
        <v>114</v>
      </c>
      <c r="AR12" s="20">
        <f t="shared" si="3"/>
        <v>1114</v>
      </c>
      <c r="AS12" s="34">
        <v>0</v>
      </c>
      <c r="AT12" s="23">
        <f>AS12+'13.05'!AT12</f>
        <v>0</v>
      </c>
      <c r="AU12" s="34">
        <v>0</v>
      </c>
      <c r="AV12" s="23">
        <f>AU12+'13.05'!AV12</f>
        <v>0</v>
      </c>
      <c r="AW12" s="34">
        <v>0</v>
      </c>
      <c r="AX12" s="23">
        <f>AW12+'13.05'!AX12</f>
        <v>0</v>
      </c>
      <c r="AY12" s="34">
        <v>0</v>
      </c>
      <c r="AZ12" s="23">
        <f>AY12+'13.05'!AZ12</f>
        <v>0</v>
      </c>
      <c r="BA12" s="34">
        <v>114</v>
      </c>
      <c r="BB12" s="23">
        <f>BA12+'13.05'!BB12</f>
        <v>1114</v>
      </c>
      <c r="BC12" s="19">
        <f t="shared" si="5"/>
        <v>3078</v>
      </c>
      <c r="BD12" s="20">
        <f t="shared" si="5"/>
        <v>39207</v>
      </c>
      <c r="BE12" s="22">
        <v>111</v>
      </c>
      <c r="BF12" s="23">
        <f>BE12+'13.05'!BF12</f>
        <v>2810</v>
      </c>
      <c r="BG12" s="34">
        <v>9</v>
      </c>
      <c r="BH12" s="23">
        <f>BG12+'13.05'!BH12</f>
        <v>110</v>
      </c>
      <c r="BI12" s="22">
        <v>2500</v>
      </c>
      <c r="BJ12" s="23">
        <f>BI12+'13.05'!BJ12</f>
        <v>32100</v>
      </c>
      <c r="BK12" s="22">
        <v>400</v>
      </c>
      <c r="BL12" s="23">
        <f>BK12+'13.05'!BL12</f>
        <v>3550</v>
      </c>
      <c r="BM12" s="22">
        <v>58</v>
      </c>
      <c r="BN12" s="23">
        <f>BM12+'13.05'!BN12</f>
        <v>637</v>
      </c>
      <c r="BO12" s="36"/>
      <c r="BP12" s="37">
        <v>2</v>
      </c>
      <c r="BQ12" s="23">
        <f>BP12+'13.05'!BQ12</f>
        <v>22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158</v>
      </c>
      <c r="E13" s="32">
        <v>516</v>
      </c>
      <c r="F13" s="22">
        <v>1</v>
      </c>
      <c r="G13" s="23">
        <f>F13+'13.05'!G13</f>
        <v>15</v>
      </c>
      <c r="H13" s="33">
        <v>10</v>
      </c>
      <c r="I13" s="34">
        <v>1</v>
      </c>
      <c r="J13" s="23">
        <f>I13+'13.05'!J13</f>
        <v>7</v>
      </c>
      <c r="K13" s="33">
        <v>38</v>
      </c>
      <c r="L13" s="22">
        <v>0</v>
      </c>
      <c r="M13" s="23">
        <f>L13+'13.05'!M13</f>
        <v>0</v>
      </c>
      <c r="N13" s="33">
        <v>581</v>
      </c>
      <c r="O13" s="22">
        <v>1</v>
      </c>
      <c r="P13" s="23">
        <f>O13+'13.05'!P13</f>
        <v>7</v>
      </c>
      <c r="Q13" s="33">
        <v>525</v>
      </c>
      <c r="R13" s="22">
        <v>0</v>
      </c>
      <c r="S13" s="23">
        <f>R13+'13.05'!S13</f>
        <v>0</v>
      </c>
      <c r="T13" s="33">
        <v>263</v>
      </c>
      <c r="U13" s="22">
        <v>0</v>
      </c>
      <c r="V13" s="23">
        <f>U13+'13.05'!V13</f>
        <v>0</v>
      </c>
      <c r="W13" s="33">
        <v>43</v>
      </c>
      <c r="X13" s="22">
        <v>0</v>
      </c>
      <c r="Y13" s="23">
        <f>X13+'13.05'!Y13</f>
        <v>0</v>
      </c>
      <c r="Z13" s="33">
        <v>17</v>
      </c>
      <c r="AA13" s="22">
        <v>0</v>
      </c>
      <c r="AB13" s="23">
        <f>AA13+'13.05'!AB13</f>
        <v>0</v>
      </c>
      <c r="AC13" s="33">
        <v>51</v>
      </c>
      <c r="AD13" s="22">
        <v>1</v>
      </c>
      <c r="AE13" s="23">
        <f>AD13+'13.05'!AE13</f>
        <v>129</v>
      </c>
      <c r="AF13" s="19">
        <f t="shared" si="1"/>
        <v>238000</v>
      </c>
      <c r="AG13" s="20">
        <f t="shared" si="1"/>
        <v>3519000</v>
      </c>
      <c r="AH13" s="24">
        <v>2000</v>
      </c>
      <c r="AI13" s="23">
        <f>AH13+'13.05'!AI13</f>
        <v>37000</v>
      </c>
      <c r="AJ13" s="24">
        <v>16000</v>
      </c>
      <c r="AK13" s="23">
        <f>AJ13+'13.05'!AK13</f>
        <v>213000</v>
      </c>
      <c r="AL13" s="22">
        <v>20000</v>
      </c>
      <c r="AM13" s="23">
        <f>AL13+'13.05'!AM13</f>
        <v>310000</v>
      </c>
      <c r="AN13" s="22">
        <v>200000</v>
      </c>
      <c r="AO13" s="23">
        <f>AN13+'13.05'!AO13</f>
        <v>2959000</v>
      </c>
      <c r="AP13" s="28" t="s">
        <v>47</v>
      </c>
      <c r="AQ13" s="19">
        <f t="shared" si="3"/>
        <v>12</v>
      </c>
      <c r="AR13" s="20">
        <f t="shared" si="3"/>
        <v>400</v>
      </c>
      <c r="AS13" s="34">
        <v>1</v>
      </c>
      <c r="AT13" s="23">
        <f>AS13+'13.05'!AT13</f>
        <v>13</v>
      </c>
      <c r="AU13" s="34">
        <v>1</v>
      </c>
      <c r="AV13" s="23">
        <f>AU13+'13.05'!AV13</f>
        <v>13</v>
      </c>
      <c r="AW13" s="34">
        <v>0</v>
      </c>
      <c r="AX13" s="23">
        <f>AW13+'13.05'!AX13</f>
        <v>0</v>
      </c>
      <c r="AY13" s="34">
        <v>0</v>
      </c>
      <c r="AZ13" s="23">
        <f>AY13+'13.05'!AZ13</f>
        <v>0</v>
      </c>
      <c r="BA13" s="34">
        <v>10</v>
      </c>
      <c r="BB13" s="23">
        <f>BA13+'13.05'!BB13</f>
        <v>374</v>
      </c>
      <c r="BC13" s="19">
        <f t="shared" si="5"/>
        <v>5790</v>
      </c>
      <c r="BD13" s="20">
        <f t="shared" si="5"/>
        <v>131422</v>
      </c>
      <c r="BE13" s="22">
        <v>516</v>
      </c>
      <c r="BF13" s="23">
        <f>BE13+'13.05'!BF13</f>
        <v>7224</v>
      </c>
      <c r="BG13" s="34">
        <v>7</v>
      </c>
      <c r="BH13" s="23">
        <f>BG13+'13.05'!BH13</f>
        <v>208</v>
      </c>
      <c r="BI13" s="22">
        <v>5000</v>
      </c>
      <c r="BJ13" s="23">
        <f>BI13+'13.05'!BJ13</f>
        <v>121500</v>
      </c>
      <c r="BK13" s="22">
        <v>200</v>
      </c>
      <c r="BL13" s="23">
        <f>BK13+'13.05'!BL13</f>
        <v>1820</v>
      </c>
      <c r="BM13" s="22">
        <v>67</v>
      </c>
      <c r="BN13" s="23">
        <f>BM13+'13.05'!BN13</f>
        <v>670</v>
      </c>
      <c r="BO13" s="36"/>
      <c r="BP13" s="37">
        <v>1</v>
      </c>
      <c r="BQ13" s="23">
        <f>BP13+'13.05'!BQ13</f>
        <v>8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134</v>
      </c>
      <c r="D14" s="42">
        <f t="shared" si="0"/>
        <v>1605</v>
      </c>
      <c r="E14" s="43">
        <v>304</v>
      </c>
      <c r="F14" s="22">
        <v>108</v>
      </c>
      <c r="G14" s="23">
        <f>F14+'13.05'!G14</f>
        <v>1329</v>
      </c>
      <c r="H14" s="44">
        <v>5</v>
      </c>
      <c r="I14" s="45">
        <v>0</v>
      </c>
      <c r="J14" s="23">
        <f>I14+'13.05'!J14</f>
        <v>0</v>
      </c>
      <c r="K14" s="44">
        <v>34</v>
      </c>
      <c r="L14" s="22">
        <v>0</v>
      </c>
      <c r="M14" s="23">
        <f>L14+'13.05'!M14</f>
        <v>0</v>
      </c>
      <c r="N14" s="44">
        <v>583</v>
      </c>
      <c r="O14" s="22">
        <v>0</v>
      </c>
      <c r="P14" s="23">
        <f>O14+'13.05'!P14</f>
        <v>0</v>
      </c>
      <c r="Q14" s="44">
        <v>254</v>
      </c>
      <c r="R14" s="22">
        <v>0</v>
      </c>
      <c r="S14" s="23">
        <f>R14+'13.05'!S14</f>
        <v>0</v>
      </c>
      <c r="T14" s="44">
        <v>196</v>
      </c>
      <c r="U14" s="22">
        <v>0</v>
      </c>
      <c r="V14" s="23">
        <f>U14+'13.05'!V14</f>
        <v>0</v>
      </c>
      <c r="W14" s="44">
        <v>30</v>
      </c>
      <c r="X14" s="22">
        <v>24</v>
      </c>
      <c r="Y14" s="23">
        <f>X14+'13.05'!Y14</f>
        <v>216</v>
      </c>
      <c r="Z14" s="44">
        <v>10</v>
      </c>
      <c r="AA14" s="22">
        <v>0</v>
      </c>
      <c r="AB14" s="23">
        <f>AA14+'13.05'!AB14</f>
        <v>0</v>
      </c>
      <c r="AC14" s="44">
        <v>2500</v>
      </c>
      <c r="AD14" s="22">
        <v>2</v>
      </c>
      <c r="AE14" s="23">
        <f>AD14+'13.05'!AE14</f>
        <v>60</v>
      </c>
      <c r="AF14" s="19">
        <f t="shared" si="1"/>
        <v>118500</v>
      </c>
      <c r="AG14" s="20">
        <f t="shared" si="1"/>
        <v>1494990</v>
      </c>
      <c r="AH14" s="24">
        <v>4500</v>
      </c>
      <c r="AI14" s="23">
        <f>AH14+'13.05'!AI14</f>
        <v>45010</v>
      </c>
      <c r="AJ14" s="24">
        <v>7900</v>
      </c>
      <c r="AK14" s="23">
        <f>AJ14+'13.05'!AK14</f>
        <v>84350</v>
      </c>
      <c r="AL14" s="22">
        <v>8600</v>
      </c>
      <c r="AM14" s="23">
        <f>AL14+'13.05'!AM14</f>
        <v>93450</v>
      </c>
      <c r="AN14" s="22">
        <v>97500</v>
      </c>
      <c r="AO14" s="23">
        <f>AN14+'13.05'!AO14</f>
        <v>1272180</v>
      </c>
      <c r="AP14" s="39" t="s">
        <v>48</v>
      </c>
      <c r="AQ14" s="19">
        <f t="shared" si="3"/>
        <v>5</v>
      </c>
      <c r="AR14" s="20">
        <f t="shared" si="3"/>
        <v>56</v>
      </c>
      <c r="AS14" s="45">
        <v>0</v>
      </c>
      <c r="AT14" s="23">
        <f>AS14+'13.05'!AT14</f>
        <v>0</v>
      </c>
      <c r="AU14" s="45">
        <v>1</v>
      </c>
      <c r="AV14" s="23">
        <f>AU14+'13.05'!AV14</f>
        <v>4</v>
      </c>
      <c r="AW14" s="45">
        <v>0</v>
      </c>
      <c r="AX14" s="23">
        <f>AW14+'13.05'!AX14</f>
        <v>3</v>
      </c>
      <c r="AY14" s="45">
        <v>0</v>
      </c>
      <c r="AZ14" s="23">
        <f>AY14+'13.05'!AZ14</f>
        <v>1</v>
      </c>
      <c r="BA14" s="45">
        <v>4</v>
      </c>
      <c r="BB14" s="23">
        <f>BA14+'13.05'!BB14</f>
        <v>48</v>
      </c>
      <c r="BC14" s="19">
        <f t="shared" si="5"/>
        <v>2014</v>
      </c>
      <c r="BD14" s="20">
        <f t="shared" si="5"/>
        <v>35918</v>
      </c>
      <c r="BE14" s="22">
        <v>4</v>
      </c>
      <c r="BF14" s="23">
        <f>BE14+'13.05'!BF14</f>
        <v>51</v>
      </c>
      <c r="BG14" s="45">
        <v>1</v>
      </c>
      <c r="BH14" s="23">
        <f>BG14+'13.05'!BH14</f>
        <v>24</v>
      </c>
      <c r="BI14" s="22">
        <v>2000</v>
      </c>
      <c r="BJ14" s="23">
        <f>BI14+'13.05'!BJ14</f>
        <v>35750</v>
      </c>
      <c r="BK14" s="22">
        <v>6</v>
      </c>
      <c r="BL14" s="23">
        <f>BK14+'13.05'!BL14</f>
        <v>63</v>
      </c>
      <c r="BM14" s="22">
        <v>3</v>
      </c>
      <c r="BN14" s="23">
        <f>BM14+'13.05'!BN14</f>
        <v>30</v>
      </c>
      <c r="BO14" s="48">
        <v>22</v>
      </c>
      <c r="BP14" s="49">
        <v>0</v>
      </c>
      <c r="BQ14" s="23">
        <f>BP14+'13.05'!BQ14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379</v>
      </c>
      <c r="D15" s="53">
        <f t="shared" si="0"/>
        <v>6164</v>
      </c>
      <c r="E15" s="54">
        <v>776</v>
      </c>
      <c r="F15" s="55">
        <v>307</v>
      </c>
      <c r="G15" s="23">
        <f>F15+'13.05'!G15</f>
        <v>4709</v>
      </c>
      <c r="H15" s="56">
        <v>9</v>
      </c>
      <c r="I15" s="57">
        <v>0</v>
      </c>
      <c r="J15" s="23">
        <f>I15+'13.05'!J15</f>
        <v>0</v>
      </c>
      <c r="K15" s="56">
        <v>6</v>
      </c>
      <c r="L15" s="55">
        <v>0</v>
      </c>
      <c r="M15" s="23">
        <f>L15+'13.05'!M15</f>
        <v>0</v>
      </c>
      <c r="N15" s="56">
        <v>1305</v>
      </c>
      <c r="O15" s="55">
        <v>0</v>
      </c>
      <c r="P15" s="23">
        <f>O15+'13.05'!P15</f>
        <v>0</v>
      </c>
      <c r="Q15" s="56">
        <v>447</v>
      </c>
      <c r="R15" s="55">
        <v>0</v>
      </c>
      <c r="S15" s="23">
        <f>R15+'13.05'!S15</f>
        <v>0</v>
      </c>
      <c r="T15" s="56">
        <v>337</v>
      </c>
      <c r="U15" s="55">
        <v>0</v>
      </c>
      <c r="V15" s="23">
        <f>U15+'13.05'!V15</f>
        <v>0</v>
      </c>
      <c r="W15" s="56">
        <v>78</v>
      </c>
      <c r="X15" s="55">
        <v>0</v>
      </c>
      <c r="Y15" s="23">
        <f>X15+'13.05'!Y15</f>
        <v>0</v>
      </c>
      <c r="Z15" s="56">
        <v>141</v>
      </c>
      <c r="AA15" s="55">
        <v>0</v>
      </c>
      <c r="AB15" s="23">
        <f>AA15+'13.05'!AB15</f>
        <v>0</v>
      </c>
      <c r="AC15" s="56">
        <v>798</v>
      </c>
      <c r="AD15" s="55">
        <v>72</v>
      </c>
      <c r="AE15" s="23">
        <f>AD15+'13.05'!AE15</f>
        <v>1455</v>
      </c>
      <c r="AF15" s="58">
        <f t="shared" si="1"/>
        <v>1794033</v>
      </c>
      <c r="AG15" s="59">
        <f t="shared" si="1"/>
        <v>32646761</v>
      </c>
      <c r="AH15" s="60">
        <v>817</v>
      </c>
      <c r="AI15" s="23">
        <f>AH15+'13.05'!AI15</f>
        <v>11917</v>
      </c>
      <c r="AJ15" s="60">
        <v>2357</v>
      </c>
      <c r="AK15" s="23">
        <f>AJ15+'13.05'!AK15</f>
        <v>41846</v>
      </c>
      <c r="AL15" s="55">
        <v>895429</v>
      </c>
      <c r="AM15" s="23">
        <f>AL15+'13.05'!AM15</f>
        <v>20646499</v>
      </c>
      <c r="AN15" s="55">
        <v>895430</v>
      </c>
      <c r="AO15" s="23">
        <f>AN15+'13.05'!AO15</f>
        <v>11946499</v>
      </c>
      <c r="AP15" s="50" t="s">
        <v>49</v>
      </c>
      <c r="AQ15" s="58">
        <f t="shared" si="3"/>
        <v>2</v>
      </c>
      <c r="AR15" s="59">
        <f t="shared" si="3"/>
        <v>37</v>
      </c>
      <c r="AS15" s="57">
        <v>0</v>
      </c>
      <c r="AT15" s="23">
        <f>AS15+'13.05'!AT15</f>
        <v>2</v>
      </c>
      <c r="AU15" s="57">
        <v>1</v>
      </c>
      <c r="AV15" s="23">
        <f>AU15+'13.05'!AV15</f>
        <v>4</v>
      </c>
      <c r="AW15" s="57">
        <v>0</v>
      </c>
      <c r="AX15" s="23">
        <f>AW15+'13.05'!AX15</f>
        <v>2</v>
      </c>
      <c r="AY15" s="57">
        <v>0</v>
      </c>
      <c r="AZ15" s="23">
        <f>AY15+'13.05'!AZ15</f>
        <v>0</v>
      </c>
      <c r="BA15" s="57">
        <v>1</v>
      </c>
      <c r="BB15" s="23">
        <f>BA15+'13.05'!BB15</f>
        <v>29</v>
      </c>
      <c r="BC15" s="58">
        <f t="shared" si="5"/>
        <v>1431</v>
      </c>
      <c r="BD15" s="59">
        <f t="shared" si="5"/>
        <v>21023</v>
      </c>
      <c r="BE15" s="55">
        <v>76</v>
      </c>
      <c r="BF15" s="23">
        <f>BE15+'13.05'!BF15</f>
        <v>1019</v>
      </c>
      <c r="BG15" s="57">
        <v>2</v>
      </c>
      <c r="BH15" s="23">
        <f>BG15+'13.05'!BH15</f>
        <v>22</v>
      </c>
      <c r="BI15" s="55">
        <v>670</v>
      </c>
      <c r="BJ15" s="23">
        <f>BI15+'13.05'!BJ15</f>
        <v>10010</v>
      </c>
      <c r="BK15" s="55">
        <v>670</v>
      </c>
      <c r="BL15" s="23">
        <f>BK15+'13.05'!BL15</f>
        <v>9748</v>
      </c>
      <c r="BM15" s="55">
        <v>13</v>
      </c>
      <c r="BN15" s="23">
        <f>BM15+'13.05'!BN15</f>
        <v>224</v>
      </c>
      <c r="BO15" s="36">
        <v>6274</v>
      </c>
      <c r="BP15" s="37">
        <v>0</v>
      </c>
      <c r="BQ15" s="23">
        <f>BP15+'13.05'!BQ15</f>
        <v>11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142</v>
      </c>
      <c r="D16" s="31">
        <f t="shared" si="0"/>
        <v>1894</v>
      </c>
      <c r="E16" s="32">
        <v>310</v>
      </c>
      <c r="F16" s="22">
        <v>49</v>
      </c>
      <c r="G16" s="23">
        <f>F16+'13.05'!G16</f>
        <v>659</v>
      </c>
      <c r="H16" s="33">
        <v>5</v>
      </c>
      <c r="I16" s="34">
        <v>0</v>
      </c>
      <c r="J16" s="23">
        <f>I16+'13.05'!J16</f>
        <v>0</v>
      </c>
      <c r="K16" s="33">
        <v>3</v>
      </c>
      <c r="L16" s="22">
        <v>0</v>
      </c>
      <c r="M16" s="23">
        <f>L16+'13.05'!M16</f>
        <v>0</v>
      </c>
      <c r="N16" s="33">
        <v>384</v>
      </c>
      <c r="O16" s="22">
        <v>0</v>
      </c>
      <c r="P16" s="23">
        <f>O16+'13.05'!P16</f>
        <v>0</v>
      </c>
      <c r="Q16" s="33">
        <v>245</v>
      </c>
      <c r="R16" s="22">
        <v>0</v>
      </c>
      <c r="S16" s="23">
        <f>R16+'13.05'!S16</f>
        <v>0</v>
      </c>
      <c r="T16" s="33">
        <v>397</v>
      </c>
      <c r="U16" s="22">
        <v>0</v>
      </c>
      <c r="V16" s="23">
        <f>U16+'13.05'!V16</f>
        <v>0</v>
      </c>
      <c r="W16" s="33">
        <v>24</v>
      </c>
      <c r="X16" s="22">
        <v>52</v>
      </c>
      <c r="Y16" s="23">
        <f>X16+'13.05'!Y16</f>
        <v>669</v>
      </c>
      <c r="Z16" s="33">
        <v>18</v>
      </c>
      <c r="AA16" s="22">
        <v>0</v>
      </c>
      <c r="AB16" s="23">
        <f>AA16+'13.05'!AB16</f>
        <v>0</v>
      </c>
      <c r="AC16" s="33">
        <v>18515</v>
      </c>
      <c r="AD16" s="22">
        <v>41</v>
      </c>
      <c r="AE16" s="23">
        <f>AD16+'13.05'!AE16</f>
        <v>566</v>
      </c>
      <c r="AF16" s="19">
        <f t="shared" si="1"/>
        <v>64862</v>
      </c>
      <c r="AG16" s="20">
        <f t="shared" si="1"/>
        <v>831106</v>
      </c>
      <c r="AH16" s="24">
        <v>142</v>
      </c>
      <c r="AI16" s="23">
        <f>AH16+'13.05'!AI16</f>
        <v>2270</v>
      </c>
      <c r="AJ16" s="24">
        <v>1432</v>
      </c>
      <c r="AK16" s="23">
        <f>AJ16+'13.05'!AK16</f>
        <v>18085</v>
      </c>
      <c r="AL16" s="22">
        <v>1752</v>
      </c>
      <c r="AM16" s="23">
        <f>AL16+'13.05'!AM16</f>
        <v>21687</v>
      </c>
      <c r="AN16" s="22">
        <v>61536</v>
      </c>
      <c r="AO16" s="23">
        <f>AN16+'13.05'!AO16</f>
        <v>789064</v>
      </c>
      <c r="AP16" s="28" t="s">
        <v>51</v>
      </c>
      <c r="AQ16" s="19">
        <f t="shared" si="3"/>
        <v>80</v>
      </c>
      <c r="AR16" s="20">
        <f t="shared" si="3"/>
        <v>1043</v>
      </c>
      <c r="AS16" s="34">
        <v>1</v>
      </c>
      <c r="AT16" s="23">
        <f>AS16+'13.05'!AT16</f>
        <v>2</v>
      </c>
      <c r="AU16" s="34">
        <v>0</v>
      </c>
      <c r="AV16" s="23">
        <f>AU16+'13.05'!AV16</f>
        <v>0</v>
      </c>
      <c r="AW16" s="34">
        <v>0</v>
      </c>
      <c r="AX16" s="23">
        <f>AW16+'13.05'!AX16</f>
        <v>0</v>
      </c>
      <c r="AY16" s="34">
        <v>0</v>
      </c>
      <c r="AZ16" s="23">
        <f>AY16+'13.05'!AZ16</f>
        <v>0</v>
      </c>
      <c r="BA16" s="34">
        <v>79</v>
      </c>
      <c r="BB16" s="23">
        <f>BA16+'13.05'!BB16</f>
        <v>1041</v>
      </c>
      <c r="BC16" s="19">
        <f t="shared" si="5"/>
        <v>1498</v>
      </c>
      <c r="BD16" s="20">
        <f t="shared" si="5"/>
        <v>18529</v>
      </c>
      <c r="BE16" s="22">
        <v>91</v>
      </c>
      <c r="BF16" s="23">
        <f>BE16+'13.05'!BF16</f>
        <v>943</v>
      </c>
      <c r="BG16" s="34">
        <v>0</v>
      </c>
      <c r="BH16" s="23">
        <f>BG16+'13.05'!BH16</f>
        <v>0</v>
      </c>
      <c r="BI16" s="22">
        <v>1357</v>
      </c>
      <c r="BJ16" s="23">
        <f>BI16+'13.05'!BJ16</f>
        <v>16891</v>
      </c>
      <c r="BK16" s="22">
        <v>41</v>
      </c>
      <c r="BL16" s="23">
        <f>BK16+'13.05'!BL16</f>
        <v>620</v>
      </c>
      <c r="BM16" s="22">
        <v>9</v>
      </c>
      <c r="BN16" s="23">
        <f>BM16+'13.05'!BN16</f>
        <v>75</v>
      </c>
      <c r="BO16" s="36">
        <v>2546</v>
      </c>
      <c r="BP16" s="37">
        <v>0</v>
      </c>
      <c r="BQ16" s="23">
        <f>BP16+'13.05'!BQ16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170</v>
      </c>
      <c r="D17" s="31">
        <f t="shared" si="0"/>
        <v>2387</v>
      </c>
      <c r="E17" s="32">
        <v>754</v>
      </c>
      <c r="F17" s="22">
        <v>148</v>
      </c>
      <c r="G17" s="23">
        <f>F17+'13.05'!G17</f>
        <v>2028</v>
      </c>
      <c r="H17" s="33">
        <v>9</v>
      </c>
      <c r="I17" s="34">
        <v>0</v>
      </c>
      <c r="J17" s="23">
        <f>I17+'13.05'!J17</f>
        <v>0</v>
      </c>
      <c r="K17" s="33">
        <v>5</v>
      </c>
      <c r="L17" s="22">
        <v>0</v>
      </c>
      <c r="M17" s="23">
        <f>L17+'13.05'!M17</f>
        <v>0</v>
      </c>
      <c r="N17" s="33">
        <v>768</v>
      </c>
      <c r="O17" s="22">
        <v>0</v>
      </c>
      <c r="P17" s="23">
        <f>O17+'13.05'!P17</f>
        <v>0</v>
      </c>
      <c r="Q17" s="33">
        <v>624</v>
      </c>
      <c r="R17" s="22">
        <v>0</v>
      </c>
      <c r="S17" s="23">
        <f>R17+'13.05'!S17</f>
        <v>0</v>
      </c>
      <c r="T17" s="33">
        <v>742</v>
      </c>
      <c r="U17" s="22">
        <v>0</v>
      </c>
      <c r="V17" s="23">
        <f>U17+'13.05'!V17</f>
        <v>0</v>
      </c>
      <c r="W17" s="33">
        <v>54</v>
      </c>
      <c r="X17" s="22">
        <v>11</v>
      </c>
      <c r="Y17" s="23">
        <f>X17+'13.05'!Y17</f>
        <v>197</v>
      </c>
      <c r="Z17" s="33">
        <v>66</v>
      </c>
      <c r="AA17" s="22">
        <v>0</v>
      </c>
      <c r="AB17" s="23">
        <f>AA17+'13.05'!AB17</f>
        <v>0</v>
      </c>
      <c r="AC17" s="33">
        <v>2580</v>
      </c>
      <c r="AD17" s="22">
        <v>11</v>
      </c>
      <c r="AE17" s="23">
        <f>AD17+'13.05'!AE17</f>
        <v>162</v>
      </c>
      <c r="AF17" s="19">
        <f t="shared" si="1"/>
        <v>99000</v>
      </c>
      <c r="AG17" s="20">
        <f t="shared" si="1"/>
        <v>1437700</v>
      </c>
      <c r="AH17" s="24">
        <v>5500</v>
      </c>
      <c r="AI17" s="23">
        <f>AH17+'13.05'!AI17</f>
        <v>87600</v>
      </c>
      <c r="AJ17" s="24">
        <v>10500</v>
      </c>
      <c r="AK17" s="23">
        <f>AJ17+'13.05'!AK17</f>
        <v>139100</v>
      </c>
      <c r="AL17" s="22">
        <v>19300</v>
      </c>
      <c r="AM17" s="23">
        <f>AL17+'13.05'!AM17</f>
        <v>306800</v>
      </c>
      <c r="AN17" s="22">
        <v>63700</v>
      </c>
      <c r="AO17" s="23">
        <f>AN17+'13.05'!AO17</f>
        <v>904200</v>
      </c>
      <c r="AP17" s="28" t="s">
        <v>52</v>
      </c>
      <c r="AQ17" s="19">
        <f t="shared" si="3"/>
        <v>28</v>
      </c>
      <c r="AR17" s="20">
        <f t="shared" si="3"/>
        <v>264</v>
      </c>
      <c r="AS17" s="34">
        <v>2</v>
      </c>
      <c r="AT17" s="23">
        <f>AS17+'13.05'!AT17</f>
        <v>17</v>
      </c>
      <c r="AU17" s="34">
        <v>2</v>
      </c>
      <c r="AV17" s="23">
        <f>AU17+'13.05'!AV17</f>
        <v>21</v>
      </c>
      <c r="AW17" s="34">
        <v>0</v>
      </c>
      <c r="AX17" s="23">
        <f>AW17+'13.05'!AX17</f>
        <v>0</v>
      </c>
      <c r="AY17" s="34">
        <v>0</v>
      </c>
      <c r="AZ17" s="23">
        <f>AY17+'13.05'!AZ17</f>
        <v>0</v>
      </c>
      <c r="BA17" s="34">
        <v>24</v>
      </c>
      <c r="BB17" s="23">
        <f>BA17+'13.05'!BB17</f>
        <v>226</v>
      </c>
      <c r="BC17" s="19">
        <f t="shared" si="5"/>
        <v>3112</v>
      </c>
      <c r="BD17" s="20">
        <f t="shared" si="5"/>
        <v>35382</v>
      </c>
      <c r="BE17" s="22">
        <v>41</v>
      </c>
      <c r="BF17" s="23">
        <f>BE17+'13.05'!BF17</f>
        <v>520</v>
      </c>
      <c r="BG17" s="34">
        <v>1</v>
      </c>
      <c r="BH17" s="23">
        <f>BG17+'13.05'!BH17</f>
        <v>16</v>
      </c>
      <c r="BI17" s="22">
        <v>2800</v>
      </c>
      <c r="BJ17" s="23">
        <f>BI17+'13.05'!BJ17</f>
        <v>31700</v>
      </c>
      <c r="BK17" s="22">
        <v>260</v>
      </c>
      <c r="BL17" s="23">
        <f>BK17+'13.05'!BL17</f>
        <v>3025</v>
      </c>
      <c r="BM17" s="22">
        <v>10</v>
      </c>
      <c r="BN17" s="23">
        <f>BM17+'13.05'!BN17</f>
        <v>121</v>
      </c>
      <c r="BO17" s="36">
        <v>8022</v>
      </c>
      <c r="BP17" s="37">
        <v>3</v>
      </c>
      <c r="BQ17" s="23">
        <f>BP17+'13.05'!BQ17</f>
        <v>53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202</v>
      </c>
      <c r="D18" s="20">
        <f t="shared" si="0"/>
        <v>3994</v>
      </c>
      <c r="E18" s="21">
        <v>1063</v>
      </c>
      <c r="F18" s="22">
        <v>121</v>
      </c>
      <c r="G18" s="23">
        <f>F18+'13.05'!G18</f>
        <v>2518</v>
      </c>
      <c r="H18" s="21">
        <v>19</v>
      </c>
      <c r="I18" s="22">
        <v>0</v>
      </c>
      <c r="J18" s="23">
        <f>I18+'13.05'!J18</f>
        <v>0</v>
      </c>
      <c r="K18" s="21">
        <v>8</v>
      </c>
      <c r="L18" s="22">
        <v>0</v>
      </c>
      <c r="M18" s="23">
        <f>L18+'13.05'!M18</f>
        <v>0</v>
      </c>
      <c r="N18" s="21">
        <v>1331</v>
      </c>
      <c r="O18" s="22">
        <v>0</v>
      </c>
      <c r="P18" s="23">
        <f>O18+'13.05'!P18</f>
        <v>0</v>
      </c>
      <c r="Q18" s="21">
        <v>777</v>
      </c>
      <c r="R18" s="22">
        <v>0</v>
      </c>
      <c r="S18" s="23">
        <f>R18+'13.05'!S18</f>
        <v>0</v>
      </c>
      <c r="T18" s="21">
        <v>318</v>
      </c>
      <c r="U18" s="22">
        <v>0</v>
      </c>
      <c r="V18" s="23">
        <f>U18+'13.05'!V18</f>
        <v>81</v>
      </c>
      <c r="W18" s="21">
        <v>60</v>
      </c>
      <c r="X18" s="22">
        <v>81</v>
      </c>
      <c r="Y18" s="23">
        <f>X18+'13.05'!Y18</f>
        <v>1395</v>
      </c>
      <c r="Z18" s="21">
        <v>72</v>
      </c>
      <c r="AA18" s="22">
        <v>0</v>
      </c>
      <c r="AB18" s="23">
        <f>AA18+'13.05'!AB18</f>
        <v>0</v>
      </c>
      <c r="AC18" s="21">
        <v>143</v>
      </c>
      <c r="AD18" s="22">
        <v>0</v>
      </c>
      <c r="AE18" s="23">
        <f>AD18+'13.05'!AE18</f>
        <v>0</v>
      </c>
      <c r="AF18" s="19">
        <f t="shared" si="1"/>
        <v>120237</v>
      </c>
      <c r="AG18" s="20">
        <f t="shared" si="1"/>
        <v>2074901</v>
      </c>
      <c r="AH18" s="24">
        <v>245</v>
      </c>
      <c r="AI18" s="23">
        <f>AH18+'13.05'!AI18</f>
        <v>3550</v>
      </c>
      <c r="AJ18" s="24">
        <v>1256</v>
      </c>
      <c r="AK18" s="23">
        <f>AJ18+'13.05'!AK18</f>
        <v>32837</v>
      </c>
      <c r="AL18" s="22">
        <v>1951</v>
      </c>
      <c r="AM18" s="23">
        <f>AL18+'13.05'!AM18</f>
        <v>38083</v>
      </c>
      <c r="AN18" s="22">
        <v>116785</v>
      </c>
      <c r="AO18" s="23">
        <f>AN18+'13.05'!AO18</f>
        <v>2000431</v>
      </c>
      <c r="AP18" s="17" t="s">
        <v>53</v>
      </c>
      <c r="AQ18" s="19">
        <f t="shared" si="3"/>
        <v>3</v>
      </c>
      <c r="AR18" s="20">
        <f t="shared" si="3"/>
        <v>24</v>
      </c>
      <c r="AS18" s="22">
        <v>1</v>
      </c>
      <c r="AT18" s="23">
        <f>AS18+'13.05'!AT18</f>
        <v>4</v>
      </c>
      <c r="AU18" s="22">
        <v>0</v>
      </c>
      <c r="AV18" s="23">
        <f>AU18+'13.05'!AV18</f>
        <v>0</v>
      </c>
      <c r="AW18" s="22">
        <v>0</v>
      </c>
      <c r="AX18" s="23">
        <f>AW18+'13.05'!AX18</f>
        <v>0</v>
      </c>
      <c r="AY18" s="22">
        <v>0</v>
      </c>
      <c r="AZ18" s="23">
        <f>AY18+'13.05'!AZ18</f>
        <v>0</v>
      </c>
      <c r="BA18" s="22">
        <v>2</v>
      </c>
      <c r="BB18" s="23">
        <f>BA18+'13.05'!BB18</f>
        <v>20</v>
      </c>
      <c r="BC18" s="19">
        <f t="shared" si="5"/>
        <v>361</v>
      </c>
      <c r="BD18" s="20">
        <f t="shared" si="5"/>
        <v>9769</v>
      </c>
      <c r="BE18" s="22">
        <v>1</v>
      </c>
      <c r="BF18" s="23">
        <f>BE18+'13.05'!BF18</f>
        <v>15</v>
      </c>
      <c r="BG18" s="22">
        <v>0</v>
      </c>
      <c r="BH18" s="23">
        <f>BG18+'13.05'!BH18</f>
        <v>388</v>
      </c>
      <c r="BI18" s="22">
        <v>245</v>
      </c>
      <c r="BJ18" s="23">
        <f>BI18+'13.05'!BJ18</f>
        <v>8061</v>
      </c>
      <c r="BK18" s="22">
        <v>98</v>
      </c>
      <c r="BL18" s="23">
        <f>BK18+'13.05'!BL18</f>
        <v>1148</v>
      </c>
      <c r="BM18" s="22">
        <v>17</v>
      </c>
      <c r="BN18" s="23">
        <f>BM18+'13.05'!BN18</f>
        <v>157</v>
      </c>
      <c r="BO18" s="36">
        <v>442</v>
      </c>
      <c r="BP18" s="37">
        <v>0</v>
      </c>
      <c r="BQ18" s="23">
        <f>BP18+'13.05'!BQ18</f>
        <v>35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37</v>
      </c>
      <c r="D19" s="31">
        <f t="shared" si="0"/>
        <v>502</v>
      </c>
      <c r="E19" s="33">
        <v>221</v>
      </c>
      <c r="F19" s="22">
        <v>6</v>
      </c>
      <c r="G19" s="23">
        <f>F19+'13.05'!G19</f>
        <v>97</v>
      </c>
      <c r="H19" s="33">
        <v>5</v>
      </c>
      <c r="I19" s="34">
        <v>0</v>
      </c>
      <c r="J19" s="23">
        <f>I19+'13.05'!J19</f>
        <v>0</v>
      </c>
      <c r="K19" s="33">
        <v>4</v>
      </c>
      <c r="L19" s="22">
        <v>0</v>
      </c>
      <c r="M19" s="23">
        <f>L19+'13.05'!M19</f>
        <v>0</v>
      </c>
      <c r="N19" s="33">
        <v>313</v>
      </c>
      <c r="O19" s="22">
        <v>17</v>
      </c>
      <c r="P19" s="23">
        <f>O19+'13.05'!P19</f>
        <v>153</v>
      </c>
      <c r="Q19" s="33">
        <v>203</v>
      </c>
      <c r="R19" s="22">
        <v>0</v>
      </c>
      <c r="S19" s="23">
        <f>R19+'13.05'!S19</f>
        <v>0</v>
      </c>
      <c r="T19" s="33">
        <v>241</v>
      </c>
      <c r="U19" s="22">
        <v>0</v>
      </c>
      <c r="V19" s="23">
        <f>U19+'13.05'!V19</f>
        <v>0</v>
      </c>
      <c r="W19" s="33">
        <v>14</v>
      </c>
      <c r="X19" s="22">
        <v>14</v>
      </c>
      <c r="Y19" s="23">
        <f>X19+'13.05'!Y19</f>
        <v>189</v>
      </c>
      <c r="Z19" s="33">
        <v>7</v>
      </c>
      <c r="AA19" s="22">
        <v>0</v>
      </c>
      <c r="AB19" s="23">
        <f>AA19+'13.05'!AB19</f>
        <v>0</v>
      </c>
      <c r="AC19" s="33">
        <v>32</v>
      </c>
      <c r="AD19" s="22">
        <v>0</v>
      </c>
      <c r="AE19" s="23">
        <f>AD19+'13.05'!AE19</f>
        <v>63</v>
      </c>
      <c r="AF19" s="19">
        <f t="shared" si="1"/>
        <v>3200</v>
      </c>
      <c r="AG19" s="20">
        <f t="shared" si="1"/>
        <v>44750</v>
      </c>
      <c r="AH19" s="24">
        <v>550</v>
      </c>
      <c r="AI19" s="23">
        <f>AH19+'13.05'!AI19</f>
        <v>7375</v>
      </c>
      <c r="AJ19" s="24">
        <v>550</v>
      </c>
      <c r="AK19" s="23">
        <f>AJ19+'13.05'!AK19</f>
        <v>7625</v>
      </c>
      <c r="AL19" s="22">
        <v>1050</v>
      </c>
      <c r="AM19" s="23">
        <f>AL19+'13.05'!AM19</f>
        <v>14875</v>
      </c>
      <c r="AN19" s="22">
        <v>1050</v>
      </c>
      <c r="AO19" s="23">
        <f>AN19+'13.05'!AO19</f>
        <v>14875</v>
      </c>
      <c r="AP19" s="28" t="s">
        <v>54</v>
      </c>
      <c r="AQ19" s="19">
        <f t="shared" si="3"/>
        <v>2</v>
      </c>
      <c r="AR19" s="20">
        <f t="shared" si="3"/>
        <v>4</v>
      </c>
      <c r="AS19" s="34">
        <v>0</v>
      </c>
      <c r="AT19" s="23">
        <f>AS19+'13.05'!AT19</f>
        <v>0</v>
      </c>
      <c r="AU19" s="34">
        <v>1</v>
      </c>
      <c r="AV19" s="23">
        <f>AU19+'13.05'!AV19</f>
        <v>3</v>
      </c>
      <c r="AW19" s="34">
        <v>1</v>
      </c>
      <c r="AX19" s="23">
        <f>AW19+'13.05'!AX19</f>
        <v>1</v>
      </c>
      <c r="AY19" s="34">
        <v>0</v>
      </c>
      <c r="AZ19" s="23">
        <f>AY19+'13.05'!AZ19</f>
        <v>0</v>
      </c>
      <c r="BA19" s="34">
        <v>0</v>
      </c>
      <c r="BB19" s="23">
        <f>BA19+'13.05'!BB19</f>
        <v>0</v>
      </c>
      <c r="BC19" s="19">
        <f t="shared" si="5"/>
        <v>1069</v>
      </c>
      <c r="BD19" s="20">
        <f t="shared" si="5"/>
        <v>15182</v>
      </c>
      <c r="BE19" s="22">
        <v>14</v>
      </c>
      <c r="BF19" s="23">
        <f>BE19+'13.05'!BF19</f>
        <v>195</v>
      </c>
      <c r="BG19" s="34">
        <v>0</v>
      </c>
      <c r="BH19" s="23">
        <f>BG19+'13.05'!BH19</f>
        <v>4</v>
      </c>
      <c r="BI19" s="22">
        <v>900</v>
      </c>
      <c r="BJ19" s="23">
        <f>BI19+'13.05'!BJ19</f>
        <v>13250</v>
      </c>
      <c r="BK19" s="22">
        <v>150</v>
      </c>
      <c r="BL19" s="23">
        <f>BK19+'13.05'!BL19</f>
        <v>1650</v>
      </c>
      <c r="BM19" s="22">
        <v>5</v>
      </c>
      <c r="BN19" s="23">
        <f>BM19+'13.05'!BN19</f>
        <v>83</v>
      </c>
      <c r="BO19" s="36">
        <v>2898</v>
      </c>
      <c r="BP19" s="37">
        <v>0</v>
      </c>
      <c r="BQ19" s="23">
        <f>BP19+'13.05'!BQ19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108</v>
      </c>
      <c r="D20" s="31">
        <f t="shared" si="0"/>
        <v>3914</v>
      </c>
      <c r="E20" s="32">
        <v>723</v>
      </c>
      <c r="F20" s="22">
        <v>44</v>
      </c>
      <c r="G20" s="23">
        <f>F20+'13.05'!G20</f>
        <v>2138</v>
      </c>
      <c r="H20" s="33">
        <v>5</v>
      </c>
      <c r="I20" s="34">
        <v>1</v>
      </c>
      <c r="J20" s="23">
        <f>I20+'13.05'!J20</f>
        <v>14</v>
      </c>
      <c r="K20" s="33">
        <v>3</v>
      </c>
      <c r="L20" s="22">
        <v>0</v>
      </c>
      <c r="M20" s="23">
        <f>L20+'13.05'!M20</f>
        <v>0</v>
      </c>
      <c r="N20" s="33">
        <v>975</v>
      </c>
      <c r="O20" s="22">
        <v>30</v>
      </c>
      <c r="P20" s="23">
        <f>O20+'13.05'!P20</f>
        <v>855</v>
      </c>
      <c r="Q20" s="61">
        <v>1862</v>
      </c>
      <c r="R20" s="22">
        <v>1</v>
      </c>
      <c r="S20" s="23">
        <f>R20+'13.05'!S20</f>
        <v>16</v>
      </c>
      <c r="T20" s="33">
        <v>35</v>
      </c>
      <c r="U20" s="22">
        <v>1</v>
      </c>
      <c r="V20" s="23">
        <f>U20+'13.05'!V20</f>
        <v>14</v>
      </c>
      <c r="W20" s="33">
        <v>64</v>
      </c>
      <c r="X20" s="22">
        <v>1</v>
      </c>
      <c r="Y20" s="23">
        <f>X20+'13.05'!Y20</f>
        <v>16</v>
      </c>
      <c r="Z20" s="33">
        <v>15</v>
      </c>
      <c r="AA20" s="22">
        <v>1</v>
      </c>
      <c r="AB20" s="23">
        <f>AA20+'13.05'!AB20</f>
        <v>19</v>
      </c>
      <c r="AC20" s="33">
        <v>1546</v>
      </c>
      <c r="AD20" s="22">
        <v>29</v>
      </c>
      <c r="AE20" s="23">
        <f>AD20+'13.05'!AE20</f>
        <v>842</v>
      </c>
      <c r="AF20" s="19">
        <f t="shared" si="1"/>
        <v>14820</v>
      </c>
      <c r="AG20" s="20">
        <f t="shared" si="1"/>
        <v>243134</v>
      </c>
      <c r="AH20" s="24">
        <v>6730</v>
      </c>
      <c r="AI20" s="23">
        <f>AH20+'13.05'!AI20</f>
        <v>109812</v>
      </c>
      <c r="AJ20" s="24">
        <v>7240</v>
      </c>
      <c r="AK20" s="23">
        <f>AJ20+'13.05'!AK20</f>
        <v>121712</v>
      </c>
      <c r="AL20" s="22">
        <v>450</v>
      </c>
      <c r="AM20" s="23">
        <f>AL20+'13.05'!AM20</f>
        <v>6400</v>
      </c>
      <c r="AN20" s="22">
        <v>400</v>
      </c>
      <c r="AO20" s="23">
        <f>AN20+'13.05'!AO20</f>
        <v>5210</v>
      </c>
      <c r="AP20" s="28" t="s">
        <v>55</v>
      </c>
      <c r="AQ20" s="19">
        <f t="shared" si="3"/>
        <v>126</v>
      </c>
      <c r="AR20" s="20">
        <f t="shared" si="3"/>
        <v>2218</v>
      </c>
      <c r="AS20" s="34">
        <v>1</v>
      </c>
      <c r="AT20" s="23">
        <f>AS20+'13.05'!AT20</f>
        <v>14</v>
      </c>
      <c r="AU20" s="34">
        <v>0</v>
      </c>
      <c r="AV20" s="23">
        <f>AU20+'13.05'!AV20</f>
        <v>0</v>
      </c>
      <c r="AW20" s="34">
        <v>0</v>
      </c>
      <c r="AX20" s="23">
        <f>AW20+'13.05'!AX20</f>
        <v>0</v>
      </c>
      <c r="AY20" s="34">
        <v>0</v>
      </c>
      <c r="AZ20" s="23">
        <f>AY20+'13.05'!AZ20</f>
        <v>0</v>
      </c>
      <c r="BA20" s="34">
        <v>125</v>
      </c>
      <c r="BB20" s="23">
        <f>BA20+'13.05'!BB20</f>
        <v>2204</v>
      </c>
      <c r="BC20" s="19">
        <f t="shared" si="5"/>
        <v>3263</v>
      </c>
      <c r="BD20" s="20">
        <f t="shared" si="5"/>
        <v>47480</v>
      </c>
      <c r="BE20" s="22">
        <v>2</v>
      </c>
      <c r="BF20" s="23">
        <f>BE20+'13.05'!BF20</f>
        <v>28</v>
      </c>
      <c r="BG20" s="34">
        <v>0</v>
      </c>
      <c r="BH20" s="23">
        <f>BG20+'13.05'!BH20</f>
        <v>0</v>
      </c>
      <c r="BI20" s="22">
        <v>1685</v>
      </c>
      <c r="BJ20" s="23">
        <f>BI20+'13.05'!BJ20</f>
        <v>23939</v>
      </c>
      <c r="BK20" s="22">
        <v>1575</v>
      </c>
      <c r="BL20" s="23">
        <f>BK20+'13.05'!BL20</f>
        <v>23500</v>
      </c>
      <c r="BM20" s="22">
        <v>1</v>
      </c>
      <c r="BN20" s="23">
        <f>BM20+'13.05'!BN20</f>
        <v>13</v>
      </c>
      <c r="BO20" s="36">
        <v>5854</v>
      </c>
      <c r="BP20" s="37">
        <v>0</v>
      </c>
      <c r="BQ20" s="23">
        <f>BP20+'13.05'!BQ20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237</v>
      </c>
      <c r="D21" s="31">
        <f t="shared" si="0"/>
        <v>3147</v>
      </c>
      <c r="E21" s="32">
        <v>1017</v>
      </c>
      <c r="F21" s="22">
        <v>175</v>
      </c>
      <c r="G21" s="23">
        <f>F21+'13.05'!G21</f>
        <v>2180</v>
      </c>
      <c r="H21" s="33">
        <v>8</v>
      </c>
      <c r="I21" s="34">
        <v>19</v>
      </c>
      <c r="J21" s="23">
        <f>I21+'13.05'!J21</f>
        <v>121</v>
      </c>
      <c r="K21" s="33">
        <v>4</v>
      </c>
      <c r="L21" s="22">
        <v>0</v>
      </c>
      <c r="M21" s="23">
        <f>L21+'13.05'!M21</f>
        <v>20</v>
      </c>
      <c r="N21" s="33">
        <v>963</v>
      </c>
      <c r="O21" s="22">
        <v>3</v>
      </c>
      <c r="P21" s="23">
        <f>O21+'13.05'!P21</f>
        <v>42</v>
      </c>
      <c r="Q21" s="33">
        <v>912</v>
      </c>
      <c r="R21" s="22">
        <v>0</v>
      </c>
      <c r="S21" s="23">
        <f>R21+'13.05'!S21</f>
        <v>0</v>
      </c>
      <c r="T21" s="33">
        <v>199</v>
      </c>
      <c r="U21" s="22">
        <v>10</v>
      </c>
      <c r="V21" s="23">
        <f>U21+'13.05'!V21</f>
        <v>85</v>
      </c>
      <c r="W21" s="33">
        <v>101</v>
      </c>
      <c r="X21" s="22">
        <v>15</v>
      </c>
      <c r="Y21" s="23">
        <f>X21+'13.05'!Y21</f>
        <v>142</v>
      </c>
      <c r="Z21" s="33">
        <v>42</v>
      </c>
      <c r="AA21" s="22">
        <v>0</v>
      </c>
      <c r="AB21" s="23">
        <f>AA21+'13.05'!AB21</f>
        <v>1</v>
      </c>
      <c r="AC21" s="33">
        <v>20</v>
      </c>
      <c r="AD21" s="22">
        <v>15</v>
      </c>
      <c r="AE21" s="23">
        <f>AD21+'13.05'!AE21</f>
        <v>556</v>
      </c>
      <c r="AF21" s="19">
        <f t="shared" si="1"/>
        <v>1080070</v>
      </c>
      <c r="AG21" s="20">
        <f t="shared" si="1"/>
        <v>15134650</v>
      </c>
      <c r="AH21" s="24">
        <v>1120</v>
      </c>
      <c r="AI21" s="23">
        <f>AH21+'13.05'!AI21</f>
        <v>17300</v>
      </c>
      <c r="AJ21" s="24">
        <v>98000</v>
      </c>
      <c r="AK21" s="23">
        <f>AJ21+'13.05'!AK21</f>
        <v>2383000</v>
      </c>
      <c r="AL21" s="22">
        <v>950</v>
      </c>
      <c r="AM21" s="23">
        <f>AL21+'13.05'!AM21</f>
        <v>25850</v>
      </c>
      <c r="AN21" s="22">
        <v>980000</v>
      </c>
      <c r="AO21" s="23">
        <f>AN21+'13.05'!AO21</f>
        <v>12708500</v>
      </c>
      <c r="AP21" s="28" t="s">
        <v>58</v>
      </c>
      <c r="AQ21" s="19">
        <f t="shared" si="3"/>
        <v>1</v>
      </c>
      <c r="AR21" s="20">
        <f t="shared" si="3"/>
        <v>83</v>
      </c>
      <c r="AS21" s="34">
        <v>0</v>
      </c>
      <c r="AT21" s="23">
        <f>AS21+'13.05'!AT21</f>
        <v>2</v>
      </c>
      <c r="AU21" s="34">
        <v>0</v>
      </c>
      <c r="AV21" s="23">
        <f>AU21+'13.05'!AV21</f>
        <v>28</v>
      </c>
      <c r="AW21" s="34">
        <v>0</v>
      </c>
      <c r="AX21" s="23">
        <f>AW21+'13.05'!AX21</f>
        <v>0</v>
      </c>
      <c r="AY21" s="34">
        <v>0</v>
      </c>
      <c r="AZ21" s="23">
        <f>AY21+'13.05'!AZ21</f>
        <v>0</v>
      </c>
      <c r="BA21" s="34">
        <v>1</v>
      </c>
      <c r="BB21" s="23">
        <f>BA21+'13.05'!BB21</f>
        <v>53</v>
      </c>
      <c r="BC21" s="19">
        <f t="shared" si="5"/>
        <v>1018</v>
      </c>
      <c r="BD21" s="20">
        <f t="shared" si="5"/>
        <v>27234</v>
      </c>
      <c r="BE21" s="22">
        <v>15</v>
      </c>
      <c r="BF21" s="23">
        <f>BE21+'13.05'!BF21</f>
        <v>687</v>
      </c>
      <c r="BG21" s="34">
        <v>0</v>
      </c>
      <c r="BH21" s="23">
        <f>BG21+'13.05'!BH21</f>
        <v>0</v>
      </c>
      <c r="BI21" s="22">
        <v>1000</v>
      </c>
      <c r="BJ21" s="23">
        <f>BI21+'13.05'!BJ21</f>
        <v>26450</v>
      </c>
      <c r="BK21" s="22">
        <v>0</v>
      </c>
      <c r="BL21" s="23">
        <f>BK21+'13.05'!BL21</f>
        <v>0</v>
      </c>
      <c r="BM21" s="22">
        <v>3</v>
      </c>
      <c r="BN21" s="23">
        <f>BM21+'13.05'!BN21</f>
        <v>97</v>
      </c>
      <c r="BO21" s="36">
        <v>68</v>
      </c>
      <c r="BP21" s="37">
        <v>3</v>
      </c>
      <c r="BQ21" s="23">
        <f>BP21+'13.05'!BQ21</f>
        <v>26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2369</v>
      </c>
      <c r="D22" s="31">
        <f t="shared" si="0"/>
        <v>29855</v>
      </c>
      <c r="E22" s="32">
        <v>509</v>
      </c>
      <c r="F22" s="22">
        <v>402</v>
      </c>
      <c r="G22" s="23">
        <f>F22+'13.05'!G22</f>
        <v>4625</v>
      </c>
      <c r="H22" s="33">
        <v>8</v>
      </c>
      <c r="I22" s="34">
        <v>0</v>
      </c>
      <c r="J22" s="23">
        <f>I22+'13.05'!J22</f>
        <v>23</v>
      </c>
      <c r="K22" s="33">
        <v>21</v>
      </c>
      <c r="L22" s="22">
        <v>0</v>
      </c>
      <c r="M22" s="23">
        <f>L22+'13.05'!M22</f>
        <v>0</v>
      </c>
      <c r="N22" s="33">
        <v>560</v>
      </c>
      <c r="O22" s="22">
        <v>81</v>
      </c>
      <c r="P22" s="23">
        <f>O22+'13.05'!P22</f>
        <v>726</v>
      </c>
      <c r="Q22" s="33">
        <v>375</v>
      </c>
      <c r="R22" s="22">
        <v>0</v>
      </c>
      <c r="S22" s="23">
        <f>R22+'13.05'!S22</f>
        <v>0</v>
      </c>
      <c r="T22" s="33">
        <v>165</v>
      </c>
      <c r="U22" s="22">
        <v>19</v>
      </c>
      <c r="V22" s="23">
        <f>U22+'13.05'!V22</f>
        <v>319</v>
      </c>
      <c r="W22" s="33">
        <v>28</v>
      </c>
      <c r="X22" s="22">
        <v>81</v>
      </c>
      <c r="Y22" s="23">
        <f>X22+'13.05'!Y22</f>
        <v>1029</v>
      </c>
      <c r="Z22" s="33">
        <v>9</v>
      </c>
      <c r="AA22" s="22">
        <v>0</v>
      </c>
      <c r="AB22" s="23">
        <f>AA22+'13.05'!AB22</f>
        <v>0</v>
      </c>
      <c r="AC22" s="33">
        <v>112</v>
      </c>
      <c r="AD22" s="22">
        <v>1786</v>
      </c>
      <c r="AE22" s="23">
        <f>AD22+'13.05'!AE22</f>
        <v>23133</v>
      </c>
      <c r="AF22" s="19">
        <f t="shared" si="1"/>
        <v>354541</v>
      </c>
      <c r="AG22" s="20">
        <f t="shared" si="1"/>
        <v>5783112</v>
      </c>
      <c r="AH22" s="24">
        <v>3117</v>
      </c>
      <c r="AI22" s="23">
        <f>AH22+'13.05'!AI22</f>
        <v>36457</v>
      </c>
      <c r="AJ22" s="24">
        <v>5942</v>
      </c>
      <c r="AK22" s="23">
        <f>AJ22+'13.05'!AK22</f>
        <v>82310</v>
      </c>
      <c r="AL22" s="22">
        <v>10345</v>
      </c>
      <c r="AM22" s="23">
        <f>AL22+'13.05'!AM22</f>
        <v>143842</v>
      </c>
      <c r="AN22" s="22">
        <v>335137</v>
      </c>
      <c r="AO22" s="23">
        <f>AN22+'13.05'!AO22</f>
        <v>5520503</v>
      </c>
      <c r="AP22" s="28" t="s">
        <v>59</v>
      </c>
      <c r="AQ22" s="19">
        <f t="shared" si="3"/>
        <v>1266</v>
      </c>
      <c r="AR22" s="20">
        <f t="shared" si="3"/>
        <v>30171</v>
      </c>
      <c r="AS22" s="34">
        <v>0</v>
      </c>
      <c r="AT22" s="23">
        <f>AS22+'13.05'!AT22</f>
        <v>5</v>
      </c>
      <c r="AU22" s="34">
        <v>0</v>
      </c>
      <c r="AV22" s="23">
        <f>AU22+'13.05'!AV22</f>
        <v>5</v>
      </c>
      <c r="AW22" s="34">
        <v>0</v>
      </c>
      <c r="AX22" s="23">
        <f>AW22+'13.05'!AX22</f>
        <v>2</v>
      </c>
      <c r="AY22" s="34">
        <v>0</v>
      </c>
      <c r="AZ22" s="23">
        <f>AY22+'13.05'!AZ22</f>
        <v>1</v>
      </c>
      <c r="BA22" s="34">
        <v>1266</v>
      </c>
      <c r="BB22" s="23">
        <f>BA22+'13.05'!BB22</f>
        <v>30158</v>
      </c>
      <c r="BC22" s="19">
        <f t="shared" si="5"/>
        <v>5617</v>
      </c>
      <c r="BD22" s="20">
        <f t="shared" si="5"/>
        <v>99676</v>
      </c>
      <c r="BE22" s="22">
        <v>6</v>
      </c>
      <c r="BF22" s="23">
        <f>BE22+'13.05'!BF22</f>
        <v>74</v>
      </c>
      <c r="BG22" s="34">
        <v>39</v>
      </c>
      <c r="BH22" s="23">
        <f>BG22+'13.05'!BH22</f>
        <v>883</v>
      </c>
      <c r="BI22" s="22">
        <v>3102</v>
      </c>
      <c r="BJ22" s="23">
        <f>BI22+'13.05'!BJ22</f>
        <v>74215</v>
      </c>
      <c r="BK22" s="22">
        <v>2386</v>
      </c>
      <c r="BL22" s="23">
        <f>BK22+'13.05'!BL22</f>
        <v>23884</v>
      </c>
      <c r="BM22" s="22">
        <v>84</v>
      </c>
      <c r="BN22" s="23">
        <f>BM22+'13.05'!BN22</f>
        <v>620</v>
      </c>
      <c r="BO22" s="36">
        <v>26</v>
      </c>
      <c r="BP22" s="37">
        <v>0</v>
      </c>
      <c r="BQ22" s="23">
        <f>BP22+'13.05'!BQ22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4202</v>
      </c>
      <c r="D23" s="65">
        <f t="shared" si="0"/>
        <v>58901</v>
      </c>
      <c r="E23" s="66">
        <f>+E18+E19+E22+E17+E16+E15+E14+E13+E12+E11+E10+E9+E8</f>
        <v>7282</v>
      </c>
      <c r="F23" s="67">
        <f t="shared" ref="F23:J23" si="7">SUM(F8:F22)</f>
        <v>1461</v>
      </c>
      <c r="G23" s="68">
        <f t="shared" si="7"/>
        <v>21468</v>
      </c>
      <c r="H23" s="66">
        <f>+H18+H19+H22+H17+H16+H15+H14+H13+H12+H11+H10+H9+H8</f>
        <v>271</v>
      </c>
      <c r="I23" s="67">
        <f t="shared" si="7"/>
        <v>27</v>
      </c>
      <c r="J23" s="68">
        <f t="shared" si="7"/>
        <v>225</v>
      </c>
      <c r="K23" s="66">
        <f>+K18+K19+K22+K17+K16+K15+K14+K13+K12+K11+K10+K9+K8</f>
        <v>163</v>
      </c>
      <c r="L23" s="67">
        <f t="shared" ref="L23:P23" si="8">SUM(L8:L22)</f>
        <v>1</v>
      </c>
      <c r="M23" s="68">
        <f t="shared" si="8"/>
        <v>32</v>
      </c>
      <c r="N23" s="66">
        <f>+N18+N19+N22+N17+N16+N15+N14+N13+N12+N11+N10+N9+N8</f>
        <v>8607</v>
      </c>
      <c r="O23" s="67">
        <f t="shared" si="8"/>
        <v>170</v>
      </c>
      <c r="P23" s="68">
        <f t="shared" si="8"/>
        <v>2097</v>
      </c>
      <c r="Q23" s="66">
        <f>+Q18+Q19+Q22+Q17+Q16+Q15+Q14+Q13+Q12+Q11+Q10+Q9+Q8</f>
        <v>7474</v>
      </c>
      <c r="R23" s="67">
        <f t="shared" ref="R23:V23" si="9">SUM(R8:R22)</f>
        <v>14</v>
      </c>
      <c r="S23" s="68">
        <f t="shared" si="9"/>
        <v>102</v>
      </c>
      <c r="T23" s="66">
        <f>+T18+T19+T22+T17+T16+T15+T14+T13+T12+T11+T10+T9+T8</f>
        <v>4115</v>
      </c>
      <c r="U23" s="67">
        <f t="shared" si="9"/>
        <v>36</v>
      </c>
      <c r="V23" s="68">
        <f t="shared" si="9"/>
        <v>551</v>
      </c>
      <c r="W23" s="66">
        <f>+W18+W19+W22+W17+W16+W15+W14+W13+W12+W11+W10+W9+W8</f>
        <v>604</v>
      </c>
      <c r="X23" s="67">
        <f t="shared" ref="X23:AB23" si="10">SUM(X8:X22)</f>
        <v>418</v>
      </c>
      <c r="Y23" s="68">
        <f t="shared" si="10"/>
        <v>5711</v>
      </c>
      <c r="Z23" s="66">
        <f>+Z18+Z19+Z22+Z17+Z16+Z15+Z14+Z13+Z12+Z11+Z10+Z9+Z8</f>
        <v>1629</v>
      </c>
      <c r="AA23" s="67">
        <f t="shared" si="10"/>
        <v>6</v>
      </c>
      <c r="AB23" s="68">
        <f t="shared" si="10"/>
        <v>54</v>
      </c>
      <c r="AC23" s="66">
        <f>+AC18+AC19+AC22+AC17+AC16+AC15+AC14+AC13+AC12+AC11+AC10+AC9+AC8</f>
        <v>64846</v>
      </c>
      <c r="AD23" s="67">
        <f t="shared" ref="AD23:AO23" si="11">SUM(AD8:AD22)</f>
        <v>2069</v>
      </c>
      <c r="AE23" s="68">
        <f t="shared" si="11"/>
        <v>28661</v>
      </c>
      <c r="AF23" s="64">
        <f t="shared" si="11"/>
        <v>4072346</v>
      </c>
      <c r="AG23" s="64">
        <f t="shared" si="11"/>
        <v>65272460</v>
      </c>
      <c r="AH23" s="67">
        <f t="shared" si="11"/>
        <v>35236</v>
      </c>
      <c r="AI23" s="68">
        <f t="shared" si="11"/>
        <v>437429</v>
      </c>
      <c r="AJ23" s="67">
        <f t="shared" si="11"/>
        <v>173810</v>
      </c>
      <c r="AK23" s="68">
        <f t="shared" si="11"/>
        <v>3301917</v>
      </c>
      <c r="AL23" s="67">
        <f t="shared" si="11"/>
        <v>985978</v>
      </c>
      <c r="AM23" s="68">
        <f t="shared" si="11"/>
        <v>21907628</v>
      </c>
      <c r="AN23" s="67">
        <f t="shared" si="11"/>
        <v>2877322</v>
      </c>
      <c r="AO23" s="68">
        <f t="shared" si="11"/>
        <v>39625486</v>
      </c>
      <c r="AP23" s="62" t="s">
        <v>12</v>
      </c>
      <c r="AQ23" s="64">
        <f t="shared" ref="AQ23:BP23" si="12">SUM(AQ8:AQ22)</f>
        <v>1774</v>
      </c>
      <c r="AR23" s="64">
        <f t="shared" si="12"/>
        <v>37809</v>
      </c>
      <c r="AS23" s="67">
        <f t="shared" si="12"/>
        <v>7</v>
      </c>
      <c r="AT23" s="68">
        <f t="shared" si="12"/>
        <v>65</v>
      </c>
      <c r="AU23" s="67">
        <f t="shared" si="12"/>
        <v>6</v>
      </c>
      <c r="AV23" s="68">
        <f t="shared" si="12"/>
        <v>85</v>
      </c>
      <c r="AW23" s="67">
        <f t="shared" si="12"/>
        <v>2</v>
      </c>
      <c r="AX23" s="68">
        <f t="shared" si="12"/>
        <v>11</v>
      </c>
      <c r="AY23" s="67">
        <f t="shared" si="12"/>
        <v>0</v>
      </c>
      <c r="AZ23" s="68">
        <f t="shared" si="12"/>
        <v>2</v>
      </c>
      <c r="BA23" s="67">
        <f t="shared" si="12"/>
        <v>1759</v>
      </c>
      <c r="BB23" s="68">
        <f t="shared" si="12"/>
        <v>37646</v>
      </c>
      <c r="BC23" s="64">
        <f t="shared" si="12"/>
        <v>38552</v>
      </c>
      <c r="BD23" s="64">
        <f t="shared" si="12"/>
        <v>562092</v>
      </c>
      <c r="BE23" s="67">
        <f t="shared" si="12"/>
        <v>1447</v>
      </c>
      <c r="BF23" s="68">
        <f t="shared" si="12"/>
        <v>20866</v>
      </c>
      <c r="BG23" s="67">
        <f t="shared" si="12"/>
        <v>68</v>
      </c>
      <c r="BH23" s="68">
        <f t="shared" si="12"/>
        <v>1706</v>
      </c>
      <c r="BI23" s="67">
        <f t="shared" si="12"/>
        <v>24907</v>
      </c>
      <c r="BJ23" s="68">
        <f t="shared" si="12"/>
        <v>441798</v>
      </c>
      <c r="BK23" s="67">
        <f t="shared" si="12"/>
        <v>11854</v>
      </c>
      <c r="BL23" s="68">
        <f t="shared" si="12"/>
        <v>94949</v>
      </c>
      <c r="BM23" s="67">
        <f t="shared" si="12"/>
        <v>276</v>
      </c>
      <c r="BN23" s="68">
        <f t="shared" si="12"/>
        <v>2773</v>
      </c>
      <c r="BO23" s="69">
        <f t="shared" si="12"/>
        <v>37704</v>
      </c>
      <c r="BP23" s="70">
        <f t="shared" si="12"/>
        <v>12</v>
      </c>
      <c r="BQ23" s="23">
        <f>BP23+'20.04'!BP23</f>
        <v>38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7030A0"/>
  </sheetPr>
  <dimension ref="A1:BR23"/>
  <sheetViews>
    <sheetView zoomScale="90" zoomScaleNormal="90" workbookViewId="0">
      <pane xSplit="4" ySplit="8" topLeftCell="AQ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10</v>
      </c>
      <c r="D9" s="31">
        <f t="shared" si="0"/>
        <v>90</v>
      </c>
      <c r="E9" s="32">
        <v>452</v>
      </c>
      <c r="F9" s="22">
        <v>3</v>
      </c>
      <c r="G9" s="23">
        <f>F9+'14.05'!G9</f>
        <v>45</v>
      </c>
      <c r="H9" s="33">
        <v>12</v>
      </c>
      <c r="I9" s="34">
        <v>1</v>
      </c>
      <c r="J9" s="23">
        <f>I9+'14.05'!J9</f>
        <v>12</v>
      </c>
      <c r="K9" s="33">
        <v>2</v>
      </c>
      <c r="L9" s="22">
        <v>0</v>
      </c>
      <c r="M9" s="23">
        <f>L9+'14.05'!M9</f>
        <v>0</v>
      </c>
      <c r="N9" s="33">
        <v>735</v>
      </c>
      <c r="O9" s="22">
        <v>0</v>
      </c>
      <c r="P9" s="23">
        <f>O9+'14.05'!P9</f>
        <v>0</v>
      </c>
      <c r="Q9" s="33">
        <v>502</v>
      </c>
      <c r="R9" s="22">
        <v>0</v>
      </c>
      <c r="S9" s="23">
        <f>R9+'14.05'!S9</f>
        <v>0</v>
      </c>
      <c r="T9" s="33">
        <v>197</v>
      </c>
      <c r="U9" s="22">
        <v>0</v>
      </c>
      <c r="V9" s="23">
        <f>U9+'14.05'!V9</f>
        <v>0</v>
      </c>
      <c r="W9" s="33">
        <v>47</v>
      </c>
      <c r="X9" s="22">
        <v>0</v>
      </c>
      <c r="Y9" s="23">
        <f>X9+'14.05'!Y9</f>
        <v>15</v>
      </c>
      <c r="Z9" s="33">
        <v>34</v>
      </c>
      <c r="AA9" s="22">
        <v>0</v>
      </c>
      <c r="AB9" s="23">
        <f>AA9+'14.05'!AB9</f>
        <v>0</v>
      </c>
      <c r="AC9" s="33">
        <v>1860</v>
      </c>
      <c r="AD9" s="22">
        <v>6</v>
      </c>
      <c r="AE9" s="23">
        <f>AD9+'14.05'!AE9</f>
        <v>18</v>
      </c>
      <c r="AF9" s="19">
        <f t="shared" si="1"/>
        <v>10845</v>
      </c>
      <c r="AG9" s="20">
        <f t="shared" si="1"/>
        <v>134070</v>
      </c>
      <c r="AH9" s="24">
        <v>125</v>
      </c>
      <c r="AI9" s="23">
        <f>AH9+'14.05'!AI9</f>
        <v>1712</v>
      </c>
      <c r="AJ9" s="24">
        <v>1900</v>
      </c>
      <c r="AK9" s="23">
        <f>AJ9+'14.05'!AK9</f>
        <v>13713</v>
      </c>
      <c r="AL9" s="22">
        <v>1000</v>
      </c>
      <c r="AM9" s="23">
        <f>AL9+'14.05'!AM9</f>
        <v>15135</v>
      </c>
      <c r="AN9" s="22">
        <v>7820</v>
      </c>
      <c r="AO9" s="23">
        <f>AN9+'14.05'!AO9</f>
        <v>103510</v>
      </c>
      <c r="AP9" s="28" t="s">
        <v>43</v>
      </c>
      <c r="AQ9" s="19">
        <f t="shared" si="3"/>
        <v>128</v>
      </c>
      <c r="AR9" s="20">
        <f t="shared" si="3"/>
        <v>2420</v>
      </c>
      <c r="AS9" s="34">
        <v>0</v>
      </c>
      <c r="AT9" s="23">
        <f>AS9+'14.05'!AT9</f>
        <v>3</v>
      </c>
      <c r="AU9" s="34">
        <v>0</v>
      </c>
      <c r="AV9" s="23">
        <f>AU9+'14.05'!AV9</f>
        <v>4</v>
      </c>
      <c r="AW9" s="34">
        <v>0</v>
      </c>
      <c r="AX9" s="23">
        <f>AW9+'14.05'!AX9</f>
        <v>3</v>
      </c>
      <c r="AY9" s="34">
        <v>0</v>
      </c>
      <c r="AZ9" s="23">
        <f>AY9+'14.05'!AZ9</f>
        <v>0</v>
      </c>
      <c r="BA9" s="34">
        <v>128</v>
      </c>
      <c r="BB9" s="23">
        <f>BA9+'14.05'!BB9</f>
        <v>2410</v>
      </c>
      <c r="BC9" s="19">
        <f t="shared" si="5"/>
        <v>953</v>
      </c>
      <c r="BD9" s="20">
        <f t="shared" si="5"/>
        <v>7155</v>
      </c>
      <c r="BE9" s="22">
        <v>1</v>
      </c>
      <c r="BF9" s="23">
        <f>BE9+'14.05'!BF9</f>
        <v>22</v>
      </c>
      <c r="BG9" s="34">
        <v>0</v>
      </c>
      <c r="BH9" s="23">
        <f>BG9+'14.05'!BH9</f>
        <v>0</v>
      </c>
      <c r="BI9" s="22">
        <v>950</v>
      </c>
      <c r="BJ9" s="23">
        <f>BI9+'14.05'!BJ9</f>
        <v>7110</v>
      </c>
      <c r="BK9" s="22">
        <v>0</v>
      </c>
      <c r="BL9" s="23">
        <f>BK9+'14.05'!BL9</f>
        <v>0</v>
      </c>
      <c r="BM9" s="22">
        <v>2</v>
      </c>
      <c r="BN9" s="23">
        <f>BM9+'14.05'!BN9</f>
        <v>23</v>
      </c>
      <c r="BO9" s="36">
        <v>14</v>
      </c>
      <c r="BP9" s="37">
        <v>0</v>
      </c>
      <c r="BQ9" s="23">
        <f>BP9+'14.05'!BQ9</f>
        <v>4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150</v>
      </c>
      <c r="D10" s="31">
        <f t="shared" si="0"/>
        <v>1871</v>
      </c>
      <c r="E10" s="32">
        <v>585</v>
      </c>
      <c r="F10" s="22">
        <v>16</v>
      </c>
      <c r="G10" s="23">
        <f>F10+'14.05'!G10</f>
        <v>200</v>
      </c>
      <c r="H10" s="33">
        <v>93</v>
      </c>
      <c r="I10" s="34">
        <v>4</v>
      </c>
      <c r="J10" s="23">
        <f>I10+'14.05'!J10</f>
        <v>27</v>
      </c>
      <c r="K10" s="33">
        <v>34</v>
      </c>
      <c r="L10" s="22">
        <v>0</v>
      </c>
      <c r="M10" s="23">
        <f>L10+'14.05'!M10</f>
        <v>12</v>
      </c>
      <c r="N10" s="33">
        <v>352</v>
      </c>
      <c r="O10" s="22">
        <v>11</v>
      </c>
      <c r="P10" s="23">
        <f>O10+'14.05'!P10</f>
        <v>124</v>
      </c>
      <c r="Q10" s="33">
        <v>549</v>
      </c>
      <c r="R10" s="22">
        <v>5</v>
      </c>
      <c r="S10" s="23">
        <f>R10+'14.05'!S10</f>
        <v>91</v>
      </c>
      <c r="T10" s="33">
        <v>198</v>
      </c>
      <c r="U10" s="22">
        <v>7</v>
      </c>
      <c r="V10" s="23">
        <f>U10+'14.05'!V10</f>
        <v>59</v>
      </c>
      <c r="W10" s="38">
        <v>55</v>
      </c>
      <c r="X10" s="22">
        <v>0</v>
      </c>
      <c r="Y10" s="23">
        <f>X10+'14.05'!Y10</f>
        <v>43</v>
      </c>
      <c r="Z10" s="38">
        <v>71</v>
      </c>
      <c r="AA10" s="22">
        <v>0</v>
      </c>
      <c r="AB10" s="23">
        <f>AA10+'14.05'!AB10</f>
        <v>34</v>
      </c>
      <c r="AC10" s="38">
        <v>1690</v>
      </c>
      <c r="AD10" s="22">
        <v>107</v>
      </c>
      <c r="AE10" s="23">
        <f>AD10+'14.05'!AE10</f>
        <v>1281</v>
      </c>
      <c r="AF10" s="19">
        <f t="shared" si="1"/>
        <v>121358</v>
      </c>
      <c r="AG10" s="20">
        <f t="shared" si="1"/>
        <v>1579185</v>
      </c>
      <c r="AH10" s="24">
        <v>1539</v>
      </c>
      <c r="AI10" s="23">
        <f>AH10+'14.05'!AI10</f>
        <v>17931</v>
      </c>
      <c r="AJ10" s="24">
        <v>5906</v>
      </c>
      <c r="AK10" s="23">
        <f>AJ10+'14.05'!AK10</f>
        <v>78256</v>
      </c>
      <c r="AL10" s="22">
        <v>12697</v>
      </c>
      <c r="AM10" s="23">
        <f>AL10+'14.05'!AM10</f>
        <v>172077</v>
      </c>
      <c r="AN10" s="22">
        <v>101216</v>
      </c>
      <c r="AO10" s="23">
        <f>AN10+'14.05'!AO10</f>
        <v>1310921</v>
      </c>
      <c r="AP10" s="28" t="s">
        <v>44</v>
      </c>
      <c r="AQ10" s="19">
        <f t="shared" si="3"/>
        <v>4</v>
      </c>
      <c r="AR10" s="20">
        <f t="shared" si="3"/>
        <v>72</v>
      </c>
      <c r="AS10" s="34">
        <v>0</v>
      </c>
      <c r="AT10" s="23">
        <f>AS10+'14.05'!AT10</f>
        <v>3</v>
      </c>
      <c r="AU10" s="34">
        <v>0</v>
      </c>
      <c r="AV10" s="23">
        <f>AU10+'14.05'!AV10</f>
        <v>3</v>
      </c>
      <c r="AW10" s="34">
        <v>0</v>
      </c>
      <c r="AX10" s="23">
        <f>AW10+'14.05'!AX10</f>
        <v>0</v>
      </c>
      <c r="AY10" s="34">
        <v>0</v>
      </c>
      <c r="AZ10" s="23">
        <f>AY10+'14.05'!AZ10</f>
        <v>0</v>
      </c>
      <c r="BA10" s="34">
        <v>4</v>
      </c>
      <c r="BB10" s="23">
        <f>BA10+'14.05'!BB10</f>
        <v>66</v>
      </c>
      <c r="BC10" s="19">
        <f t="shared" si="5"/>
        <v>5405</v>
      </c>
      <c r="BD10" s="20">
        <f t="shared" si="5"/>
        <v>70828</v>
      </c>
      <c r="BE10" s="22">
        <v>548</v>
      </c>
      <c r="BF10" s="23">
        <f>BE10+'14.05'!BF10</f>
        <v>7805</v>
      </c>
      <c r="BG10" s="34">
        <v>0</v>
      </c>
      <c r="BH10" s="23">
        <f>BG10+'14.05'!BH10</f>
        <v>13</v>
      </c>
      <c r="BI10" s="22">
        <v>3158</v>
      </c>
      <c r="BJ10" s="23">
        <f>BI10+'14.05'!BJ10</f>
        <v>35598</v>
      </c>
      <c r="BK10" s="22">
        <v>1699</v>
      </c>
      <c r="BL10" s="23">
        <f>BK10+'14.05'!BL10</f>
        <v>27409</v>
      </c>
      <c r="BM10" s="22">
        <v>0</v>
      </c>
      <c r="BN10" s="23">
        <f>BM10+'14.05'!BN10</f>
        <v>3</v>
      </c>
      <c r="BO10" s="36">
        <v>32</v>
      </c>
      <c r="BP10" s="37"/>
      <c r="BQ10" s="23">
        <f>BP10+'14.05'!BQ10</f>
        <v>8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38</v>
      </c>
      <c r="D11" s="31">
        <f t="shared" si="0"/>
        <v>560</v>
      </c>
      <c r="E11" s="32">
        <v>883</v>
      </c>
      <c r="F11" s="22">
        <v>19</v>
      </c>
      <c r="G11" s="23">
        <f>F11+'14.05'!G11</f>
        <v>280</v>
      </c>
      <c r="H11" s="33">
        <v>16</v>
      </c>
      <c r="I11" s="34">
        <v>0</v>
      </c>
      <c r="J11" s="23">
        <f>I11+'14.05'!J11</f>
        <v>0</v>
      </c>
      <c r="K11" s="33">
        <v>3</v>
      </c>
      <c r="L11" s="22">
        <v>0</v>
      </c>
      <c r="M11" s="23">
        <f>L11+'14.05'!M11</f>
        <v>0</v>
      </c>
      <c r="N11" s="33">
        <v>875</v>
      </c>
      <c r="O11" s="22">
        <v>0</v>
      </c>
      <c r="P11" s="23">
        <f>O11+'14.05'!P11</f>
        <v>0</v>
      </c>
      <c r="Q11" s="33">
        <v>2424</v>
      </c>
      <c r="R11" s="22">
        <v>0</v>
      </c>
      <c r="S11" s="23">
        <f>R11+'14.05'!S11</f>
        <v>0</v>
      </c>
      <c r="T11" s="33">
        <v>69</v>
      </c>
      <c r="U11" s="22">
        <v>0</v>
      </c>
      <c r="V11" s="23">
        <f>U11+'14.05'!V11</f>
        <v>0</v>
      </c>
      <c r="W11" s="38">
        <v>133</v>
      </c>
      <c r="X11" s="22">
        <v>17</v>
      </c>
      <c r="Y11" s="23">
        <f>X11+'14.05'!Y11</f>
        <v>257</v>
      </c>
      <c r="Z11" s="38">
        <v>1116</v>
      </c>
      <c r="AA11" s="22">
        <v>0</v>
      </c>
      <c r="AB11" s="23">
        <f>AA11+'14.05'!AB11</f>
        <v>0</v>
      </c>
      <c r="AC11" s="38">
        <v>9862</v>
      </c>
      <c r="AD11" s="22">
        <v>2</v>
      </c>
      <c r="AE11" s="23">
        <f>AD11+'14.05'!AE11</f>
        <v>23</v>
      </c>
      <c r="AF11" s="19">
        <f t="shared" si="1"/>
        <v>18300</v>
      </c>
      <c r="AG11" s="20">
        <f t="shared" si="1"/>
        <v>307200</v>
      </c>
      <c r="AH11" s="24">
        <v>2400</v>
      </c>
      <c r="AI11" s="23">
        <f>AH11+'14.05'!AI11</f>
        <v>36600</v>
      </c>
      <c r="AJ11" s="24">
        <v>2800</v>
      </c>
      <c r="AK11" s="23">
        <f>AJ11+'14.05'!AK11</f>
        <v>40300</v>
      </c>
      <c r="AL11" s="22">
        <v>3300</v>
      </c>
      <c r="AM11" s="23">
        <f>AL11+'14.05'!AM11</f>
        <v>75400</v>
      </c>
      <c r="AN11" s="22">
        <v>9800</v>
      </c>
      <c r="AO11" s="23">
        <f>AN11+'14.05'!AO11</f>
        <v>154900</v>
      </c>
      <c r="AP11" s="28" t="s">
        <v>45</v>
      </c>
      <c r="AQ11" s="19">
        <f t="shared" si="3"/>
        <v>3</v>
      </c>
      <c r="AR11" s="20">
        <f t="shared" si="3"/>
        <v>38</v>
      </c>
      <c r="AS11" s="34">
        <v>0</v>
      </c>
      <c r="AT11" s="23">
        <f>AS11+'14.05'!AT11</f>
        <v>0</v>
      </c>
      <c r="AU11" s="34">
        <v>0</v>
      </c>
      <c r="AV11" s="23">
        <f>AU11+'14.05'!AV11</f>
        <v>0</v>
      </c>
      <c r="AW11" s="34">
        <v>0</v>
      </c>
      <c r="AX11" s="23">
        <f>AW11+'14.05'!AX11</f>
        <v>0</v>
      </c>
      <c r="AY11" s="34">
        <v>0</v>
      </c>
      <c r="AZ11" s="23">
        <f>AY11+'14.05'!AZ11</f>
        <v>0</v>
      </c>
      <c r="BA11" s="34">
        <v>3</v>
      </c>
      <c r="BB11" s="23">
        <f>BA11+'14.05'!BB11</f>
        <v>38</v>
      </c>
      <c r="BC11" s="19">
        <f t="shared" si="5"/>
        <v>642</v>
      </c>
      <c r="BD11" s="20">
        <f t="shared" si="5"/>
        <v>10287</v>
      </c>
      <c r="BE11" s="22">
        <v>3</v>
      </c>
      <c r="BF11" s="23">
        <f>BE11+'14.05'!BF11</f>
        <v>25</v>
      </c>
      <c r="BG11" s="34">
        <v>5</v>
      </c>
      <c r="BH11" s="23">
        <f>BG11+'14.05'!BH11</f>
        <v>43</v>
      </c>
      <c r="BI11" s="22">
        <v>620</v>
      </c>
      <c r="BJ11" s="23">
        <f>BI11+'14.05'!BJ11</f>
        <v>9952</v>
      </c>
      <c r="BK11" s="22">
        <v>12</v>
      </c>
      <c r="BL11" s="23">
        <f>BK11+'14.05'!BL11</f>
        <v>243</v>
      </c>
      <c r="BM11" s="22">
        <v>2</v>
      </c>
      <c r="BN11" s="23">
        <f>BM11+'14.05'!BN11</f>
        <v>24</v>
      </c>
      <c r="BO11" s="36">
        <v>11506</v>
      </c>
      <c r="BP11" s="37">
        <v>4</v>
      </c>
      <c r="BQ11" s="23">
        <f>BP11+'14.05'!BQ11</f>
        <v>42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233</v>
      </c>
      <c r="D12" s="31">
        <f t="shared" si="0"/>
        <v>3191</v>
      </c>
      <c r="E12" s="32">
        <v>909</v>
      </c>
      <c r="F12" s="22">
        <v>52</v>
      </c>
      <c r="G12" s="23">
        <f>F12+'14.05'!G12</f>
        <v>735</v>
      </c>
      <c r="H12" s="33">
        <v>80</v>
      </c>
      <c r="I12" s="34">
        <v>4</v>
      </c>
      <c r="J12" s="23">
        <f>I12+'14.05'!J12</f>
        <v>30</v>
      </c>
      <c r="K12" s="33">
        <v>5</v>
      </c>
      <c r="L12" s="22">
        <v>0</v>
      </c>
      <c r="M12" s="23">
        <f>L12+'14.05'!M12</f>
        <v>0</v>
      </c>
      <c r="N12" s="33">
        <v>820</v>
      </c>
      <c r="O12" s="22">
        <v>31</v>
      </c>
      <c r="P12" s="23">
        <f>O12+'14.05'!P12</f>
        <v>232</v>
      </c>
      <c r="Q12" s="33">
        <v>549</v>
      </c>
      <c r="R12" s="22">
        <v>0</v>
      </c>
      <c r="S12" s="23">
        <f>R12+'14.05'!S12</f>
        <v>0</v>
      </c>
      <c r="T12" s="33">
        <v>992</v>
      </c>
      <c r="U12" s="22">
        <v>0</v>
      </c>
      <c r="V12" s="23">
        <f>U12+'14.05'!V12</f>
        <v>0</v>
      </c>
      <c r="W12" s="33">
        <v>38</v>
      </c>
      <c r="X12" s="22">
        <v>116</v>
      </c>
      <c r="Y12" s="23">
        <f>X12+'14.05'!Y12</f>
        <v>1676</v>
      </c>
      <c r="Z12" s="33">
        <v>68</v>
      </c>
      <c r="AA12" s="22">
        <v>0</v>
      </c>
      <c r="AB12" s="23">
        <f>AA12+'14.05'!AB12</f>
        <v>0</v>
      </c>
      <c r="AC12" s="33">
        <v>26703</v>
      </c>
      <c r="AD12" s="22">
        <v>30</v>
      </c>
      <c r="AE12" s="23">
        <f>AD12+'14.05'!AE12</f>
        <v>518</v>
      </c>
      <c r="AF12" s="19">
        <f t="shared" si="1"/>
        <v>3130</v>
      </c>
      <c r="AG12" s="20">
        <f t="shared" si="1"/>
        <v>195534</v>
      </c>
      <c r="AH12" s="24">
        <v>1001</v>
      </c>
      <c r="AI12" s="23">
        <f>AH12+'14.05'!AI12</f>
        <v>27960</v>
      </c>
      <c r="AJ12" s="24">
        <v>809</v>
      </c>
      <c r="AK12" s="23">
        <f>AJ12+'14.05'!AK12</f>
        <v>57198</v>
      </c>
      <c r="AL12" s="22">
        <v>660</v>
      </c>
      <c r="AM12" s="23">
        <f>AL12+'14.05'!AM12</f>
        <v>55187</v>
      </c>
      <c r="AN12" s="22">
        <v>660</v>
      </c>
      <c r="AO12" s="23">
        <f>AN12+'14.05'!AO12</f>
        <v>55189</v>
      </c>
      <c r="AP12" s="28" t="s">
        <v>46</v>
      </c>
      <c r="AQ12" s="19">
        <f t="shared" si="3"/>
        <v>85</v>
      </c>
      <c r="AR12" s="20">
        <f t="shared" si="3"/>
        <v>1199</v>
      </c>
      <c r="AS12" s="34">
        <v>0</v>
      </c>
      <c r="AT12" s="23">
        <f>AS12+'14.05'!AT12</f>
        <v>0</v>
      </c>
      <c r="AU12" s="34">
        <v>0</v>
      </c>
      <c r="AV12" s="23">
        <f>AU12+'14.05'!AV12</f>
        <v>0</v>
      </c>
      <c r="AW12" s="34">
        <v>0</v>
      </c>
      <c r="AX12" s="23">
        <f>AW12+'14.05'!AX12</f>
        <v>0</v>
      </c>
      <c r="AY12" s="34">
        <v>0</v>
      </c>
      <c r="AZ12" s="23">
        <f>AY12+'14.05'!AZ12</f>
        <v>0</v>
      </c>
      <c r="BA12" s="34">
        <v>85</v>
      </c>
      <c r="BB12" s="23">
        <f>BA12+'14.05'!BB12</f>
        <v>1199</v>
      </c>
      <c r="BC12" s="19">
        <f t="shared" si="5"/>
        <v>2433</v>
      </c>
      <c r="BD12" s="20">
        <f t="shared" si="5"/>
        <v>41640</v>
      </c>
      <c r="BE12" s="22">
        <v>120</v>
      </c>
      <c r="BF12" s="23">
        <f>BE12+'14.05'!BF12</f>
        <v>2930</v>
      </c>
      <c r="BG12" s="34">
        <v>12</v>
      </c>
      <c r="BH12" s="23">
        <f>BG12+'14.05'!BH12</f>
        <v>122</v>
      </c>
      <c r="BI12" s="22">
        <v>2000</v>
      </c>
      <c r="BJ12" s="23">
        <f>BI12+'14.05'!BJ12</f>
        <v>34100</v>
      </c>
      <c r="BK12" s="22">
        <v>250</v>
      </c>
      <c r="BL12" s="23">
        <f>BK12+'14.05'!BL12</f>
        <v>3800</v>
      </c>
      <c r="BM12" s="22">
        <v>51</v>
      </c>
      <c r="BN12" s="23">
        <f>BM12+'14.05'!BN12</f>
        <v>688</v>
      </c>
      <c r="BO12" s="36"/>
      <c r="BP12" s="37">
        <v>2</v>
      </c>
      <c r="BQ12" s="23">
        <f>BP12+'14.05'!BQ12</f>
        <v>24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108</v>
      </c>
      <c r="D13" s="31">
        <f t="shared" si="0"/>
        <v>266</v>
      </c>
      <c r="E13" s="32">
        <v>516</v>
      </c>
      <c r="F13" s="22">
        <v>1</v>
      </c>
      <c r="G13" s="23">
        <f>F13+'14.05'!G13</f>
        <v>16</v>
      </c>
      <c r="H13" s="33">
        <v>10</v>
      </c>
      <c r="I13" s="34">
        <v>0</v>
      </c>
      <c r="J13" s="23">
        <f>I13+'14.05'!J13</f>
        <v>7</v>
      </c>
      <c r="K13" s="33">
        <v>38</v>
      </c>
      <c r="L13" s="22">
        <v>0</v>
      </c>
      <c r="M13" s="23">
        <f>L13+'14.05'!M13</f>
        <v>0</v>
      </c>
      <c r="N13" s="33">
        <v>581</v>
      </c>
      <c r="O13" s="22">
        <v>0</v>
      </c>
      <c r="P13" s="23">
        <f>O13+'14.05'!P13</f>
        <v>7</v>
      </c>
      <c r="Q13" s="33">
        <v>525</v>
      </c>
      <c r="R13" s="22">
        <v>0</v>
      </c>
      <c r="S13" s="23">
        <f>R13+'14.05'!S13</f>
        <v>0</v>
      </c>
      <c r="T13" s="33">
        <v>263</v>
      </c>
      <c r="U13" s="22">
        <v>0</v>
      </c>
      <c r="V13" s="23">
        <f>U13+'14.05'!V13</f>
        <v>0</v>
      </c>
      <c r="W13" s="33">
        <v>43</v>
      </c>
      <c r="X13" s="22">
        <v>0</v>
      </c>
      <c r="Y13" s="23">
        <f>X13+'14.05'!Y13</f>
        <v>0</v>
      </c>
      <c r="Z13" s="33">
        <v>17</v>
      </c>
      <c r="AA13" s="22">
        <v>0</v>
      </c>
      <c r="AB13" s="23">
        <f>AA13+'14.05'!AB13</f>
        <v>0</v>
      </c>
      <c r="AC13" s="33">
        <v>51</v>
      </c>
      <c r="AD13" s="22">
        <v>107</v>
      </c>
      <c r="AE13" s="23">
        <f>AD13+'14.05'!AE13</f>
        <v>236</v>
      </c>
      <c r="AF13" s="19">
        <f t="shared" si="1"/>
        <v>300000</v>
      </c>
      <c r="AG13" s="20">
        <f t="shared" si="1"/>
        <v>3819000</v>
      </c>
      <c r="AH13" s="24">
        <v>10000</v>
      </c>
      <c r="AI13" s="23">
        <f>AH13+'14.05'!AI13</f>
        <v>47000</v>
      </c>
      <c r="AJ13" s="24">
        <v>70000</v>
      </c>
      <c r="AK13" s="23">
        <f>AJ13+'14.05'!AK13</f>
        <v>283000</v>
      </c>
      <c r="AL13" s="22">
        <v>20000</v>
      </c>
      <c r="AM13" s="23">
        <f>AL13+'14.05'!AM13</f>
        <v>330000</v>
      </c>
      <c r="AN13" s="22">
        <v>200000</v>
      </c>
      <c r="AO13" s="23">
        <f>AN13+'14.05'!AO13</f>
        <v>3159000</v>
      </c>
      <c r="AP13" s="28" t="s">
        <v>47</v>
      </c>
      <c r="AQ13" s="19">
        <f t="shared" si="3"/>
        <v>7</v>
      </c>
      <c r="AR13" s="20">
        <f t="shared" si="3"/>
        <v>407</v>
      </c>
      <c r="AS13" s="34">
        <v>1</v>
      </c>
      <c r="AT13" s="23">
        <f>AS13+'14.05'!AT13</f>
        <v>14</v>
      </c>
      <c r="AU13" s="34">
        <v>1</v>
      </c>
      <c r="AV13" s="23">
        <f>AU13+'14.05'!AV13</f>
        <v>14</v>
      </c>
      <c r="AW13" s="34">
        <v>0</v>
      </c>
      <c r="AX13" s="23">
        <f>AW13+'14.05'!AX13</f>
        <v>0</v>
      </c>
      <c r="AY13" s="34">
        <v>0</v>
      </c>
      <c r="AZ13" s="23">
        <f>AY13+'14.05'!AZ13</f>
        <v>0</v>
      </c>
      <c r="BA13" s="34">
        <v>5</v>
      </c>
      <c r="BB13" s="23">
        <f>BA13+'14.05'!BB13</f>
        <v>379</v>
      </c>
      <c r="BC13" s="19">
        <f t="shared" si="5"/>
        <v>31549</v>
      </c>
      <c r="BD13" s="20">
        <f t="shared" si="5"/>
        <v>162971</v>
      </c>
      <c r="BE13" s="22">
        <v>516</v>
      </c>
      <c r="BF13" s="23">
        <f>BE13+'14.05'!BF13</f>
        <v>7740</v>
      </c>
      <c r="BG13" s="34">
        <v>26</v>
      </c>
      <c r="BH13" s="23">
        <f>BG13+'14.05'!BH13</f>
        <v>234</v>
      </c>
      <c r="BI13" s="22">
        <v>30000</v>
      </c>
      <c r="BJ13" s="23">
        <f>BI13+'14.05'!BJ13</f>
        <v>151500</v>
      </c>
      <c r="BK13" s="22">
        <v>1000</v>
      </c>
      <c r="BL13" s="23">
        <f>BK13+'14.05'!BL13</f>
        <v>2820</v>
      </c>
      <c r="BM13" s="22">
        <v>7</v>
      </c>
      <c r="BN13" s="23">
        <f>BM13+'14.05'!BN13</f>
        <v>677</v>
      </c>
      <c r="BO13" s="36"/>
      <c r="BP13" s="37">
        <v>1</v>
      </c>
      <c r="BQ13" s="23">
        <f>BP13+'14.05'!BQ13</f>
        <v>9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123</v>
      </c>
      <c r="D14" s="42">
        <f t="shared" si="0"/>
        <v>1728</v>
      </c>
      <c r="E14" s="43">
        <v>304</v>
      </c>
      <c r="F14" s="22">
        <v>105</v>
      </c>
      <c r="G14" s="23">
        <f>F14+'14.05'!G14</f>
        <v>1434</v>
      </c>
      <c r="H14" s="44">
        <v>5</v>
      </c>
      <c r="I14" s="45">
        <v>0</v>
      </c>
      <c r="J14" s="23">
        <f>I14+'14.05'!J14</f>
        <v>0</v>
      </c>
      <c r="K14" s="44">
        <v>34</v>
      </c>
      <c r="L14" s="22">
        <v>0</v>
      </c>
      <c r="M14" s="23">
        <f>L14+'14.05'!M14</f>
        <v>0</v>
      </c>
      <c r="N14" s="44">
        <v>583</v>
      </c>
      <c r="O14" s="22">
        <v>0</v>
      </c>
      <c r="P14" s="23">
        <f>O14+'14.05'!P14</f>
        <v>0</v>
      </c>
      <c r="Q14" s="44">
        <v>254</v>
      </c>
      <c r="R14" s="22">
        <v>0</v>
      </c>
      <c r="S14" s="23">
        <f>R14+'14.05'!S14</f>
        <v>0</v>
      </c>
      <c r="T14" s="44">
        <v>196</v>
      </c>
      <c r="U14" s="22">
        <v>0</v>
      </c>
      <c r="V14" s="23">
        <f>U14+'14.05'!V14</f>
        <v>0</v>
      </c>
      <c r="W14" s="44">
        <v>30</v>
      </c>
      <c r="X14" s="22">
        <v>6</v>
      </c>
      <c r="Y14" s="23">
        <f>X14+'14.05'!Y14</f>
        <v>222</v>
      </c>
      <c r="Z14" s="44">
        <v>10</v>
      </c>
      <c r="AA14" s="22">
        <v>0</v>
      </c>
      <c r="AB14" s="23">
        <f>AA14+'14.05'!AB14</f>
        <v>0</v>
      </c>
      <c r="AC14" s="44">
        <v>2500</v>
      </c>
      <c r="AD14" s="22">
        <v>12</v>
      </c>
      <c r="AE14" s="23">
        <f>AD14+'14.05'!AE14</f>
        <v>72</v>
      </c>
      <c r="AF14" s="19">
        <f t="shared" si="1"/>
        <v>116750</v>
      </c>
      <c r="AG14" s="20">
        <f t="shared" si="1"/>
        <v>1611740</v>
      </c>
      <c r="AH14" s="24">
        <v>4750</v>
      </c>
      <c r="AI14" s="23">
        <f>AH14+'14.05'!AI14</f>
        <v>49760</v>
      </c>
      <c r="AJ14" s="24">
        <v>8300</v>
      </c>
      <c r="AK14" s="23">
        <f>AJ14+'14.05'!AK14</f>
        <v>92650</v>
      </c>
      <c r="AL14" s="22">
        <v>8200</v>
      </c>
      <c r="AM14" s="23">
        <f>AL14+'14.05'!AM14</f>
        <v>101650</v>
      </c>
      <c r="AN14" s="22">
        <v>95500</v>
      </c>
      <c r="AO14" s="23">
        <f>AN14+'14.05'!AO14</f>
        <v>1367680</v>
      </c>
      <c r="AP14" s="39" t="s">
        <v>48</v>
      </c>
      <c r="AQ14" s="19">
        <f t="shared" si="3"/>
        <v>2</v>
      </c>
      <c r="AR14" s="20">
        <f t="shared" si="3"/>
        <v>58</v>
      </c>
      <c r="AS14" s="45">
        <v>0</v>
      </c>
      <c r="AT14" s="23">
        <f>AS14+'14.05'!AT14</f>
        <v>0</v>
      </c>
      <c r="AU14" s="45">
        <v>0</v>
      </c>
      <c r="AV14" s="23">
        <f>AU14+'14.05'!AV14</f>
        <v>4</v>
      </c>
      <c r="AW14" s="45">
        <v>0</v>
      </c>
      <c r="AX14" s="23">
        <f>AW14+'14.05'!AX14</f>
        <v>3</v>
      </c>
      <c r="AY14" s="45">
        <v>0</v>
      </c>
      <c r="AZ14" s="23">
        <f>AY14+'14.05'!AZ14</f>
        <v>1</v>
      </c>
      <c r="BA14" s="45">
        <v>2</v>
      </c>
      <c r="BB14" s="23">
        <f>BA14+'14.05'!BB14</f>
        <v>50</v>
      </c>
      <c r="BC14" s="19">
        <f t="shared" si="5"/>
        <v>2109</v>
      </c>
      <c r="BD14" s="20">
        <f t="shared" si="5"/>
        <v>38027</v>
      </c>
      <c r="BE14" s="22">
        <v>2</v>
      </c>
      <c r="BF14" s="23">
        <f>BE14+'14.05'!BF14</f>
        <v>53</v>
      </c>
      <c r="BG14" s="45">
        <v>1</v>
      </c>
      <c r="BH14" s="23">
        <f>BG14+'14.05'!BH14</f>
        <v>25</v>
      </c>
      <c r="BI14" s="22">
        <v>2100</v>
      </c>
      <c r="BJ14" s="23">
        <f>BI14+'14.05'!BJ14</f>
        <v>37850</v>
      </c>
      <c r="BK14" s="22">
        <v>4</v>
      </c>
      <c r="BL14" s="23">
        <f>BK14+'14.05'!BL14</f>
        <v>67</v>
      </c>
      <c r="BM14" s="22">
        <v>2</v>
      </c>
      <c r="BN14" s="23">
        <f>BM14+'14.05'!BN14</f>
        <v>32</v>
      </c>
      <c r="BO14" s="48">
        <v>22</v>
      </c>
      <c r="BP14" s="49">
        <v>0</v>
      </c>
      <c r="BQ14" s="23">
        <f>BP14+'14.05'!BQ14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418</v>
      </c>
      <c r="D15" s="53">
        <f t="shared" si="0"/>
        <v>6582</v>
      </c>
      <c r="E15" s="54">
        <v>776</v>
      </c>
      <c r="F15" s="55">
        <v>339</v>
      </c>
      <c r="G15" s="23">
        <f>F15+'14.05'!G15</f>
        <v>5048</v>
      </c>
      <c r="H15" s="56">
        <v>9</v>
      </c>
      <c r="I15" s="57">
        <v>0</v>
      </c>
      <c r="J15" s="23">
        <f>I15+'14.05'!J15</f>
        <v>0</v>
      </c>
      <c r="K15" s="56">
        <v>6</v>
      </c>
      <c r="L15" s="55">
        <v>0</v>
      </c>
      <c r="M15" s="23">
        <f>L15+'14.05'!M15</f>
        <v>0</v>
      </c>
      <c r="N15" s="56">
        <v>1305</v>
      </c>
      <c r="O15" s="55">
        <v>0</v>
      </c>
      <c r="P15" s="23">
        <f>O15+'14.05'!P15</f>
        <v>0</v>
      </c>
      <c r="Q15" s="56">
        <v>447</v>
      </c>
      <c r="R15" s="55">
        <v>0</v>
      </c>
      <c r="S15" s="23">
        <f>R15+'14.05'!S15</f>
        <v>0</v>
      </c>
      <c r="T15" s="56">
        <v>337</v>
      </c>
      <c r="U15" s="55">
        <v>0</v>
      </c>
      <c r="V15" s="23">
        <f>U15+'14.05'!V15</f>
        <v>0</v>
      </c>
      <c r="W15" s="56">
        <v>78</v>
      </c>
      <c r="X15" s="55">
        <v>0</v>
      </c>
      <c r="Y15" s="23">
        <f>X15+'14.05'!Y15</f>
        <v>0</v>
      </c>
      <c r="Z15" s="56">
        <v>141</v>
      </c>
      <c r="AA15" s="55">
        <v>0</v>
      </c>
      <c r="AB15" s="23">
        <f>AA15+'14.05'!AB15</f>
        <v>0</v>
      </c>
      <c r="AC15" s="56">
        <v>798</v>
      </c>
      <c r="AD15" s="55">
        <v>79</v>
      </c>
      <c r="AE15" s="23">
        <f>AD15+'14.05'!AE15</f>
        <v>1534</v>
      </c>
      <c r="AF15" s="58">
        <f t="shared" si="1"/>
        <v>1829699</v>
      </c>
      <c r="AG15" s="59">
        <f t="shared" si="1"/>
        <v>34476460</v>
      </c>
      <c r="AH15" s="60">
        <v>832</v>
      </c>
      <c r="AI15" s="23">
        <f>AH15+'14.05'!AI15</f>
        <v>12749</v>
      </c>
      <c r="AJ15" s="60">
        <v>2595</v>
      </c>
      <c r="AK15" s="23">
        <f>AJ15+'14.05'!AK15</f>
        <v>44441</v>
      </c>
      <c r="AL15" s="55">
        <v>913136</v>
      </c>
      <c r="AM15" s="23">
        <f>AL15+'14.05'!AM15</f>
        <v>21559635</v>
      </c>
      <c r="AN15" s="55">
        <v>913136</v>
      </c>
      <c r="AO15" s="23">
        <f>AN15+'14.05'!AO15</f>
        <v>12859635</v>
      </c>
      <c r="AP15" s="50" t="s">
        <v>49</v>
      </c>
      <c r="AQ15" s="58">
        <f t="shared" si="3"/>
        <v>3</v>
      </c>
      <c r="AR15" s="59">
        <f t="shared" si="3"/>
        <v>40</v>
      </c>
      <c r="AS15" s="57">
        <v>0</v>
      </c>
      <c r="AT15" s="23">
        <f>AS15+'14.05'!AT15</f>
        <v>2</v>
      </c>
      <c r="AU15" s="57">
        <v>0</v>
      </c>
      <c r="AV15" s="23">
        <f>AU15+'14.05'!AV15</f>
        <v>4</v>
      </c>
      <c r="AW15" s="57">
        <v>1</v>
      </c>
      <c r="AX15" s="23">
        <f>AW15+'14.05'!AX15</f>
        <v>3</v>
      </c>
      <c r="AY15" s="57">
        <v>0</v>
      </c>
      <c r="AZ15" s="23">
        <f>AY15+'14.05'!AZ15</f>
        <v>0</v>
      </c>
      <c r="BA15" s="57">
        <v>2</v>
      </c>
      <c r="BB15" s="23">
        <f>BA15+'14.05'!BB15</f>
        <v>31</v>
      </c>
      <c r="BC15" s="58">
        <f t="shared" si="5"/>
        <v>1504</v>
      </c>
      <c r="BD15" s="59">
        <f t="shared" si="5"/>
        <v>22527</v>
      </c>
      <c r="BE15" s="55">
        <v>74</v>
      </c>
      <c r="BF15" s="23">
        <f>BE15+'14.05'!BF15</f>
        <v>1093</v>
      </c>
      <c r="BG15" s="57">
        <v>1</v>
      </c>
      <c r="BH15" s="23">
        <f>BG15+'14.05'!BH15</f>
        <v>23</v>
      </c>
      <c r="BI15" s="55">
        <v>715</v>
      </c>
      <c r="BJ15" s="23">
        <f>BI15+'14.05'!BJ15</f>
        <v>10725</v>
      </c>
      <c r="BK15" s="55">
        <v>698</v>
      </c>
      <c r="BL15" s="23">
        <f>BK15+'14.05'!BL15</f>
        <v>10446</v>
      </c>
      <c r="BM15" s="55">
        <v>16</v>
      </c>
      <c r="BN15" s="23">
        <f>BM15+'14.05'!BN15</f>
        <v>240</v>
      </c>
      <c r="BO15" s="36">
        <v>6274</v>
      </c>
      <c r="BP15" s="37">
        <v>0</v>
      </c>
      <c r="BQ15" s="23">
        <f>BP15+'14.05'!BQ15</f>
        <v>11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151</v>
      </c>
      <c r="D16" s="31">
        <f t="shared" si="0"/>
        <v>2045</v>
      </c>
      <c r="E16" s="32">
        <v>310</v>
      </c>
      <c r="F16" s="22">
        <v>52</v>
      </c>
      <c r="G16" s="23">
        <f>F16+'14.05'!G16</f>
        <v>711</v>
      </c>
      <c r="H16" s="33">
        <v>5</v>
      </c>
      <c r="I16" s="34">
        <v>0</v>
      </c>
      <c r="J16" s="23">
        <f>I16+'14.05'!J16</f>
        <v>0</v>
      </c>
      <c r="K16" s="33">
        <v>3</v>
      </c>
      <c r="L16" s="22">
        <v>0</v>
      </c>
      <c r="M16" s="23">
        <f>L16+'14.05'!M16</f>
        <v>0</v>
      </c>
      <c r="N16" s="33">
        <v>384</v>
      </c>
      <c r="O16" s="22">
        <v>0</v>
      </c>
      <c r="P16" s="23">
        <f>O16+'14.05'!P16</f>
        <v>0</v>
      </c>
      <c r="Q16" s="33">
        <v>245</v>
      </c>
      <c r="R16" s="22">
        <v>0</v>
      </c>
      <c r="S16" s="23">
        <f>R16+'14.05'!S16</f>
        <v>0</v>
      </c>
      <c r="T16" s="33">
        <v>397</v>
      </c>
      <c r="U16" s="22">
        <v>0</v>
      </c>
      <c r="V16" s="23">
        <f>U16+'14.05'!V16</f>
        <v>0</v>
      </c>
      <c r="W16" s="33">
        <v>24</v>
      </c>
      <c r="X16" s="22">
        <v>47</v>
      </c>
      <c r="Y16" s="23">
        <f>X16+'14.05'!Y16</f>
        <v>716</v>
      </c>
      <c r="Z16" s="33">
        <v>18</v>
      </c>
      <c r="AA16" s="22">
        <v>0</v>
      </c>
      <c r="AB16" s="23">
        <f>AA16+'14.05'!AB16</f>
        <v>0</v>
      </c>
      <c r="AC16" s="33">
        <v>18515</v>
      </c>
      <c r="AD16" s="22">
        <v>52</v>
      </c>
      <c r="AE16" s="23">
        <f>AD16+'14.05'!AE16</f>
        <v>618</v>
      </c>
      <c r="AF16" s="19">
        <f t="shared" si="1"/>
        <v>60399</v>
      </c>
      <c r="AG16" s="20">
        <f t="shared" si="1"/>
        <v>891505</v>
      </c>
      <c r="AH16" s="24">
        <v>137</v>
      </c>
      <c r="AI16" s="23">
        <f>AH16+'14.05'!AI16</f>
        <v>2407</v>
      </c>
      <c r="AJ16" s="24">
        <v>1423</v>
      </c>
      <c r="AK16" s="23">
        <f>AJ16+'14.05'!AK16</f>
        <v>19508</v>
      </c>
      <c r="AL16" s="22">
        <v>1472</v>
      </c>
      <c r="AM16" s="23">
        <f>AL16+'14.05'!AM16</f>
        <v>23159</v>
      </c>
      <c r="AN16" s="22">
        <v>57367</v>
      </c>
      <c r="AO16" s="23">
        <f>AN16+'14.05'!AO16</f>
        <v>846431</v>
      </c>
      <c r="AP16" s="28" t="s">
        <v>51</v>
      </c>
      <c r="AQ16" s="19">
        <f t="shared" si="3"/>
        <v>82</v>
      </c>
      <c r="AR16" s="20">
        <f t="shared" si="3"/>
        <v>1125</v>
      </c>
      <c r="AS16" s="34">
        <v>0</v>
      </c>
      <c r="AT16" s="23">
        <f>AS16+'14.05'!AT16</f>
        <v>2</v>
      </c>
      <c r="AU16" s="34">
        <v>0</v>
      </c>
      <c r="AV16" s="23">
        <f>AU16+'14.05'!AV16</f>
        <v>0</v>
      </c>
      <c r="AW16" s="34">
        <v>0</v>
      </c>
      <c r="AX16" s="23">
        <f>AW16+'14.05'!AX16</f>
        <v>0</v>
      </c>
      <c r="AY16" s="34">
        <v>0</v>
      </c>
      <c r="AZ16" s="23">
        <f>AY16+'14.05'!AZ16</f>
        <v>0</v>
      </c>
      <c r="BA16" s="34">
        <v>82</v>
      </c>
      <c r="BB16" s="23">
        <f>BA16+'14.05'!BB16</f>
        <v>1123</v>
      </c>
      <c r="BC16" s="19">
        <f t="shared" si="5"/>
        <v>1493</v>
      </c>
      <c r="BD16" s="20">
        <f t="shared" si="5"/>
        <v>20022</v>
      </c>
      <c r="BE16" s="22">
        <v>83</v>
      </c>
      <c r="BF16" s="23">
        <f>BE16+'14.05'!BF16</f>
        <v>1026</v>
      </c>
      <c r="BG16" s="34">
        <v>0</v>
      </c>
      <c r="BH16" s="23">
        <f>BG16+'14.05'!BH16</f>
        <v>0</v>
      </c>
      <c r="BI16" s="22">
        <v>1357</v>
      </c>
      <c r="BJ16" s="23">
        <f>BI16+'14.05'!BJ16</f>
        <v>18248</v>
      </c>
      <c r="BK16" s="22">
        <v>44</v>
      </c>
      <c r="BL16" s="23">
        <f>BK16+'14.05'!BL16</f>
        <v>664</v>
      </c>
      <c r="BM16" s="22">
        <v>9</v>
      </c>
      <c r="BN16" s="23">
        <f>BM16+'14.05'!BN16</f>
        <v>84</v>
      </c>
      <c r="BO16" s="36">
        <v>2546</v>
      </c>
      <c r="BP16" s="37">
        <v>0</v>
      </c>
      <c r="BQ16" s="23">
        <f>BP16+'14.05'!BQ16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166</v>
      </c>
      <c r="D17" s="31">
        <f t="shared" si="0"/>
        <v>2553</v>
      </c>
      <c r="E17" s="32">
        <v>754</v>
      </c>
      <c r="F17" s="22">
        <v>143</v>
      </c>
      <c r="G17" s="23">
        <f>F17+'14.05'!G17</f>
        <v>2171</v>
      </c>
      <c r="H17" s="33">
        <v>9</v>
      </c>
      <c r="I17" s="34">
        <v>0</v>
      </c>
      <c r="J17" s="23">
        <f>I17+'14.05'!J17</f>
        <v>0</v>
      </c>
      <c r="K17" s="33">
        <v>5</v>
      </c>
      <c r="L17" s="22">
        <v>0</v>
      </c>
      <c r="M17" s="23">
        <f>L17+'14.05'!M17</f>
        <v>0</v>
      </c>
      <c r="N17" s="33">
        <v>768</v>
      </c>
      <c r="O17" s="22">
        <v>0</v>
      </c>
      <c r="P17" s="23">
        <f>O17+'14.05'!P17</f>
        <v>0</v>
      </c>
      <c r="Q17" s="33">
        <v>624</v>
      </c>
      <c r="R17" s="22">
        <v>0</v>
      </c>
      <c r="S17" s="23">
        <f>R17+'14.05'!S17</f>
        <v>0</v>
      </c>
      <c r="T17" s="33">
        <v>742</v>
      </c>
      <c r="U17" s="22">
        <v>0</v>
      </c>
      <c r="V17" s="23">
        <f>U17+'14.05'!V17</f>
        <v>0</v>
      </c>
      <c r="W17" s="33">
        <v>54</v>
      </c>
      <c r="X17" s="22">
        <v>11</v>
      </c>
      <c r="Y17" s="23">
        <f>X17+'14.05'!Y17</f>
        <v>208</v>
      </c>
      <c r="Z17" s="33">
        <v>66</v>
      </c>
      <c r="AA17" s="22">
        <v>0</v>
      </c>
      <c r="AB17" s="23">
        <f>AA17+'14.05'!AB17</f>
        <v>0</v>
      </c>
      <c r="AC17" s="33">
        <v>2580</v>
      </c>
      <c r="AD17" s="22">
        <v>12</v>
      </c>
      <c r="AE17" s="23">
        <f>AD17+'14.05'!AE17</f>
        <v>174</v>
      </c>
      <c r="AF17" s="19">
        <f t="shared" si="1"/>
        <v>99600</v>
      </c>
      <c r="AG17" s="20">
        <f t="shared" si="1"/>
        <v>1537300</v>
      </c>
      <c r="AH17" s="24">
        <v>7900</v>
      </c>
      <c r="AI17" s="23">
        <f>AH17+'14.05'!AI17</f>
        <v>95500</v>
      </c>
      <c r="AJ17" s="24">
        <v>10200</v>
      </c>
      <c r="AK17" s="23">
        <f>AJ17+'14.05'!AK17</f>
        <v>149300</v>
      </c>
      <c r="AL17" s="22">
        <v>18900</v>
      </c>
      <c r="AM17" s="23">
        <f>AL17+'14.05'!AM17</f>
        <v>325700</v>
      </c>
      <c r="AN17" s="22">
        <v>62600</v>
      </c>
      <c r="AO17" s="23">
        <f>AN17+'14.05'!AO17</f>
        <v>966800</v>
      </c>
      <c r="AP17" s="28" t="s">
        <v>52</v>
      </c>
      <c r="AQ17" s="19">
        <f t="shared" si="3"/>
        <v>23</v>
      </c>
      <c r="AR17" s="20">
        <f t="shared" si="3"/>
        <v>287</v>
      </c>
      <c r="AS17" s="34">
        <v>1</v>
      </c>
      <c r="AT17" s="23">
        <f>AS17+'14.05'!AT17</f>
        <v>18</v>
      </c>
      <c r="AU17" s="34">
        <v>1</v>
      </c>
      <c r="AV17" s="23">
        <f>AU17+'14.05'!AV17</f>
        <v>22</v>
      </c>
      <c r="AW17" s="34">
        <v>0</v>
      </c>
      <c r="AX17" s="23">
        <f>AW17+'14.05'!AX17</f>
        <v>0</v>
      </c>
      <c r="AY17" s="34">
        <v>0</v>
      </c>
      <c r="AZ17" s="23">
        <f>AY17+'14.05'!AZ17</f>
        <v>0</v>
      </c>
      <c r="BA17" s="34">
        <v>21</v>
      </c>
      <c r="BB17" s="23">
        <f>BA17+'14.05'!BB17</f>
        <v>247</v>
      </c>
      <c r="BC17" s="19">
        <f t="shared" si="5"/>
        <v>3363</v>
      </c>
      <c r="BD17" s="20">
        <f t="shared" si="5"/>
        <v>38745</v>
      </c>
      <c r="BE17" s="22">
        <v>40</v>
      </c>
      <c r="BF17" s="23">
        <f>BE17+'14.05'!BF17</f>
        <v>560</v>
      </c>
      <c r="BG17" s="34">
        <v>1</v>
      </c>
      <c r="BH17" s="23">
        <f>BG17+'14.05'!BH17</f>
        <v>17</v>
      </c>
      <c r="BI17" s="22">
        <v>3000</v>
      </c>
      <c r="BJ17" s="23">
        <f>BI17+'14.05'!BJ17</f>
        <v>34700</v>
      </c>
      <c r="BK17" s="22">
        <v>310</v>
      </c>
      <c r="BL17" s="23">
        <f>BK17+'14.05'!BL17</f>
        <v>3335</v>
      </c>
      <c r="BM17" s="22">
        <v>12</v>
      </c>
      <c r="BN17" s="23">
        <f>BM17+'14.05'!BN17</f>
        <v>133</v>
      </c>
      <c r="BO17" s="36">
        <v>8022</v>
      </c>
      <c r="BP17" s="37">
        <v>4</v>
      </c>
      <c r="BQ17" s="23">
        <f>BP17+'14.05'!BQ17</f>
        <v>57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243</v>
      </c>
      <c r="D18" s="20">
        <f t="shared" si="0"/>
        <v>4237</v>
      </c>
      <c r="E18" s="21">
        <v>1063</v>
      </c>
      <c r="F18" s="22">
        <v>131</v>
      </c>
      <c r="G18" s="23">
        <f>F18+'14.05'!G18</f>
        <v>2649</v>
      </c>
      <c r="H18" s="21">
        <v>19</v>
      </c>
      <c r="I18" s="22">
        <v>0</v>
      </c>
      <c r="J18" s="23">
        <f>I18+'14.05'!J18</f>
        <v>0</v>
      </c>
      <c r="K18" s="21">
        <v>8</v>
      </c>
      <c r="L18" s="22">
        <v>0</v>
      </c>
      <c r="M18" s="23">
        <f>L18+'14.05'!M18</f>
        <v>0</v>
      </c>
      <c r="N18" s="21">
        <v>1331</v>
      </c>
      <c r="O18" s="22">
        <v>0</v>
      </c>
      <c r="P18" s="23">
        <f>O18+'14.05'!P18</f>
        <v>0</v>
      </c>
      <c r="Q18" s="21">
        <v>777</v>
      </c>
      <c r="R18" s="22">
        <v>0</v>
      </c>
      <c r="S18" s="23">
        <f>R18+'14.05'!S18</f>
        <v>0</v>
      </c>
      <c r="T18" s="21">
        <v>318</v>
      </c>
      <c r="U18" s="22">
        <v>0</v>
      </c>
      <c r="V18" s="23">
        <f>U18+'14.05'!V18</f>
        <v>81</v>
      </c>
      <c r="W18" s="21">
        <v>60</v>
      </c>
      <c r="X18" s="22">
        <v>112</v>
      </c>
      <c r="Y18" s="23">
        <f>X18+'14.05'!Y18</f>
        <v>1507</v>
      </c>
      <c r="Z18" s="21">
        <v>72</v>
      </c>
      <c r="AA18" s="22">
        <v>0</v>
      </c>
      <c r="AB18" s="23">
        <f>AA18+'14.05'!AB18</f>
        <v>0</v>
      </c>
      <c r="AC18" s="21">
        <v>143</v>
      </c>
      <c r="AD18" s="22">
        <v>0</v>
      </c>
      <c r="AE18" s="23">
        <f>AD18+'14.05'!AE18</f>
        <v>0</v>
      </c>
      <c r="AF18" s="19">
        <f t="shared" si="1"/>
        <v>113310</v>
      </c>
      <c r="AG18" s="20">
        <f t="shared" si="1"/>
        <v>2188211</v>
      </c>
      <c r="AH18" s="24">
        <v>137</v>
      </c>
      <c r="AI18" s="23">
        <f>AH18+'14.05'!AI18</f>
        <v>3687</v>
      </c>
      <c r="AJ18" s="24">
        <v>1828</v>
      </c>
      <c r="AK18" s="23">
        <f>AJ18+'14.05'!AK18</f>
        <v>34665</v>
      </c>
      <c r="AL18" s="22">
        <v>1544</v>
      </c>
      <c r="AM18" s="23">
        <f>AL18+'14.05'!AM18</f>
        <v>39627</v>
      </c>
      <c r="AN18" s="22">
        <v>109801</v>
      </c>
      <c r="AO18" s="23">
        <f>AN18+'14.05'!AO18</f>
        <v>2110232</v>
      </c>
      <c r="AP18" s="17" t="s">
        <v>53</v>
      </c>
      <c r="AQ18" s="19">
        <f t="shared" si="3"/>
        <v>1</v>
      </c>
      <c r="AR18" s="20">
        <f t="shared" si="3"/>
        <v>25</v>
      </c>
      <c r="AS18" s="22">
        <v>0</v>
      </c>
      <c r="AT18" s="23">
        <f>AS18+'14.05'!AT18</f>
        <v>4</v>
      </c>
      <c r="AU18" s="22">
        <v>0</v>
      </c>
      <c r="AV18" s="23">
        <f>AU18+'14.05'!AV18</f>
        <v>0</v>
      </c>
      <c r="AW18" s="22">
        <v>0</v>
      </c>
      <c r="AX18" s="23">
        <f>AW18+'14.05'!AX18</f>
        <v>0</v>
      </c>
      <c r="AY18" s="22">
        <v>0</v>
      </c>
      <c r="AZ18" s="23">
        <f>AY18+'14.05'!AZ18</f>
        <v>0</v>
      </c>
      <c r="BA18" s="22">
        <v>1</v>
      </c>
      <c r="BB18" s="23">
        <f>BA18+'14.05'!BB18</f>
        <v>21</v>
      </c>
      <c r="BC18" s="19">
        <f t="shared" si="5"/>
        <v>577</v>
      </c>
      <c r="BD18" s="20">
        <f t="shared" si="5"/>
        <v>10346</v>
      </c>
      <c r="BE18" s="22">
        <v>1</v>
      </c>
      <c r="BF18" s="23">
        <f>BE18+'14.05'!BF18</f>
        <v>16</v>
      </c>
      <c r="BG18" s="22">
        <v>0</v>
      </c>
      <c r="BH18" s="23">
        <f>BG18+'14.05'!BH18</f>
        <v>388</v>
      </c>
      <c r="BI18" s="22">
        <v>423</v>
      </c>
      <c r="BJ18" s="23">
        <f>BI18+'14.05'!BJ18</f>
        <v>8484</v>
      </c>
      <c r="BK18" s="22">
        <v>135</v>
      </c>
      <c r="BL18" s="23">
        <f>BK18+'14.05'!BL18</f>
        <v>1283</v>
      </c>
      <c r="BM18" s="22">
        <v>18</v>
      </c>
      <c r="BN18" s="23">
        <f>BM18+'14.05'!BN18</f>
        <v>175</v>
      </c>
      <c r="BO18" s="36">
        <v>442</v>
      </c>
      <c r="BP18" s="37">
        <v>1</v>
      </c>
      <c r="BQ18" s="23">
        <f>BP18+'14.05'!BQ18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37</v>
      </c>
      <c r="D19" s="31">
        <f t="shared" si="0"/>
        <v>539</v>
      </c>
      <c r="E19" s="33">
        <v>221</v>
      </c>
      <c r="F19" s="22">
        <v>8</v>
      </c>
      <c r="G19" s="23">
        <f>F19+'14.05'!G19</f>
        <v>105</v>
      </c>
      <c r="H19" s="33">
        <v>5</v>
      </c>
      <c r="I19" s="34">
        <v>0</v>
      </c>
      <c r="J19" s="23">
        <f>I19+'14.05'!J19</f>
        <v>0</v>
      </c>
      <c r="K19" s="33">
        <v>4</v>
      </c>
      <c r="L19" s="22">
        <v>0</v>
      </c>
      <c r="M19" s="23">
        <f>L19+'14.05'!M19</f>
        <v>0</v>
      </c>
      <c r="N19" s="33">
        <v>313</v>
      </c>
      <c r="O19" s="22">
        <v>14</v>
      </c>
      <c r="P19" s="23">
        <f>O19+'14.05'!P19</f>
        <v>167</v>
      </c>
      <c r="Q19" s="33">
        <v>203</v>
      </c>
      <c r="R19" s="22">
        <v>0</v>
      </c>
      <c r="S19" s="23">
        <f>R19+'14.05'!S19</f>
        <v>0</v>
      </c>
      <c r="T19" s="33">
        <v>241</v>
      </c>
      <c r="U19" s="22">
        <v>0</v>
      </c>
      <c r="V19" s="23">
        <f>U19+'14.05'!V19</f>
        <v>0</v>
      </c>
      <c r="W19" s="33">
        <v>14</v>
      </c>
      <c r="X19" s="22">
        <v>15</v>
      </c>
      <c r="Y19" s="23">
        <f>X19+'14.05'!Y19</f>
        <v>204</v>
      </c>
      <c r="Z19" s="33">
        <v>7</v>
      </c>
      <c r="AA19" s="22">
        <v>0</v>
      </c>
      <c r="AB19" s="23">
        <f>AA19+'14.05'!AB19</f>
        <v>0</v>
      </c>
      <c r="AC19" s="33">
        <v>32</v>
      </c>
      <c r="AD19" s="22">
        <v>0</v>
      </c>
      <c r="AE19" s="23">
        <f>AD19+'14.05'!AE19</f>
        <v>63</v>
      </c>
      <c r="AF19" s="19">
        <f t="shared" si="1"/>
        <v>4000</v>
      </c>
      <c r="AG19" s="20">
        <f t="shared" si="1"/>
        <v>48750</v>
      </c>
      <c r="AH19" s="24">
        <v>475</v>
      </c>
      <c r="AI19" s="23">
        <f>AH19+'14.05'!AI19</f>
        <v>7850</v>
      </c>
      <c r="AJ19" s="24">
        <v>475</v>
      </c>
      <c r="AK19" s="23">
        <f>AJ19+'14.05'!AK19</f>
        <v>8100</v>
      </c>
      <c r="AL19" s="22">
        <v>1525</v>
      </c>
      <c r="AM19" s="23">
        <f>AL19+'14.05'!AM19</f>
        <v>16400</v>
      </c>
      <c r="AN19" s="22">
        <v>1525</v>
      </c>
      <c r="AO19" s="23">
        <f>AN19+'14.05'!AO19</f>
        <v>16400</v>
      </c>
      <c r="AP19" s="28" t="s">
        <v>54</v>
      </c>
      <c r="AQ19" s="19">
        <f t="shared" si="3"/>
        <v>0</v>
      </c>
      <c r="AR19" s="20">
        <f t="shared" si="3"/>
        <v>4</v>
      </c>
      <c r="AS19" s="34">
        <v>0</v>
      </c>
      <c r="AT19" s="23">
        <f>AS19+'14.05'!AT19</f>
        <v>0</v>
      </c>
      <c r="AU19" s="34">
        <v>0</v>
      </c>
      <c r="AV19" s="23">
        <f>AU19+'14.05'!AV19</f>
        <v>3</v>
      </c>
      <c r="AW19" s="34">
        <v>0</v>
      </c>
      <c r="AX19" s="23">
        <f>AW19+'14.05'!AX19</f>
        <v>1</v>
      </c>
      <c r="AY19" s="34">
        <v>0</v>
      </c>
      <c r="AZ19" s="23">
        <f>AY19+'14.05'!AZ19</f>
        <v>0</v>
      </c>
      <c r="BA19" s="34">
        <v>0</v>
      </c>
      <c r="BB19" s="23">
        <f>BA19+'14.05'!BB19</f>
        <v>0</v>
      </c>
      <c r="BC19" s="19">
        <f t="shared" si="5"/>
        <v>922</v>
      </c>
      <c r="BD19" s="20">
        <f t="shared" si="5"/>
        <v>16104</v>
      </c>
      <c r="BE19" s="22">
        <v>16</v>
      </c>
      <c r="BF19" s="23">
        <f>BE19+'14.05'!BF19</f>
        <v>211</v>
      </c>
      <c r="BG19" s="34">
        <v>0</v>
      </c>
      <c r="BH19" s="23">
        <f>BG19+'14.05'!BH19</f>
        <v>4</v>
      </c>
      <c r="BI19" s="22">
        <v>800</v>
      </c>
      <c r="BJ19" s="23">
        <f>BI19+'14.05'!BJ19</f>
        <v>14050</v>
      </c>
      <c r="BK19" s="22">
        <v>100</v>
      </c>
      <c r="BL19" s="23">
        <f>BK19+'14.05'!BL19</f>
        <v>1750</v>
      </c>
      <c r="BM19" s="22">
        <v>6</v>
      </c>
      <c r="BN19" s="23">
        <f>BM19+'14.05'!BN19</f>
        <v>89</v>
      </c>
      <c r="BO19" s="36">
        <v>2898</v>
      </c>
      <c r="BP19" s="37">
        <v>0</v>
      </c>
      <c r="BQ19" s="23">
        <f>BP19+'14.05'!BQ19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122</v>
      </c>
      <c r="D20" s="31">
        <f t="shared" si="0"/>
        <v>4036</v>
      </c>
      <c r="E20" s="32">
        <v>723</v>
      </c>
      <c r="F20" s="22">
        <v>43</v>
      </c>
      <c r="G20" s="23">
        <f>F20+'14.05'!G20</f>
        <v>2181</v>
      </c>
      <c r="H20" s="33">
        <v>5</v>
      </c>
      <c r="I20" s="34">
        <v>1</v>
      </c>
      <c r="J20" s="23">
        <f>I20+'14.05'!J20</f>
        <v>15</v>
      </c>
      <c r="K20" s="33">
        <v>3</v>
      </c>
      <c r="L20" s="22">
        <v>0</v>
      </c>
      <c r="M20" s="23">
        <f>L20+'14.05'!M20</f>
        <v>0</v>
      </c>
      <c r="N20" s="33">
        <v>975</v>
      </c>
      <c r="O20" s="22">
        <v>35</v>
      </c>
      <c r="P20" s="23">
        <f>O20+'14.05'!P20</f>
        <v>890</v>
      </c>
      <c r="Q20" s="61">
        <v>1862</v>
      </c>
      <c r="R20" s="22">
        <v>1</v>
      </c>
      <c r="S20" s="23">
        <f>R20+'14.05'!S20</f>
        <v>17</v>
      </c>
      <c r="T20" s="33">
        <v>35</v>
      </c>
      <c r="U20" s="22">
        <v>1</v>
      </c>
      <c r="V20" s="23">
        <f>U20+'14.05'!V20</f>
        <v>15</v>
      </c>
      <c r="W20" s="33">
        <v>64</v>
      </c>
      <c r="X20" s="22">
        <v>1</v>
      </c>
      <c r="Y20" s="23">
        <f>X20+'14.05'!Y20</f>
        <v>17</v>
      </c>
      <c r="Z20" s="33">
        <v>15</v>
      </c>
      <c r="AA20" s="22">
        <v>1</v>
      </c>
      <c r="AB20" s="23">
        <f>AA20+'14.05'!AB20</f>
        <v>20</v>
      </c>
      <c r="AC20" s="33">
        <v>1546</v>
      </c>
      <c r="AD20" s="22">
        <v>39</v>
      </c>
      <c r="AE20" s="23">
        <f>AD20+'14.05'!AE20</f>
        <v>881</v>
      </c>
      <c r="AF20" s="19">
        <f t="shared" si="1"/>
        <v>15940</v>
      </c>
      <c r="AG20" s="20">
        <f t="shared" si="1"/>
        <v>259074</v>
      </c>
      <c r="AH20" s="24">
        <v>7360</v>
      </c>
      <c r="AI20" s="23">
        <f>AH20+'14.05'!AI20</f>
        <v>117172</v>
      </c>
      <c r="AJ20" s="24">
        <v>7730</v>
      </c>
      <c r="AK20" s="23">
        <f>AJ20+'14.05'!AK20</f>
        <v>129442</v>
      </c>
      <c r="AL20" s="22">
        <v>450</v>
      </c>
      <c r="AM20" s="23">
        <f>AL20+'14.05'!AM20</f>
        <v>6850</v>
      </c>
      <c r="AN20" s="22">
        <v>400</v>
      </c>
      <c r="AO20" s="23">
        <f>AN20+'14.05'!AO20</f>
        <v>5610</v>
      </c>
      <c r="AP20" s="28" t="s">
        <v>55</v>
      </c>
      <c r="AQ20" s="19">
        <f t="shared" si="3"/>
        <v>145</v>
      </c>
      <c r="AR20" s="20">
        <f t="shared" si="3"/>
        <v>2363</v>
      </c>
      <c r="AS20" s="34">
        <v>1</v>
      </c>
      <c r="AT20" s="23">
        <f>AS20+'14.05'!AT20</f>
        <v>15</v>
      </c>
      <c r="AU20" s="34">
        <v>0</v>
      </c>
      <c r="AV20" s="23">
        <f>AU20+'14.05'!AV20</f>
        <v>0</v>
      </c>
      <c r="AW20" s="34">
        <v>0</v>
      </c>
      <c r="AX20" s="23">
        <f>AW20+'14.05'!AX20</f>
        <v>0</v>
      </c>
      <c r="AY20" s="34">
        <v>0</v>
      </c>
      <c r="AZ20" s="23">
        <f>AY20+'14.05'!AZ20</f>
        <v>0</v>
      </c>
      <c r="BA20" s="34">
        <v>144</v>
      </c>
      <c r="BB20" s="23">
        <f>BA20+'14.05'!BB20</f>
        <v>2348</v>
      </c>
      <c r="BC20" s="19">
        <f t="shared" si="5"/>
        <v>2922</v>
      </c>
      <c r="BD20" s="20">
        <f t="shared" si="5"/>
        <v>50402</v>
      </c>
      <c r="BE20" s="22">
        <v>2</v>
      </c>
      <c r="BF20" s="23">
        <f>BE20+'14.05'!BF20</f>
        <v>30</v>
      </c>
      <c r="BG20" s="34">
        <v>0</v>
      </c>
      <c r="BH20" s="23">
        <f>BG20+'14.05'!BH20</f>
        <v>0</v>
      </c>
      <c r="BI20" s="22">
        <v>1554</v>
      </c>
      <c r="BJ20" s="23">
        <f>BI20+'14.05'!BJ20</f>
        <v>25493</v>
      </c>
      <c r="BK20" s="22">
        <v>1365</v>
      </c>
      <c r="BL20" s="23">
        <f>BK20+'14.05'!BL20</f>
        <v>24865</v>
      </c>
      <c r="BM20" s="22">
        <v>1</v>
      </c>
      <c r="BN20" s="23">
        <f>BM20+'14.05'!BN20</f>
        <v>14</v>
      </c>
      <c r="BO20" s="36">
        <v>5854</v>
      </c>
      <c r="BP20" s="37">
        <v>0</v>
      </c>
      <c r="BQ20" s="23">
        <f>BP20+'14.05'!BQ20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225</v>
      </c>
      <c r="D21" s="31">
        <f t="shared" si="0"/>
        <v>3372</v>
      </c>
      <c r="E21" s="32">
        <v>1017</v>
      </c>
      <c r="F21" s="22">
        <v>180</v>
      </c>
      <c r="G21" s="23">
        <f>F21+'14.05'!G21</f>
        <v>2360</v>
      </c>
      <c r="H21" s="33">
        <v>8</v>
      </c>
      <c r="I21" s="34">
        <v>10</v>
      </c>
      <c r="J21" s="23">
        <f>I21+'14.05'!J21</f>
        <v>131</v>
      </c>
      <c r="K21" s="33">
        <v>4</v>
      </c>
      <c r="L21" s="22">
        <v>0</v>
      </c>
      <c r="M21" s="23">
        <f>L21+'14.05'!M21</f>
        <v>20</v>
      </c>
      <c r="N21" s="33">
        <v>963</v>
      </c>
      <c r="O21" s="22">
        <v>4</v>
      </c>
      <c r="P21" s="23">
        <f>O21+'14.05'!P21</f>
        <v>46</v>
      </c>
      <c r="Q21" s="33">
        <v>912</v>
      </c>
      <c r="R21" s="22">
        <v>0</v>
      </c>
      <c r="S21" s="23">
        <f>R21+'14.05'!S21</f>
        <v>0</v>
      </c>
      <c r="T21" s="33">
        <v>199</v>
      </c>
      <c r="U21" s="22">
        <v>8</v>
      </c>
      <c r="V21" s="23">
        <f>U21+'14.05'!V21</f>
        <v>93</v>
      </c>
      <c r="W21" s="33">
        <v>101</v>
      </c>
      <c r="X21" s="22">
        <v>12</v>
      </c>
      <c r="Y21" s="23">
        <f>X21+'14.05'!Y21</f>
        <v>154</v>
      </c>
      <c r="Z21" s="33">
        <v>42</v>
      </c>
      <c r="AA21" s="22">
        <v>0</v>
      </c>
      <c r="AB21" s="23">
        <f>AA21+'14.05'!AB21</f>
        <v>1</v>
      </c>
      <c r="AC21" s="33">
        <v>20</v>
      </c>
      <c r="AD21" s="22">
        <v>11</v>
      </c>
      <c r="AE21" s="23">
        <f>AD21+'14.05'!AE21</f>
        <v>567</v>
      </c>
      <c r="AF21" s="19">
        <f t="shared" si="1"/>
        <v>1053030</v>
      </c>
      <c r="AG21" s="20">
        <f t="shared" si="1"/>
        <v>16187680</v>
      </c>
      <c r="AH21" s="24">
        <v>1050</v>
      </c>
      <c r="AI21" s="23">
        <f>AH21+'14.05'!AI21</f>
        <v>18350</v>
      </c>
      <c r="AJ21" s="24">
        <v>101000</v>
      </c>
      <c r="AK21" s="23">
        <f>AJ21+'14.05'!AK21</f>
        <v>2484000</v>
      </c>
      <c r="AL21" s="22">
        <v>980</v>
      </c>
      <c r="AM21" s="23">
        <f>AL21+'14.05'!AM21</f>
        <v>26830</v>
      </c>
      <c r="AN21" s="22">
        <v>950000</v>
      </c>
      <c r="AO21" s="23">
        <f>AN21+'14.05'!AO21</f>
        <v>13658500</v>
      </c>
      <c r="AP21" s="28" t="s">
        <v>58</v>
      </c>
      <c r="AQ21" s="19">
        <f t="shared" si="3"/>
        <v>1</v>
      </c>
      <c r="AR21" s="20">
        <f t="shared" si="3"/>
        <v>84</v>
      </c>
      <c r="AS21" s="34">
        <v>0</v>
      </c>
      <c r="AT21" s="23">
        <f>AS21+'14.05'!AT21</f>
        <v>2</v>
      </c>
      <c r="AU21" s="34">
        <v>0</v>
      </c>
      <c r="AV21" s="23">
        <f>AU21+'14.05'!AV21</f>
        <v>28</v>
      </c>
      <c r="AW21" s="34">
        <v>0</v>
      </c>
      <c r="AX21" s="23">
        <f>AW21+'14.05'!AX21</f>
        <v>0</v>
      </c>
      <c r="AY21" s="34">
        <v>0</v>
      </c>
      <c r="AZ21" s="23">
        <f>AY21+'14.05'!AZ21</f>
        <v>0</v>
      </c>
      <c r="BA21" s="34">
        <v>1</v>
      </c>
      <c r="BB21" s="23">
        <f>BA21+'14.05'!BB21</f>
        <v>54</v>
      </c>
      <c r="BC21" s="19">
        <f t="shared" si="5"/>
        <v>1116</v>
      </c>
      <c r="BD21" s="20">
        <f t="shared" si="5"/>
        <v>28350</v>
      </c>
      <c r="BE21" s="22">
        <v>12</v>
      </c>
      <c r="BF21" s="23">
        <f>BE21+'14.05'!BF21</f>
        <v>699</v>
      </c>
      <c r="BG21" s="34">
        <v>0</v>
      </c>
      <c r="BH21" s="23">
        <f>BG21+'14.05'!BH21</f>
        <v>0</v>
      </c>
      <c r="BI21" s="22">
        <v>1100</v>
      </c>
      <c r="BJ21" s="23">
        <f>BI21+'14.05'!BJ21</f>
        <v>27550</v>
      </c>
      <c r="BK21" s="22">
        <v>0</v>
      </c>
      <c r="BL21" s="23">
        <f>BK21+'14.05'!BL21</f>
        <v>0</v>
      </c>
      <c r="BM21" s="22">
        <v>4</v>
      </c>
      <c r="BN21" s="23">
        <f>BM21+'14.05'!BN21</f>
        <v>101</v>
      </c>
      <c r="BO21" s="36">
        <v>68</v>
      </c>
      <c r="BP21" s="37">
        <v>3</v>
      </c>
      <c r="BQ21" s="23">
        <f>BP21+'14.05'!BQ21</f>
        <v>29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2337</v>
      </c>
      <c r="D22" s="31">
        <f t="shared" si="0"/>
        <v>32192</v>
      </c>
      <c r="E22" s="32">
        <v>509</v>
      </c>
      <c r="F22" s="22">
        <v>413</v>
      </c>
      <c r="G22" s="23">
        <f>F22+'14.05'!G22</f>
        <v>5038</v>
      </c>
      <c r="H22" s="33">
        <v>8</v>
      </c>
      <c r="I22" s="34">
        <v>0</v>
      </c>
      <c r="J22" s="23">
        <f>I22+'14.05'!J22</f>
        <v>23</v>
      </c>
      <c r="K22" s="33">
        <v>21</v>
      </c>
      <c r="L22" s="22">
        <v>0</v>
      </c>
      <c r="M22" s="23">
        <f>L22+'14.05'!M22</f>
        <v>0</v>
      </c>
      <c r="N22" s="33">
        <v>560</v>
      </c>
      <c r="O22" s="22">
        <v>82</v>
      </c>
      <c r="P22" s="23">
        <f>O22+'14.05'!P22</f>
        <v>808</v>
      </c>
      <c r="Q22" s="33">
        <v>375</v>
      </c>
      <c r="R22" s="22">
        <v>0</v>
      </c>
      <c r="S22" s="23">
        <f>R22+'14.05'!S22</f>
        <v>0</v>
      </c>
      <c r="T22" s="33">
        <v>165</v>
      </c>
      <c r="U22" s="22">
        <v>32</v>
      </c>
      <c r="V22" s="23">
        <f>U22+'14.05'!V22</f>
        <v>351</v>
      </c>
      <c r="W22" s="33">
        <v>28</v>
      </c>
      <c r="X22" s="22">
        <v>100</v>
      </c>
      <c r="Y22" s="23">
        <f>X22+'14.05'!Y22</f>
        <v>1129</v>
      </c>
      <c r="Z22" s="33">
        <v>9</v>
      </c>
      <c r="AA22" s="22">
        <v>0</v>
      </c>
      <c r="AB22" s="23">
        <f>AA22+'14.05'!AB22</f>
        <v>0</v>
      </c>
      <c r="AC22" s="33">
        <v>112</v>
      </c>
      <c r="AD22" s="22">
        <v>1710</v>
      </c>
      <c r="AE22" s="23">
        <f>AD22+'14.05'!AE22</f>
        <v>24843</v>
      </c>
      <c r="AF22" s="19">
        <f t="shared" si="1"/>
        <v>368485</v>
      </c>
      <c r="AG22" s="20">
        <f t="shared" si="1"/>
        <v>6151597</v>
      </c>
      <c r="AH22" s="24">
        <v>2987</v>
      </c>
      <c r="AI22" s="23">
        <f>AH22+'14.05'!AI22</f>
        <v>39444</v>
      </c>
      <c r="AJ22" s="24">
        <v>8018</v>
      </c>
      <c r="AK22" s="23">
        <f>AJ22+'14.05'!AK22</f>
        <v>90328</v>
      </c>
      <c r="AL22" s="22">
        <v>11224</v>
      </c>
      <c r="AM22" s="23">
        <f>AL22+'14.05'!AM22</f>
        <v>155066</v>
      </c>
      <c r="AN22" s="22">
        <v>346256</v>
      </c>
      <c r="AO22" s="23">
        <f>AN22+'14.05'!AO22</f>
        <v>5866759</v>
      </c>
      <c r="AP22" s="28" t="s">
        <v>59</v>
      </c>
      <c r="AQ22" s="19">
        <f t="shared" si="3"/>
        <v>729</v>
      </c>
      <c r="AR22" s="20">
        <f t="shared" si="3"/>
        <v>30900</v>
      </c>
      <c r="AS22" s="34">
        <v>0</v>
      </c>
      <c r="AT22" s="23">
        <f>AS22+'14.05'!AT22</f>
        <v>5</v>
      </c>
      <c r="AU22" s="34">
        <v>0</v>
      </c>
      <c r="AV22" s="23">
        <f>AU22+'14.05'!AV22</f>
        <v>5</v>
      </c>
      <c r="AW22" s="34">
        <v>0</v>
      </c>
      <c r="AX22" s="23">
        <f>AW22+'14.05'!AX22</f>
        <v>2</v>
      </c>
      <c r="AY22" s="34">
        <v>0</v>
      </c>
      <c r="AZ22" s="23">
        <f>AY22+'14.05'!AZ22</f>
        <v>1</v>
      </c>
      <c r="BA22" s="34">
        <v>729</v>
      </c>
      <c r="BB22" s="23">
        <f>BA22+'14.05'!BB22</f>
        <v>30887</v>
      </c>
      <c r="BC22" s="19">
        <f t="shared" si="5"/>
        <v>6647</v>
      </c>
      <c r="BD22" s="20">
        <f t="shared" si="5"/>
        <v>106323</v>
      </c>
      <c r="BE22" s="22">
        <v>4</v>
      </c>
      <c r="BF22" s="23">
        <f>BE22+'14.05'!BF22</f>
        <v>78</v>
      </c>
      <c r="BG22" s="34">
        <v>47</v>
      </c>
      <c r="BH22" s="23">
        <f>BG22+'14.05'!BH22</f>
        <v>930</v>
      </c>
      <c r="BI22" s="22">
        <v>3348</v>
      </c>
      <c r="BJ22" s="23">
        <f>BI22+'14.05'!BJ22</f>
        <v>77563</v>
      </c>
      <c r="BK22" s="22">
        <v>3185</v>
      </c>
      <c r="BL22" s="23">
        <f>BK22+'14.05'!BL22</f>
        <v>27069</v>
      </c>
      <c r="BM22" s="22">
        <v>63</v>
      </c>
      <c r="BN22" s="23">
        <f>BM22+'14.05'!BN22</f>
        <v>683</v>
      </c>
      <c r="BO22" s="36">
        <v>26</v>
      </c>
      <c r="BP22" s="37">
        <v>0</v>
      </c>
      <c r="BQ22" s="23">
        <f>BP22+'14.05'!BQ22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4361</v>
      </c>
      <c r="D23" s="65">
        <f t="shared" si="0"/>
        <v>63262</v>
      </c>
      <c r="E23" s="66">
        <f>+E18+E19+E22+E17+E16+E15+E14+E13+E12+E11+E10+E9+E8</f>
        <v>7282</v>
      </c>
      <c r="F23" s="67">
        <f t="shared" ref="F23:J23" si="7">SUM(F8:F22)</f>
        <v>1505</v>
      </c>
      <c r="G23" s="68">
        <f t="shared" si="7"/>
        <v>22973</v>
      </c>
      <c r="H23" s="66">
        <f>+H18+H19+H22+H17+H16+H15+H14+H13+H12+H11+H10+H9+H8</f>
        <v>271</v>
      </c>
      <c r="I23" s="67">
        <f t="shared" si="7"/>
        <v>20</v>
      </c>
      <c r="J23" s="68">
        <f t="shared" si="7"/>
        <v>245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32</v>
      </c>
      <c r="N23" s="66">
        <f>+N18+N19+N22+N17+N16+N15+N14+N13+N12+N11+N10+N9+N8</f>
        <v>8607</v>
      </c>
      <c r="O23" s="67">
        <f t="shared" si="8"/>
        <v>177</v>
      </c>
      <c r="P23" s="68">
        <f t="shared" si="8"/>
        <v>2274</v>
      </c>
      <c r="Q23" s="66">
        <f>+Q18+Q19+Q22+Q17+Q16+Q15+Q14+Q13+Q12+Q11+Q10+Q9+Q8</f>
        <v>7474</v>
      </c>
      <c r="R23" s="67">
        <f t="shared" ref="R23:V23" si="9">SUM(R8:R22)</f>
        <v>6</v>
      </c>
      <c r="S23" s="68">
        <f t="shared" si="9"/>
        <v>108</v>
      </c>
      <c r="T23" s="66">
        <f>+T18+T19+T22+T17+T16+T15+T14+T13+T12+T11+T10+T9+T8</f>
        <v>4115</v>
      </c>
      <c r="U23" s="67">
        <f t="shared" si="9"/>
        <v>48</v>
      </c>
      <c r="V23" s="68">
        <f t="shared" si="9"/>
        <v>599</v>
      </c>
      <c r="W23" s="66">
        <f>+W18+W19+W22+W17+W16+W15+W14+W13+W12+W11+W10+W9+W8</f>
        <v>604</v>
      </c>
      <c r="X23" s="67">
        <f t="shared" ref="X23:AB23" si="10">SUM(X8:X22)</f>
        <v>437</v>
      </c>
      <c r="Y23" s="68">
        <f t="shared" si="10"/>
        <v>6148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55</v>
      </c>
      <c r="AC23" s="66">
        <f>+AC18+AC19+AC22+AC17+AC16+AC15+AC14+AC13+AC12+AC11+AC10+AC9+AC8</f>
        <v>64846</v>
      </c>
      <c r="AD23" s="67">
        <f t="shared" ref="AD23:AO23" si="11">SUM(AD8:AD22)</f>
        <v>2167</v>
      </c>
      <c r="AE23" s="68">
        <f t="shared" si="11"/>
        <v>30828</v>
      </c>
      <c r="AF23" s="64">
        <f t="shared" si="11"/>
        <v>4114846</v>
      </c>
      <c r="AG23" s="64">
        <f t="shared" si="11"/>
        <v>69387306</v>
      </c>
      <c r="AH23" s="67">
        <f t="shared" si="11"/>
        <v>40693</v>
      </c>
      <c r="AI23" s="68">
        <f t="shared" si="11"/>
        <v>478122</v>
      </c>
      <c r="AJ23" s="67">
        <f t="shared" si="11"/>
        <v>222984</v>
      </c>
      <c r="AK23" s="68">
        <f t="shared" si="11"/>
        <v>3524901</v>
      </c>
      <c r="AL23" s="67">
        <f t="shared" si="11"/>
        <v>995088</v>
      </c>
      <c r="AM23" s="68">
        <f t="shared" si="11"/>
        <v>22902716</v>
      </c>
      <c r="AN23" s="67">
        <f t="shared" si="11"/>
        <v>2856081</v>
      </c>
      <c r="AO23" s="68">
        <f t="shared" si="11"/>
        <v>42481567</v>
      </c>
      <c r="AP23" s="62" t="s">
        <v>12</v>
      </c>
      <c r="AQ23" s="64">
        <f t="shared" ref="AQ23:BP23" si="12">SUM(AQ8:AQ22)</f>
        <v>1213</v>
      </c>
      <c r="AR23" s="64">
        <f t="shared" si="12"/>
        <v>39022</v>
      </c>
      <c r="AS23" s="67">
        <f t="shared" si="12"/>
        <v>3</v>
      </c>
      <c r="AT23" s="68">
        <f t="shared" si="12"/>
        <v>68</v>
      </c>
      <c r="AU23" s="67">
        <f t="shared" si="12"/>
        <v>2</v>
      </c>
      <c r="AV23" s="68">
        <f t="shared" si="12"/>
        <v>87</v>
      </c>
      <c r="AW23" s="67">
        <f t="shared" si="12"/>
        <v>1</v>
      </c>
      <c r="AX23" s="68">
        <f t="shared" si="12"/>
        <v>12</v>
      </c>
      <c r="AY23" s="67">
        <f t="shared" si="12"/>
        <v>0</v>
      </c>
      <c r="AZ23" s="68">
        <f t="shared" si="12"/>
        <v>2</v>
      </c>
      <c r="BA23" s="67">
        <f t="shared" si="12"/>
        <v>1207</v>
      </c>
      <c r="BB23" s="68">
        <f t="shared" si="12"/>
        <v>38853</v>
      </c>
      <c r="BC23" s="64">
        <f t="shared" si="12"/>
        <v>61635</v>
      </c>
      <c r="BD23" s="64">
        <f t="shared" si="12"/>
        <v>623727</v>
      </c>
      <c r="BE23" s="67">
        <f t="shared" si="12"/>
        <v>1422</v>
      </c>
      <c r="BF23" s="68">
        <f t="shared" si="12"/>
        <v>22288</v>
      </c>
      <c r="BG23" s="67">
        <f t="shared" si="12"/>
        <v>93</v>
      </c>
      <c r="BH23" s="68">
        <f t="shared" si="12"/>
        <v>1799</v>
      </c>
      <c r="BI23" s="67">
        <f t="shared" si="12"/>
        <v>51125</v>
      </c>
      <c r="BJ23" s="68">
        <f t="shared" si="12"/>
        <v>492923</v>
      </c>
      <c r="BK23" s="67">
        <f t="shared" si="12"/>
        <v>8802</v>
      </c>
      <c r="BL23" s="68">
        <f t="shared" si="12"/>
        <v>103751</v>
      </c>
      <c r="BM23" s="67">
        <f t="shared" si="12"/>
        <v>193</v>
      </c>
      <c r="BN23" s="68">
        <f t="shared" si="12"/>
        <v>2966</v>
      </c>
      <c r="BO23" s="69">
        <f t="shared" si="12"/>
        <v>37704</v>
      </c>
      <c r="BP23" s="70">
        <f t="shared" si="12"/>
        <v>15</v>
      </c>
      <c r="BQ23" s="23">
        <f>BP23+'20.04'!BP23</f>
        <v>41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7030A0"/>
  </sheetPr>
  <dimension ref="A1:BR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>
        <f t="shared" si="0"/>
        <v>93</v>
      </c>
      <c r="E9" s="32">
        <v>452</v>
      </c>
      <c r="F9" s="22">
        <v>3</v>
      </c>
      <c r="G9" s="23">
        <f>F9+'15.05'!G9</f>
        <v>48</v>
      </c>
      <c r="H9" s="33">
        <v>12</v>
      </c>
      <c r="I9" s="34">
        <v>0</v>
      </c>
      <c r="J9" s="23">
        <f>I9+'15.05'!J9</f>
        <v>12</v>
      </c>
      <c r="K9" s="33">
        <v>2</v>
      </c>
      <c r="L9" s="22">
        <v>0</v>
      </c>
      <c r="M9" s="23">
        <f>L9+'15.05'!M9</f>
        <v>0</v>
      </c>
      <c r="N9" s="33">
        <v>735</v>
      </c>
      <c r="O9" s="22">
        <v>0</v>
      </c>
      <c r="P9" s="23">
        <f>O9+'15.05'!P9</f>
        <v>0</v>
      </c>
      <c r="Q9" s="33">
        <v>502</v>
      </c>
      <c r="R9" s="22">
        <v>0</v>
      </c>
      <c r="S9" s="23">
        <f>R9+'15.05'!S9</f>
        <v>0</v>
      </c>
      <c r="T9" s="33">
        <v>197</v>
      </c>
      <c r="U9" s="22">
        <v>0</v>
      </c>
      <c r="V9" s="23">
        <f>U9+'15.05'!V9</f>
        <v>0</v>
      </c>
      <c r="W9" s="33">
        <v>47</v>
      </c>
      <c r="X9" s="22">
        <v>0</v>
      </c>
      <c r="Y9" s="23">
        <f>X9+'15.05'!Y9</f>
        <v>15</v>
      </c>
      <c r="Z9" s="33">
        <v>34</v>
      </c>
      <c r="AA9" s="22">
        <v>0</v>
      </c>
      <c r="AB9" s="23">
        <f>AA9+'15.05'!AB9</f>
        <v>0</v>
      </c>
      <c r="AC9" s="33">
        <v>1860</v>
      </c>
      <c r="AD9" s="22">
        <v>0</v>
      </c>
      <c r="AE9" s="23">
        <f>AD9+'15.05'!AE9</f>
        <v>18</v>
      </c>
      <c r="AF9" s="19">
        <f t="shared" si="1"/>
        <v>8858</v>
      </c>
      <c r="AG9" s="20">
        <f t="shared" si="1"/>
        <v>142928</v>
      </c>
      <c r="AH9" s="24">
        <v>160</v>
      </c>
      <c r="AI9" s="23">
        <f>AH9+'15.05'!AI9</f>
        <v>1872</v>
      </c>
      <c r="AJ9" s="24">
        <v>660</v>
      </c>
      <c r="AK9" s="23">
        <f>AJ9+'15.05'!AK9</f>
        <v>14373</v>
      </c>
      <c r="AL9" s="22">
        <v>850</v>
      </c>
      <c r="AM9" s="23">
        <f>AL9+'15.05'!AM9</f>
        <v>15985</v>
      </c>
      <c r="AN9" s="22">
        <v>7188</v>
      </c>
      <c r="AO9" s="23">
        <f>AN9+'15.05'!AO9</f>
        <v>110698</v>
      </c>
      <c r="AP9" s="28" t="s">
        <v>43</v>
      </c>
      <c r="AQ9" s="19">
        <f t="shared" si="3"/>
        <v>94</v>
      </c>
      <c r="AR9" s="20">
        <f t="shared" si="3"/>
        <v>2514</v>
      </c>
      <c r="AS9" s="34">
        <v>1</v>
      </c>
      <c r="AT9" s="23">
        <f>AS9+'15.05'!AT9</f>
        <v>4</v>
      </c>
      <c r="AU9" s="34">
        <v>1</v>
      </c>
      <c r="AV9" s="23">
        <f>AU9+'15.05'!AV9</f>
        <v>5</v>
      </c>
      <c r="AW9" s="34">
        <v>0</v>
      </c>
      <c r="AX9" s="23">
        <f>AW9+'15.05'!AX9</f>
        <v>3</v>
      </c>
      <c r="AY9" s="34">
        <v>0</v>
      </c>
      <c r="AZ9" s="23">
        <f>AY9+'15.05'!AZ9</f>
        <v>0</v>
      </c>
      <c r="BA9" s="34">
        <v>92</v>
      </c>
      <c r="BB9" s="23">
        <f>BA9+'15.05'!BB9</f>
        <v>2502</v>
      </c>
      <c r="BC9" s="19">
        <f t="shared" si="5"/>
        <v>133</v>
      </c>
      <c r="BD9" s="20">
        <f t="shared" si="5"/>
        <v>7288</v>
      </c>
      <c r="BE9" s="22">
        <v>2</v>
      </c>
      <c r="BF9" s="23">
        <f>BE9+'15.05'!BF9</f>
        <v>24</v>
      </c>
      <c r="BG9" s="34">
        <v>0</v>
      </c>
      <c r="BH9" s="23">
        <f>BG9+'15.05'!BH9</f>
        <v>0</v>
      </c>
      <c r="BI9" s="22">
        <v>130</v>
      </c>
      <c r="BJ9" s="23">
        <f>BI9+'15.05'!BJ9</f>
        <v>7240</v>
      </c>
      <c r="BK9" s="22">
        <v>0</v>
      </c>
      <c r="BL9" s="23">
        <f>BK9+'15.05'!BL9</f>
        <v>0</v>
      </c>
      <c r="BM9" s="22">
        <v>1</v>
      </c>
      <c r="BN9" s="23">
        <f>BM9+'15.05'!BN9</f>
        <v>24</v>
      </c>
      <c r="BO9" s="36">
        <v>14</v>
      </c>
      <c r="BP9" s="37">
        <v>2</v>
      </c>
      <c r="BQ9" s="23">
        <f>BP9+'15.05'!BQ9</f>
        <v>6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111</v>
      </c>
      <c r="D10" s="31">
        <f t="shared" si="0"/>
        <v>1982</v>
      </c>
      <c r="E10" s="32">
        <v>585</v>
      </c>
      <c r="F10" s="22">
        <v>12</v>
      </c>
      <c r="G10" s="23">
        <f>F10+'15.05'!G10</f>
        <v>212</v>
      </c>
      <c r="H10" s="33">
        <v>93</v>
      </c>
      <c r="I10" s="34">
        <v>2</v>
      </c>
      <c r="J10" s="23">
        <f>I10+'15.05'!J10</f>
        <v>29</v>
      </c>
      <c r="K10" s="33">
        <v>34</v>
      </c>
      <c r="L10" s="22">
        <v>0</v>
      </c>
      <c r="M10" s="23">
        <f>L10+'15.05'!M10</f>
        <v>12</v>
      </c>
      <c r="N10" s="33">
        <v>352</v>
      </c>
      <c r="O10" s="22">
        <v>11</v>
      </c>
      <c r="P10" s="23">
        <f>O10+'15.05'!P10</f>
        <v>135</v>
      </c>
      <c r="Q10" s="33">
        <v>549</v>
      </c>
      <c r="R10" s="22">
        <v>0</v>
      </c>
      <c r="S10" s="23">
        <f>R10+'15.05'!S10</f>
        <v>91</v>
      </c>
      <c r="T10" s="33">
        <v>198</v>
      </c>
      <c r="U10" s="22">
        <v>4</v>
      </c>
      <c r="V10" s="23">
        <f>U10+'15.05'!V10</f>
        <v>63</v>
      </c>
      <c r="W10" s="38">
        <v>55</v>
      </c>
      <c r="X10" s="22">
        <v>7</v>
      </c>
      <c r="Y10" s="23">
        <f>X10+'15.05'!Y10</f>
        <v>50</v>
      </c>
      <c r="Z10" s="38">
        <v>71</v>
      </c>
      <c r="AA10" s="22">
        <v>3</v>
      </c>
      <c r="AB10" s="23">
        <f>AA10+'15.05'!AB10</f>
        <v>37</v>
      </c>
      <c r="AC10" s="38">
        <v>1690</v>
      </c>
      <c r="AD10" s="22">
        <v>72</v>
      </c>
      <c r="AE10" s="23">
        <f>AD10+'15.05'!AE10</f>
        <v>1353</v>
      </c>
      <c r="AF10" s="19">
        <f t="shared" si="1"/>
        <v>122724</v>
      </c>
      <c r="AG10" s="20">
        <f t="shared" si="1"/>
        <v>1701909</v>
      </c>
      <c r="AH10" s="24">
        <v>1004</v>
      </c>
      <c r="AI10" s="23">
        <f>AH10+'15.05'!AI10</f>
        <v>18935</v>
      </c>
      <c r="AJ10" s="24">
        <v>4261</v>
      </c>
      <c r="AK10" s="23">
        <f>AJ10+'15.05'!AK10</f>
        <v>82517</v>
      </c>
      <c r="AL10" s="22">
        <v>12340</v>
      </c>
      <c r="AM10" s="23">
        <f>AL10+'15.05'!AM10</f>
        <v>184417</v>
      </c>
      <c r="AN10" s="22">
        <v>105119</v>
      </c>
      <c r="AO10" s="23">
        <f>AN10+'15.05'!AO10</f>
        <v>1416040</v>
      </c>
      <c r="AP10" s="28" t="s">
        <v>44</v>
      </c>
      <c r="AQ10" s="19">
        <f t="shared" si="3"/>
        <v>3</v>
      </c>
      <c r="AR10" s="20">
        <f t="shared" si="3"/>
        <v>75</v>
      </c>
      <c r="AS10" s="34">
        <v>0</v>
      </c>
      <c r="AT10" s="23">
        <f>AS10+'15.05'!AT10</f>
        <v>3</v>
      </c>
      <c r="AU10" s="34">
        <v>0</v>
      </c>
      <c r="AV10" s="23">
        <f>AU10+'15.05'!AV10</f>
        <v>3</v>
      </c>
      <c r="AW10" s="34">
        <v>0</v>
      </c>
      <c r="AX10" s="23">
        <f>AW10+'15.05'!AX10</f>
        <v>0</v>
      </c>
      <c r="AY10" s="34">
        <v>0</v>
      </c>
      <c r="AZ10" s="23">
        <f>AY10+'15.05'!AZ10</f>
        <v>0</v>
      </c>
      <c r="BA10" s="34">
        <v>3</v>
      </c>
      <c r="BB10" s="23">
        <f>BA10+'15.05'!BB10</f>
        <v>69</v>
      </c>
      <c r="BC10" s="19">
        <f t="shared" si="5"/>
        <v>4385</v>
      </c>
      <c r="BD10" s="20">
        <f t="shared" si="5"/>
        <v>75213</v>
      </c>
      <c r="BE10" s="22">
        <v>572</v>
      </c>
      <c r="BF10" s="23">
        <f>BE10+'15.05'!BF10</f>
        <v>8377</v>
      </c>
      <c r="BG10" s="34">
        <v>0</v>
      </c>
      <c r="BH10" s="23">
        <f>BG10+'15.05'!BH10</f>
        <v>13</v>
      </c>
      <c r="BI10" s="22">
        <v>2754</v>
      </c>
      <c r="BJ10" s="23">
        <f>BI10+'15.05'!BJ10</f>
        <v>38352</v>
      </c>
      <c r="BK10" s="22">
        <v>1059</v>
      </c>
      <c r="BL10" s="23">
        <f>BK10+'15.05'!BL10</f>
        <v>28468</v>
      </c>
      <c r="BM10" s="22">
        <v>0</v>
      </c>
      <c r="BN10" s="23">
        <f>BM10+'15.05'!BN10</f>
        <v>3</v>
      </c>
      <c r="BO10" s="36">
        <v>32</v>
      </c>
      <c r="BP10" s="37">
        <v>3</v>
      </c>
      <c r="BQ10" s="23">
        <f>BP10+'15.05'!BQ10</f>
        <v>11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35</v>
      </c>
      <c r="D11" s="31">
        <f t="shared" si="0"/>
        <v>595</v>
      </c>
      <c r="E11" s="32">
        <v>883</v>
      </c>
      <c r="F11" s="22">
        <v>17</v>
      </c>
      <c r="G11" s="23">
        <f>F11+'15.05'!G11</f>
        <v>297</v>
      </c>
      <c r="H11" s="33">
        <v>16</v>
      </c>
      <c r="I11" s="34">
        <v>0</v>
      </c>
      <c r="J11" s="23">
        <f>I11+'15.05'!J11</f>
        <v>0</v>
      </c>
      <c r="K11" s="33">
        <v>3</v>
      </c>
      <c r="L11" s="22">
        <v>0</v>
      </c>
      <c r="M11" s="23">
        <f>L11+'15.05'!M11</f>
        <v>0</v>
      </c>
      <c r="N11" s="33">
        <v>875</v>
      </c>
      <c r="O11" s="22">
        <v>0</v>
      </c>
      <c r="P11" s="23">
        <f>O11+'15.05'!P11</f>
        <v>0</v>
      </c>
      <c r="Q11" s="33">
        <v>2424</v>
      </c>
      <c r="R11" s="22">
        <v>0</v>
      </c>
      <c r="S11" s="23">
        <f>R11+'15.05'!S11</f>
        <v>0</v>
      </c>
      <c r="T11" s="33">
        <v>69</v>
      </c>
      <c r="U11" s="22">
        <v>0</v>
      </c>
      <c r="V11" s="23">
        <f>U11+'15.05'!V11</f>
        <v>0</v>
      </c>
      <c r="W11" s="38">
        <v>133</v>
      </c>
      <c r="X11" s="22">
        <v>16</v>
      </c>
      <c r="Y11" s="23">
        <f>X11+'15.05'!Y11</f>
        <v>273</v>
      </c>
      <c r="Z11" s="38">
        <v>1116</v>
      </c>
      <c r="AA11" s="22">
        <v>0</v>
      </c>
      <c r="AB11" s="23">
        <f>AA11+'15.05'!AB11</f>
        <v>0</v>
      </c>
      <c r="AC11" s="38">
        <v>9862</v>
      </c>
      <c r="AD11" s="22">
        <v>2</v>
      </c>
      <c r="AE11" s="23">
        <f>AD11+'15.05'!AE11</f>
        <v>25</v>
      </c>
      <c r="AF11" s="19">
        <f t="shared" si="1"/>
        <v>18000</v>
      </c>
      <c r="AG11" s="20">
        <f t="shared" si="1"/>
        <v>325200</v>
      </c>
      <c r="AH11" s="24">
        <v>2500</v>
      </c>
      <c r="AI11" s="23">
        <f>AH11+'15.05'!AI11</f>
        <v>39100</v>
      </c>
      <c r="AJ11" s="24">
        <v>2900</v>
      </c>
      <c r="AK11" s="23">
        <f>AJ11+'15.05'!AK11</f>
        <v>43200</v>
      </c>
      <c r="AL11" s="22">
        <v>3100</v>
      </c>
      <c r="AM11" s="23">
        <f>AL11+'15.05'!AM11</f>
        <v>78500</v>
      </c>
      <c r="AN11" s="22">
        <v>9500</v>
      </c>
      <c r="AO11" s="23">
        <f>AN11+'15.05'!AO11</f>
        <v>164400</v>
      </c>
      <c r="AP11" s="28" t="s">
        <v>45</v>
      </c>
      <c r="AQ11" s="19">
        <f t="shared" si="3"/>
        <v>2</v>
      </c>
      <c r="AR11" s="20">
        <f t="shared" si="3"/>
        <v>40</v>
      </c>
      <c r="AS11" s="34">
        <v>0</v>
      </c>
      <c r="AT11" s="23">
        <f>AS11+'15.05'!AT11</f>
        <v>0</v>
      </c>
      <c r="AU11" s="34">
        <v>0</v>
      </c>
      <c r="AV11" s="23">
        <f>AU11+'15.05'!AV11</f>
        <v>0</v>
      </c>
      <c r="AW11" s="34">
        <v>0</v>
      </c>
      <c r="AX11" s="23">
        <f>AW11+'15.05'!AX11</f>
        <v>0</v>
      </c>
      <c r="AY11" s="34">
        <v>0</v>
      </c>
      <c r="AZ11" s="23">
        <f>AY11+'15.05'!AZ11</f>
        <v>0</v>
      </c>
      <c r="BA11" s="34">
        <v>2</v>
      </c>
      <c r="BB11" s="23">
        <f>BA11+'15.05'!BB11</f>
        <v>40</v>
      </c>
      <c r="BC11" s="19">
        <f t="shared" si="5"/>
        <v>598</v>
      </c>
      <c r="BD11" s="20">
        <f t="shared" si="5"/>
        <v>10885</v>
      </c>
      <c r="BE11" s="22">
        <v>2</v>
      </c>
      <c r="BF11" s="23">
        <f>BE11+'15.05'!BF11</f>
        <v>27</v>
      </c>
      <c r="BG11" s="34">
        <v>4</v>
      </c>
      <c r="BH11" s="23">
        <f>BG11+'15.05'!BH11</f>
        <v>47</v>
      </c>
      <c r="BI11" s="22">
        <v>580</v>
      </c>
      <c r="BJ11" s="23">
        <f>BI11+'15.05'!BJ11</f>
        <v>10532</v>
      </c>
      <c r="BK11" s="22">
        <v>11</v>
      </c>
      <c r="BL11" s="23">
        <f>BK11+'15.05'!BL11</f>
        <v>254</v>
      </c>
      <c r="BM11" s="22">
        <v>1</v>
      </c>
      <c r="BN11" s="23">
        <f>BM11+'15.05'!BN11</f>
        <v>25</v>
      </c>
      <c r="BO11" s="36">
        <v>11506</v>
      </c>
      <c r="BP11" s="37">
        <v>2</v>
      </c>
      <c r="BQ11" s="23">
        <f>BP11+'15.05'!BQ11</f>
        <v>44</v>
      </c>
    </row>
    <row r="12" spans="1:70" ht="27.75" customHeight="1">
      <c r="A12" s="28" t="s">
        <v>46</v>
      </c>
      <c r="B12" s="29">
        <f t="shared" si="0"/>
        <v>30164</v>
      </c>
      <c r="C12" s="30">
        <f t="shared" si="0"/>
        <v>237</v>
      </c>
      <c r="D12" s="31">
        <f t="shared" si="0"/>
        <v>3428</v>
      </c>
      <c r="E12" s="32">
        <v>909</v>
      </c>
      <c r="F12" s="22">
        <v>54</v>
      </c>
      <c r="G12" s="23">
        <f>F12+'15.05'!G12</f>
        <v>789</v>
      </c>
      <c r="H12" s="33">
        <v>80</v>
      </c>
      <c r="I12" s="34">
        <v>4</v>
      </c>
      <c r="J12" s="23">
        <f>I12+'15.05'!J12</f>
        <v>34</v>
      </c>
      <c r="K12" s="33">
        <v>5</v>
      </c>
      <c r="L12" s="22">
        <v>0</v>
      </c>
      <c r="M12" s="23">
        <f>L12+'15.05'!M12</f>
        <v>0</v>
      </c>
      <c r="N12" s="33">
        <v>820</v>
      </c>
      <c r="O12" s="22">
        <v>31</v>
      </c>
      <c r="P12" s="23">
        <f>O12+'15.05'!P12</f>
        <v>263</v>
      </c>
      <c r="Q12" s="33">
        <v>549</v>
      </c>
      <c r="R12" s="22">
        <v>0</v>
      </c>
      <c r="S12" s="23">
        <f>R12+'15.05'!S12</f>
        <v>0</v>
      </c>
      <c r="T12" s="33">
        <v>992</v>
      </c>
      <c r="U12" s="22">
        <v>0</v>
      </c>
      <c r="V12" s="23">
        <f>U12+'15.05'!V12</f>
        <v>0</v>
      </c>
      <c r="W12" s="33">
        <v>38</v>
      </c>
      <c r="X12" s="22">
        <v>109</v>
      </c>
      <c r="Y12" s="23">
        <f>X12+'15.05'!Y12</f>
        <v>1785</v>
      </c>
      <c r="Z12" s="33">
        <v>68</v>
      </c>
      <c r="AA12" s="22">
        <v>0</v>
      </c>
      <c r="AB12" s="23">
        <f>AA12+'15.05'!AB12</f>
        <v>0</v>
      </c>
      <c r="AC12" s="33">
        <v>26703</v>
      </c>
      <c r="AD12" s="22">
        <v>39</v>
      </c>
      <c r="AE12" s="23">
        <f>AD12+'15.05'!AE12</f>
        <v>557</v>
      </c>
      <c r="AF12" s="19">
        <f t="shared" si="1"/>
        <v>36700</v>
      </c>
      <c r="AG12" s="20">
        <f t="shared" si="1"/>
        <v>232234</v>
      </c>
      <c r="AH12" s="24">
        <v>6700</v>
      </c>
      <c r="AI12" s="23">
        <f>AH12+'15.05'!AI12</f>
        <v>34660</v>
      </c>
      <c r="AJ12" s="24">
        <v>10900</v>
      </c>
      <c r="AK12" s="23">
        <f>AJ12+'15.05'!AK12</f>
        <v>68098</v>
      </c>
      <c r="AL12" s="22">
        <v>9550</v>
      </c>
      <c r="AM12" s="23">
        <f>AL12+'15.05'!AM12</f>
        <v>64737</v>
      </c>
      <c r="AN12" s="22">
        <v>9550</v>
      </c>
      <c r="AO12" s="23">
        <f>AN12+'15.05'!AO12</f>
        <v>64739</v>
      </c>
      <c r="AP12" s="28" t="s">
        <v>46</v>
      </c>
      <c r="AQ12" s="19">
        <f t="shared" si="3"/>
        <v>122</v>
      </c>
      <c r="AR12" s="20">
        <f t="shared" si="3"/>
        <v>1321</v>
      </c>
      <c r="AS12" s="34">
        <v>0</v>
      </c>
      <c r="AT12" s="23">
        <f>AS12+'15.05'!AT12</f>
        <v>0</v>
      </c>
      <c r="AU12" s="34">
        <v>0</v>
      </c>
      <c r="AV12" s="23">
        <f>AU12+'15.05'!AV12</f>
        <v>0</v>
      </c>
      <c r="AW12" s="34">
        <v>0</v>
      </c>
      <c r="AX12" s="23">
        <f>AW12+'15.05'!AX12</f>
        <v>0</v>
      </c>
      <c r="AY12" s="34">
        <v>0</v>
      </c>
      <c r="AZ12" s="23">
        <f>AY12+'15.05'!AZ12</f>
        <v>0</v>
      </c>
      <c r="BA12" s="34">
        <v>122</v>
      </c>
      <c r="BB12" s="23">
        <f>BA12+'15.05'!BB12</f>
        <v>1321</v>
      </c>
      <c r="BC12" s="19">
        <f t="shared" si="5"/>
        <v>3175</v>
      </c>
      <c r="BD12" s="20">
        <f t="shared" si="5"/>
        <v>44815</v>
      </c>
      <c r="BE12" s="22">
        <v>102</v>
      </c>
      <c r="BF12" s="23">
        <f>BE12+'15.05'!BF12</f>
        <v>3032</v>
      </c>
      <c r="BG12" s="34">
        <v>9</v>
      </c>
      <c r="BH12" s="23">
        <f>BG12+'15.05'!BH12</f>
        <v>131</v>
      </c>
      <c r="BI12" s="22">
        <v>2500</v>
      </c>
      <c r="BJ12" s="23">
        <f>BI12+'15.05'!BJ12</f>
        <v>36600</v>
      </c>
      <c r="BK12" s="22">
        <v>500</v>
      </c>
      <c r="BL12" s="23">
        <f>BK12+'15.05'!BL12</f>
        <v>4300</v>
      </c>
      <c r="BM12" s="22">
        <v>64</v>
      </c>
      <c r="BN12" s="23">
        <f>BM12+'15.05'!BN12</f>
        <v>752</v>
      </c>
      <c r="BO12" s="36"/>
      <c r="BP12" s="37">
        <v>2</v>
      </c>
      <c r="BQ12" s="23">
        <f>BP12+'15.05'!BQ12</f>
        <v>26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</v>
      </c>
      <c r="D13" s="31">
        <f t="shared" si="0"/>
        <v>269</v>
      </c>
      <c r="E13" s="32">
        <v>516</v>
      </c>
      <c r="F13" s="22">
        <v>1</v>
      </c>
      <c r="G13" s="23">
        <f>F13+'15.05'!G13</f>
        <v>17</v>
      </c>
      <c r="H13" s="33">
        <v>10</v>
      </c>
      <c r="I13" s="34">
        <v>0</v>
      </c>
      <c r="J13" s="23">
        <f>I13+'15.05'!J13</f>
        <v>7</v>
      </c>
      <c r="K13" s="33">
        <v>38</v>
      </c>
      <c r="L13" s="22">
        <v>0</v>
      </c>
      <c r="M13" s="23">
        <f>L13+'15.05'!M13</f>
        <v>0</v>
      </c>
      <c r="N13" s="33">
        <v>581</v>
      </c>
      <c r="O13" s="22">
        <v>1</v>
      </c>
      <c r="P13" s="23">
        <f>O13+'15.05'!P13</f>
        <v>8</v>
      </c>
      <c r="Q13" s="33">
        <v>525</v>
      </c>
      <c r="R13" s="22">
        <v>0</v>
      </c>
      <c r="S13" s="23">
        <f>R13+'15.05'!S13</f>
        <v>0</v>
      </c>
      <c r="T13" s="33">
        <v>263</v>
      </c>
      <c r="U13" s="22">
        <v>0</v>
      </c>
      <c r="V13" s="23">
        <f>U13+'15.05'!V13</f>
        <v>0</v>
      </c>
      <c r="W13" s="33">
        <v>43</v>
      </c>
      <c r="X13" s="22">
        <v>0</v>
      </c>
      <c r="Y13" s="23">
        <f>X13+'15.05'!Y13</f>
        <v>0</v>
      </c>
      <c r="Z13" s="33">
        <v>17</v>
      </c>
      <c r="AA13" s="22">
        <v>0</v>
      </c>
      <c r="AB13" s="23">
        <f>AA13+'15.05'!AB13</f>
        <v>0</v>
      </c>
      <c r="AC13" s="33">
        <v>51</v>
      </c>
      <c r="AD13" s="22">
        <v>1</v>
      </c>
      <c r="AE13" s="23">
        <f>AD13+'15.05'!AE13</f>
        <v>237</v>
      </c>
      <c r="AF13" s="19">
        <f t="shared" si="1"/>
        <v>240000</v>
      </c>
      <c r="AG13" s="20">
        <f t="shared" si="1"/>
        <v>4059000</v>
      </c>
      <c r="AH13" s="24">
        <v>1000</v>
      </c>
      <c r="AI13" s="23">
        <f>AH13+'15.05'!AI13</f>
        <v>48000</v>
      </c>
      <c r="AJ13" s="24">
        <v>19000</v>
      </c>
      <c r="AK13" s="23">
        <f>AJ13+'15.05'!AK13</f>
        <v>302000</v>
      </c>
      <c r="AL13" s="22">
        <v>20000</v>
      </c>
      <c r="AM13" s="23">
        <f>AL13+'15.05'!AM13</f>
        <v>350000</v>
      </c>
      <c r="AN13" s="22">
        <v>200000</v>
      </c>
      <c r="AO13" s="23">
        <f>AN13+'15.05'!AO13</f>
        <v>3359000</v>
      </c>
      <c r="AP13" s="28" t="s">
        <v>47</v>
      </c>
      <c r="AQ13" s="19">
        <f t="shared" si="3"/>
        <v>13</v>
      </c>
      <c r="AR13" s="20">
        <f t="shared" si="3"/>
        <v>420</v>
      </c>
      <c r="AS13" s="34">
        <v>0</v>
      </c>
      <c r="AT13" s="23">
        <f>AS13+'15.05'!AT13</f>
        <v>14</v>
      </c>
      <c r="AU13" s="34">
        <v>1</v>
      </c>
      <c r="AV13" s="23">
        <f>AU13+'15.05'!AV13</f>
        <v>15</v>
      </c>
      <c r="AW13" s="34">
        <v>0</v>
      </c>
      <c r="AX13" s="23">
        <f>AW13+'15.05'!AX13</f>
        <v>0</v>
      </c>
      <c r="AY13" s="34">
        <v>0</v>
      </c>
      <c r="AZ13" s="23">
        <f>AY13+'15.05'!AZ13</f>
        <v>0</v>
      </c>
      <c r="BA13" s="34">
        <v>12</v>
      </c>
      <c r="BB13" s="23">
        <f>BA13+'15.05'!BB13</f>
        <v>391</v>
      </c>
      <c r="BC13" s="19">
        <f t="shared" si="5"/>
        <v>7637</v>
      </c>
      <c r="BD13" s="20">
        <f t="shared" si="5"/>
        <v>170608</v>
      </c>
      <c r="BE13" s="22">
        <v>516</v>
      </c>
      <c r="BF13" s="23">
        <f>BE13+'15.05'!BF13</f>
        <v>8256</v>
      </c>
      <c r="BG13" s="34">
        <v>7</v>
      </c>
      <c r="BH13" s="23">
        <f>BG13+'15.05'!BH13</f>
        <v>241</v>
      </c>
      <c r="BI13" s="22">
        <v>7000</v>
      </c>
      <c r="BJ13" s="23">
        <f>BI13+'15.05'!BJ13</f>
        <v>158500</v>
      </c>
      <c r="BK13" s="22">
        <v>100</v>
      </c>
      <c r="BL13" s="23">
        <f>BK13+'15.05'!BL13</f>
        <v>2920</v>
      </c>
      <c r="BM13" s="22">
        <v>14</v>
      </c>
      <c r="BN13" s="23">
        <f>BM13+'15.05'!BN13</f>
        <v>691</v>
      </c>
      <c r="BO13" s="36"/>
      <c r="BP13" s="37">
        <v>1</v>
      </c>
      <c r="BQ13" s="23">
        <f>BP13+'15.05'!BQ13</f>
        <v>10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98</v>
      </c>
      <c r="D14" s="42">
        <f t="shared" si="0"/>
        <v>1826</v>
      </c>
      <c r="E14" s="43">
        <v>304</v>
      </c>
      <c r="F14" s="22">
        <v>88</v>
      </c>
      <c r="G14" s="23">
        <f>F14+'15.05'!G14</f>
        <v>1522</v>
      </c>
      <c r="H14" s="44">
        <v>5</v>
      </c>
      <c r="I14" s="45">
        <v>0</v>
      </c>
      <c r="J14" s="23">
        <f>I14+'15.05'!J14</f>
        <v>0</v>
      </c>
      <c r="K14" s="44">
        <v>34</v>
      </c>
      <c r="L14" s="22">
        <v>0</v>
      </c>
      <c r="M14" s="23">
        <f>L14+'15.05'!M14</f>
        <v>0</v>
      </c>
      <c r="N14" s="44">
        <v>583</v>
      </c>
      <c r="O14" s="22">
        <v>0</v>
      </c>
      <c r="P14" s="23">
        <f>O14+'15.05'!P14</f>
        <v>0</v>
      </c>
      <c r="Q14" s="44">
        <v>254</v>
      </c>
      <c r="R14" s="22">
        <v>0</v>
      </c>
      <c r="S14" s="23">
        <f>R14+'15.05'!S14</f>
        <v>0</v>
      </c>
      <c r="T14" s="44">
        <v>196</v>
      </c>
      <c r="U14" s="22">
        <v>0</v>
      </c>
      <c r="V14" s="23">
        <f>U14+'15.05'!V14</f>
        <v>0</v>
      </c>
      <c r="W14" s="44">
        <v>30</v>
      </c>
      <c r="X14" s="22">
        <v>8</v>
      </c>
      <c r="Y14" s="23">
        <f>X14+'15.05'!Y14</f>
        <v>230</v>
      </c>
      <c r="Z14" s="44">
        <v>10</v>
      </c>
      <c r="AA14" s="22">
        <v>0</v>
      </c>
      <c r="AB14" s="23">
        <f>AA14+'15.05'!AB14</f>
        <v>0</v>
      </c>
      <c r="AC14" s="44">
        <v>2500</v>
      </c>
      <c r="AD14" s="22">
        <v>2</v>
      </c>
      <c r="AE14" s="23">
        <f>AD14+'15.05'!AE14</f>
        <v>74</v>
      </c>
      <c r="AF14" s="19">
        <f t="shared" si="1"/>
        <v>102000</v>
      </c>
      <c r="AG14" s="20">
        <f t="shared" si="1"/>
        <v>1713740</v>
      </c>
      <c r="AH14" s="24">
        <v>3200</v>
      </c>
      <c r="AI14" s="23">
        <f>AH14+'15.05'!AI14</f>
        <v>52960</v>
      </c>
      <c r="AJ14" s="24">
        <v>6500</v>
      </c>
      <c r="AK14" s="23">
        <f>AJ14+'15.05'!AK14</f>
        <v>99150</v>
      </c>
      <c r="AL14" s="22">
        <v>7800</v>
      </c>
      <c r="AM14" s="23">
        <f>AL14+'15.05'!AM14</f>
        <v>109450</v>
      </c>
      <c r="AN14" s="22">
        <v>84500</v>
      </c>
      <c r="AO14" s="23">
        <f>AN14+'15.05'!AO14</f>
        <v>1452180</v>
      </c>
      <c r="AP14" s="39" t="s">
        <v>48</v>
      </c>
      <c r="AQ14" s="19">
        <f t="shared" si="3"/>
        <v>2</v>
      </c>
      <c r="AR14" s="20">
        <f t="shared" si="3"/>
        <v>60</v>
      </c>
      <c r="AS14" s="45">
        <v>0</v>
      </c>
      <c r="AT14" s="23">
        <f>AS14+'15.05'!AT14</f>
        <v>0</v>
      </c>
      <c r="AU14" s="45">
        <v>0</v>
      </c>
      <c r="AV14" s="23">
        <f>AU14+'15.05'!AV14</f>
        <v>4</v>
      </c>
      <c r="AW14" s="45">
        <v>0</v>
      </c>
      <c r="AX14" s="23">
        <f>AW14+'15.05'!AX14</f>
        <v>3</v>
      </c>
      <c r="AY14" s="45">
        <v>0</v>
      </c>
      <c r="AZ14" s="23">
        <f>AY14+'15.05'!AZ14</f>
        <v>1</v>
      </c>
      <c r="BA14" s="45">
        <v>2</v>
      </c>
      <c r="BB14" s="23">
        <f>BA14+'15.05'!BB14</f>
        <v>52</v>
      </c>
      <c r="BC14" s="19">
        <f t="shared" si="5"/>
        <v>1106</v>
      </c>
      <c r="BD14" s="20">
        <f t="shared" si="5"/>
        <v>39133</v>
      </c>
      <c r="BE14" s="22">
        <v>2</v>
      </c>
      <c r="BF14" s="23">
        <f>BE14+'15.05'!BF14</f>
        <v>55</v>
      </c>
      <c r="BG14" s="45">
        <v>1</v>
      </c>
      <c r="BH14" s="23">
        <f>BG14+'15.05'!BH14</f>
        <v>26</v>
      </c>
      <c r="BI14" s="22">
        <v>1100</v>
      </c>
      <c r="BJ14" s="23">
        <f>BI14+'15.05'!BJ14</f>
        <v>38950</v>
      </c>
      <c r="BK14" s="22">
        <v>2</v>
      </c>
      <c r="BL14" s="23">
        <f>BK14+'15.05'!BL14</f>
        <v>69</v>
      </c>
      <c r="BM14" s="22">
        <v>1</v>
      </c>
      <c r="BN14" s="23">
        <f>BM14+'15.05'!BN14</f>
        <v>33</v>
      </c>
      <c r="BO14" s="48">
        <v>22</v>
      </c>
      <c r="BP14" s="49">
        <v>0</v>
      </c>
      <c r="BQ14" s="23">
        <f>BP14+'15.05'!BQ14</f>
        <v>0</v>
      </c>
      <c r="BR14">
        <v>0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421</v>
      </c>
      <c r="D15" s="53">
        <f t="shared" si="0"/>
        <v>7003</v>
      </c>
      <c r="E15" s="54">
        <v>776</v>
      </c>
      <c r="F15" s="55">
        <v>350</v>
      </c>
      <c r="G15" s="23">
        <f>F15+'15.05'!G15</f>
        <v>5398</v>
      </c>
      <c r="H15" s="56">
        <v>9</v>
      </c>
      <c r="I15" s="57">
        <v>0</v>
      </c>
      <c r="J15" s="23">
        <f>I15+'15.05'!J15</f>
        <v>0</v>
      </c>
      <c r="K15" s="56">
        <v>6</v>
      </c>
      <c r="L15" s="55">
        <v>0</v>
      </c>
      <c r="M15" s="23">
        <f>L15+'15.05'!M15</f>
        <v>0</v>
      </c>
      <c r="N15" s="56">
        <v>1305</v>
      </c>
      <c r="O15" s="55">
        <v>0</v>
      </c>
      <c r="P15" s="23">
        <f>O15+'15.05'!P15</f>
        <v>0</v>
      </c>
      <c r="Q15" s="56">
        <v>447</v>
      </c>
      <c r="R15" s="55">
        <v>0</v>
      </c>
      <c r="S15" s="23">
        <f>R15+'15.05'!S15</f>
        <v>0</v>
      </c>
      <c r="T15" s="56">
        <v>337</v>
      </c>
      <c r="U15" s="55">
        <v>0</v>
      </c>
      <c r="V15" s="23">
        <f>U15+'15.05'!V15</f>
        <v>0</v>
      </c>
      <c r="W15" s="56">
        <v>78</v>
      </c>
      <c r="X15" s="55">
        <v>0</v>
      </c>
      <c r="Y15" s="23">
        <f>X15+'15.05'!Y15</f>
        <v>0</v>
      </c>
      <c r="Z15" s="56">
        <v>141</v>
      </c>
      <c r="AA15" s="55">
        <v>0</v>
      </c>
      <c r="AB15" s="23">
        <f>AA15+'15.05'!AB15</f>
        <v>0</v>
      </c>
      <c r="AC15" s="56">
        <v>798</v>
      </c>
      <c r="AD15" s="55">
        <v>71</v>
      </c>
      <c r="AE15" s="23">
        <f>AD15+'15.05'!AE15</f>
        <v>1605</v>
      </c>
      <c r="AF15" s="58">
        <f t="shared" si="1"/>
        <v>1979763</v>
      </c>
      <c r="AG15" s="59">
        <f t="shared" si="1"/>
        <v>36456223</v>
      </c>
      <c r="AH15" s="60">
        <v>793</v>
      </c>
      <c r="AI15" s="23">
        <f>AH15+'15.05'!AI15</f>
        <v>13542</v>
      </c>
      <c r="AJ15" s="60">
        <v>2598</v>
      </c>
      <c r="AK15" s="23">
        <f>AJ15+'15.05'!AK15</f>
        <v>47039</v>
      </c>
      <c r="AL15" s="55">
        <v>988186</v>
      </c>
      <c r="AM15" s="23">
        <f>AL15+'15.05'!AM15</f>
        <v>22547821</v>
      </c>
      <c r="AN15" s="55">
        <v>988186</v>
      </c>
      <c r="AO15" s="23">
        <f>AN15+'15.05'!AO15</f>
        <v>13847821</v>
      </c>
      <c r="AP15" s="50" t="s">
        <v>49</v>
      </c>
      <c r="AQ15" s="58">
        <f t="shared" si="3"/>
        <v>4</v>
      </c>
      <c r="AR15" s="59">
        <f t="shared" si="3"/>
        <v>44</v>
      </c>
      <c r="AS15" s="57">
        <v>0</v>
      </c>
      <c r="AT15" s="23">
        <f>AS15+'15.05'!AT15</f>
        <v>2</v>
      </c>
      <c r="AU15" s="57">
        <v>0</v>
      </c>
      <c r="AV15" s="23">
        <f>AU15+'15.05'!AV15</f>
        <v>4</v>
      </c>
      <c r="AW15" s="57">
        <v>0</v>
      </c>
      <c r="AX15" s="23">
        <f>AW15+'15.05'!AX15</f>
        <v>3</v>
      </c>
      <c r="AY15" s="57">
        <v>1</v>
      </c>
      <c r="AZ15" s="23">
        <f>AY15+'15.05'!AZ15</f>
        <v>1</v>
      </c>
      <c r="BA15" s="57">
        <v>3</v>
      </c>
      <c r="BB15" s="23">
        <f>BA15+'15.05'!BB15</f>
        <v>34</v>
      </c>
      <c r="BC15" s="58">
        <f t="shared" si="5"/>
        <v>1625</v>
      </c>
      <c r="BD15" s="59">
        <f t="shared" si="5"/>
        <v>24152</v>
      </c>
      <c r="BE15" s="55">
        <v>89</v>
      </c>
      <c r="BF15" s="23">
        <f>BE15+'15.05'!BF15</f>
        <v>1182</v>
      </c>
      <c r="BG15" s="57">
        <v>0</v>
      </c>
      <c r="BH15" s="23">
        <f>BG15+'15.05'!BH15</f>
        <v>23</v>
      </c>
      <c r="BI15" s="55">
        <v>768</v>
      </c>
      <c r="BJ15" s="23">
        <f>BI15+'15.05'!BJ15</f>
        <v>11493</v>
      </c>
      <c r="BK15" s="55">
        <v>749</v>
      </c>
      <c r="BL15" s="23">
        <f>BK15+'15.05'!BL15</f>
        <v>11195</v>
      </c>
      <c r="BM15" s="55">
        <v>19</v>
      </c>
      <c r="BN15" s="23">
        <f>BM15+'15.05'!BN15</f>
        <v>259</v>
      </c>
      <c r="BO15" s="36">
        <v>6274</v>
      </c>
      <c r="BP15" s="37">
        <v>0</v>
      </c>
      <c r="BQ15" s="23">
        <f>BP15+'15.05'!BQ15</f>
        <v>11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137</v>
      </c>
      <c r="D16" s="31">
        <f t="shared" si="0"/>
        <v>2182</v>
      </c>
      <c r="E16" s="32">
        <v>310</v>
      </c>
      <c r="F16" s="22">
        <v>47</v>
      </c>
      <c r="G16" s="23">
        <f>F16+'15.05'!G16</f>
        <v>758</v>
      </c>
      <c r="H16" s="33">
        <v>5</v>
      </c>
      <c r="I16" s="34">
        <v>0</v>
      </c>
      <c r="J16" s="23">
        <f>I16+'15.05'!J16</f>
        <v>0</v>
      </c>
      <c r="K16" s="33">
        <v>3</v>
      </c>
      <c r="L16" s="22">
        <v>0</v>
      </c>
      <c r="M16" s="23">
        <f>L16+'15.05'!M16</f>
        <v>0</v>
      </c>
      <c r="N16" s="33">
        <v>384</v>
      </c>
      <c r="O16" s="22">
        <v>0</v>
      </c>
      <c r="P16" s="23">
        <f>O16+'15.05'!P16</f>
        <v>0</v>
      </c>
      <c r="Q16" s="33">
        <v>245</v>
      </c>
      <c r="R16" s="22">
        <v>0</v>
      </c>
      <c r="S16" s="23">
        <f>R16+'15.05'!S16</f>
        <v>0</v>
      </c>
      <c r="T16" s="33">
        <v>397</v>
      </c>
      <c r="U16" s="22">
        <v>0</v>
      </c>
      <c r="V16" s="23">
        <f>U16+'15.05'!V16</f>
        <v>0</v>
      </c>
      <c r="W16" s="33">
        <v>24</v>
      </c>
      <c r="X16" s="22">
        <v>53</v>
      </c>
      <c r="Y16" s="23">
        <f>X16+'15.05'!Y16</f>
        <v>769</v>
      </c>
      <c r="Z16" s="33">
        <v>18</v>
      </c>
      <c r="AA16" s="22">
        <v>0</v>
      </c>
      <c r="AB16" s="23">
        <f>AA16+'15.05'!AB16</f>
        <v>0</v>
      </c>
      <c r="AC16" s="33">
        <v>18515</v>
      </c>
      <c r="AD16" s="22">
        <v>37</v>
      </c>
      <c r="AE16" s="23">
        <f>AD16+'15.05'!AE16</f>
        <v>655</v>
      </c>
      <c r="AF16" s="19">
        <f t="shared" si="1"/>
        <v>58052</v>
      </c>
      <c r="AG16" s="20">
        <f t="shared" si="1"/>
        <v>949557</v>
      </c>
      <c r="AH16" s="24">
        <v>151</v>
      </c>
      <c r="AI16" s="23">
        <f>AH16+'15.05'!AI16</f>
        <v>2558</v>
      </c>
      <c r="AJ16" s="24">
        <v>1467</v>
      </c>
      <c r="AK16" s="23">
        <f>AJ16+'15.05'!AK16</f>
        <v>20975</v>
      </c>
      <c r="AL16" s="22">
        <v>1563</v>
      </c>
      <c r="AM16" s="23">
        <f>AL16+'15.05'!AM16</f>
        <v>24722</v>
      </c>
      <c r="AN16" s="22">
        <v>54871</v>
      </c>
      <c r="AO16" s="23">
        <f>AN16+'15.05'!AO16</f>
        <v>901302</v>
      </c>
      <c r="AP16" s="28" t="s">
        <v>51</v>
      </c>
      <c r="AQ16" s="19">
        <f t="shared" si="3"/>
        <v>81</v>
      </c>
      <c r="AR16" s="20">
        <f t="shared" si="3"/>
        <v>1206</v>
      </c>
      <c r="AS16" s="34">
        <v>0</v>
      </c>
      <c r="AT16" s="23">
        <f>AS16+'15.05'!AT16</f>
        <v>2</v>
      </c>
      <c r="AU16" s="34">
        <v>0</v>
      </c>
      <c r="AV16" s="23">
        <f>AU16+'15.05'!AV16</f>
        <v>0</v>
      </c>
      <c r="AW16" s="34">
        <v>0</v>
      </c>
      <c r="AX16" s="23">
        <f>AW16+'15.05'!AX16</f>
        <v>0</v>
      </c>
      <c r="AY16" s="34">
        <v>0</v>
      </c>
      <c r="AZ16" s="23">
        <f>AY16+'15.05'!AZ16</f>
        <v>0</v>
      </c>
      <c r="BA16" s="34">
        <v>81</v>
      </c>
      <c r="BB16" s="23">
        <f>BA16+'15.05'!BB16</f>
        <v>1204</v>
      </c>
      <c r="BC16" s="19">
        <f t="shared" si="5"/>
        <v>1482</v>
      </c>
      <c r="BD16" s="20">
        <f t="shared" si="5"/>
        <v>21504</v>
      </c>
      <c r="BE16" s="22">
        <v>76</v>
      </c>
      <c r="BF16" s="23">
        <f>BE16+'15.05'!BF16</f>
        <v>1102</v>
      </c>
      <c r="BG16" s="34">
        <v>0</v>
      </c>
      <c r="BH16" s="23">
        <f>BG16+'15.05'!BH16</f>
        <v>0</v>
      </c>
      <c r="BI16" s="22">
        <v>1357</v>
      </c>
      <c r="BJ16" s="23">
        <f>BI16+'15.05'!BJ16</f>
        <v>19605</v>
      </c>
      <c r="BK16" s="22">
        <v>40</v>
      </c>
      <c r="BL16" s="23">
        <f>BK16+'15.05'!BL16</f>
        <v>704</v>
      </c>
      <c r="BM16" s="22">
        <v>9</v>
      </c>
      <c r="BN16" s="23">
        <f>BM16+'15.05'!BN16</f>
        <v>93</v>
      </c>
      <c r="BO16" s="36">
        <v>2546</v>
      </c>
      <c r="BP16" s="37">
        <v>0</v>
      </c>
      <c r="BQ16" s="23">
        <f>BP16+'15.05'!BQ16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162</v>
      </c>
      <c r="D17" s="31">
        <f t="shared" si="0"/>
        <v>2715</v>
      </c>
      <c r="E17" s="32">
        <v>754</v>
      </c>
      <c r="F17" s="22">
        <v>140</v>
      </c>
      <c r="G17" s="23">
        <f>F17+'15.05'!G17</f>
        <v>2311</v>
      </c>
      <c r="H17" s="33">
        <v>9</v>
      </c>
      <c r="I17" s="34">
        <v>0</v>
      </c>
      <c r="J17" s="23">
        <f>I17+'15.05'!J17</f>
        <v>0</v>
      </c>
      <c r="K17" s="33">
        <v>5</v>
      </c>
      <c r="L17" s="22">
        <v>0</v>
      </c>
      <c r="M17" s="23">
        <f>L17+'15.05'!M17</f>
        <v>0</v>
      </c>
      <c r="N17" s="33">
        <v>768</v>
      </c>
      <c r="O17" s="22">
        <v>0</v>
      </c>
      <c r="P17" s="23">
        <f>O17+'15.05'!P17</f>
        <v>0</v>
      </c>
      <c r="Q17" s="33">
        <v>624</v>
      </c>
      <c r="R17" s="22">
        <v>0</v>
      </c>
      <c r="S17" s="23">
        <f>R17+'15.05'!S17</f>
        <v>0</v>
      </c>
      <c r="T17" s="33">
        <v>742</v>
      </c>
      <c r="U17" s="22">
        <v>0</v>
      </c>
      <c r="V17" s="23">
        <f>U17+'15.05'!V17</f>
        <v>0</v>
      </c>
      <c r="W17" s="33">
        <v>54</v>
      </c>
      <c r="X17" s="22">
        <v>12</v>
      </c>
      <c r="Y17" s="23">
        <f>X17+'15.05'!Y17</f>
        <v>220</v>
      </c>
      <c r="Z17" s="33">
        <v>66</v>
      </c>
      <c r="AA17" s="22">
        <v>0</v>
      </c>
      <c r="AB17" s="23">
        <f>AA17+'15.05'!AB17</f>
        <v>0</v>
      </c>
      <c r="AC17" s="33">
        <v>2580</v>
      </c>
      <c r="AD17" s="22">
        <v>10</v>
      </c>
      <c r="AE17" s="23">
        <f>AD17+'15.05'!AE17</f>
        <v>184</v>
      </c>
      <c r="AF17" s="19">
        <f t="shared" si="1"/>
        <v>97800</v>
      </c>
      <c r="AG17" s="20">
        <f t="shared" si="1"/>
        <v>1635100</v>
      </c>
      <c r="AH17" s="24">
        <v>6600</v>
      </c>
      <c r="AI17" s="23">
        <f>AH17+'15.05'!AI17</f>
        <v>102100</v>
      </c>
      <c r="AJ17" s="24">
        <v>11000</v>
      </c>
      <c r="AK17" s="23">
        <f>AJ17+'15.05'!AK17</f>
        <v>160300</v>
      </c>
      <c r="AL17" s="22">
        <v>17000</v>
      </c>
      <c r="AM17" s="23">
        <f>AL17+'15.05'!AM17</f>
        <v>342700</v>
      </c>
      <c r="AN17" s="22">
        <v>63200</v>
      </c>
      <c r="AO17" s="23">
        <f>AN17+'15.05'!AO17</f>
        <v>1030000</v>
      </c>
      <c r="AP17" s="28" t="s">
        <v>52</v>
      </c>
      <c r="AQ17" s="19">
        <f t="shared" si="3"/>
        <v>25</v>
      </c>
      <c r="AR17" s="20">
        <f t="shared" si="3"/>
        <v>312</v>
      </c>
      <c r="AS17" s="34">
        <v>1</v>
      </c>
      <c r="AT17" s="23">
        <f>AS17+'15.05'!AT17</f>
        <v>19</v>
      </c>
      <c r="AU17" s="34">
        <v>2</v>
      </c>
      <c r="AV17" s="23">
        <f>AU17+'15.05'!AV17</f>
        <v>24</v>
      </c>
      <c r="AW17" s="34">
        <v>0</v>
      </c>
      <c r="AX17" s="23">
        <f>AW17+'15.05'!AX17</f>
        <v>0</v>
      </c>
      <c r="AY17" s="34">
        <v>0</v>
      </c>
      <c r="AZ17" s="23">
        <f>AY17+'15.05'!AZ17</f>
        <v>0</v>
      </c>
      <c r="BA17" s="34">
        <v>22</v>
      </c>
      <c r="BB17" s="23">
        <f>BA17+'15.05'!BB17</f>
        <v>269</v>
      </c>
      <c r="BC17" s="19">
        <f t="shared" si="5"/>
        <v>3233</v>
      </c>
      <c r="BD17" s="20">
        <f t="shared" si="5"/>
        <v>41978</v>
      </c>
      <c r="BE17" s="22">
        <v>42</v>
      </c>
      <c r="BF17" s="23">
        <f>BE17+'15.05'!BF17</f>
        <v>602</v>
      </c>
      <c r="BG17" s="34">
        <v>1</v>
      </c>
      <c r="BH17" s="23">
        <f>BG17+'15.05'!BH17</f>
        <v>18</v>
      </c>
      <c r="BI17" s="22">
        <v>2900</v>
      </c>
      <c r="BJ17" s="23">
        <f>BI17+'15.05'!BJ17</f>
        <v>37600</v>
      </c>
      <c r="BK17" s="22">
        <v>280</v>
      </c>
      <c r="BL17" s="23">
        <f>BK17+'15.05'!BL17</f>
        <v>3615</v>
      </c>
      <c r="BM17" s="22">
        <v>10</v>
      </c>
      <c r="BN17" s="23">
        <f>BM17+'15.05'!BN17</f>
        <v>143</v>
      </c>
      <c r="BO17" s="36">
        <v>8022</v>
      </c>
      <c r="BP17" s="37">
        <v>2</v>
      </c>
      <c r="BQ17" s="23">
        <f>BP17+'15.05'!BQ17</f>
        <v>59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185</v>
      </c>
      <c r="D18" s="20">
        <f t="shared" si="0"/>
        <v>4422</v>
      </c>
      <c r="E18" s="21">
        <v>1063</v>
      </c>
      <c r="F18" s="22">
        <v>110</v>
      </c>
      <c r="G18" s="23">
        <f>F18+'15.05'!G18</f>
        <v>2759</v>
      </c>
      <c r="H18" s="21">
        <v>19</v>
      </c>
      <c r="I18" s="22">
        <v>0</v>
      </c>
      <c r="J18" s="23">
        <f>I18+'15.05'!J18</f>
        <v>0</v>
      </c>
      <c r="K18" s="21">
        <v>8</v>
      </c>
      <c r="L18" s="22">
        <v>0</v>
      </c>
      <c r="M18" s="23">
        <f>L18+'15.05'!M18</f>
        <v>0</v>
      </c>
      <c r="N18" s="21">
        <v>1331</v>
      </c>
      <c r="O18" s="22">
        <v>0</v>
      </c>
      <c r="P18" s="23">
        <f>O18+'15.05'!P18</f>
        <v>0</v>
      </c>
      <c r="Q18" s="21">
        <v>777</v>
      </c>
      <c r="R18" s="22">
        <v>0</v>
      </c>
      <c r="S18" s="23">
        <f>R18+'15.05'!S18</f>
        <v>0</v>
      </c>
      <c r="T18" s="21">
        <v>318</v>
      </c>
      <c r="U18" s="22">
        <v>0</v>
      </c>
      <c r="V18" s="23">
        <f>U18+'15.05'!V18</f>
        <v>81</v>
      </c>
      <c r="W18" s="21">
        <v>60</v>
      </c>
      <c r="X18" s="22">
        <v>75</v>
      </c>
      <c r="Y18" s="23">
        <f>X18+'15.05'!Y18</f>
        <v>1582</v>
      </c>
      <c r="Z18" s="21">
        <v>72</v>
      </c>
      <c r="AA18" s="22">
        <v>0</v>
      </c>
      <c r="AB18" s="23">
        <f>AA18+'15.05'!AB18</f>
        <v>0</v>
      </c>
      <c r="AC18" s="21">
        <v>143</v>
      </c>
      <c r="AD18" s="22">
        <v>0</v>
      </c>
      <c r="AE18" s="23">
        <f>AD18+'15.05'!AE18</f>
        <v>0</v>
      </c>
      <c r="AF18" s="19">
        <f t="shared" si="1"/>
        <v>104714</v>
      </c>
      <c r="AG18" s="20">
        <f t="shared" si="1"/>
        <v>2292925</v>
      </c>
      <c r="AH18" s="24">
        <v>85</v>
      </c>
      <c r="AI18" s="23">
        <f>AH18+'15.05'!AI18</f>
        <v>3772</v>
      </c>
      <c r="AJ18" s="24">
        <v>1629</v>
      </c>
      <c r="AK18" s="23">
        <f>AJ18+'15.05'!AK18</f>
        <v>36294</v>
      </c>
      <c r="AL18" s="22">
        <v>1785</v>
      </c>
      <c r="AM18" s="23">
        <f>AL18+'15.05'!AM18</f>
        <v>41412</v>
      </c>
      <c r="AN18" s="22">
        <v>101215</v>
      </c>
      <c r="AO18" s="23">
        <f>AN18+'15.05'!AO18</f>
        <v>2211447</v>
      </c>
      <c r="AP18" s="17" t="s">
        <v>53</v>
      </c>
      <c r="AQ18" s="19">
        <f t="shared" si="3"/>
        <v>1</v>
      </c>
      <c r="AR18" s="20">
        <f t="shared" si="3"/>
        <v>26</v>
      </c>
      <c r="AS18" s="22">
        <v>0</v>
      </c>
      <c r="AT18" s="23">
        <f>AS18+'15.05'!AT18</f>
        <v>4</v>
      </c>
      <c r="AU18" s="22">
        <v>0</v>
      </c>
      <c r="AV18" s="23">
        <f>AU18+'15.05'!AV18</f>
        <v>0</v>
      </c>
      <c r="AW18" s="22">
        <v>0</v>
      </c>
      <c r="AX18" s="23">
        <f>AW18+'15.05'!AX18</f>
        <v>0</v>
      </c>
      <c r="AY18" s="22">
        <v>0</v>
      </c>
      <c r="AZ18" s="23">
        <f>AY18+'15.05'!AZ18</f>
        <v>0</v>
      </c>
      <c r="BA18" s="22">
        <v>1</v>
      </c>
      <c r="BB18" s="23">
        <f>BA18+'15.05'!BB18</f>
        <v>22</v>
      </c>
      <c r="BC18" s="19">
        <f t="shared" si="5"/>
        <v>183</v>
      </c>
      <c r="BD18" s="20">
        <f t="shared" si="5"/>
        <v>10529</v>
      </c>
      <c r="BE18" s="22">
        <v>1</v>
      </c>
      <c r="BF18" s="23">
        <f>BE18+'15.05'!BF18</f>
        <v>17</v>
      </c>
      <c r="BG18" s="22">
        <v>0</v>
      </c>
      <c r="BH18" s="23">
        <f>BG18+'15.05'!BH18</f>
        <v>388</v>
      </c>
      <c r="BI18" s="22">
        <v>110</v>
      </c>
      <c r="BJ18" s="23">
        <f>BI18+'15.05'!BJ18</f>
        <v>8594</v>
      </c>
      <c r="BK18" s="22">
        <v>55</v>
      </c>
      <c r="BL18" s="23">
        <f>BK18+'15.05'!BL18</f>
        <v>1338</v>
      </c>
      <c r="BM18" s="22">
        <v>17</v>
      </c>
      <c r="BN18" s="23">
        <f>BM18+'15.05'!BN18</f>
        <v>192</v>
      </c>
      <c r="BO18" s="36">
        <v>442</v>
      </c>
      <c r="BP18" s="37">
        <v>0</v>
      </c>
      <c r="BQ18" s="23">
        <f>BP18+'15.05'!BQ18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23</v>
      </c>
      <c r="D19" s="31">
        <f t="shared" si="0"/>
        <v>562</v>
      </c>
      <c r="E19" s="33">
        <v>221</v>
      </c>
      <c r="F19" s="22">
        <v>7</v>
      </c>
      <c r="G19" s="23">
        <f>F19+'15.05'!G19</f>
        <v>112</v>
      </c>
      <c r="H19" s="33">
        <v>5</v>
      </c>
      <c r="I19" s="34">
        <v>0</v>
      </c>
      <c r="J19" s="23">
        <f>I19+'15.05'!J19</f>
        <v>0</v>
      </c>
      <c r="K19" s="33">
        <v>4</v>
      </c>
      <c r="L19" s="22">
        <v>0</v>
      </c>
      <c r="M19" s="23">
        <f>L19+'15.05'!M19</f>
        <v>0</v>
      </c>
      <c r="N19" s="33">
        <v>313</v>
      </c>
      <c r="O19" s="22">
        <v>0</v>
      </c>
      <c r="P19" s="23">
        <f>O19+'15.05'!P19</f>
        <v>167</v>
      </c>
      <c r="Q19" s="33">
        <v>203</v>
      </c>
      <c r="R19" s="22">
        <v>0</v>
      </c>
      <c r="S19" s="23">
        <f>R19+'15.05'!S19</f>
        <v>0</v>
      </c>
      <c r="T19" s="33">
        <v>241</v>
      </c>
      <c r="U19" s="22">
        <v>0</v>
      </c>
      <c r="V19" s="23">
        <f>U19+'15.05'!V19</f>
        <v>0</v>
      </c>
      <c r="W19" s="33">
        <v>14</v>
      </c>
      <c r="X19" s="22">
        <v>16</v>
      </c>
      <c r="Y19" s="23">
        <f>X19+'15.05'!Y19</f>
        <v>220</v>
      </c>
      <c r="Z19" s="33">
        <v>7</v>
      </c>
      <c r="AA19" s="22">
        <v>0</v>
      </c>
      <c r="AB19" s="23">
        <f>AA19+'15.05'!AB19</f>
        <v>0</v>
      </c>
      <c r="AC19" s="33">
        <v>32</v>
      </c>
      <c r="AD19" s="22">
        <v>0</v>
      </c>
      <c r="AE19" s="23">
        <f>AD19+'15.05'!AE19</f>
        <v>63</v>
      </c>
      <c r="AF19" s="19">
        <f t="shared" si="1"/>
        <v>3200</v>
      </c>
      <c r="AG19" s="20">
        <f t="shared" si="1"/>
        <v>51950</v>
      </c>
      <c r="AH19" s="24">
        <v>535</v>
      </c>
      <c r="AI19" s="23">
        <f>AH19+'15.05'!AI19</f>
        <v>8385</v>
      </c>
      <c r="AJ19" s="24">
        <v>535</v>
      </c>
      <c r="AK19" s="23">
        <f>AJ19+'15.05'!AK19</f>
        <v>8635</v>
      </c>
      <c r="AL19" s="22">
        <v>1065</v>
      </c>
      <c r="AM19" s="23">
        <f>AL19+'15.05'!AM19</f>
        <v>17465</v>
      </c>
      <c r="AN19" s="22">
        <v>1065</v>
      </c>
      <c r="AO19" s="23">
        <f>AN19+'15.05'!AO19</f>
        <v>17465</v>
      </c>
      <c r="AP19" s="28" t="s">
        <v>54</v>
      </c>
      <c r="AQ19" s="19">
        <f t="shared" si="3"/>
        <v>0</v>
      </c>
      <c r="AR19" s="20">
        <f t="shared" si="3"/>
        <v>4</v>
      </c>
      <c r="AS19" s="34">
        <v>0</v>
      </c>
      <c r="AT19" s="23">
        <f>AS19+'15.05'!AT19</f>
        <v>0</v>
      </c>
      <c r="AU19" s="34">
        <v>0</v>
      </c>
      <c r="AV19" s="23">
        <f>AU19+'15.05'!AV19</f>
        <v>3</v>
      </c>
      <c r="AW19" s="34">
        <v>0</v>
      </c>
      <c r="AX19" s="23">
        <f>AW19+'15.05'!AX19</f>
        <v>1</v>
      </c>
      <c r="AY19" s="34">
        <v>0</v>
      </c>
      <c r="AZ19" s="23">
        <f>AY19+'15.05'!AZ19</f>
        <v>0</v>
      </c>
      <c r="BA19" s="34">
        <v>0</v>
      </c>
      <c r="BB19" s="23">
        <f>BA19+'15.05'!BB19</f>
        <v>0</v>
      </c>
      <c r="BC19" s="19">
        <f t="shared" si="5"/>
        <v>1020</v>
      </c>
      <c r="BD19" s="20">
        <f t="shared" si="5"/>
        <v>17124</v>
      </c>
      <c r="BE19" s="22">
        <v>12</v>
      </c>
      <c r="BF19" s="23">
        <f>BE19+'15.05'!BF19</f>
        <v>223</v>
      </c>
      <c r="BG19" s="34">
        <v>3</v>
      </c>
      <c r="BH19" s="23">
        <f>BG19+'15.05'!BH19</f>
        <v>7</v>
      </c>
      <c r="BI19" s="22">
        <v>900</v>
      </c>
      <c r="BJ19" s="23">
        <f>BI19+'15.05'!BJ19</f>
        <v>14950</v>
      </c>
      <c r="BK19" s="22">
        <v>100</v>
      </c>
      <c r="BL19" s="23">
        <f>BK19+'15.05'!BL19</f>
        <v>1850</v>
      </c>
      <c r="BM19" s="22">
        <v>5</v>
      </c>
      <c r="BN19" s="23">
        <f>BM19+'15.05'!BN19</f>
        <v>94</v>
      </c>
      <c r="BO19" s="36">
        <v>2898</v>
      </c>
      <c r="BP19" s="37">
        <v>0</v>
      </c>
      <c r="BQ19" s="23">
        <f>BP19+'15.05'!BQ19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143</v>
      </c>
      <c r="D20" s="31">
        <f t="shared" si="0"/>
        <v>4179</v>
      </c>
      <c r="E20" s="32">
        <v>723</v>
      </c>
      <c r="F20" s="22">
        <v>41</v>
      </c>
      <c r="G20" s="23">
        <f>F20+'15.05'!G20</f>
        <v>2222</v>
      </c>
      <c r="H20" s="33">
        <v>5</v>
      </c>
      <c r="I20" s="34">
        <v>1</v>
      </c>
      <c r="J20" s="23">
        <f>I20+'15.05'!J20</f>
        <v>16</v>
      </c>
      <c r="K20" s="33">
        <v>3</v>
      </c>
      <c r="L20" s="22">
        <v>0</v>
      </c>
      <c r="M20" s="23">
        <f>L20+'15.05'!M20</f>
        <v>0</v>
      </c>
      <c r="N20" s="33">
        <v>975</v>
      </c>
      <c r="O20" s="22">
        <v>46</v>
      </c>
      <c r="P20" s="23">
        <f>O20+'15.05'!P20</f>
        <v>936</v>
      </c>
      <c r="Q20" s="61">
        <v>1862</v>
      </c>
      <c r="R20" s="22">
        <v>1</v>
      </c>
      <c r="S20" s="23">
        <f>R20+'15.05'!S20</f>
        <v>18</v>
      </c>
      <c r="T20" s="33">
        <v>35</v>
      </c>
      <c r="U20" s="22">
        <v>1</v>
      </c>
      <c r="V20" s="23">
        <f>U20+'15.05'!V20</f>
        <v>16</v>
      </c>
      <c r="W20" s="33">
        <v>64</v>
      </c>
      <c r="X20" s="22">
        <v>1</v>
      </c>
      <c r="Y20" s="23">
        <f>X20+'15.05'!Y20</f>
        <v>18</v>
      </c>
      <c r="Z20" s="33">
        <v>15</v>
      </c>
      <c r="AA20" s="22">
        <v>1</v>
      </c>
      <c r="AB20" s="23">
        <f>AA20+'15.05'!AB20</f>
        <v>21</v>
      </c>
      <c r="AC20" s="33">
        <v>1546</v>
      </c>
      <c r="AD20" s="22">
        <v>51</v>
      </c>
      <c r="AE20" s="23">
        <f>AD20+'15.05'!AE20</f>
        <v>932</v>
      </c>
      <c r="AF20" s="19">
        <f t="shared" si="1"/>
        <v>27042</v>
      </c>
      <c r="AG20" s="20">
        <f t="shared" si="1"/>
        <v>286116</v>
      </c>
      <c r="AH20" s="24">
        <v>12312</v>
      </c>
      <c r="AI20" s="23">
        <f>AH20+'15.05'!AI20</f>
        <v>129484</v>
      </c>
      <c r="AJ20" s="24">
        <v>13780</v>
      </c>
      <c r="AK20" s="23">
        <f>AJ20+'15.05'!AK20</f>
        <v>143222</v>
      </c>
      <c r="AL20" s="22">
        <v>450</v>
      </c>
      <c r="AM20" s="23">
        <f>AL20+'15.05'!AM20</f>
        <v>7300</v>
      </c>
      <c r="AN20" s="22">
        <v>500</v>
      </c>
      <c r="AO20" s="23">
        <f>AN20+'15.05'!AO20</f>
        <v>6110</v>
      </c>
      <c r="AP20" s="28" t="s">
        <v>55</v>
      </c>
      <c r="AQ20" s="19">
        <f t="shared" si="3"/>
        <v>193</v>
      </c>
      <c r="AR20" s="20">
        <f t="shared" si="3"/>
        <v>2556</v>
      </c>
      <c r="AS20" s="34">
        <v>1</v>
      </c>
      <c r="AT20" s="23">
        <f>AS20+'15.05'!AT20</f>
        <v>16</v>
      </c>
      <c r="AU20" s="34">
        <v>0</v>
      </c>
      <c r="AV20" s="23">
        <f>AU20+'15.05'!AV20</f>
        <v>0</v>
      </c>
      <c r="AW20" s="34">
        <v>0</v>
      </c>
      <c r="AX20" s="23">
        <f>AW20+'15.05'!AX20</f>
        <v>0</v>
      </c>
      <c r="AY20" s="34">
        <v>0</v>
      </c>
      <c r="AZ20" s="23">
        <f>AY20+'15.05'!AZ20</f>
        <v>0</v>
      </c>
      <c r="BA20" s="34">
        <v>192</v>
      </c>
      <c r="BB20" s="23">
        <f>BA20+'15.05'!BB20</f>
        <v>2540</v>
      </c>
      <c r="BC20" s="19">
        <f t="shared" si="5"/>
        <v>3473</v>
      </c>
      <c r="BD20" s="20">
        <f t="shared" si="5"/>
        <v>53875</v>
      </c>
      <c r="BE20" s="22">
        <v>2</v>
      </c>
      <c r="BF20" s="23">
        <f>BE20+'15.05'!BF20</f>
        <v>32</v>
      </c>
      <c r="BG20" s="34">
        <v>0</v>
      </c>
      <c r="BH20" s="23">
        <f>BG20+'15.05'!BH20</f>
        <v>0</v>
      </c>
      <c r="BI20" s="22">
        <v>1365</v>
      </c>
      <c r="BJ20" s="23">
        <f>BI20+'15.05'!BJ20</f>
        <v>26858</v>
      </c>
      <c r="BK20" s="22">
        <v>2105</v>
      </c>
      <c r="BL20" s="23">
        <f>BK20+'15.05'!BL20</f>
        <v>26970</v>
      </c>
      <c r="BM20" s="22">
        <v>1</v>
      </c>
      <c r="BN20" s="23">
        <f>BM20+'15.05'!BN20</f>
        <v>15</v>
      </c>
      <c r="BO20" s="36">
        <v>5854</v>
      </c>
      <c r="BP20" s="37">
        <v>0</v>
      </c>
      <c r="BQ20" s="23">
        <f>BP20+'15.05'!BQ20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116</v>
      </c>
      <c r="D21" s="31">
        <f t="shared" si="0"/>
        <v>3488</v>
      </c>
      <c r="E21" s="32">
        <v>1017</v>
      </c>
      <c r="F21" s="22">
        <v>100</v>
      </c>
      <c r="G21" s="23">
        <f>F21+'15.05'!G21</f>
        <v>2460</v>
      </c>
      <c r="H21" s="33">
        <v>8</v>
      </c>
      <c r="I21" s="34">
        <v>0</v>
      </c>
      <c r="J21" s="23">
        <f>I21+'15.05'!J21</f>
        <v>131</v>
      </c>
      <c r="K21" s="33">
        <v>4</v>
      </c>
      <c r="L21" s="22">
        <v>0</v>
      </c>
      <c r="M21" s="23">
        <f>L21+'15.05'!M21</f>
        <v>20</v>
      </c>
      <c r="N21" s="33">
        <v>963</v>
      </c>
      <c r="O21" s="22">
        <v>0</v>
      </c>
      <c r="P21" s="23">
        <f>O21+'15.05'!P21</f>
        <v>46</v>
      </c>
      <c r="Q21" s="33">
        <v>912</v>
      </c>
      <c r="R21" s="22">
        <v>0</v>
      </c>
      <c r="S21" s="23">
        <f>R21+'15.05'!S21</f>
        <v>0</v>
      </c>
      <c r="T21" s="33">
        <v>199</v>
      </c>
      <c r="U21" s="22">
        <v>1</v>
      </c>
      <c r="V21" s="23">
        <f>U21+'15.05'!V21</f>
        <v>94</v>
      </c>
      <c r="W21" s="33">
        <v>101</v>
      </c>
      <c r="X21" s="22">
        <v>10</v>
      </c>
      <c r="Y21" s="23">
        <f>X21+'15.05'!Y21</f>
        <v>164</v>
      </c>
      <c r="Z21" s="33">
        <v>42</v>
      </c>
      <c r="AA21" s="22">
        <v>0</v>
      </c>
      <c r="AB21" s="23">
        <f>AA21+'15.05'!AB21</f>
        <v>1</v>
      </c>
      <c r="AC21" s="33">
        <v>20</v>
      </c>
      <c r="AD21" s="22">
        <v>5</v>
      </c>
      <c r="AE21" s="23">
        <f>AD21+'15.05'!AE21</f>
        <v>572</v>
      </c>
      <c r="AF21" s="19">
        <f t="shared" si="1"/>
        <v>1043000</v>
      </c>
      <c r="AG21" s="20">
        <f t="shared" si="1"/>
        <v>17230680</v>
      </c>
      <c r="AH21" s="24">
        <v>1000</v>
      </c>
      <c r="AI21" s="23">
        <f>AH21+'15.05'!AI21</f>
        <v>19350</v>
      </c>
      <c r="AJ21" s="24">
        <v>132000</v>
      </c>
      <c r="AK21" s="23">
        <f>AJ21+'15.05'!AK21</f>
        <v>2616000</v>
      </c>
      <c r="AL21" s="22">
        <v>2800</v>
      </c>
      <c r="AM21" s="23">
        <f>AL21+'15.05'!AM21</f>
        <v>29630</v>
      </c>
      <c r="AN21" s="22">
        <v>907200</v>
      </c>
      <c r="AO21" s="23">
        <f>AN21+'15.05'!AO21</f>
        <v>14565700</v>
      </c>
      <c r="AP21" s="28" t="s">
        <v>58</v>
      </c>
      <c r="AQ21" s="19">
        <f t="shared" si="3"/>
        <v>2</v>
      </c>
      <c r="AR21" s="20">
        <f t="shared" si="3"/>
        <v>86</v>
      </c>
      <c r="AS21" s="34">
        <v>0</v>
      </c>
      <c r="AT21" s="23">
        <f>AS21+'15.05'!AT21</f>
        <v>2</v>
      </c>
      <c r="AU21" s="34">
        <v>0</v>
      </c>
      <c r="AV21" s="23">
        <f>AU21+'15.05'!AV21</f>
        <v>28</v>
      </c>
      <c r="AW21" s="34">
        <v>0</v>
      </c>
      <c r="AX21" s="23">
        <f>AW21+'15.05'!AX21</f>
        <v>0</v>
      </c>
      <c r="AY21" s="34">
        <v>0</v>
      </c>
      <c r="AZ21" s="23">
        <f>AY21+'15.05'!AZ21</f>
        <v>0</v>
      </c>
      <c r="BA21" s="34">
        <v>2</v>
      </c>
      <c r="BB21" s="23">
        <f>BA21+'15.05'!BB21</f>
        <v>56</v>
      </c>
      <c r="BC21" s="19">
        <f t="shared" si="5"/>
        <v>1062</v>
      </c>
      <c r="BD21" s="20">
        <f t="shared" si="5"/>
        <v>29412</v>
      </c>
      <c r="BE21" s="22">
        <v>55</v>
      </c>
      <c r="BF21" s="23">
        <f>BE21+'15.05'!BF21</f>
        <v>754</v>
      </c>
      <c r="BG21" s="34">
        <v>0</v>
      </c>
      <c r="BH21" s="23">
        <f>BG21+'15.05'!BH21</f>
        <v>0</v>
      </c>
      <c r="BI21" s="22">
        <v>1000</v>
      </c>
      <c r="BJ21" s="23">
        <f>BI21+'15.05'!BJ21</f>
        <v>28550</v>
      </c>
      <c r="BK21" s="22">
        <v>0</v>
      </c>
      <c r="BL21" s="23">
        <f>BK21+'15.05'!BL21</f>
        <v>0</v>
      </c>
      <c r="BM21" s="22">
        <v>7</v>
      </c>
      <c r="BN21" s="23">
        <f>BM21+'15.05'!BN21</f>
        <v>108</v>
      </c>
      <c r="BO21" s="36">
        <v>68</v>
      </c>
      <c r="BP21" s="37">
        <v>0</v>
      </c>
      <c r="BQ21" s="23">
        <f>BP21+'15.05'!BQ21</f>
        <v>29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2361</v>
      </c>
      <c r="D22" s="31">
        <f t="shared" si="0"/>
        <v>34553</v>
      </c>
      <c r="E22" s="32">
        <v>509</v>
      </c>
      <c r="F22" s="22">
        <v>401</v>
      </c>
      <c r="G22" s="23">
        <f>F22+'15.05'!G22</f>
        <v>5439</v>
      </c>
      <c r="H22" s="33">
        <v>8</v>
      </c>
      <c r="I22" s="34">
        <v>0</v>
      </c>
      <c r="J22" s="23">
        <f>I22+'15.05'!J22</f>
        <v>23</v>
      </c>
      <c r="K22" s="33">
        <v>21</v>
      </c>
      <c r="L22" s="22">
        <v>0</v>
      </c>
      <c r="M22" s="23">
        <f>L22+'15.05'!M22</f>
        <v>0</v>
      </c>
      <c r="N22" s="33">
        <v>560</v>
      </c>
      <c r="O22" s="22">
        <v>74</v>
      </c>
      <c r="P22" s="23">
        <f>O22+'15.05'!P22</f>
        <v>882</v>
      </c>
      <c r="Q22" s="33">
        <v>375</v>
      </c>
      <c r="R22" s="22">
        <v>0</v>
      </c>
      <c r="S22" s="23">
        <f>R22+'15.05'!S22</f>
        <v>0</v>
      </c>
      <c r="T22" s="33">
        <v>165</v>
      </c>
      <c r="U22" s="22">
        <v>25</v>
      </c>
      <c r="V22" s="23">
        <f>U22+'15.05'!V22</f>
        <v>376</v>
      </c>
      <c r="W22" s="33">
        <v>28</v>
      </c>
      <c r="X22" s="22">
        <v>99</v>
      </c>
      <c r="Y22" s="23">
        <f>X22+'15.05'!Y22</f>
        <v>1228</v>
      </c>
      <c r="Z22" s="33">
        <v>9</v>
      </c>
      <c r="AA22" s="22">
        <v>0</v>
      </c>
      <c r="AB22" s="23">
        <f>AA22+'15.05'!AB22</f>
        <v>0</v>
      </c>
      <c r="AC22" s="33">
        <v>112</v>
      </c>
      <c r="AD22" s="22">
        <v>1762</v>
      </c>
      <c r="AE22" s="23">
        <f>AD22+'15.05'!AE22</f>
        <v>26605</v>
      </c>
      <c r="AF22" s="19">
        <f t="shared" si="1"/>
        <v>389977</v>
      </c>
      <c r="AG22" s="20">
        <f t="shared" si="1"/>
        <v>6541574</v>
      </c>
      <c r="AH22" s="24">
        <v>2637</v>
      </c>
      <c r="AI22" s="23">
        <f>AH22+'15.05'!AI22</f>
        <v>42081</v>
      </c>
      <c r="AJ22" s="24">
        <v>7931</v>
      </c>
      <c r="AK22" s="23">
        <f>AJ22+'15.05'!AK22</f>
        <v>98259</v>
      </c>
      <c r="AL22" s="22">
        <v>12219</v>
      </c>
      <c r="AM22" s="23">
        <f>AL22+'15.05'!AM22</f>
        <v>167285</v>
      </c>
      <c r="AN22" s="22">
        <v>367190</v>
      </c>
      <c r="AO22" s="23">
        <f>AN22+'15.05'!AO22</f>
        <v>6233949</v>
      </c>
      <c r="AP22" s="28" t="s">
        <v>59</v>
      </c>
      <c r="AQ22" s="19">
        <f t="shared" si="3"/>
        <v>789</v>
      </c>
      <c r="AR22" s="20">
        <f t="shared" si="3"/>
        <v>31689</v>
      </c>
      <c r="AS22" s="34">
        <v>0</v>
      </c>
      <c r="AT22" s="23">
        <f>AS22+'15.05'!AT22</f>
        <v>5</v>
      </c>
      <c r="AU22" s="34">
        <v>0</v>
      </c>
      <c r="AV22" s="23">
        <f>AU22+'15.05'!AV22</f>
        <v>5</v>
      </c>
      <c r="AW22" s="34">
        <v>0</v>
      </c>
      <c r="AX22" s="23">
        <f>AW22+'15.05'!AX22</f>
        <v>2</v>
      </c>
      <c r="AY22" s="34">
        <v>0</v>
      </c>
      <c r="AZ22" s="23">
        <f>AY22+'15.05'!AZ22</f>
        <v>1</v>
      </c>
      <c r="BA22" s="34">
        <v>789</v>
      </c>
      <c r="BB22" s="23">
        <f>BA22+'15.05'!BB22</f>
        <v>31676</v>
      </c>
      <c r="BC22" s="19">
        <f t="shared" si="5"/>
        <v>5610</v>
      </c>
      <c r="BD22" s="20">
        <f t="shared" si="5"/>
        <v>111933</v>
      </c>
      <c r="BE22" s="22">
        <v>8</v>
      </c>
      <c r="BF22" s="23">
        <f>BE22+'15.05'!BF22</f>
        <v>86</v>
      </c>
      <c r="BG22" s="34">
        <v>49</v>
      </c>
      <c r="BH22" s="23">
        <f>BG22+'15.05'!BH22</f>
        <v>979</v>
      </c>
      <c r="BI22" s="22">
        <v>2618</v>
      </c>
      <c r="BJ22" s="23">
        <f>BI22+'15.05'!BJ22</f>
        <v>80181</v>
      </c>
      <c r="BK22" s="22">
        <v>2855</v>
      </c>
      <c r="BL22" s="23">
        <f>BK22+'15.05'!BL22</f>
        <v>29924</v>
      </c>
      <c r="BM22" s="22">
        <v>80</v>
      </c>
      <c r="BN22" s="23">
        <f>BM22+'15.05'!BN22</f>
        <v>763</v>
      </c>
      <c r="BO22" s="36">
        <v>26</v>
      </c>
      <c r="BP22" s="37">
        <v>0</v>
      </c>
      <c r="BQ22" s="23">
        <f>BP22+'15.05'!BQ22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4035</v>
      </c>
      <c r="D23" s="65">
        <f t="shared" si="0"/>
        <v>67297</v>
      </c>
      <c r="E23" s="66">
        <f>+E18+E19+E22+E17+E16+E15+E14+E13+E12+E11+E10+E9+E8</f>
        <v>7282</v>
      </c>
      <c r="F23" s="67">
        <f t="shared" ref="F23:J23" si="7">SUM(F8:F22)</f>
        <v>1371</v>
      </c>
      <c r="G23" s="68">
        <f t="shared" si="7"/>
        <v>24344</v>
      </c>
      <c r="H23" s="66">
        <f>+H18+H19+H22+H17+H16+H15+H14+H13+H12+H11+H10+H9+H8</f>
        <v>271</v>
      </c>
      <c r="I23" s="67">
        <f t="shared" si="7"/>
        <v>7</v>
      </c>
      <c r="J23" s="68">
        <f t="shared" si="7"/>
        <v>252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32</v>
      </c>
      <c r="N23" s="66">
        <f>+N18+N19+N22+N17+N16+N15+N14+N13+N12+N11+N10+N9+N8</f>
        <v>8607</v>
      </c>
      <c r="O23" s="67">
        <f t="shared" si="8"/>
        <v>163</v>
      </c>
      <c r="P23" s="68">
        <f t="shared" si="8"/>
        <v>2437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109</v>
      </c>
      <c r="T23" s="66">
        <f>+T18+T19+T22+T17+T16+T15+T14+T13+T12+T11+T10+T9+T8</f>
        <v>4115</v>
      </c>
      <c r="U23" s="67">
        <f t="shared" si="9"/>
        <v>31</v>
      </c>
      <c r="V23" s="68">
        <f t="shared" si="9"/>
        <v>630</v>
      </c>
      <c r="W23" s="66">
        <f>+W18+W19+W22+W17+W16+W15+W14+W13+W12+W11+W10+W9+W8</f>
        <v>604</v>
      </c>
      <c r="X23" s="67">
        <f t="shared" ref="X23:AB23" si="10">SUM(X8:X22)</f>
        <v>406</v>
      </c>
      <c r="Y23" s="68">
        <f t="shared" si="10"/>
        <v>6554</v>
      </c>
      <c r="Z23" s="66">
        <f>+Z18+Z19+Z22+Z17+Z16+Z15+Z14+Z13+Z12+Z11+Z10+Z9+Z8</f>
        <v>1629</v>
      </c>
      <c r="AA23" s="67">
        <f t="shared" si="10"/>
        <v>4</v>
      </c>
      <c r="AB23" s="68">
        <f t="shared" si="10"/>
        <v>59</v>
      </c>
      <c r="AC23" s="66">
        <f>+AC18+AC19+AC22+AC17+AC16+AC15+AC14+AC13+AC12+AC11+AC10+AC9+AC8</f>
        <v>64846</v>
      </c>
      <c r="AD23" s="67">
        <f t="shared" ref="AD23:AO23" si="11">SUM(AD8:AD22)</f>
        <v>2052</v>
      </c>
      <c r="AE23" s="68">
        <f t="shared" si="11"/>
        <v>32880</v>
      </c>
      <c r="AF23" s="64">
        <f t="shared" si="11"/>
        <v>4231830</v>
      </c>
      <c r="AG23" s="64">
        <f t="shared" si="11"/>
        <v>73619136</v>
      </c>
      <c r="AH23" s="67">
        <f t="shared" si="11"/>
        <v>38677</v>
      </c>
      <c r="AI23" s="68">
        <f t="shared" si="11"/>
        <v>516799</v>
      </c>
      <c r="AJ23" s="67">
        <f t="shared" si="11"/>
        <v>215161</v>
      </c>
      <c r="AK23" s="68">
        <f t="shared" si="11"/>
        <v>3740062</v>
      </c>
      <c r="AL23" s="67">
        <f t="shared" si="11"/>
        <v>1078708</v>
      </c>
      <c r="AM23" s="68">
        <f t="shared" si="11"/>
        <v>23981424</v>
      </c>
      <c r="AN23" s="67">
        <f t="shared" si="11"/>
        <v>2899284</v>
      </c>
      <c r="AO23" s="68">
        <f t="shared" si="11"/>
        <v>45380851</v>
      </c>
      <c r="AP23" s="62" t="s">
        <v>12</v>
      </c>
      <c r="AQ23" s="64">
        <f t="shared" ref="AQ23:BP23" si="12">SUM(AQ8:AQ22)</f>
        <v>1331</v>
      </c>
      <c r="AR23" s="64">
        <f t="shared" si="12"/>
        <v>40353</v>
      </c>
      <c r="AS23" s="67">
        <f t="shared" si="12"/>
        <v>3</v>
      </c>
      <c r="AT23" s="68">
        <f t="shared" si="12"/>
        <v>71</v>
      </c>
      <c r="AU23" s="67">
        <f t="shared" si="12"/>
        <v>4</v>
      </c>
      <c r="AV23" s="68">
        <f t="shared" si="12"/>
        <v>91</v>
      </c>
      <c r="AW23" s="67">
        <f t="shared" si="12"/>
        <v>0</v>
      </c>
      <c r="AX23" s="68">
        <f t="shared" si="12"/>
        <v>12</v>
      </c>
      <c r="AY23" s="67">
        <f t="shared" si="12"/>
        <v>1</v>
      </c>
      <c r="AZ23" s="68">
        <f t="shared" si="12"/>
        <v>3</v>
      </c>
      <c r="BA23" s="67">
        <f t="shared" si="12"/>
        <v>1323</v>
      </c>
      <c r="BB23" s="68">
        <f t="shared" si="12"/>
        <v>40176</v>
      </c>
      <c r="BC23" s="64">
        <f t="shared" si="12"/>
        <v>34722</v>
      </c>
      <c r="BD23" s="64">
        <f t="shared" si="12"/>
        <v>658449</v>
      </c>
      <c r="BE23" s="67">
        <f t="shared" si="12"/>
        <v>1481</v>
      </c>
      <c r="BF23" s="68">
        <f t="shared" si="12"/>
        <v>23769</v>
      </c>
      <c r="BG23" s="67">
        <f t="shared" si="12"/>
        <v>74</v>
      </c>
      <c r="BH23" s="68">
        <f t="shared" si="12"/>
        <v>1873</v>
      </c>
      <c r="BI23" s="67">
        <f t="shared" si="12"/>
        <v>25082</v>
      </c>
      <c r="BJ23" s="68">
        <f t="shared" si="12"/>
        <v>518005</v>
      </c>
      <c r="BK23" s="67">
        <f t="shared" si="12"/>
        <v>7856</v>
      </c>
      <c r="BL23" s="68">
        <f t="shared" si="12"/>
        <v>111607</v>
      </c>
      <c r="BM23" s="67">
        <f t="shared" si="12"/>
        <v>229</v>
      </c>
      <c r="BN23" s="68">
        <f t="shared" si="12"/>
        <v>3195</v>
      </c>
      <c r="BO23" s="69">
        <f t="shared" si="12"/>
        <v>37704</v>
      </c>
      <c r="BP23" s="70">
        <f t="shared" si="12"/>
        <v>12</v>
      </c>
      <c r="BQ23" s="23">
        <f>BP23+'20.04'!BP23</f>
        <v>38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C5:AE6"/>
    <mergeCell ref="BI6:BJ6"/>
    <mergeCell ref="BK6:BL6"/>
    <mergeCell ref="BM6:BN6"/>
    <mergeCell ref="B4:AE4"/>
    <mergeCell ref="AF4:AO4"/>
    <mergeCell ref="AQ4:BB4"/>
    <mergeCell ref="BC4:BN4"/>
    <mergeCell ref="AP4:AP7"/>
    <mergeCell ref="AF5:AG6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7030A0"/>
  </sheetPr>
  <dimension ref="A1:BQ23"/>
  <sheetViews>
    <sheetView zoomScale="85" zoomScaleNormal="85" workbookViewId="0">
      <pane xSplit="4" ySplit="8" topLeftCell="AO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>
        <f t="shared" si="0"/>
        <v>95</v>
      </c>
      <c r="E9" s="32">
        <v>452</v>
      </c>
      <c r="F9" s="22">
        <v>1</v>
      </c>
      <c r="G9" s="23">
        <f>F9+'16.05'!G9</f>
        <v>49</v>
      </c>
      <c r="H9" s="33">
        <v>12</v>
      </c>
      <c r="I9" s="34">
        <v>1</v>
      </c>
      <c r="J9" s="23">
        <f>I9+'16.05'!J9</f>
        <v>13</v>
      </c>
      <c r="K9" s="33">
        <v>2</v>
      </c>
      <c r="L9" s="22">
        <v>0</v>
      </c>
      <c r="M9" s="23">
        <f>L9+'16.05'!M9</f>
        <v>0</v>
      </c>
      <c r="N9" s="33">
        <v>735</v>
      </c>
      <c r="O9" s="22">
        <v>0</v>
      </c>
      <c r="P9" s="23">
        <f>O9+'16.05'!P9</f>
        <v>0</v>
      </c>
      <c r="Q9" s="33">
        <v>502</v>
      </c>
      <c r="R9" s="22">
        <v>0</v>
      </c>
      <c r="S9" s="23">
        <f>R9+'16.05'!S9</f>
        <v>0</v>
      </c>
      <c r="T9" s="33">
        <v>197</v>
      </c>
      <c r="U9" s="22">
        <v>0</v>
      </c>
      <c r="V9" s="23">
        <f>U9+'16.05'!V9</f>
        <v>0</v>
      </c>
      <c r="W9" s="33">
        <v>47</v>
      </c>
      <c r="X9" s="22">
        <v>0</v>
      </c>
      <c r="Y9" s="23">
        <f>X9+'16.05'!Y9</f>
        <v>15</v>
      </c>
      <c r="Z9" s="33">
        <v>34</v>
      </c>
      <c r="AA9" s="22">
        <v>0</v>
      </c>
      <c r="AB9" s="23">
        <f>AA9+'16.05'!AB9</f>
        <v>0</v>
      </c>
      <c r="AC9" s="33">
        <v>1860</v>
      </c>
      <c r="AD9" s="22">
        <v>0</v>
      </c>
      <c r="AE9" s="23">
        <f>AD9+'16.05'!AE9</f>
        <v>18</v>
      </c>
      <c r="AF9" s="19">
        <f t="shared" si="1"/>
        <v>6860</v>
      </c>
      <c r="AG9" s="20">
        <f t="shared" si="1"/>
        <v>149788</v>
      </c>
      <c r="AH9" s="24">
        <v>180</v>
      </c>
      <c r="AI9" s="23">
        <f>AH9+'16.05'!AI9</f>
        <v>2052</v>
      </c>
      <c r="AJ9" s="24">
        <v>280</v>
      </c>
      <c r="AK9" s="23">
        <f>AJ9+'16.05'!AK9</f>
        <v>14653</v>
      </c>
      <c r="AL9" s="22">
        <v>2600</v>
      </c>
      <c r="AM9" s="23">
        <f>AL9+'16.05'!AM9</f>
        <v>18585</v>
      </c>
      <c r="AN9" s="22">
        <v>3800</v>
      </c>
      <c r="AO9" s="23">
        <f>AN9+'16.05'!AO9</f>
        <v>114498</v>
      </c>
      <c r="AP9" s="28" t="s">
        <v>43</v>
      </c>
      <c r="AQ9" s="19">
        <f t="shared" si="3"/>
        <v>36</v>
      </c>
      <c r="AR9" s="20">
        <f t="shared" si="3"/>
        <v>2550</v>
      </c>
      <c r="AS9" s="34">
        <v>1</v>
      </c>
      <c r="AT9" s="23">
        <f>AS9+'16.05'!AT9</f>
        <v>5</v>
      </c>
      <c r="AU9" s="34">
        <v>1</v>
      </c>
      <c r="AV9" s="23">
        <f>AU9+'16.05'!AV9</f>
        <v>6</v>
      </c>
      <c r="AW9" s="34">
        <v>0</v>
      </c>
      <c r="AX9" s="23">
        <f>AW9+'16.05'!AX9</f>
        <v>3</v>
      </c>
      <c r="AY9" s="34">
        <v>0</v>
      </c>
      <c r="AZ9" s="23">
        <f>AY9+'16.05'!AZ9</f>
        <v>0</v>
      </c>
      <c r="BA9" s="34">
        <v>34</v>
      </c>
      <c r="BB9" s="23">
        <f>BA9+'16.05'!BB9</f>
        <v>2536</v>
      </c>
      <c r="BC9" s="19">
        <f t="shared" si="5"/>
        <v>421</v>
      </c>
      <c r="BD9" s="20">
        <f t="shared" si="5"/>
        <v>7709</v>
      </c>
      <c r="BE9" s="22">
        <v>1</v>
      </c>
      <c r="BF9" s="23">
        <f>BE9+'16.05'!BF9</f>
        <v>25</v>
      </c>
      <c r="BG9" s="34">
        <v>0</v>
      </c>
      <c r="BH9" s="23">
        <f>BG9+'16.05'!BH9</f>
        <v>0</v>
      </c>
      <c r="BI9" s="22">
        <v>420</v>
      </c>
      <c r="BJ9" s="23">
        <f>BI9+'16.05'!BJ9</f>
        <v>7660</v>
      </c>
      <c r="BK9" s="22">
        <v>0</v>
      </c>
      <c r="BL9" s="23">
        <f>BK9+'16.05'!BL9</f>
        <v>0</v>
      </c>
      <c r="BM9" s="22">
        <v>0</v>
      </c>
      <c r="BN9" s="23">
        <f>BM9+'16.05'!BN9</f>
        <v>24</v>
      </c>
      <c r="BO9" s="36">
        <v>14</v>
      </c>
      <c r="BP9" s="37">
        <v>0</v>
      </c>
      <c r="BQ9" s="23">
        <f>BP9+'16.05'!BQ9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63</v>
      </c>
      <c r="D10" s="31">
        <f t="shared" si="0"/>
        <v>2045</v>
      </c>
      <c r="E10" s="32">
        <v>585</v>
      </c>
      <c r="F10" s="22">
        <v>0</v>
      </c>
      <c r="G10" s="23">
        <f>F10+'16.05'!G10</f>
        <v>212</v>
      </c>
      <c r="H10" s="33">
        <v>93</v>
      </c>
      <c r="I10" s="34">
        <v>0</v>
      </c>
      <c r="J10" s="23">
        <f>I10+'16.05'!J10</f>
        <v>29</v>
      </c>
      <c r="K10" s="33">
        <v>34</v>
      </c>
      <c r="L10" s="22">
        <v>0</v>
      </c>
      <c r="M10" s="23">
        <f>L10+'16.05'!M10</f>
        <v>12</v>
      </c>
      <c r="N10" s="33">
        <v>352</v>
      </c>
      <c r="O10" s="22">
        <v>0</v>
      </c>
      <c r="P10" s="23">
        <f>O10+'16.05'!P10</f>
        <v>135</v>
      </c>
      <c r="Q10" s="33">
        <v>549</v>
      </c>
      <c r="R10" s="22">
        <v>0</v>
      </c>
      <c r="S10" s="23">
        <f>R10+'16.05'!S10</f>
        <v>91</v>
      </c>
      <c r="T10" s="33">
        <v>198</v>
      </c>
      <c r="U10" s="22">
        <v>0</v>
      </c>
      <c r="V10" s="23">
        <f>U10+'16.05'!V10</f>
        <v>63</v>
      </c>
      <c r="W10" s="38">
        <v>55</v>
      </c>
      <c r="X10" s="22">
        <v>15</v>
      </c>
      <c r="Y10" s="23">
        <f>X10+'16.05'!Y10</f>
        <v>65</v>
      </c>
      <c r="Z10" s="38">
        <v>71</v>
      </c>
      <c r="AA10" s="22">
        <v>0</v>
      </c>
      <c r="AB10" s="23">
        <f>AA10+'16.05'!AB10</f>
        <v>37</v>
      </c>
      <c r="AC10" s="38">
        <v>1690</v>
      </c>
      <c r="AD10" s="22">
        <v>48</v>
      </c>
      <c r="AE10" s="23">
        <f>AD10+'16.05'!AE10</f>
        <v>1401</v>
      </c>
      <c r="AF10" s="19">
        <f t="shared" si="1"/>
        <v>125720</v>
      </c>
      <c r="AG10" s="20">
        <f t="shared" si="1"/>
        <v>1827629</v>
      </c>
      <c r="AH10" s="24">
        <v>679</v>
      </c>
      <c r="AI10" s="23">
        <f>AH10+'16.05'!AI10</f>
        <v>19614</v>
      </c>
      <c r="AJ10" s="24">
        <v>6039</v>
      </c>
      <c r="AK10" s="23">
        <f>AJ10+'16.05'!AK10</f>
        <v>88556</v>
      </c>
      <c r="AL10" s="22">
        <v>17047</v>
      </c>
      <c r="AM10" s="23">
        <f>AL10+'16.05'!AM10</f>
        <v>201464</v>
      </c>
      <c r="AN10" s="22">
        <v>101955</v>
      </c>
      <c r="AO10" s="23">
        <f>AN10+'16.05'!AO10</f>
        <v>1517995</v>
      </c>
      <c r="AP10" s="28" t="s">
        <v>44</v>
      </c>
      <c r="AQ10" s="19">
        <f t="shared" si="3"/>
        <v>3</v>
      </c>
      <c r="AR10" s="20">
        <f t="shared" si="3"/>
        <v>78</v>
      </c>
      <c r="AS10" s="34">
        <v>0</v>
      </c>
      <c r="AT10" s="23">
        <f>AS10+'16.05'!AT10</f>
        <v>3</v>
      </c>
      <c r="AU10" s="34">
        <v>0</v>
      </c>
      <c r="AV10" s="23">
        <f>AU10+'16.05'!AV10</f>
        <v>3</v>
      </c>
      <c r="AW10" s="34">
        <v>0</v>
      </c>
      <c r="AX10" s="23">
        <f>AW10+'16.05'!AX10</f>
        <v>0</v>
      </c>
      <c r="AY10" s="34">
        <v>0</v>
      </c>
      <c r="AZ10" s="23">
        <f>AY10+'16.05'!AZ10</f>
        <v>0</v>
      </c>
      <c r="BA10" s="34">
        <v>3</v>
      </c>
      <c r="BB10" s="23">
        <f>BA10+'16.05'!BB10</f>
        <v>72</v>
      </c>
      <c r="BC10" s="19">
        <f t="shared" si="5"/>
        <v>4479</v>
      </c>
      <c r="BD10" s="20">
        <f t="shared" si="5"/>
        <v>79692</v>
      </c>
      <c r="BE10" s="22">
        <v>576</v>
      </c>
      <c r="BF10" s="23">
        <f>BE10+'16.05'!BF10</f>
        <v>8953</v>
      </c>
      <c r="BG10" s="34">
        <v>4</v>
      </c>
      <c r="BH10" s="23">
        <f>BG10+'16.05'!BH10</f>
        <v>17</v>
      </c>
      <c r="BI10" s="22">
        <v>2274</v>
      </c>
      <c r="BJ10" s="23">
        <f>BI10+'16.05'!BJ10</f>
        <v>40626</v>
      </c>
      <c r="BK10" s="22">
        <v>1625</v>
      </c>
      <c r="BL10" s="23">
        <f>BK10+'16.05'!BL10</f>
        <v>30093</v>
      </c>
      <c r="BM10" s="22">
        <v>0</v>
      </c>
      <c r="BN10" s="23">
        <f>BM10+'16.05'!BN10</f>
        <v>3</v>
      </c>
      <c r="BO10" s="36">
        <v>32</v>
      </c>
      <c r="BP10" s="37">
        <v>0</v>
      </c>
      <c r="BQ10" s="23">
        <f>BP10+'16.05'!BQ10</f>
        <v>11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627</v>
      </c>
      <c r="E11" s="32">
        <v>883</v>
      </c>
      <c r="F11" s="22">
        <v>14</v>
      </c>
      <c r="G11" s="23">
        <f>F11+'16.05'!G11</f>
        <v>311</v>
      </c>
      <c r="H11" s="33">
        <v>16</v>
      </c>
      <c r="I11" s="34">
        <v>0</v>
      </c>
      <c r="J11" s="23">
        <f>I11+'16.05'!J11</f>
        <v>0</v>
      </c>
      <c r="K11" s="33">
        <v>3</v>
      </c>
      <c r="L11" s="22">
        <v>0</v>
      </c>
      <c r="M11" s="23">
        <f>L11+'16.05'!M11</f>
        <v>0</v>
      </c>
      <c r="N11" s="33">
        <v>875</v>
      </c>
      <c r="O11" s="22">
        <v>0</v>
      </c>
      <c r="P11" s="23">
        <f>O11+'16.05'!P11</f>
        <v>0</v>
      </c>
      <c r="Q11" s="33">
        <v>2424</v>
      </c>
      <c r="R11" s="22">
        <v>0</v>
      </c>
      <c r="S11" s="23">
        <f>R11+'16.05'!S11</f>
        <v>0</v>
      </c>
      <c r="T11" s="33">
        <v>69</v>
      </c>
      <c r="U11" s="22">
        <v>0</v>
      </c>
      <c r="V11" s="23">
        <f>U11+'16.05'!V11</f>
        <v>0</v>
      </c>
      <c r="W11" s="38">
        <v>133</v>
      </c>
      <c r="X11" s="22">
        <v>17</v>
      </c>
      <c r="Y11" s="23">
        <f>X11+'16.05'!Y11</f>
        <v>290</v>
      </c>
      <c r="Z11" s="38">
        <v>1116</v>
      </c>
      <c r="AA11" s="22">
        <v>0</v>
      </c>
      <c r="AB11" s="23">
        <f>AA11+'16.05'!AB11</f>
        <v>0</v>
      </c>
      <c r="AC11" s="38">
        <v>9862</v>
      </c>
      <c r="AD11" s="22">
        <v>1</v>
      </c>
      <c r="AE11" s="23">
        <f>AD11+'16.05'!AE11</f>
        <v>26</v>
      </c>
      <c r="AF11" s="19">
        <f t="shared" si="1"/>
        <v>17800</v>
      </c>
      <c r="AG11" s="20">
        <f t="shared" si="1"/>
        <v>343000</v>
      </c>
      <c r="AH11" s="24">
        <v>2400</v>
      </c>
      <c r="AI11" s="23">
        <f>AH11+'16.05'!AI11</f>
        <v>41500</v>
      </c>
      <c r="AJ11" s="24">
        <v>2700</v>
      </c>
      <c r="AK11" s="23">
        <f>AJ11+'16.05'!AK11</f>
        <v>45900</v>
      </c>
      <c r="AL11" s="22">
        <v>3000</v>
      </c>
      <c r="AM11" s="23">
        <f>AL11+'16.05'!AM11</f>
        <v>81500</v>
      </c>
      <c r="AN11" s="22">
        <v>9700</v>
      </c>
      <c r="AO11" s="23">
        <f>AN11+'16.05'!AO11</f>
        <v>174100</v>
      </c>
      <c r="AP11" s="28" t="s">
        <v>45</v>
      </c>
      <c r="AQ11" s="19">
        <f t="shared" si="3"/>
        <v>3</v>
      </c>
      <c r="AR11" s="20">
        <f t="shared" si="3"/>
        <v>43</v>
      </c>
      <c r="AS11" s="34">
        <v>0</v>
      </c>
      <c r="AT11" s="23">
        <f>AS11+'16.05'!AT11</f>
        <v>0</v>
      </c>
      <c r="AU11" s="34">
        <v>0</v>
      </c>
      <c r="AV11" s="23">
        <f>AU11+'16.05'!AV11</f>
        <v>0</v>
      </c>
      <c r="AW11" s="34">
        <v>0</v>
      </c>
      <c r="AX11" s="23">
        <f>AW11+'16.05'!AX11</f>
        <v>0</v>
      </c>
      <c r="AY11" s="34">
        <v>0</v>
      </c>
      <c r="AZ11" s="23">
        <f>AY11+'16.05'!AZ11</f>
        <v>0</v>
      </c>
      <c r="BA11" s="34">
        <v>3</v>
      </c>
      <c r="BB11" s="23">
        <f>BA11+'16.05'!BB11</f>
        <v>43</v>
      </c>
      <c r="BC11" s="19">
        <f t="shared" si="5"/>
        <v>565</v>
      </c>
      <c r="BD11" s="20">
        <f t="shared" si="5"/>
        <v>11450</v>
      </c>
      <c r="BE11" s="22">
        <v>1</v>
      </c>
      <c r="BF11" s="23">
        <f>BE11+'16.05'!BF11</f>
        <v>28</v>
      </c>
      <c r="BG11" s="34">
        <v>2</v>
      </c>
      <c r="BH11" s="23">
        <f>BG11+'16.05'!BH11</f>
        <v>49</v>
      </c>
      <c r="BI11" s="22">
        <v>550</v>
      </c>
      <c r="BJ11" s="23">
        <f>BI11+'16.05'!BJ11</f>
        <v>11082</v>
      </c>
      <c r="BK11" s="22">
        <v>10</v>
      </c>
      <c r="BL11" s="23">
        <f>BK11+'16.05'!BL11</f>
        <v>264</v>
      </c>
      <c r="BM11" s="22">
        <v>2</v>
      </c>
      <c r="BN11" s="23">
        <f>BM11+'16.05'!BN11</f>
        <v>27</v>
      </c>
      <c r="BO11" s="36">
        <v>11506</v>
      </c>
      <c r="BP11" s="37">
        <v>3</v>
      </c>
      <c r="BQ11" s="23">
        <f>BP11+'16.05'!BQ11</f>
        <v>47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237</v>
      </c>
      <c r="D12" s="31">
        <f t="shared" si="0"/>
        <v>3665</v>
      </c>
      <c r="E12" s="32">
        <v>909</v>
      </c>
      <c r="F12" s="22">
        <v>50</v>
      </c>
      <c r="G12" s="23">
        <f>F12+'16.05'!G12</f>
        <v>839</v>
      </c>
      <c r="H12" s="33">
        <v>80</v>
      </c>
      <c r="I12" s="34">
        <v>3</v>
      </c>
      <c r="J12" s="23">
        <f>I12+'16.05'!J12</f>
        <v>37</v>
      </c>
      <c r="K12" s="33">
        <v>5</v>
      </c>
      <c r="L12" s="22">
        <v>0</v>
      </c>
      <c r="M12" s="23">
        <f>L12+'16.05'!M12</f>
        <v>0</v>
      </c>
      <c r="N12" s="33">
        <v>820</v>
      </c>
      <c r="O12" s="22">
        <v>18</v>
      </c>
      <c r="P12" s="23">
        <f>O12+'16.05'!P12</f>
        <v>281</v>
      </c>
      <c r="Q12" s="33">
        <v>549</v>
      </c>
      <c r="R12" s="22">
        <v>0</v>
      </c>
      <c r="S12" s="23">
        <f>R12+'16.05'!S12</f>
        <v>0</v>
      </c>
      <c r="T12" s="33">
        <v>992</v>
      </c>
      <c r="U12" s="22">
        <v>0</v>
      </c>
      <c r="V12" s="23">
        <f>U12+'16.05'!V12</f>
        <v>0</v>
      </c>
      <c r="W12" s="33">
        <v>38</v>
      </c>
      <c r="X12" s="22">
        <v>130</v>
      </c>
      <c r="Y12" s="23">
        <f>X12+'16.05'!Y12</f>
        <v>1915</v>
      </c>
      <c r="Z12" s="33">
        <v>68</v>
      </c>
      <c r="AA12" s="22">
        <v>0</v>
      </c>
      <c r="AB12" s="23">
        <f>AA12+'16.05'!AB12</f>
        <v>0</v>
      </c>
      <c r="AC12" s="33">
        <v>26703</v>
      </c>
      <c r="AD12" s="22">
        <v>36</v>
      </c>
      <c r="AE12" s="23">
        <f>AD12+'16.05'!AE12</f>
        <v>593</v>
      </c>
      <c r="AF12" s="19">
        <f t="shared" si="1"/>
        <v>27205</v>
      </c>
      <c r="AG12" s="20">
        <f t="shared" si="1"/>
        <v>259439</v>
      </c>
      <c r="AH12" s="24">
        <v>6000</v>
      </c>
      <c r="AI12" s="23">
        <f>AH12+'16.05'!AI12</f>
        <v>40660</v>
      </c>
      <c r="AJ12" s="24">
        <v>9600</v>
      </c>
      <c r="AK12" s="23">
        <f>AJ12+'16.05'!AK12</f>
        <v>77698</v>
      </c>
      <c r="AL12" s="22">
        <v>5802</v>
      </c>
      <c r="AM12" s="23">
        <f>AL12+'16.05'!AM12</f>
        <v>70539</v>
      </c>
      <c r="AN12" s="22">
        <v>5803</v>
      </c>
      <c r="AO12" s="23">
        <f>AN12+'16.05'!AO12</f>
        <v>70542</v>
      </c>
      <c r="AP12" s="28" t="s">
        <v>46</v>
      </c>
      <c r="AQ12" s="19">
        <f t="shared" si="3"/>
        <v>121</v>
      </c>
      <c r="AR12" s="20">
        <f t="shared" si="3"/>
        <v>1442</v>
      </c>
      <c r="AS12" s="34">
        <v>0</v>
      </c>
      <c r="AT12" s="23">
        <f>AS12+'16.05'!AT12</f>
        <v>0</v>
      </c>
      <c r="AU12" s="34">
        <v>0</v>
      </c>
      <c r="AV12" s="23">
        <f>AU12+'16.05'!AV12</f>
        <v>0</v>
      </c>
      <c r="AW12" s="34">
        <v>0</v>
      </c>
      <c r="AX12" s="23">
        <f>AW12+'16.05'!AX12</f>
        <v>0</v>
      </c>
      <c r="AY12" s="34">
        <v>0</v>
      </c>
      <c r="AZ12" s="23">
        <f>AY12+'16.05'!AZ12</f>
        <v>0</v>
      </c>
      <c r="BA12" s="34">
        <v>121</v>
      </c>
      <c r="BB12" s="23">
        <f>BA12+'16.05'!BB12</f>
        <v>1442</v>
      </c>
      <c r="BC12" s="19">
        <f t="shared" si="5"/>
        <v>3332</v>
      </c>
      <c r="BD12" s="20">
        <f t="shared" si="5"/>
        <v>48147</v>
      </c>
      <c r="BE12" s="22">
        <v>96</v>
      </c>
      <c r="BF12" s="23">
        <f>BE12+'16.05'!BF12</f>
        <v>3128</v>
      </c>
      <c r="BG12" s="34">
        <v>15</v>
      </c>
      <c r="BH12" s="23">
        <f>BG12+'16.05'!BH12</f>
        <v>146</v>
      </c>
      <c r="BI12" s="22">
        <v>2700</v>
      </c>
      <c r="BJ12" s="23">
        <f>BI12+'16.05'!BJ12</f>
        <v>39300</v>
      </c>
      <c r="BK12" s="22">
        <v>450</v>
      </c>
      <c r="BL12" s="23">
        <f>BK12+'16.05'!BL12</f>
        <v>4750</v>
      </c>
      <c r="BM12" s="22">
        <v>71</v>
      </c>
      <c r="BN12" s="23">
        <f>BM12+'16.05'!BN12</f>
        <v>823</v>
      </c>
      <c r="BO12" s="36"/>
      <c r="BP12" s="37">
        <v>3</v>
      </c>
      <c r="BQ12" s="23">
        <f>BP12+'16.05'!BQ12</f>
        <v>29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>
        <f t="shared" si="0"/>
        <v>271</v>
      </c>
      <c r="E13" s="32">
        <v>516</v>
      </c>
      <c r="F13" s="22">
        <v>0</v>
      </c>
      <c r="G13" s="23">
        <f>F13+'16.05'!G13</f>
        <v>17</v>
      </c>
      <c r="H13" s="33">
        <v>10</v>
      </c>
      <c r="I13" s="34">
        <v>0</v>
      </c>
      <c r="J13" s="23">
        <f>I13+'16.05'!J13</f>
        <v>7</v>
      </c>
      <c r="K13" s="33">
        <v>38</v>
      </c>
      <c r="L13" s="22">
        <v>0</v>
      </c>
      <c r="M13" s="23">
        <f>L13+'16.05'!M13</f>
        <v>0</v>
      </c>
      <c r="N13" s="33">
        <v>581</v>
      </c>
      <c r="O13" s="22">
        <v>0</v>
      </c>
      <c r="P13" s="23">
        <f>O13+'16.05'!P13</f>
        <v>8</v>
      </c>
      <c r="Q13" s="33">
        <v>525</v>
      </c>
      <c r="R13" s="22">
        <v>0</v>
      </c>
      <c r="S13" s="23">
        <f>R13+'16.05'!S13</f>
        <v>0</v>
      </c>
      <c r="T13" s="33">
        <v>263</v>
      </c>
      <c r="U13" s="22">
        <v>0</v>
      </c>
      <c r="V13" s="23">
        <f>U13+'16.05'!V13</f>
        <v>0</v>
      </c>
      <c r="W13" s="33">
        <v>43</v>
      </c>
      <c r="X13" s="22">
        <v>1</v>
      </c>
      <c r="Y13" s="23">
        <f>X13+'16.05'!Y13</f>
        <v>1</v>
      </c>
      <c r="Z13" s="33">
        <v>17</v>
      </c>
      <c r="AA13" s="22">
        <v>0</v>
      </c>
      <c r="AB13" s="23">
        <f>AA13+'16.05'!AB13</f>
        <v>0</v>
      </c>
      <c r="AC13" s="33">
        <v>51</v>
      </c>
      <c r="AD13" s="22">
        <v>1</v>
      </c>
      <c r="AE13" s="23">
        <f>AD13+'16.05'!AE13</f>
        <v>238</v>
      </c>
      <c r="AF13" s="19">
        <f t="shared" si="1"/>
        <v>310000</v>
      </c>
      <c r="AG13" s="20">
        <f t="shared" si="1"/>
        <v>4369000</v>
      </c>
      <c r="AH13" s="24">
        <v>10000</v>
      </c>
      <c r="AI13" s="23">
        <f>AH13+'16.05'!AI13</f>
        <v>58000</v>
      </c>
      <c r="AJ13" s="24">
        <v>80000</v>
      </c>
      <c r="AK13" s="23">
        <f>AJ13+'16.05'!AK13</f>
        <v>382000</v>
      </c>
      <c r="AL13" s="22">
        <v>20000</v>
      </c>
      <c r="AM13" s="23">
        <f>AL13+'16.05'!AM13</f>
        <v>370000</v>
      </c>
      <c r="AN13" s="22">
        <v>200000</v>
      </c>
      <c r="AO13" s="23">
        <f>AN13+'16.05'!AO13</f>
        <v>3559000</v>
      </c>
      <c r="AP13" s="28" t="s">
        <v>47</v>
      </c>
      <c r="AQ13" s="19">
        <f t="shared" si="3"/>
        <v>16</v>
      </c>
      <c r="AR13" s="20">
        <f t="shared" si="3"/>
        <v>436</v>
      </c>
      <c r="AS13" s="34">
        <v>0</v>
      </c>
      <c r="AT13" s="23">
        <f>AS13+'16.05'!AT13</f>
        <v>14</v>
      </c>
      <c r="AU13" s="34">
        <v>1</v>
      </c>
      <c r="AV13" s="23">
        <f>AU13+'16.05'!AV13</f>
        <v>16</v>
      </c>
      <c r="AW13" s="34">
        <v>0</v>
      </c>
      <c r="AX13" s="23">
        <f>AW13+'16.05'!AX13</f>
        <v>0</v>
      </c>
      <c r="AY13" s="34">
        <v>0</v>
      </c>
      <c r="AZ13" s="23">
        <f>AY13+'16.05'!AZ13</f>
        <v>0</v>
      </c>
      <c r="BA13" s="34">
        <v>15</v>
      </c>
      <c r="BB13" s="23">
        <f>BA13+'16.05'!BB13</f>
        <v>406</v>
      </c>
      <c r="BC13" s="19">
        <f t="shared" si="5"/>
        <v>31533</v>
      </c>
      <c r="BD13" s="20">
        <f t="shared" si="5"/>
        <v>202141</v>
      </c>
      <c r="BE13" s="22">
        <v>516</v>
      </c>
      <c r="BF13" s="23">
        <f>BE13+'16.05'!BF13</f>
        <v>8772</v>
      </c>
      <c r="BG13" s="34">
        <v>7</v>
      </c>
      <c r="BH13" s="23">
        <f>BG13+'16.05'!BH13</f>
        <v>248</v>
      </c>
      <c r="BI13" s="22">
        <v>30000</v>
      </c>
      <c r="BJ13" s="23">
        <f>BI13+'16.05'!BJ13</f>
        <v>188500</v>
      </c>
      <c r="BK13" s="22">
        <v>1000</v>
      </c>
      <c r="BL13" s="23">
        <f>BK13+'16.05'!BL13</f>
        <v>3920</v>
      </c>
      <c r="BM13" s="22">
        <v>10</v>
      </c>
      <c r="BN13" s="23">
        <f>BM13+'16.05'!BN13</f>
        <v>701</v>
      </c>
      <c r="BO13" s="36"/>
      <c r="BP13" s="37">
        <v>1</v>
      </c>
      <c r="BQ13" s="23">
        <f>BP13+'16.05'!BQ13</f>
        <v>11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0"/>
        <v>82</v>
      </c>
      <c r="D14" s="42">
        <f t="shared" si="0"/>
        <v>1908</v>
      </c>
      <c r="E14" s="43">
        <v>304</v>
      </c>
      <c r="F14" s="22">
        <v>76</v>
      </c>
      <c r="G14" s="23">
        <f>F14+'16.05'!G14</f>
        <v>1598</v>
      </c>
      <c r="H14" s="44">
        <v>5</v>
      </c>
      <c r="I14" s="45">
        <v>0</v>
      </c>
      <c r="J14" s="23">
        <f>I14+'16.05'!J14</f>
        <v>0</v>
      </c>
      <c r="K14" s="44">
        <v>34</v>
      </c>
      <c r="L14" s="22">
        <v>0</v>
      </c>
      <c r="M14" s="23">
        <f>L14+'16.05'!M14</f>
        <v>0</v>
      </c>
      <c r="N14" s="44">
        <v>583</v>
      </c>
      <c r="O14" s="22">
        <v>0</v>
      </c>
      <c r="P14" s="23">
        <f>O14+'16.05'!P14</f>
        <v>0</v>
      </c>
      <c r="Q14" s="44">
        <v>254</v>
      </c>
      <c r="R14" s="22">
        <v>0</v>
      </c>
      <c r="S14" s="23">
        <f>R14+'16.05'!S14</f>
        <v>0</v>
      </c>
      <c r="T14" s="44">
        <v>196</v>
      </c>
      <c r="U14" s="22">
        <v>0</v>
      </c>
      <c r="V14" s="23">
        <f>U14+'16.05'!V14</f>
        <v>0</v>
      </c>
      <c r="W14" s="44">
        <v>30</v>
      </c>
      <c r="X14" s="22">
        <v>6</v>
      </c>
      <c r="Y14" s="23">
        <f>X14+'16.05'!Y14</f>
        <v>236</v>
      </c>
      <c r="Z14" s="44">
        <v>10</v>
      </c>
      <c r="AA14" s="22">
        <v>0</v>
      </c>
      <c r="AB14" s="23">
        <f>AA14+'16.05'!AB14</f>
        <v>0</v>
      </c>
      <c r="AC14" s="44">
        <v>2500</v>
      </c>
      <c r="AD14" s="22">
        <v>0</v>
      </c>
      <c r="AE14" s="23">
        <f>AD14+'16.05'!AE14</f>
        <v>74</v>
      </c>
      <c r="AF14" s="19">
        <f t="shared" si="1"/>
        <v>97300</v>
      </c>
      <c r="AG14" s="20">
        <f t="shared" si="1"/>
        <v>1811040</v>
      </c>
      <c r="AH14" s="24">
        <v>2400</v>
      </c>
      <c r="AI14" s="23">
        <f>AH14+'16.05'!AI14</f>
        <v>55360</v>
      </c>
      <c r="AJ14" s="24">
        <v>5100</v>
      </c>
      <c r="AK14" s="23">
        <f>AJ14+'16.05'!AK14</f>
        <v>104250</v>
      </c>
      <c r="AL14" s="22">
        <v>7200</v>
      </c>
      <c r="AM14" s="23">
        <f>AL14+'16.05'!AM14</f>
        <v>116650</v>
      </c>
      <c r="AN14" s="22">
        <v>82600</v>
      </c>
      <c r="AO14" s="23">
        <f>AN14+'16.05'!AO14</f>
        <v>1534780</v>
      </c>
      <c r="AP14" s="39" t="s">
        <v>48</v>
      </c>
      <c r="AQ14" s="19">
        <f t="shared" si="3"/>
        <v>1</v>
      </c>
      <c r="AR14" s="20">
        <f t="shared" si="3"/>
        <v>61</v>
      </c>
      <c r="AS14" s="45">
        <v>0</v>
      </c>
      <c r="AT14" s="23">
        <f>AS14+'16.05'!AT14</f>
        <v>0</v>
      </c>
      <c r="AU14" s="45">
        <v>0</v>
      </c>
      <c r="AV14" s="23">
        <f>AU14+'16.05'!AV14</f>
        <v>4</v>
      </c>
      <c r="AW14" s="45">
        <v>0</v>
      </c>
      <c r="AX14" s="23">
        <f>AW14+'16.05'!AX14</f>
        <v>3</v>
      </c>
      <c r="AY14" s="45">
        <v>0</v>
      </c>
      <c r="AZ14" s="23">
        <f>AY14+'16.05'!AZ14</f>
        <v>1</v>
      </c>
      <c r="BA14" s="45">
        <v>1</v>
      </c>
      <c r="BB14" s="23">
        <f>BA14+'16.05'!BB14</f>
        <v>53</v>
      </c>
      <c r="BC14" s="19">
        <f t="shared" si="5"/>
        <v>889</v>
      </c>
      <c r="BD14" s="20">
        <f t="shared" si="5"/>
        <v>40022</v>
      </c>
      <c r="BE14" s="22">
        <v>1</v>
      </c>
      <c r="BF14" s="23">
        <f>BE14+'16.05'!BF14</f>
        <v>56</v>
      </c>
      <c r="BG14" s="45">
        <v>1</v>
      </c>
      <c r="BH14" s="23">
        <f>BG14+'16.05'!BH14</f>
        <v>27</v>
      </c>
      <c r="BI14" s="22">
        <v>880</v>
      </c>
      <c r="BJ14" s="23">
        <f>BI14+'16.05'!BJ14</f>
        <v>39830</v>
      </c>
      <c r="BK14" s="22">
        <v>6</v>
      </c>
      <c r="BL14" s="23">
        <f>BK14+'16.05'!BL14</f>
        <v>75</v>
      </c>
      <c r="BM14" s="22">
        <v>1</v>
      </c>
      <c r="BN14" s="23">
        <f>BM14+'16.05'!BN14</f>
        <v>34</v>
      </c>
      <c r="BO14" s="48">
        <v>22</v>
      </c>
      <c r="BP14" s="49">
        <v>0</v>
      </c>
      <c r="BQ14" s="23">
        <f>BP14+'16.05'!BQ14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441</v>
      </c>
      <c r="D15" s="53">
        <f t="shared" si="0"/>
        <v>7444</v>
      </c>
      <c r="E15" s="54">
        <v>776</v>
      </c>
      <c r="F15" s="55">
        <v>353</v>
      </c>
      <c r="G15" s="23">
        <f>F15+'16.05'!G15</f>
        <v>5751</v>
      </c>
      <c r="H15" s="56">
        <v>9</v>
      </c>
      <c r="I15" s="57">
        <v>0</v>
      </c>
      <c r="J15" s="23">
        <f>I15+'16.05'!J15</f>
        <v>0</v>
      </c>
      <c r="K15" s="56">
        <v>6</v>
      </c>
      <c r="L15" s="55">
        <v>0</v>
      </c>
      <c r="M15" s="23">
        <f>L15+'16.05'!M15</f>
        <v>0</v>
      </c>
      <c r="N15" s="56">
        <v>1305</v>
      </c>
      <c r="O15" s="55">
        <v>0</v>
      </c>
      <c r="P15" s="23">
        <f>O15+'16.05'!P15</f>
        <v>0</v>
      </c>
      <c r="Q15" s="56">
        <v>447</v>
      </c>
      <c r="R15" s="55">
        <v>0</v>
      </c>
      <c r="S15" s="23">
        <f>R15+'16.05'!S15</f>
        <v>0</v>
      </c>
      <c r="T15" s="56">
        <v>337</v>
      </c>
      <c r="U15" s="55">
        <v>0</v>
      </c>
      <c r="V15" s="23">
        <f>U15+'16.05'!V15</f>
        <v>0</v>
      </c>
      <c r="W15" s="56">
        <v>78</v>
      </c>
      <c r="X15" s="55">
        <v>0</v>
      </c>
      <c r="Y15" s="23">
        <f>X15+'16.05'!Y15</f>
        <v>0</v>
      </c>
      <c r="Z15" s="56">
        <v>141</v>
      </c>
      <c r="AA15" s="55">
        <v>0</v>
      </c>
      <c r="AB15" s="23">
        <f>AA15+'16.05'!AB15</f>
        <v>0</v>
      </c>
      <c r="AC15" s="56">
        <v>798</v>
      </c>
      <c r="AD15" s="55">
        <v>88</v>
      </c>
      <c r="AE15" s="23">
        <f>AD15+'16.05'!AE15</f>
        <v>1693</v>
      </c>
      <c r="AF15" s="58">
        <f t="shared" si="1"/>
        <v>1897163</v>
      </c>
      <c r="AG15" s="59">
        <f t="shared" si="1"/>
        <v>38353386</v>
      </c>
      <c r="AH15" s="60">
        <v>953</v>
      </c>
      <c r="AI15" s="23">
        <f>AH15+'16.05'!AI15</f>
        <v>14495</v>
      </c>
      <c r="AJ15" s="60">
        <v>2338</v>
      </c>
      <c r="AK15" s="23">
        <f>AJ15+'16.05'!AK15</f>
        <v>49377</v>
      </c>
      <c r="AL15" s="55">
        <v>946936</v>
      </c>
      <c r="AM15" s="23">
        <f>AL15+'16.05'!AM15</f>
        <v>23494757</v>
      </c>
      <c r="AN15" s="55">
        <v>946936</v>
      </c>
      <c r="AO15" s="23">
        <f>AN15+'16.05'!AO15</f>
        <v>14794757</v>
      </c>
      <c r="AP15" s="50" t="s">
        <v>49</v>
      </c>
      <c r="AQ15" s="58">
        <f t="shared" si="3"/>
        <v>1</v>
      </c>
      <c r="AR15" s="59">
        <f t="shared" si="3"/>
        <v>45</v>
      </c>
      <c r="AS15" s="57">
        <v>0</v>
      </c>
      <c r="AT15" s="23">
        <f>AS15+'16.05'!AT15</f>
        <v>2</v>
      </c>
      <c r="AU15" s="57">
        <v>0</v>
      </c>
      <c r="AV15" s="23">
        <f>AU15+'16.05'!AV15</f>
        <v>4</v>
      </c>
      <c r="AW15" s="57">
        <v>0</v>
      </c>
      <c r="AX15" s="23">
        <f>AW15+'16.05'!AX15</f>
        <v>3</v>
      </c>
      <c r="AY15" s="57">
        <v>0</v>
      </c>
      <c r="AZ15" s="23">
        <f>AY15+'16.05'!AZ15</f>
        <v>1</v>
      </c>
      <c r="BA15" s="57">
        <v>1</v>
      </c>
      <c r="BB15" s="23">
        <f>BA15+'16.05'!BB15</f>
        <v>35</v>
      </c>
      <c r="BC15" s="58">
        <f t="shared" si="5"/>
        <v>1661</v>
      </c>
      <c r="BD15" s="59">
        <f t="shared" si="5"/>
        <v>25813</v>
      </c>
      <c r="BE15" s="55">
        <v>91</v>
      </c>
      <c r="BF15" s="23">
        <f>BE15+'16.05'!BF15</f>
        <v>1273</v>
      </c>
      <c r="BG15" s="57">
        <v>0</v>
      </c>
      <c r="BH15" s="23">
        <f>BG15+'16.05'!BH15</f>
        <v>23</v>
      </c>
      <c r="BI15" s="55">
        <v>793</v>
      </c>
      <c r="BJ15" s="23">
        <f>BI15+'16.05'!BJ15</f>
        <v>12286</v>
      </c>
      <c r="BK15" s="55">
        <v>761</v>
      </c>
      <c r="BL15" s="23">
        <f>BK15+'16.05'!BL15</f>
        <v>11956</v>
      </c>
      <c r="BM15" s="55">
        <v>16</v>
      </c>
      <c r="BN15" s="23">
        <f>BM15+'16.05'!BN15</f>
        <v>275</v>
      </c>
      <c r="BO15" s="36">
        <v>6274</v>
      </c>
      <c r="BP15" s="37">
        <v>0</v>
      </c>
      <c r="BQ15" s="23">
        <f>BP15+'16.05'!BQ15</f>
        <v>11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141</v>
      </c>
      <c r="D16" s="31">
        <f t="shared" si="0"/>
        <v>2323</v>
      </c>
      <c r="E16" s="32">
        <v>310</v>
      </c>
      <c r="F16" s="22">
        <v>46</v>
      </c>
      <c r="G16" s="23">
        <f>F16+'16.05'!G16</f>
        <v>804</v>
      </c>
      <c r="H16" s="33">
        <v>5</v>
      </c>
      <c r="I16" s="34">
        <v>0</v>
      </c>
      <c r="J16" s="23">
        <f>I16+'16.05'!J16</f>
        <v>0</v>
      </c>
      <c r="K16" s="33">
        <v>3</v>
      </c>
      <c r="L16" s="22">
        <v>0</v>
      </c>
      <c r="M16" s="23">
        <f>L16+'16.05'!M16</f>
        <v>0</v>
      </c>
      <c r="N16" s="33">
        <v>384</v>
      </c>
      <c r="O16" s="22">
        <v>0</v>
      </c>
      <c r="P16" s="23">
        <f>O16+'16.05'!P16</f>
        <v>0</v>
      </c>
      <c r="Q16" s="33">
        <v>245</v>
      </c>
      <c r="R16" s="22">
        <v>0</v>
      </c>
      <c r="S16" s="23">
        <f>R16+'16.05'!S16</f>
        <v>0</v>
      </c>
      <c r="T16" s="33">
        <v>397</v>
      </c>
      <c r="U16" s="22">
        <v>0</v>
      </c>
      <c r="V16" s="23">
        <f>U16+'16.05'!V16</f>
        <v>0</v>
      </c>
      <c r="W16" s="33">
        <v>24</v>
      </c>
      <c r="X16" s="22">
        <v>54</v>
      </c>
      <c r="Y16" s="23">
        <f>X16+'16.05'!Y16</f>
        <v>823</v>
      </c>
      <c r="Z16" s="33">
        <v>18</v>
      </c>
      <c r="AA16" s="22">
        <v>0</v>
      </c>
      <c r="AB16" s="23">
        <f>AA16+'16.05'!AB16</f>
        <v>0</v>
      </c>
      <c r="AC16" s="33">
        <v>18515</v>
      </c>
      <c r="AD16" s="22">
        <v>41</v>
      </c>
      <c r="AE16" s="23">
        <f>AD16+'16.05'!AE16</f>
        <v>696</v>
      </c>
      <c r="AF16" s="19">
        <f t="shared" si="1"/>
        <v>67599</v>
      </c>
      <c r="AG16" s="20">
        <f t="shared" si="1"/>
        <v>1017156</v>
      </c>
      <c r="AH16" s="24">
        <v>157</v>
      </c>
      <c r="AI16" s="23">
        <f>AH16+'16.05'!AI16</f>
        <v>2715</v>
      </c>
      <c r="AJ16" s="24">
        <v>1367</v>
      </c>
      <c r="AK16" s="23">
        <f>AJ16+'16.05'!AK16</f>
        <v>22342</v>
      </c>
      <c r="AL16" s="22">
        <v>1451</v>
      </c>
      <c r="AM16" s="23">
        <f>AL16+'16.05'!AM16</f>
        <v>26173</v>
      </c>
      <c r="AN16" s="22">
        <v>64624</v>
      </c>
      <c r="AO16" s="23">
        <f>AN16+'16.05'!AO16</f>
        <v>965926</v>
      </c>
      <c r="AP16" s="28" t="s">
        <v>51</v>
      </c>
      <c r="AQ16" s="19">
        <f t="shared" si="3"/>
        <v>79</v>
      </c>
      <c r="AR16" s="20">
        <f t="shared" si="3"/>
        <v>1285</v>
      </c>
      <c r="AS16" s="34">
        <v>0</v>
      </c>
      <c r="AT16" s="23">
        <f>AS16+'16.05'!AT16</f>
        <v>2</v>
      </c>
      <c r="AU16" s="34">
        <v>0</v>
      </c>
      <c r="AV16" s="23">
        <f>AU16+'16.05'!AV16</f>
        <v>0</v>
      </c>
      <c r="AW16" s="34">
        <v>0</v>
      </c>
      <c r="AX16" s="23">
        <f>AW16+'16.05'!AX16</f>
        <v>0</v>
      </c>
      <c r="AY16" s="34">
        <v>0</v>
      </c>
      <c r="AZ16" s="23">
        <f>AY16+'16.05'!AZ16</f>
        <v>0</v>
      </c>
      <c r="BA16" s="34">
        <v>79</v>
      </c>
      <c r="BB16" s="23">
        <f>BA16+'16.05'!BB16</f>
        <v>1283</v>
      </c>
      <c r="BC16" s="19">
        <f t="shared" si="5"/>
        <v>1421</v>
      </c>
      <c r="BD16" s="20">
        <f t="shared" si="5"/>
        <v>22925</v>
      </c>
      <c r="BE16" s="22">
        <v>75</v>
      </c>
      <c r="BF16" s="23">
        <f>BE16+'16.05'!BF16</f>
        <v>1177</v>
      </c>
      <c r="BG16" s="34">
        <v>0</v>
      </c>
      <c r="BH16" s="23">
        <f>BG16+'16.05'!BH16</f>
        <v>0</v>
      </c>
      <c r="BI16" s="22">
        <v>1297</v>
      </c>
      <c r="BJ16" s="23">
        <f>BI16+'16.05'!BJ16</f>
        <v>20902</v>
      </c>
      <c r="BK16" s="22">
        <v>42</v>
      </c>
      <c r="BL16" s="23">
        <f>BK16+'16.05'!BL16</f>
        <v>746</v>
      </c>
      <c r="BM16" s="22">
        <v>7</v>
      </c>
      <c r="BN16" s="23">
        <f>BM16+'16.05'!BN16</f>
        <v>100</v>
      </c>
      <c r="BO16" s="36">
        <v>2546</v>
      </c>
      <c r="BP16" s="37">
        <v>0</v>
      </c>
      <c r="BQ16" s="23">
        <f>BP16+'16.05'!BQ16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160</v>
      </c>
      <c r="D17" s="31">
        <f t="shared" si="0"/>
        <v>2875</v>
      </c>
      <c r="E17" s="32">
        <v>754</v>
      </c>
      <c r="F17" s="22">
        <v>138</v>
      </c>
      <c r="G17" s="23">
        <f>F17+'16.05'!G17</f>
        <v>2449</v>
      </c>
      <c r="H17" s="33">
        <v>9</v>
      </c>
      <c r="I17" s="34">
        <v>0</v>
      </c>
      <c r="J17" s="23">
        <f>I17+'16.05'!J17</f>
        <v>0</v>
      </c>
      <c r="K17" s="33">
        <v>5</v>
      </c>
      <c r="L17" s="22">
        <v>0</v>
      </c>
      <c r="M17" s="23">
        <f>L17+'16.05'!M17</f>
        <v>0</v>
      </c>
      <c r="N17" s="33">
        <v>768</v>
      </c>
      <c r="O17" s="22">
        <v>0</v>
      </c>
      <c r="P17" s="23">
        <f>O17+'16.05'!P17</f>
        <v>0</v>
      </c>
      <c r="Q17" s="33">
        <v>624</v>
      </c>
      <c r="R17" s="22">
        <v>0</v>
      </c>
      <c r="S17" s="23">
        <f>R17+'16.05'!S17</f>
        <v>0</v>
      </c>
      <c r="T17" s="33">
        <v>742</v>
      </c>
      <c r="U17" s="22">
        <v>0</v>
      </c>
      <c r="V17" s="23">
        <f>U17+'16.05'!V17</f>
        <v>0</v>
      </c>
      <c r="W17" s="33">
        <v>54</v>
      </c>
      <c r="X17" s="22">
        <v>10</v>
      </c>
      <c r="Y17" s="23">
        <f>X17+'16.05'!Y17</f>
        <v>230</v>
      </c>
      <c r="Z17" s="33">
        <v>66</v>
      </c>
      <c r="AA17" s="22">
        <v>0</v>
      </c>
      <c r="AB17" s="23">
        <f>AA17+'16.05'!AB17</f>
        <v>0</v>
      </c>
      <c r="AC17" s="33">
        <v>2580</v>
      </c>
      <c r="AD17" s="22">
        <v>12</v>
      </c>
      <c r="AE17" s="23">
        <f>AD17+'16.05'!AE17</f>
        <v>196</v>
      </c>
      <c r="AF17" s="19">
        <f t="shared" si="1"/>
        <v>91000</v>
      </c>
      <c r="AG17" s="20">
        <f t="shared" si="1"/>
        <v>1726100</v>
      </c>
      <c r="AH17" s="24">
        <v>5000</v>
      </c>
      <c r="AI17" s="23">
        <f>AH17+'16.05'!AI17</f>
        <v>107100</v>
      </c>
      <c r="AJ17" s="24">
        <v>10000</v>
      </c>
      <c r="AK17" s="23">
        <f>AJ17+'16.05'!AK17</f>
        <v>170300</v>
      </c>
      <c r="AL17" s="22">
        <v>21000</v>
      </c>
      <c r="AM17" s="23">
        <f>AL17+'16.05'!AM17</f>
        <v>363700</v>
      </c>
      <c r="AN17" s="22">
        <v>55000</v>
      </c>
      <c r="AO17" s="23">
        <f>AN17+'16.05'!AO17</f>
        <v>1085000</v>
      </c>
      <c r="AP17" s="28" t="s">
        <v>52</v>
      </c>
      <c r="AQ17" s="19">
        <f t="shared" si="3"/>
        <v>22</v>
      </c>
      <c r="AR17" s="20">
        <f t="shared" si="3"/>
        <v>334</v>
      </c>
      <c r="AS17" s="34">
        <v>0</v>
      </c>
      <c r="AT17" s="23">
        <f>AS17+'16.05'!AT17</f>
        <v>19</v>
      </c>
      <c r="AU17" s="34">
        <v>2</v>
      </c>
      <c r="AV17" s="23">
        <f>AU17+'16.05'!AV17</f>
        <v>26</v>
      </c>
      <c r="AW17" s="34">
        <v>0</v>
      </c>
      <c r="AX17" s="23">
        <f>AW17+'16.05'!AX17</f>
        <v>0</v>
      </c>
      <c r="AY17" s="34">
        <v>0</v>
      </c>
      <c r="AZ17" s="23">
        <f>AY17+'16.05'!AZ17</f>
        <v>0</v>
      </c>
      <c r="BA17" s="34">
        <v>20</v>
      </c>
      <c r="BB17" s="23">
        <f>BA17+'16.05'!BB17</f>
        <v>289</v>
      </c>
      <c r="BC17" s="19">
        <f t="shared" si="5"/>
        <v>3332</v>
      </c>
      <c r="BD17" s="20">
        <f t="shared" si="5"/>
        <v>45310</v>
      </c>
      <c r="BE17" s="22">
        <v>10</v>
      </c>
      <c r="BF17" s="23">
        <f>BE17+'16.05'!BF17</f>
        <v>612</v>
      </c>
      <c r="BG17" s="34">
        <v>1</v>
      </c>
      <c r="BH17" s="23">
        <f>BG17+'16.05'!BH17</f>
        <v>19</v>
      </c>
      <c r="BI17" s="22">
        <v>3000</v>
      </c>
      <c r="BJ17" s="23">
        <f>BI17+'16.05'!BJ17</f>
        <v>40600</v>
      </c>
      <c r="BK17" s="22">
        <v>310</v>
      </c>
      <c r="BL17" s="23">
        <f>BK17+'16.05'!BL17</f>
        <v>3925</v>
      </c>
      <c r="BM17" s="22">
        <v>11</v>
      </c>
      <c r="BN17" s="23">
        <f>BM17+'16.05'!BN17</f>
        <v>154</v>
      </c>
      <c r="BO17" s="36">
        <v>8022</v>
      </c>
      <c r="BP17" s="37">
        <v>1</v>
      </c>
      <c r="BQ17" s="23">
        <f>BP17+'16.05'!BQ17</f>
        <v>60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185</v>
      </c>
      <c r="D18" s="20">
        <f t="shared" si="0"/>
        <v>4607</v>
      </c>
      <c r="E18" s="21">
        <v>1063</v>
      </c>
      <c r="F18" s="22">
        <v>110</v>
      </c>
      <c r="G18" s="23">
        <f>F18+'16.05'!G18</f>
        <v>2869</v>
      </c>
      <c r="H18" s="21">
        <v>19</v>
      </c>
      <c r="I18" s="22">
        <v>0</v>
      </c>
      <c r="J18" s="23">
        <f>I18+'16.05'!J18</f>
        <v>0</v>
      </c>
      <c r="K18" s="21">
        <v>8</v>
      </c>
      <c r="L18" s="22">
        <v>0</v>
      </c>
      <c r="M18" s="23">
        <f>L18+'16.05'!M18</f>
        <v>0</v>
      </c>
      <c r="N18" s="21">
        <v>1331</v>
      </c>
      <c r="O18" s="22">
        <v>0</v>
      </c>
      <c r="P18" s="23">
        <f>O18+'16.05'!P18</f>
        <v>0</v>
      </c>
      <c r="Q18" s="21">
        <v>777</v>
      </c>
      <c r="R18" s="22">
        <v>0</v>
      </c>
      <c r="S18" s="23">
        <f>R18+'16.05'!S18</f>
        <v>0</v>
      </c>
      <c r="T18" s="21">
        <v>318</v>
      </c>
      <c r="U18" s="22">
        <v>0</v>
      </c>
      <c r="V18" s="23">
        <f>U18+'16.05'!V18</f>
        <v>81</v>
      </c>
      <c r="W18" s="21">
        <v>60</v>
      </c>
      <c r="X18" s="22">
        <v>75</v>
      </c>
      <c r="Y18" s="23">
        <f>X18+'16.05'!Y18</f>
        <v>1657</v>
      </c>
      <c r="Z18" s="21">
        <v>72</v>
      </c>
      <c r="AA18" s="22">
        <v>0</v>
      </c>
      <c r="AB18" s="23">
        <f>AA18+'16.05'!AB18</f>
        <v>0</v>
      </c>
      <c r="AC18" s="21">
        <v>143</v>
      </c>
      <c r="AD18" s="22">
        <v>0</v>
      </c>
      <c r="AE18" s="23">
        <f>AD18+'16.05'!AE18</f>
        <v>0</v>
      </c>
      <c r="AF18" s="19">
        <f t="shared" si="1"/>
        <v>104714</v>
      </c>
      <c r="AG18" s="20">
        <f t="shared" si="1"/>
        <v>2397639</v>
      </c>
      <c r="AH18" s="24">
        <v>85</v>
      </c>
      <c r="AI18" s="23">
        <f>AH18+'16.05'!AI18</f>
        <v>3857</v>
      </c>
      <c r="AJ18" s="24">
        <v>1629</v>
      </c>
      <c r="AK18" s="23">
        <f>AJ18+'16.05'!AK18</f>
        <v>37923</v>
      </c>
      <c r="AL18" s="22">
        <v>1785</v>
      </c>
      <c r="AM18" s="23">
        <f>AL18+'16.05'!AM18</f>
        <v>43197</v>
      </c>
      <c r="AN18" s="22">
        <v>101215</v>
      </c>
      <c r="AO18" s="23">
        <f>AN18+'16.05'!AO18</f>
        <v>2312662</v>
      </c>
      <c r="AP18" s="17" t="s">
        <v>53</v>
      </c>
      <c r="AQ18" s="19">
        <f t="shared" si="3"/>
        <v>1</v>
      </c>
      <c r="AR18" s="20">
        <f t="shared" si="3"/>
        <v>27</v>
      </c>
      <c r="AS18" s="22">
        <v>0</v>
      </c>
      <c r="AT18" s="23">
        <f>AS18+'16.05'!AT18</f>
        <v>4</v>
      </c>
      <c r="AU18" s="22">
        <v>0</v>
      </c>
      <c r="AV18" s="23">
        <f>AU18+'16.05'!AV18</f>
        <v>0</v>
      </c>
      <c r="AW18" s="22">
        <v>0</v>
      </c>
      <c r="AX18" s="23">
        <f>AW18+'16.05'!AX18</f>
        <v>0</v>
      </c>
      <c r="AY18" s="22">
        <v>0</v>
      </c>
      <c r="AZ18" s="23">
        <f>AY18+'16.05'!AZ18</f>
        <v>0</v>
      </c>
      <c r="BA18" s="22">
        <v>1</v>
      </c>
      <c r="BB18" s="23">
        <f>BA18+'16.05'!BB18</f>
        <v>23</v>
      </c>
      <c r="BC18" s="19">
        <f t="shared" si="5"/>
        <v>183</v>
      </c>
      <c r="BD18" s="20">
        <f t="shared" si="5"/>
        <v>10712</v>
      </c>
      <c r="BE18" s="22">
        <v>1</v>
      </c>
      <c r="BF18" s="23">
        <f>BE18+'16.05'!BF18</f>
        <v>18</v>
      </c>
      <c r="BG18" s="22">
        <v>0</v>
      </c>
      <c r="BH18" s="23">
        <f>BG18+'16.05'!BH18</f>
        <v>388</v>
      </c>
      <c r="BI18" s="22">
        <v>110</v>
      </c>
      <c r="BJ18" s="23">
        <f>BI18+'16.05'!BJ18</f>
        <v>8704</v>
      </c>
      <c r="BK18" s="22">
        <v>55</v>
      </c>
      <c r="BL18" s="23">
        <f>BK18+'16.05'!BL18</f>
        <v>1393</v>
      </c>
      <c r="BM18" s="22">
        <v>17</v>
      </c>
      <c r="BN18" s="23">
        <f>BM18+'16.05'!BN18</f>
        <v>209</v>
      </c>
      <c r="BO18" s="36">
        <v>442</v>
      </c>
      <c r="BP18" s="37">
        <v>0</v>
      </c>
      <c r="BQ18" s="23">
        <f>BP18+'16.05'!BQ18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39</v>
      </c>
      <c r="D19" s="31">
        <f t="shared" si="0"/>
        <v>601</v>
      </c>
      <c r="E19" s="33">
        <v>221</v>
      </c>
      <c r="F19" s="22">
        <v>4</v>
      </c>
      <c r="G19" s="23">
        <f>F19+'16.05'!G19</f>
        <v>116</v>
      </c>
      <c r="H19" s="33">
        <v>5</v>
      </c>
      <c r="I19" s="34">
        <v>0</v>
      </c>
      <c r="J19" s="23">
        <f>I19+'16.05'!J19</f>
        <v>0</v>
      </c>
      <c r="K19" s="33">
        <v>4</v>
      </c>
      <c r="L19" s="22">
        <v>0</v>
      </c>
      <c r="M19" s="23">
        <f>L19+'16.05'!M19</f>
        <v>0</v>
      </c>
      <c r="N19" s="33">
        <v>313</v>
      </c>
      <c r="O19" s="22">
        <v>0</v>
      </c>
      <c r="P19" s="23">
        <f>O19+'16.05'!P19</f>
        <v>167</v>
      </c>
      <c r="Q19" s="33">
        <v>203</v>
      </c>
      <c r="R19" s="22">
        <v>0</v>
      </c>
      <c r="S19" s="23">
        <f>R19+'16.05'!S19</f>
        <v>0</v>
      </c>
      <c r="T19" s="33">
        <v>241</v>
      </c>
      <c r="U19" s="22">
        <v>0</v>
      </c>
      <c r="V19" s="23">
        <f>U19+'16.05'!V19</f>
        <v>0</v>
      </c>
      <c r="W19" s="33">
        <v>14</v>
      </c>
      <c r="X19" s="22">
        <v>35</v>
      </c>
      <c r="Y19" s="23">
        <f>X19+'16.05'!Y19</f>
        <v>255</v>
      </c>
      <c r="Z19" s="33">
        <v>7</v>
      </c>
      <c r="AA19" s="22">
        <v>0</v>
      </c>
      <c r="AB19" s="23">
        <f>AA19+'16.05'!AB19</f>
        <v>0</v>
      </c>
      <c r="AC19" s="33">
        <v>32</v>
      </c>
      <c r="AD19" s="22">
        <v>0</v>
      </c>
      <c r="AE19" s="23">
        <f>AD19+'16.05'!AE19</f>
        <v>63</v>
      </c>
      <c r="AF19" s="19">
        <f t="shared" si="1"/>
        <v>4800</v>
      </c>
      <c r="AG19" s="20">
        <f t="shared" si="1"/>
        <v>56750</v>
      </c>
      <c r="AH19" s="24">
        <v>750</v>
      </c>
      <c r="AI19" s="23">
        <f>AH19+'16.05'!AI19</f>
        <v>9135</v>
      </c>
      <c r="AJ19" s="24">
        <v>750</v>
      </c>
      <c r="AK19" s="23">
        <f>AJ19+'16.05'!AK19</f>
        <v>9385</v>
      </c>
      <c r="AL19" s="22">
        <v>1650</v>
      </c>
      <c r="AM19" s="23">
        <f>AL19+'16.05'!AM19</f>
        <v>19115</v>
      </c>
      <c r="AN19" s="22">
        <v>1650</v>
      </c>
      <c r="AO19" s="23">
        <f>AN19+'16.05'!AO19</f>
        <v>19115</v>
      </c>
      <c r="AP19" s="28" t="s">
        <v>54</v>
      </c>
      <c r="AQ19" s="19">
        <f t="shared" si="3"/>
        <v>0</v>
      </c>
      <c r="AR19" s="20">
        <f t="shared" si="3"/>
        <v>4</v>
      </c>
      <c r="AS19" s="34">
        <v>0</v>
      </c>
      <c r="AT19" s="23">
        <f>AS19+'16.05'!AT19</f>
        <v>0</v>
      </c>
      <c r="AU19" s="34">
        <v>0</v>
      </c>
      <c r="AV19" s="23">
        <f>AU19+'16.05'!AV19</f>
        <v>3</v>
      </c>
      <c r="AW19" s="34">
        <v>0</v>
      </c>
      <c r="AX19" s="23">
        <f>AW19+'16.05'!AX19</f>
        <v>1</v>
      </c>
      <c r="AY19" s="34">
        <v>0</v>
      </c>
      <c r="AZ19" s="23">
        <f>AY19+'16.05'!AZ19</f>
        <v>0</v>
      </c>
      <c r="BA19" s="34">
        <v>0</v>
      </c>
      <c r="BB19" s="23">
        <f>BA19+'16.05'!BB19</f>
        <v>0</v>
      </c>
      <c r="BC19" s="19">
        <f t="shared" si="5"/>
        <v>1420</v>
      </c>
      <c r="BD19" s="20">
        <f t="shared" si="5"/>
        <v>18544</v>
      </c>
      <c r="BE19" s="22">
        <v>14</v>
      </c>
      <c r="BF19" s="23">
        <f>BE19+'16.05'!BF19</f>
        <v>237</v>
      </c>
      <c r="BG19" s="34">
        <v>0</v>
      </c>
      <c r="BH19" s="23">
        <f>BG19+'16.05'!BH19</f>
        <v>7</v>
      </c>
      <c r="BI19" s="22">
        <v>1200</v>
      </c>
      <c r="BJ19" s="23">
        <f>BI19+'16.05'!BJ19</f>
        <v>16150</v>
      </c>
      <c r="BK19" s="22">
        <v>200</v>
      </c>
      <c r="BL19" s="23">
        <f>BK19+'16.05'!BL19</f>
        <v>2050</v>
      </c>
      <c r="BM19" s="22">
        <v>6</v>
      </c>
      <c r="BN19" s="23">
        <f>BM19+'16.05'!BN19</f>
        <v>100</v>
      </c>
      <c r="BO19" s="36">
        <v>2898</v>
      </c>
      <c r="BP19" s="37">
        <v>0</v>
      </c>
      <c r="BQ19" s="23">
        <f>BP19+'16.05'!BQ19</f>
        <v>0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119</v>
      </c>
      <c r="D20" s="31">
        <f t="shared" si="0"/>
        <v>4298</v>
      </c>
      <c r="E20" s="32">
        <v>723</v>
      </c>
      <c r="F20" s="22">
        <v>45</v>
      </c>
      <c r="G20" s="23">
        <f>F20+'16.05'!G20</f>
        <v>2267</v>
      </c>
      <c r="H20" s="33">
        <v>5</v>
      </c>
      <c r="I20" s="34">
        <v>1</v>
      </c>
      <c r="J20" s="23">
        <f>I20+'16.05'!J20</f>
        <v>17</v>
      </c>
      <c r="K20" s="33">
        <v>3</v>
      </c>
      <c r="L20" s="22">
        <v>0</v>
      </c>
      <c r="M20" s="23">
        <f>L20+'16.05'!M20</f>
        <v>0</v>
      </c>
      <c r="N20" s="33">
        <v>975</v>
      </c>
      <c r="O20" s="22">
        <v>34</v>
      </c>
      <c r="P20" s="23">
        <f>O20+'16.05'!P20</f>
        <v>970</v>
      </c>
      <c r="Q20" s="61">
        <v>1862</v>
      </c>
      <c r="R20" s="22">
        <v>1</v>
      </c>
      <c r="S20" s="23">
        <f>R20+'16.05'!S20</f>
        <v>19</v>
      </c>
      <c r="T20" s="33">
        <v>35</v>
      </c>
      <c r="U20" s="22">
        <v>1</v>
      </c>
      <c r="V20" s="23">
        <f>U20+'16.05'!V20</f>
        <v>17</v>
      </c>
      <c r="W20" s="33">
        <v>64</v>
      </c>
      <c r="X20" s="22">
        <v>1</v>
      </c>
      <c r="Y20" s="23">
        <f>X20+'16.05'!Y20</f>
        <v>19</v>
      </c>
      <c r="Z20" s="33">
        <v>15</v>
      </c>
      <c r="AA20" s="22">
        <v>1</v>
      </c>
      <c r="AB20" s="23">
        <f>AA20+'16.05'!AB20</f>
        <v>22</v>
      </c>
      <c r="AC20" s="33">
        <v>1546</v>
      </c>
      <c r="AD20" s="22">
        <v>35</v>
      </c>
      <c r="AE20" s="23">
        <f>AD20+'16.05'!AE20</f>
        <v>967</v>
      </c>
      <c r="AF20" s="19">
        <f t="shared" si="1"/>
        <v>26898</v>
      </c>
      <c r="AG20" s="20">
        <f t="shared" si="1"/>
        <v>313014</v>
      </c>
      <c r="AH20" s="24">
        <v>13510</v>
      </c>
      <c r="AI20" s="23">
        <f>AH20+'16.05'!AI20</f>
        <v>142994</v>
      </c>
      <c r="AJ20" s="24">
        <v>12488</v>
      </c>
      <c r="AK20" s="23">
        <f>AJ20+'16.05'!AK20</f>
        <v>155710</v>
      </c>
      <c r="AL20" s="22">
        <v>650</v>
      </c>
      <c r="AM20" s="23">
        <f>AL20+'16.05'!AM20</f>
        <v>7950</v>
      </c>
      <c r="AN20" s="22">
        <v>250</v>
      </c>
      <c r="AO20" s="23">
        <f>AN20+'16.05'!AO20</f>
        <v>6360</v>
      </c>
      <c r="AP20" s="28" t="s">
        <v>55</v>
      </c>
      <c r="AQ20" s="19">
        <f t="shared" si="3"/>
        <v>221</v>
      </c>
      <c r="AR20" s="20">
        <f t="shared" si="3"/>
        <v>2777</v>
      </c>
      <c r="AS20" s="34">
        <v>1</v>
      </c>
      <c r="AT20" s="23">
        <f>AS20+'16.05'!AT20</f>
        <v>17</v>
      </c>
      <c r="AU20" s="34">
        <v>0</v>
      </c>
      <c r="AV20" s="23">
        <f>AU20+'16.05'!AV20</f>
        <v>0</v>
      </c>
      <c r="AW20" s="34">
        <v>0</v>
      </c>
      <c r="AX20" s="23">
        <f>AW20+'16.05'!AX20</f>
        <v>0</v>
      </c>
      <c r="AY20" s="34">
        <v>0</v>
      </c>
      <c r="AZ20" s="23">
        <f>AY20+'16.05'!AZ20</f>
        <v>0</v>
      </c>
      <c r="BA20" s="34">
        <v>220</v>
      </c>
      <c r="BB20" s="23">
        <f>BA20+'16.05'!BB20</f>
        <v>2760</v>
      </c>
      <c r="BC20" s="19">
        <f t="shared" si="5"/>
        <v>4503</v>
      </c>
      <c r="BD20" s="20">
        <f t="shared" si="5"/>
        <v>58378</v>
      </c>
      <c r="BE20" s="22">
        <v>2</v>
      </c>
      <c r="BF20" s="23">
        <f>BE20+'16.05'!BF20</f>
        <v>34</v>
      </c>
      <c r="BG20" s="34">
        <v>0</v>
      </c>
      <c r="BH20" s="23">
        <f>BG20+'16.05'!BH20</f>
        <v>0</v>
      </c>
      <c r="BI20" s="22">
        <v>2200</v>
      </c>
      <c r="BJ20" s="23">
        <f>BI20+'16.05'!BJ20</f>
        <v>29058</v>
      </c>
      <c r="BK20" s="22">
        <v>2300</v>
      </c>
      <c r="BL20" s="23">
        <f>BK20+'16.05'!BL20</f>
        <v>29270</v>
      </c>
      <c r="BM20" s="22">
        <v>1</v>
      </c>
      <c r="BN20" s="23">
        <f>BM20+'16.05'!BN20</f>
        <v>16</v>
      </c>
      <c r="BO20" s="36">
        <v>5854</v>
      </c>
      <c r="BP20" s="37">
        <v>0</v>
      </c>
      <c r="BQ20" s="23">
        <f>BP20+'16.05'!BQ20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175</v>
      </c>
      <c r="D21" s="31">
        <f t="shared" si="0"/>
        <v>3663</v>
      </c>
      <c r="E21" s="32">
        <v>1017</v>
      </c>
      <c r="F21" s="22">
        <v>130</v>
      </c>
      <c r="G21" s="23">
        <f>F21+'16.05'!G21</f>
        <v>2590</v>
      </c>
      <c r="H21" s="33">
        <v>8</v>
      </c>
      <c r="I21" s="34">
        <v>0</v>
      </c>
      <c r="J21" s="23">
        <f>I21+'16.05'!J21</f>
        <v>131</v>
      </c>
      <c r="K21" s="33">
        <v>4</v>
      </c>
      <c r="L21" s="22">
        <v>0</v>
      </c>
      <c r="M21" s="23">
        <f>L21+'16.05'!M21</f>
        <v>20</v>
      </c>
      <c r="N21" s="33">
        <v>963</v>
      </c>
      <c r="O21" s="22">
        <v>0</v>
      </c>
      <c r="P21" s="23">
        <f>O21+'16.05'!P21</f>
        <v>46</v>
      </c>
      <c r="Q21" s="33">
        <v>912</v>
      </c>
      <c r="R21" s="22">
        <v>0</v>
      </c>
      <c r="S21" s="23">
        <f>R21+'16.05'!S21</f>
        <v>0</v>
      </c>
      <c r="T21" s="33">
        <v>199</v>
      </c>
      <c r="U21" s="22">
        <v>0</v>
      </c>
      <c r="V21" s="23">
        <f>U21+'16.05'!V21</f>
        <v>94</v>
      </c>
      <c r="W21" s="33">
        <v>101</v>
      </c>
      <c r="X21" s="22">
        <v>35</v>
      </c>
      <c r="Y21" s="23">
        <f>X21+'16.05'!Y21</f>
        <v>199</v>
      </c>
      <c r="Z21" s="33">
        <v>42</v>
      </c>
      <c r="AA21" s="22">
        <v>0</v>
      </c>
      <c r="AB21" s="23">
        <f>AA21+'16.05'!AB21</f>
        <v>1</v>
      </c>
      <c r="AC21" s="33">
        <v>20</v>
      </c>
      <c r="AD21" s="22">
        <v>10</v>
      </c>
      <c r="AE21" s="23">
        <f>AD21+'16.05'!AE21</f>
        <v>582</v>
      </c>
      <c r="AF21" s="19">
        <f t="shared" si="1"/>
        <v>1061000</v>
      </c>
      <c r="AG21" s="20">
        <f t="shared" si="1"/>
        <v>18291680</v>
      </c>
      <c r="AH21" s="24">
        <v>1000</v>
      </c>
      <c r="AI21" s="23">
        <f>AH21+'16.05'!AI21</f>
        <v>20350</v>
      </c>
      <c r="AJ21" s="24">
        <v>240000</v>
      </c>
      <c r="AK21" s="23">
        <f>AJ21+'16.05'!AK21</f>
        <v>2856000</v>
      </c>
      <c r="AL21" s="22">
        <v>3000</v>
      </c>
      <c r="AM21" s="23">
        <f>AL21+'16.05'!AM21</f>
        <v>32630</v>
      </c>
      <c r="AN21" s="22">
        <v>817000</v>
      </c>
      <c r="AO21" s="23">
        <f>AN21+'16.05'!AO21</f>
        <v>15382700</v>
      </c>
      <c r="AP21" s="28" t="s">
        <v>58</v>
      </c>
      <c r="AQ21" s="19">
        <f t="shared" si="3"/>
        <v>3</v>
      </c>
      <c r="AR21" s="20">
        <f t="shared" si="3"/>
        <v>89</v>
      </c>
      <c r="AS21" s="34">
        <v>1</v>
      </c>
      <c r="AT21" s="23">
        <f>AS21+'16.05'!AT21</f>
        <v>3</v>
      </c>
      <c r="AU21" s="34">
        <v>0</v>
      </c>
      <c r="AV21" s="23">
        <f>AU21+'16.05'!AV21</f>
        <v>28</v>
      </c>
      <c r="AW21" s="34">
        <v>0</v>
      </c>
      <c r="AX21" s="23">
        <f>AW21+'16.05'!AX21</f>
        <v>0</v>
      </c>
      <c r="AY21" s="34">
        <v>0</v>
      </c>
      <c r="AZ21" s="23">
        <f>AY21+'16.05'!AZ21</f>
        <v>0</v>
      </c>
      <c r="BA21" s="34">
        <v>2</v>
      </c>
      <c r="BB21" s="23">
        <f>BA21+'16.05'!BB21</f>
        <v>58</v>
      </c>
      <c r="BC21" s="19">
        <f t="shared" si="5"/>
        <v>1267</v>
      </c>
      <c r="BD21" s="20">
        <f t="shared" si="5"/>
        <v>30679</v>
      </c>
      <c r="BE21" s="22">
        <v>60</v>
      </c>
      <c r="BF21" s="23">
        <f>BE21+'16.05'!BF21</f>
        <v>814</v>
      </c>
      <c r="BG21" s="34">
        <v>0</v>
      </c>
      <c r="BH21" s="23">
        <f>BG21+'16.05'!BH21</f>
        <v>0</v>
      </c>
      <c r="BI21" s="22">
        <v>1200</v>
      </c>
      <c r="BJ21" s="23">
        <f>BI21+'16.05'!BJ21</f>
        <v>29750</v>
      </c>
      <c r="BK21" s="22">
        <v>0</v>
      </c>
      <c r="BL21" s="23">
        <f>BK21+'16.05'!BL21</f>
        <v>0</v>
      </c>
      <c r="BM21" s="22">
        <v>7</v>
      </c>
      <c r="BN21" s="23">
        <f>BM21+'16.05'!BN21</f>
        <v>115</v>
      </c>
      <c r="BO21" s="36">
        <v>68</v>
      </c>
      <c r="BP21" s="37">
        <v>0</v>
      </c>
      <c r="BQ21" s="23">
        <f>BP21+'16.05'!BQ21</f>
        <v>29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0"/>
        <v>1707</v>
      </c>
      <c r="D22" s="31">
        <f t="shared" si="0"/>
        <v>36260</v>
      </c>
      <c r="E22" s="32">
        <v>509</v>
      </c>
      <c r="F22" s="22">
        <v>384</v>
      </c>
      <c r="G22" s="23">
        <f>F22+'16.05'!G22</f>
        <v>5823</v>
      </c>
      <c r="H22" s="33">
        <v>8</v>
      </c>
      <c r="I22" s="34">
        <v>0</v>
      </c>
      <c r="J22" s="23">
        <f>I22+'16.05'!J22</f>
        <v>23</v>
      </c>
      <c r="K22" s="33">
        <v>21</v>
      </c>
      <c r="L22" s="22">
        <v>0</v>
      </c>
      <c r="M22" s="23">
        <f>L22+'16.05'!M22</f>
        <v>0</v>
      </c>
      <c r="N22" s="33">
        <v>560</v>
      </c>
      <c r="O22" s="22">
        <v>0</v>
      </c>
      <c r="P22" s="23">
        <f>O22+'16.05'!P22</f>
        <v>882</v>
      </c>
      <c r="Q22" s="33">
        <v>375</v>
      </c>
      <c r="R22" s="22">
        <v>0</v>
      </c>
      <c r="S22" s="23">
        <f>R22+'16.05'!S22</f>
        <v>0</v>
      </c>
      <c r="T22" s="33">
        <v>165</v>
      </c>
      <c r="U22" s="22">
        <v>8</v>
      </c>
      <c r="V22" s="23">
        <f>U22+'16.05'!V22</f>
        <v>384</v>
      </c>
      <c r="W22" s="33">
        <v>28</v>
      </c>
      <c r="X22" s="22">
        <v>87</v>
      </c>
      <c r="Y22" s="23">
        <f>X22+'16.05'!Y22</f>
        <v>1315</v>
      </c>
      <c r="Z22" s="33">
        <v>9</v>
      </c>
      <c r="AA22" s="22">
        <v>0</v>
      </c>
      <c r="AB22" s="23">
        <f>AA22+'16.05'!AB22</f>
        <v>0</v>
      </c>
      <c r="AC22" s="33">
        <v>112</v>
      </c>
      <c r="AD22" s="22">
        <v>1228</v>
      </c>
      <c r="AE22" s="23">
        <f>AD22+'16.05'!AE22</f>
        <v>27833</v>
      </c>
      <c r="AF22" s="19">
        <f t="shared" si="1"/>
        <v>368265</v>
      </c>
      <c r="AG22" s="20">
        <f t="shared" si="1"/>
        <v>6909839</v>
      </c>
      <c r="AH22" s="24">
        <v>1688</v>
      </c>
      <c r="AI22" s="23">
        <f>AH22+'16.05'!AI22</f>
        <v>43769</v>
      </c>
      <c r="AJ22" s="24">
        <v>9097</v>
      </c>
      <c r="AK22" s="23">
        <f>AJ22+'16.05'!AK22</f>
        <v>107356</v>
      </c>
      <c r="AL22" s="22">
        <v>11224</v>
      </c>
      <c r="AM22" s="23">
        <f>AL22+'16.05'!AM22</f>
        <v>178509</v>
      </c>
      <c r="AN22" s="22">
        <v>346256</v>
      </c>
      <c r="AO22" s="23">
        <f>AN22+'16.05'!AO22</f>
        <v>6580205</v>
      </c>
      <c r="AP22" s="28" t="s">
        <v>59</v>
      </c>
      <c r="AQ22" s="19">
        <f t="shared" si="3"/>
        <v>1628</v>
      </c>
      <c r="AR22" s="20">
        <f t="shared" si="3"/>
        <v>33317</v>
      </c>
      <c r="AS22" s="34">
        <v>0</v>
      </c>
      <c r="AT22" s="23">
        <f>AS22+'16.05'!AT22</f>
        <v>5</v>
      </c>
      <c r="AU22" s="34">
        <v>0</v>
      </c>
      <c r="AV22" s="23">
        <f>AU22+'16.05'!AV22</f>
        <v>5</v>
      </c>
      <c r="AW22" s="34">
        <v>0</v>
      </c>
      <c r="AX22" s="23">
        <f>AW22+'16.05'!AX22</f>
        <v>2</v>
      </c>
      <c r="AY22" s="34">
        <v>0</v>
      </c>
      <c r="AZ22" s="23">
        <f>AY22+'16.05'!AZ22</f>
        <v>1</v>
      </c>
      <c r="BA22" s="34">
        <v>1628</v>
      </c>
      <c r="BB22" s="23">
        <f>BA22+'16.05'!BB22</f>
        <v>33304</v>
      </c>
      <c r="BC22" s="19">
        <f t="shared" si="5"/>
        <v>6476</v>
      </c>
      <c r="BD22" s="20">
        <f t="shared" si="5"/>
        <v>118409</v>
      </c>
      <c r="BE22" s="22">
        <v>7</v>
      </c>
      <c r="BF22" s="23">
        <f>BE22+'16.05'!BF22</f>
        <v>93</v>
      </c>
      <c r="BG22" s="34">
        <v>51</v>
      </c>
      <c r="BH22" s="23">
        <f>BG22+'16.05'!BH22</f>
        <v>1030</v>
      </c>
      <c r="BI22" s="22">
        <v>2973</v>
      </c>
      <c r="BJ22" s="23">
        <f>BI22+'16.05'!BJ22</f>
        <v>83154</v>
      </c>
      <c r="BK22" s="22">
        <v>3365</v>
      </c>
      <c r="BL22" s="23">
        <f>BK22+'16.05'!BL22</f>
        <v>33289</v>
      </c>
      <c r="BM22" s="22">
        <v>80</v>
      </c>
      <c r="BN22" s="23">
        <f>BM22+'16.05'!BN22</f>
        <v>843</v>
      </c>
      <c r="BO22" s="36">
        <v>26</v>
      </c>
      <c r="BP22" s="37">
        <v>0</v>
      </c>
      <c r="BQ22" s="23">
        <f>BP22+'16.05'!BQ22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0"/>
        <v>3385</v>
      </c>
      <c r="D23" s="65">
        <f t="shared" si="0"/>
        <v>70682</v>
      </c>
      <c r="E23" s="66">
        <f>+E18+E19+E22+E17+E16+E15+E14+E13+E12+E11+E10+E9+E8</f>
        <v>7282</v>
      </c>
      <c r="F23" s="67">
        <f t="shared" ref="F23:J23" si="7">SUM(F8:F22)</f>
        <v>1351</v>
      </c>
      <c r="G23" s="68">
        <f t="shared" si="7"/>
        <v>25695</v>
      </c>
      <c r="H23" s="66">
        <f>+H18+H19+H22+H17+H16+H15+H14+H13+H12+H11+H10+H9+H8</f>
        <v>271</v>
      </c>
      <c r="I23" s="67">
        <f t="shared" si="7"/>
        <v>5</v>
      </c>
      <c r="J23" s="68">
        <f t="shared" si="7"/>
        <v>257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32</v>
      </c>
      <c r="N23" s="66">
        <f>+N18+N19+N22+N17+N16+N15+N14+N13+N12+N11+N10+N9+N8</f>
        <v>8607</v>
      </c>
      <c r="O23" s="67">
        <f t="shared" si="8"/>
        <v>52</v>
      </c>
      <c r="P23" s="68">
        <f t="shared" si="8"/>
        <v>2489</v>
      </c>
      <c r="Q23" s="66">
        <f>+Q18+Q19+Q22+Q17+Q16+Q15+Q14+Q13+Q12+Q11+Q10+Q9+Q8</f>
        <v>7474</v>
      </c>
      <c r="R23" s="67">
        <f t="shared" ref="R23:V23" si="9">SUM(R8:R22)</f>
        <v>1</v>
      </c>
      <c r="S23" s="68">
        <f t="shared" si="9"/>
        <v>110</v>
      </c>
      <c r="T23" s="66">
        <f>+T18+T19+T22+T17+T16+T15+T14+T13+T12+T11+T10+T9+T8</f>
        <v>4115</v>
      </c>
      <c r="U23" s="67">
        <f t="shared" si="9"/>
        <v>9</v>
      </c>
      <c r="V23" s="68">
        <f t="shared" si="9"/>
        <v>639</v>
      </c>
      <c r="W23" s="66">
        <f>+W18+W19+W22+W17+W16+W15+W14+W13+W12+W11+W10+W9+W8</f>
        <v>604</v>
      </c>
      <c r="X23" s="67">
        <f t="shared" ref="X23:AB23" si="10">SUM(X8:X22)</f>
        <v>466</v>
      </c>
      <c r="Y23" s="68">
        <f t="shared" si="10"/>
        <v>7020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60</v>
      </c>
      <c r="AC23" s="66">
        <f>+AC18+AC19+AC22+AC17+AC16+AC15+AC14+AC13+AC12+AC11+AC10+AC9+AC8</f>
        <v>64846</v>
      </c>
      <c r="AD23" s="67">
        <f t="shared" ref="AD23:AO23" si="11">SUM(AD8:AD22)</f>
        <v>1500</v>
      </c>
      <c r="AE23" s="68">
        <f t="shared" si="11"/>
        <v>34380</v>
      </c>
      <c r="AF23" s="64">
        <f t="shared" si="11"/>
        <v>4206324</v>
      </c>
      <c r="AG23" s="64">
        <f t="shared" si="11"/>
        <v>77825460</v>
      </c>
      <c r="AH23" s="67">
        <f t="shared" si="11"/>
        <v>44802</v>
      </c>
      <c r="AI23" s="68">
        <f t="shared" si="11"/>
        <v>561601</v>
      </c>
      <c r="AJ23" s="67">
        <f t="shared" si="11"/>
        <v>381388</v>
      </c>
      <c r="AK23" s="68">
        <f t="shared" si="11"/>
        <v>4121450</v>
      </c>
      <c r="AL23" s="67">
        <f t="shared" si="11"/>
        <v>1043345</v>
      </c>
      <c r="AM23" s="68">
        <f t="shared" si="11"/>
        <v>25024769</v>
      </c>
      <c r="AN23" s="67">
        <f t="shared" si="11"/>
        <v>2736789</v>
      </c>
      <c r="AO23" s="68">
        <f t="shared" si="11"/>
        <v>48117640</v>
      </c>
      <c r="AP23" s="62" t="s">
        <v>12</v>
      </c>
      <c r="AQ23" s="64">
        <f t="shared" ref="AQ23:BP23" si="12">SUM(AQ8:AQ22)</f>
        <v>2135</v>
      </c>
      <c r="AR23" s="64">
        <f t="shared" si="12"/>
        <v>42488</v>
      </c>
      <c r="AS23" s="67">
        <f t="shared" si="12"/>
        <v>3</v>
      </c>
      <c r="AT23" s="68">
        <f t="shared" si="12"/>
        <v>74</v>
      </c>
      <c r="AU23" s="67">
        <f t="shared" si="12"/>
        <v>4</v>
      </c>
      <c r="AV23" s="68">
        <f t="shared" si="12"/>
        <v>95</v>
      </c>
      <c r="AW23" s="67">
        <f t="shared" si="12"/>
        <v>0</v>
      </c>
      <c r="AX23" s="68">
        <f t="shared" si="12"/>
        <v>12</v>
      </c>
      <c r="AY23" s="67">
        <f t="shared" si="12"/>
        <v>0</v>
      </c>
      <c r="AZ23" s="68">
        <f t="shared" si="12"/>
        <v>3</v>
      </c>
      <c r="BA23" s="67">
        <f t="shared" si="12"/>
        <v>2128</v>
      </c>
      <c r="BB23" s="68">
        <f t="shared" si="12"/>
        <v>42304</v>
      </c>
      <c r="BC23" s="64">
        <f t="shared" si="12"/>
        <v>61482</v>
      </c>
      <c r="BD23" s="64">
        <f t="shared" si="12"/>
        <v>719931</v>
      </c>
      <c r="BE23" s="67">
        <f t="shared" si="12"/>
        <v>1451</v>
      </c>
      <c r="BF23" s="68">
        <f t="shared" si="12"/>
        <v>25220</v>
      </c>
      <c r="BG23" s="67">
        <f t="shared" si="12"/>
        <v>81</v>
      </c>
      <c r="BH23" s="68">
        <f t="shared" si="12"/>
        <v>1954</v>
      </c>
      <c r="BI23" s="67">
        <f t="shared" si="12"/>
        <v>49597</v>
      </c>
      <c r="BJ23" s="68">
        <f t="shared" si="12"/>
        <v>567602</v>
      </c>
      <c r="BK23" s="67">
        <f t="shared" si="12"/>
        <v>10124</v>
      </c>
      <c r="BL23" s="68">
        <f t="shared" si="12"/>
        <v>121731</v>
      </c>
      <c r="BM23" s="67">
        <f t="shared" si="12"/>
        <v>229</v>
      </c>
      <c r="BN23" s="68">
        <f t="shared" si="12"/>
        <v>3424</v>
      </c>
      <c r="BO23" s="69">
        <f t="shared" si="12"/>
        <v>37704</v>
      </c>
      <c r="BP23" s="70">
        <f t="shared" si="12"/>
        <v>8</v>
      </c>
      <c r="BQ23" s="23">
        <f>BP23+'20.04'!BP23</f>
        <v>34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BQ23"/>
  <sheetViews>
    <sheetView zoomScale="85" zoomScaleNormal="85" workbookViewId="0">
      <pane xSplit="4" ySplit="7" topLeftCell="E14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8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D8" si="0">E8+H8+K8+N8+Q8+T8+W8+Z8+AC8</f>
        <v>3841</v>
      </c>
      <c r="C8" s="19">
        <f t="shared" si="0"/>
        <v>2</v>
      </c>
      <c r="D8" s="20">
        <f t="shared" si="0"/>
        <v>2</v>
      </c>
      <c r="E8" s="32">
        <v>452</v>
      </c>
      <c r="F8" s="22">
        <v>1</v>
      </c>
      <c r="G8" s="23">
        <f>F8+'17.05'!G8</f>
        <v>1</v>
      </c>
      <c r="H8" s="33">
        <v>12</v>
      </c>
      <c r="I8" s="34">
        <v>1</v>
      </c>
      <c r="J8" s="23">
        <f>I8+'17.05'!J8</f>
        <v>1</v>
      </c>
      <c r="K8" s="33">
        <v>2</v>
      </c>
      <c r="L8" s="22">
        <v>0</v>
      </c>
      <c r="M8" s="23">
        <f>L8+'17.05'!M8</f>
        <v>0</v>
      </c>
      <c r="N8" s="33">
        <v>735</v>
      </c>
      <c r="O8" s="22">
        <v>0</v>
      </c>
      <c r="P8" s="23">
        <f>O8+'17.05'!P8</f>
        <v>0</v>
      </c>
      <c r="Q8" s="33">
        <v>502</v>
      </c>
      <c r="R8" s="22">
        <v>0</v>
      </c>
      <c r="S8" s="23">
        <f>R8+'17.05'!S8</f>
        <v>0</v>
      </c>
      <c r="T8" s="33">
        <v>197</v>
      </c>
      <c r="U8" s="22">
        <v>0</v>
      </c>
      <c r="V8" s="23">
        <f>U8+'17.05'!V8</f>
        <v>0</v>
      </c>
      <c r="W8" s="33">
        <v>47</v>
      </c>
      <c r="X8" s="22">
        <v>0</v>
      </c>
      <c r="Y8" s="23">
        <f>X8+'17.05'!Y8</f>
        <v>0</v>
      </c>
      <c r="Z8" s="33">
        <v>34</v>
      </c>
      <c r="AA8" s="22">
        <v>0</v>
      </c>
      <c r="AB8" s="23">
        <f>AA8+'17.05'!AB8</f>
        <v>0</v>
      </c>
      <c r="AC8" s="33">
        <v>1860</v>
      </c>
      <c r="AD8" s="22">
        <v>0</v>
      </c>
      <c r="AE8" s="23">
        <f>AD8+'17.05'!AE8</f>
        <v>0</v>
      </c>
      <c r="AF8" s="19">
        <f t="shared" ref="AF8" si="1">AH8+AJ8+AL8+AN8</f>
        <v>7856</v>
      </c>
      <c r="AG8" s="20">
        <f t="shared" ref="AG8" si="2">AI8+AK8+AM8+AO8</f>
        <v>7856</v>
      </c>
      <c r="AH8" s="24">
        <v>58</v>
      </c>
      <c r="AI8" s="23">
        <f>AH8+'17.05'!AI8</f>
        <v>58</v>
      </c>
      <c r="AJ8" s="24">
        <v>198</v>
      </c>
      <c r="AK8" s="23">
        <f>AJ8+'17.05'!AK8</f>
        <v>198</v>
      </c>
      <c r="AL8" s="22">
        <v>3100</v>
      </c>
      <c r="AM8" s="23">
        <f>AL8+'17.05'!AM8</f>
        <v>3100</v>
      </c>
      <c r="AN8" s="22">
        <v>4500</v>
      </c>
      <c r="AO8" s="23">
        <f>AN8+'17.05'!AO8</f>
        <v>4500</v>
      </c>
      <c r="AP8" s="28" t="s">
        <v>43</v>
      </c>
      <c r="AQ8" s="19">
        <f t="shared" ref="AQ8" si="3">AS8+AU8+AW8+AY8+BA8</f>
        <v>63</v>
      </c>
      <c r="AR8" s="20">
        <f t="shared" ref="AR8" si="4">AT8+AV8+AX8+AZ8+BB8</f>
        <v>63</v>
      </c>
      <c r="AS8" s="34">
        <v>1</v>
      </c>
      <c r="AT8" s="23">
        <f>AS8+'17.05'!AT8</f>
        <v>1</v>
      </c>
      <c r="AU8" s="34">
        <v>0</v>
      </c>
      <c r="AV8" s="23">
        <f>AU8+'17.05'!AV8</f>
        <v>0</v>
      </c>
      <c r="AW8" s="34">
        <v>0</v>
      </c>
      <c r="AX8" s="23">
        <f>AW8+'17.05'!AX8</f>
        <v>0</v>
      </c>
      <c r="AY8" s="34">
        <v>0</v>
      </c>
      <c r="AZ8" s="23">
        <f>AY8+'17.05'!AZ8</f>
        <v>0</v>
      </c>
      <c r="BA8" s="34">
        <v>62</v>
      </c>
      <c r="BB8" s="23">
        <f>BA8+'17.05'!BB8</f>
        <v>62</v>
      </c>
      <c r="BC8" s="19">
        <f t="shared" ref="BC8" si="5">BE8+BG8+BI8+BK8+BM8</f>
        <v>382</v>
      </c>
      <c r="BD8" s="20">
        <f t="shared" ref="BD8" si="6">BF8+BH8+BJ8+BL8+BN8</f>
        <v>382</v>
      </c>
      <c r="BE8" s="22">
        <v>2</v>
      </c>
      <c r="BF8" s="23">
        <f>BE8+'17.05'!BF8</f>
        <v>2</v>
      </c>
      <c r="BG8" s="34">
        <v>0</v>
      </c>
      <c r="BH8" s="23">
        <f>BG8+'17.05'!BH8</f>
        <v>0</v>
      </c>
      <c r="BI8" s="22">
        <v>380</v>
      </c>
      <c r="BJ8" s="23">
        <f>BI8+'17.05'!BJ8</f>
        <v>380</v>
      </c>
      <c r="BK8" s="22">
        <v>0</v>
      </c>
      <c r="BL8" s="23">
        <f>BK8+'17.05'!BL8</f>
        <v>0</v>
      </c>
      <c r="BM8" s="22">
        <v>0</v>
      </c>
      <c r="BN8" s="23">
        <f>BM8+'17.05'!BN8</f>
        <v>0</v>
      </c>
      <c r="BO8" s="36">
        <v>14</v>
      </c>
      <c r="BP8" s="37">
        <v>0</v>
      </c>
      <c r="BQ8" s="23">
        <f>BP8+'17.05'!BQ8</f>
        <v>0</v>
      </c>
    </row>
    <row r="9" spans="1:69" ht="27.75" customHeight="1">
      <c r="A9" s="28" t="s">
        <v>43</v>
      </c>
      <c r="B9" s="29">
        <f t="shared" ref="B9:D23" si="7">E9+H9+K9+N9+Q9+T9+W9+Z9+AC9</f>
        <v>3841</v>
      </c>
      <c r="C9" s="30">
        <f t="shared" si="7"/>
        <v>2</v>
      </c>
      <c r="D9" s="31">
        <f t="shared" si="7"/>
        <v>97</v>
      </c>
      <c r="E9" s="32">
        <v>452</v>
      </c>
      <c r="F9" s="22">
        <v>1</v>
      </c>
      <c r="G9" s="23">
        <f>F9+'17.05'!G9</f>
        <v>50</v>
      </c>
      <c r="H9" s="33">
        <v>12</v>
      </c>
      <c r="I9" s="34">
        <v>1</v>
      </c>
      <c r="J9" s="23">
        <f>I9+'17.05'!J9</f>
        <v>14</v>
      </c>
      <c r="K9" s="33">
        <v>2</v>
      </c>
      <c r="L9" s="22">
        <v>0</v>
      </c>
      <c r="M9" s="23">
        <f>L9+'17.05'!M9</f>
        <v>0</v>
      </c>
      <c r="N9" s="33">
        <v>735</v>
      </c>
      <c r="O9" s="22">
        <v>0</v>
      </c>
      <c r="P9" s="23">
        <f>O9+'17.05'!P9</f>
        <v>0</v>
      </c>
      <c r="Q9" s="33">
        <v>502</v>
      </c>
      <c r="R9" s="22">
        <v>0</v>
      </c>
      <c r="S9" s="23">
        <f>R9+'17.05'!S9</f>
        <v>0</v>
      </c>
      <c r="T9" s="33">
        <v>197</v>
      </c>
      <c r="U9" s="22">
        <v>0</v>
      </c>
      <c r="V9" s="23">
        <f>U9+'17.05'!V9</f>
        <v>0</v>
      </c>
      <c r="W9" s="33">
        <v>47</v>
      </c>
      <c r="X9" s="22">
        <v>0</v>
      </c>
      <c r="Y9" s="23">
        <f>X9+'17.05'!Y9</f>
        <v>15</v>
      </c>
      <c r="Z9" s="33">
        <v>34</v>
      </c>
      <c r="AA9" s="22">
        <v>0</v>
      </c>
      <c r="AB9" s="23">
        <f>AA9+'17.05'!AB9</f>
        <v>0</v>
      </c>
      <c r="AC9" s="33">
        <v>1860</v>
      </c>
      <c r="AD9" s="22">
        <v>0</v>
      </c>
      <c r="AE9" s="23">
        <f>AD9+'17.05'!AE9</f>
        <v>18</v>
      </c>
      <c r="AF9" s="19">
        <f t="shared" ref="AF9:AG22" si="8">AH9+AJ9+AL9+AN9</f>
        <v>7856</v>
      </c>
      <c r="AG9" s="20">
        <f t="shared" si="8"/>
        <v>157644</v>
      </c>
      <c r="AH9" s="24">
        <v>58</v>
      </c>
      <c r="AI9" s="23">
        <f>AH9+'17.05'!AI9</f>
        <v>2110</v>
      </c>
      <c r="AJ9" s="24">
        <v>198</v>
      </c>
      <c r="AK9" s="23">
        <f>AJ9+'17.05'!AK9</f>
        <v>14851</v>
      </c>
      <c r="AL9" s="22">
        <v>3100</v>
      </c>
      <c r="AM9" s="23">
        <f>AL9+'17.05'!AM9</f>
        <v>21685</v>
      </c>
      <c r="AN9" s="22">
        <v>4500</v>
      </c>
      <c r="AO9" s="23">
        <f>AN9+'17.05'!AO9</f>
        <v>118998</v>
      </c>
      <c r="AP9" s="28" t="s">
        <v>43</v>
      </c>
      <c r="AQ9" s="19">
        <f t="shared" ref="AQ9:AR22" si="9">AS9+AU9+AW9+AY9+BA9</f>
        <v>63</v>
      </c>
      <c r="AR9" s="20">
        <f t="shared" si="9"/>
        <v>2613</v>
      </c>
      <c r="AS9" s="34">
        <v>1</v>
      </c>
      <c r="AT9" s="23">
        <f>AS9+'17.05'!AT9</f>
        <v>6</v>
      </c>
      <c r="AU9" s="34">
        <v>0</v>
      </c>
      <c r="AV9" s="23">
        <f>AU9+'17.05'!AV9</f>
        <v>6</v>
      </c>
      <c r="AW9" s="34">
        <v>0</v>
      </c>
      <c r="AX9" s="23">
        <f>AW9+'17.05'!AX9</f>
        <v>3</v>
      </c>
      <c r="AY9" s="34">
        <v>0</v>
      </c>
      <c r="AZ9" s="23">
        <f>AY9+'17.05'!AZ9</f>
        <v>0</v>
      </c>
      <c r="BA9" s="34">
        <v>62</v>
      </c>
      <c r="BB9" s="23">
        <f>BA9+'17.05'!BB9</f>
        <v>2598</v>
      </c>
      <c r="BC9" s="19">
        <f t="shared" ref="BC9:BD22" si="10">BE9+BG9+BI9+BK9+BM9</f>
        <v>382</v>
      </c>
      <c r="BD9" s="20">
        <f t="shared" si="10"/>
        <v>8091</v>
      </c>
      <c r="BE9" s="22">
        <v>2</v>
      </c>
      <c r="BF9" s="23">
        <f>BE9+'17.05'!BF9</f>
        <v>27</v>
      </c>
      <c r="BG9" s="34">
        <v>0</v>
      </c>
      <c r="BH9" s="23">
        <f>BG9+'17.05'!BH9</f>
        <v>0</v>
      </c>
      <c r="BI9" s="22">
        <v>380</v>
      </c>
      <c r="BJ9" s="23">
        <f>BI9+'17.05'!BJ9</f>
        <v>8040</v>
      </c>
      <c r="BK9" s="22">
        <v>0</v>
      </c>
      <c r="BL9" s="23">
        <f>BK9+'17.05'!BL9</f>
        <v>0</v>
      </c>
      <c r="BM9" s="22">
        <v>0</v>
      </c>
      <c r="BN9" s="23">
        <f>BM9+'17.05'!BN9</f>
        <v>24</v>
      </c>
      <c r="BO9" s="36">
        <v>14</v>
      </c>
      <c r="BP9" s="37">
        <v>0</v>
      </c>
      <c r="BQ9" s="23">
        <f>BP9+'17.05'!BQ9</f>
        <v>6</v>
      </c>
    </row>
    <row r="10" spans="1:69" ht="27.75" customHeight="1">
      <c r="A10" s="28" t="s">
        <v>44</v>
      </c>
      <c r="B10" s="29">
        <f t="shared" si="7"/>
        <v>3627</v>
      </c>
      <c r="C10" s="30">
        <f t="shared" si="7"/>
        <v>129</v>
      </c>
      <c r="D10" s="31">
        <f t="shared" si="7"/>
        <v>2174</v>
      </c>
      <c r="E10" s="32">
        <v>585</v>
      </c>
      <c r="F10" s="22">
        <v>17</v>
      </c>
      <c r="G10" s="23">
        <f>F10+'17.05'!G10</f>
        <v>229</v>
      </c>
      <c r="H10" s="33">
        <v>93</v>
      </c>
      <c r="I10" s="34">
        <v>2</v>
      </c>
      <c r="J10" s="23">
        <f>I10+'17.05'!J10</f>
        <v>31</v>
      </c>
      <c r="K10" s="33">
        <v>34</v>
      </c>
      <c r="L10" s="22">
        <v>5</v>
      </c>
      <c r="M10" s="23">
        <f>L10+'17.05'!M10</f>
        <v>17</v>
      </c>
      <c r="N10" s="33">
        <v>352</v>
      </c>
      <c r="O10" s="22">
        <v>23</v>
      </c>
      <c r="P10" s="23">
        <f>O10+'17.05'!P10</f>
        <v>158</v>
      </c>
      <c r="Q10" s="33">
        <v>549</v>
      </c>
      <c r="R10" s="22">
        <v>14</v>
      </c>
      <c r="S10" s="23">
        <f>R10+'17.05'!S10</f>
        <v>105</v>
      </c>
      <c r="T10" s="33">
        <v>198</v>
      </c>
      <c r="U10" s="22">
        <v>11</v>
      </c>
      <c r="V10" s="23">
        <f>U10+'17.05'!V10</f>
        <v>74</v>
      </c>
      <c r="W10" s="38">
        <v>55</v>
      </c>
      <c r="X10" s="22">
        <v>0</v>
      </c>
      <c r="Y10" s="23">
        <f>X10+'17.05'!Y10</f>
        <v>65</v>
      </c>
      <c r="Z10" s="38">
        <v>71</v>
      </c>
      <c r="AA10" s="22">
        <v>0</v>
      </c>
      <c r="AB10" s="23">
        <f>AA10+'17.05'!AB10</f>
        <v>37</v>
      </c>
      <c r="AC10" s="38">
        <v>1690</v>
      </c>
      <c r="AD10" s="22">
        <v>57</v>
      </c>
      <c r="AE10" s="23">
        <f>AD10+'17.05'!AE10</f>
        <v>1458</v>
      </c>
      <c r="AF10" s="19">
        <f t="shared" si="8"/>
        <v>129706</v>
      </c>
      <c r="AG10" s="20">
        <f t="shared" si="8"/>
        <v>1957335</v>
      </c>
      <c r="AH10" s="24">
        <v>862</v>
      </c>
      <c r="AI10" s="23">
        <f>AH10+'17.05'!AI10</f>
        <v>20476</v>
      </c>
      <c r="AJ10" s="24">
        <v>4622</v>
      </c>
      <c r="AK10" s="23">
        <f>AJ10+'17.05'!AK10</f>
        <v>93178</v>
      </c>
      <c r="AL10" s="22">
        <v>17035</v>
      </c>
      <c r="AM10" s="23">
        <f>AL10+'17.05'!AM10</f>
        <v>218499</v>
      </c>
      <c r="AN10" s="22">
        <v>107187</v>
      </c>
      <c r="AO10" s="23">
        <f>AN10+'17.05'!AO10</f>
        <v>1625182</v>
      </c>
      <c r="AP10" s="28" t="s">
        <v>44</v>
      </c>
      <c r="AQ10" s="19">
        <f t="shared" si="9"/>
        <v>6</v>
      </c>
      <c r="AR10" s="20">
        <f t="shared" si="9"/>
        <v>84</v>
      </c>
      <c r="AS10" s="34">
        <v>0</v>
      </c>
      <c r="AT10" s="23">
        <f>AS10+'17.05'!AT10</f>
        <v>3</v>
      </c>
      <c r="AU10" s="34">
        <v>0</v>
      </c>
      <c r="AV10" s="23">
        <f>AU10+'17.05'!AV10</f>
        <v>3</v>
      </c>
      <c r="AW10" s="34">
        <v>0</v>
      </c>
      <c r="AX10" s="23">
        <f>AW10+'17.05'!AX10</f>
        <v>0</v>
      </c>
      <c r="AY10" s="34">
        <v>0</v>
      </c>
      <c r="AZ10" s="23">
        <f>AY10+'17.05'!AZ10</f>
        <v>0</v>
      </c>
      <c r="BA10" s="34">
        <v>6</v>
      </c>
      <c r="BB10" s="23">
        <f>BA10+'17.05'!BB10</f>
        <v>78</v>
      </c>
      <c r="BC10" s="19">
        <f t="shared" si="10"/>
        <v>4444</v>
      </c>
      <c r="BD10" s="20">
        <f t="shared" si="10"/>
        <v>84136</v>
      </c>
      <c r="BE10" s="22">
        <v>566</v>
      </c>
      <c r="BF10" s="23">
        <f>BE10+'17.05'!BF10</f>
        <v>9519</v>
      </c>
      <c r="BG10" s="34">
        <v>1</v>
      </c>
      <c r="BH10" s="23">
        <f>BG10+'17.05'!BH10</f>
        <v>18</v>
      </c>
      <c r="BI10" s="22">
        <v>2944</v>
      </c>
      <c r="BJ10" s="23">
        <f>BI10+'17.05'!BJ10</f>
        <v>43570</v>
      </c>
      <c r="BK10" s="22">
        <v>933</v>
      </c>
      <c r="BL10" s="23">
        <f>BK10+'17.05'!BL10</f>
        <v>31026</v>
      </c>
      <c r="BM10" s="22">
        <v>0</v>
      </c>
      <c r="BN10" s="23">
        <f>BM10+'17.05'!BN10</f>
        <v>3</v>
      </c>
      <c r="BO10" s="36">
        <v>32</v>
      </c>
      <c r="BP10" s="37">
        <v>0</v>
      </c>
      <c r="BQ10" s="23">
        <f>BP10+'17.05'!BQ10</f>
        <v>11</v>
      </c>
    </row>
    <row r="11" spans="1:69" ht="27.75" customHeight="1">
      <c r="A11" s="28" t="s">
        <v>45</v>
      </c>
      <c r="B11" s="29">
        <f t="shared" si="7"/>
        <v>15381</v>
      </c>
      <c r="C11" s="30">
        <f t="shared" si="7"/>
        <v>33</v>
      </c>
      <c r="D11" s="31">
        <f t="shared" si="7"/>
        <v>660</v>
      </c>
      <c r="E11" s="32">
        <v>883</v>
      </c>
      <c r="F11" s="22">
        <v>16</v>
      </c>
      <c r="G11" s="23">
        <f>F11+'17.05'!G11</f>
        <v>327</v>
      </c>
      <c r="H11" s="33">
        <v>16</v>
      </c>
      <c r="I11" s="34">
        <v>0</v>
      </c>
      <c r="J11" s="23">
        <f>I11+'17.05'!J11</f>
        <v>0</v>
      </c>
      <c r="K11" s="33">
        <v>3</v>
      </c>
      <c r="L11" s="22">
        <v>0</v>
      </c>
      <c r="M11" s="23">
        <f>L11+'17.05'!M11</f>
        <v>0</v>
      </c>
      <c r="N11" s="33">
        <v>875</v>
      </c>
      <c r="O11" s="22">
        <v>0</v>
      </c>
      <c r="P11" s="23">
        <f>O11+'17.05'!P11</f>
        <v>0</v>
      </c>
      <c r="Q11" s="33">
        <v>2424</v>
      </c>
      <c r="R11" s="22">
        <v>0</v>
      </c>
      <c r="S11" s="23">
        <f>R11+'17.05'!S11</f>
        <v>0</v>
      </c>
      <c r="T11" s="33">
        <v>69</v>
      </c>
      <c r="U11" s="22">
        <v>0</v>
      </c>
      <c r="V11" s="23">
        <f>U11+'17.05'!V11</f>
        <v>0</v>
      </c>
      <c r="W11" s="38">
        <v>133</v>
      </c>
      <c r="X11" s="22">
        <v>16</v>
      </c>
      <c r="Y11" s="23">
        <f>X11+'17.05'!Y11</f>
        <v>306</v>
      </c>
      <c r="Z11" s="38">
        <v>1116</v>
      </c>
      <c r="AA11" s="22">
        <v>0</v>
      </c>
      <c r="AB11" s="23">
        <f>AA11+'17.05'!AB11</f>
        <v>0</v>
      </c>
      <c r="AC11" s="38">
        <v>9862</v>
      </c>
      <c r="AD11" s="22">
        <v>1</v>
      </c>
      <c r="AE11" s="23">
        <f>AD11+'17.05'!AE11</f>
        <v>27</v>
      </c>
      <c r="AF11" s="19">
        <f t="shared" si="8"/>
        <v>17000</v>
      </c>
      <c r="AG11" s="20">
        <f t="shared" si="8"/>
        <v>360000</v>
      </c>
      <c r="AH11" s="24">
        <v>2100</v>
      </c>
      <c r="AI11" s="23">
        <f>AH11+'17.05'!AI11</f>
        <v>43600</v>
      </c>
      <c r="AJ11" s="24">
        <v>3500</v>
      </c>
      <c r="AK11" s="23">
        <f>AJ11+'17.05'!AK11</f>
        <v>49400</v>
      </c>
      <c r="AL11" s="22">
        <v>2800</v>
      </c>
      <c r="AM11" s="23">
        <f>AL11+'17.05'!AM11</f>
        <v>84300</v>
      </c>
      <c r="AN11" s="22">
        <v>8600</v>
      </c>
      <c r="AO11" s="23">
        <f>AN11+'17.05'!AO11</f>
        <v>182700</v>
      </c>
      <c r="AP11" s="28" t="s">
        <v>45</v>
      </c>
      <c r="AQ11" s="19">
        <f t="shared" si="9"/>
        <v>2</v>
      </c>
      <c r="AR11" s="20">
        <f t="shared" si="9"/>
        <v>45</v>
      </c>
      <c r="AS11" s="34">
        <v>0</v>
      </c>
      <c r="AT11" s="23">
        <f>AS11+'17.05'!AT11</f>
        <v>0</v>
      </c>
      <c r="AU11" s="34">
        <v>0</v>
      </c>
      <c r="AV11" s="23">
        <f>AU11+'17.05'!AV11</f>
        <v>0</v>
      </c>
      <c r="AW11" s="34">
        <v>0</v>
      </c>
      <c r="AX11" s="23">
        <f>AW11+'17.05'!AX11</f>
        <v>0</v>
      </c>
      <c r="AY11" s="34">
        <v>0</v>
      </c>
      <c r="AZ11" s="23">
        <f>AY11+'17.05'!AZ11</f>
        <v>0</v>
      </c>
      <c r="BA11" s="34">
        <v>2</v>
      </c>
      <c r="BB11" s="23">
        <f>BA11+'17.05'!BB11</f>
        <v>45</v>
      </c>
      <c r="BC11" s="19">
        <f t="shared" si="10"/>
        <v>538</v>
      </c>
      <c r="BD11" s="20">
        <f t="shared" si="10"/>
        <v>11988</v>
      </c>
      <c r="BE11" s="22">
        <v>3</v>
      </c>
      <c r="BF11" s="23">
        <f>BE11+'17.05'!BF11</f>
        <v>31</v>
      </c>
      <c r="BG11" s="34">
        <v>3</v>
      </c>
      <c r="BH11" s="23">
        <f>BG11+'17.05'!BH11</f>
        <v>52</v>
      </c>
      <c r="BI11" s="22">
        <v>520</v>
      </c>
      <c r="BJ11" s="23">
        <f>BI11+'17.05'!BJ11</f>
        <v>11602</v>
      </c>
      <c r="BK11" s="22">
        <v>10</v>
      </c>
      <c r="BL11" s="23">
        <f>BK11+'17.05'!BL11</f>
        <v>274</v>
      </c>
      <c r="BM11" s="22">
        <v>2</v>
      </c>
      <c r="BN11" s="23">
        <f>BM11+'17.05'!BN11</f>
        <v>29</v>
      </c>
      <c r="BO11" s="36">
        <v>11506</v>
      </c>
      <c r="BP11" s="37">
        <v>2</v>
      </c>
      <c r="BQ11" s="23">
        <f>BP11+'17.05'!BQ11</f>
        <v>49</v>
      </c>
    </row>
    <row r="12" spans="1:69" ht="27.75" customHeight="1">
      <c r="A12" s="28" t="s">
        <v>46</v>
      </c>
      <c r="B12" s="29">
        <f t="shared" si="7"/>
        <v>30164</v>
      </c>
      <c r="C12" s="30">
        <f t="shared" si="7"/>
        <v>270</v>
      </c>
      <c r="D12" s="31">
        <f t="shared" si="7"/>
        <v>3935</v>
      </c>
      <c r="E12" s="32">
        <v>909</v>
      </c>
      <c r="F12" s="22">
        <v>71</v>
      </c>
      <c r="G12" s="23">
        <f>F12+'17.05'!G12</f>
        <v>910</v>
      </c>
      <c r="H12" s="33">
        <v>80</v>
      </c>
      <c r="I12" s="34">
        <v>5</v>
      </c>
      <c r="J12" s="23">
        <f>I12+'17.05'!J12</f>
        <v>42</v>
      </c>
      <c r="K12" s="33">
        <v>5</v>
      </c>
      <c r="L12" s="22">
        <v>0</v>
      </c>
      <c r="M12" s="23">
        <f>L12+'17.05'!M12</f>
        <v>0</v>
      </c>
      <c r="N12" s="33">
        <v>820</v>
      </c>
      <c r="O12" s="22">
        <v>24</v>
      </c>
      <c r="P12" s="23">
        <f>O12+'17.05'!P12</f>
        <v>305</v>
      </c>
      <c r="Q12" s="33">
        <v>549</v>
      </c>
      <c r="R12" s="22">
        <v>0</v>
      </c>
      <c r="S12" s="23">
        <f>R12+'17.05'!S12</f>
        <v>0</v>
      </c>
      <c r="T12" s="33">
        <v>992</v>
      </c>
      <c r="U12" s="22">
        <v>0</v>
      </c>
      <c r="V12" s="23">
        <f>U12+'17.05'!V12</f>
        <v>0</v>
      </c>
      <c r="W12" s="33">
        <v>38</v>
      </c>
      <c r="X12" s="22">
        <v>132</v>
      </c>
      <c r="Y12" s="23">
        <f>X12+'17.05'!Y12</f>
        <v>2047</v>
      </c>
      <c r="Z12" s="33">
        <v>68</v>
      </c>
      <c r="AA12" s="22">
        <v>0</v>
      </c>
      <c r="AB12" s="23">
        <f>AA12+'17.05'!AB12</f>
        <v>0</v>
      </c>
      <c r="AC12" s="33">
        <v>26703</v>
      </c>
      <c r="AD12" s="22">
        <v>38</v>
      </c>
      <c r="AE12" s="23">
        <f>AD12+'17.05'!AE12</f>
        <v>631</v>
      </c>
      <c r="AF12" s="19">
        <f t="shared" si="8"/>
        <v>4639</v>
      </c>
      <c r="AG12" s="20">
        <f t="shared" si="8"/>
        <v>264078</v>
      </c>
      <c r="AH12" s="24">
        <v>839</v>
      </c>
      <c r="AI12" s="23">
        <f>AH12+'17.05'!AI12</f>
        <v>41499</v>
      </c>
      <c r="AJ12" s="24">
        <v>886</v>
      </c>
      <c r="AK12" s="23">
        <f>AJ12+'17.05'!AK12</f>
        <v>78584</v>
      </c>
      <c r="AL12" s="22">
        <v>1457</v>
      </c>
      <c r="AM12" s="23">
        <f>AL12+'17.05'!AM12</f>
        <v>71996</v>
      </c>
      <c r="AN12" s="22">
        <v>1457</v>
      </c>
      <c r="AO12" s="23">
        <f>AN12+'17.05'!AO12</f>
        <v>71999</v>
      </c>
      <c r="AP12" s="28" t="s">
        <v>46</v>
      </c>
      <c r="AQ12" s="19">
        <f t="shared" si="9"/>
        <v>73</v>
      </c>
      <c r="AR12" s="20">
        <f t="shared" si="9"/>
        <v>1515</v>
      </c>
      <c r="AS12" s="34">
        <v>0</v>
      </c>
      <c r="AT12" s="23">
        <f>AS12+'17.05'!AT12</f>
        <v>0</v>
      </c>
      <c r="AU12" s="34">
        <v>0</v>
      </c>
      <c r="AV12" s="23">
        <f>AU12+'17.05'!AV12</f>
        <v>0</v>
      </c>
      <c r="AW12" s="34">
        <v>0</v>
      </c>
      <c r="AX12" s="23">
        <f>AW12+'17.05'!AX12</f>
        <v>0</v>
      </c>
      <c r="AY12" s="34">
        <v>0</v>
      </c>
      <c r="AZ12" s="23">
        <f>AY12+'17.05'!AZ12</f>
        <v>0</v>
      </c>
      <c r="BA12" s="34">
        <v>73</v>
      </c>
      <c r="BB12" s="23">
        <f>BA12+'17.05'!BB12</f>
        <v>1515</v>
      </c>
      <c r="BC12" s="19">
        <f t="shared" si="10"/>
        <v>2460</v>
      </c>
      <c r="BD12" s="20">
        <f t="shared" si="10"/>
        <v>50607</v>
      </c>
      <c r="BE12" s="22">
        <v>305</v>
      </c>
      <c r="BF12" s="23">
        <f>BE12+'17.05'!BF12</f>
        <v>3433</v>
      </c>
      <c r="BG12" s="34">
        <v>14</v>
      </c>
      <c r="BH12" s="23">
        <f>BG12+'17.05'!BH12</f>
        <v>160</v>
      </c>
      <c r="BI12" s="22">
        <v>1900</v>
      </c>
      <c r="BJ12" s="23">
        <f>BI12+'17.05'!BJ12</f>
        <v>41200</v>
      </c>
      <c r="BK12" s="22">
        <v>200</v>
      </c>
      <c r="BL12" s="23">
        <f>BK12+'17.05'!BL12</f>
        <v>4950</v>
      </c>
      <c r="BM12" s="22">
        <v>41</v>
      </c>
      <c r="BN12" s="23">
        <f>BM12+'17.05'!BN12</f>
        <v>864</v>
      </c>
      <c r="BO12" s="36"/>
      <c r="BP12" s="37">
        <v>1</v>
      </c>
      <c r="BQ12" s="23">
        <f>BP12+'17.05'!BQ12</f>
        <v>30</v>
      </c>
    </row>
    <row r="13" spans="1:69" ht="27.75" customHeight="1">
      <c r="A13" s="28" t="s">
        <v>47</v>
      </c>
      <c r="B13" s="29">
        <f t="shared" si="7"/>
        <v>2044</v>
      </c>
      <c r="C13" s="30">
        <f t="shared" si="7"/>
        <v>4</v>
      </c>
      <c r="D13" s="31">
        <f t="shared" si="7"/>
        <v>275</v>
      </c>
      <c r="E13" s="32">
        <v>516</v>
      </c>
      <c r="F13" s="22">
        <v>1</v>
      </c>
      <c r="G13" s="23">
        <f>F13+'17.05'!G13</f>
        <v>18</v>
      </c>
      <c r="H13" s="33">
        <v>10</v>
      </c>
      <c r="I13" s="34">
        <v>0</v>
      </c>
      <c r="J13" s="23">
        <f>I13+'17.05'!J13</f>
        <v>7</v>
      </c>
      <c r="K13" s="33">
        <v>38</v>
      </c>
      <c r="L13" s="22">
        <v>0</v>
      </c>
      <c r="M13" s="23">
        <f>L13+'17.05'!M13</f>
        <v>0</v>
      </c>
      <c r="N13" s="33">
        <v>581</v>
      </c>
      <c r="O13" s="22">
        <v>1</v>
      </c>
      <c r="P13" s="23">
        <f>O13+'17.05'!P13</f>
        <v>9</v>
      </c>
      <c r="Q13" s="33">
        <v>525</v>
      </c>
      <c r="R13" s="22">
        <v>0</v>
      </c>
      <c r="S13" s="23">
        <f>R13+'17.05'!S13</f>
        <v>0</v>
      </c>
      <c r="T13" s="33">
        <v>263</v>
      </c>
      <c r="U13" s="22">
        <v>0</v>
      </c>
      <c r="V13" s="23">
        <f>U13+'17.05'!V13</f>
        <v>0</v>
      </c>
      <c r="W13" s="33">
        <v>43</v>
      </c>
      <c r="X13" s="22">
        <v>0</v>
      </c>
      <c r="Y13" s="23">
        <f>X13+'17.05'!Y13</f>
        <v>1</v>
      </c>
      <c r="Z13" s="33">
        <v>17</v>
      </c>
      <c r="AA13" s="22">
        <v>0</v>
      </c>
      <c r="AB13" s="23">
        <f>AA13+'17.05'!AB13</f>
        <v>0</v>
      </c>
      <c r="AC13" s="33">
        <v>51</v>
      </c>
      <c r="AD13" s="22">
        <v>2</v>
      </c>
      <c r="AE13" s="23">
        <f>AD13+'17.05'!AE13</f>
        <v>240</v>
      </c>
      <c r="AF13" s="19">
        <f t="shared" si="8"/>
        <v>240000</v>
      </c>
      <c r="AG13" s="20">
        <f t="shared" si="8"/>
        <v>4609000</v>
      </c>
      <c r="AH13" s="24">
        <v>1000</v>
      </c>
      <c r="AI13" s="23">
        <f>AH13+'17.05'!AI13</f>
        <v>59000</v>
      </c>
      <c r="AJ13" s="24">
        <v>19000</v>
      </c>
      <c r="AK13" s="23">
        <f>AJ13+'17.05'!AK13</f>
        <v>401000</v>
      </c>
      <c r="AL13" s="22">
        <v>20000</v>
      </c>
      <c r="AM13" s="23">
        <f>AL13+'17.05'!AM13</f>
        <v>390000</v>
      </c>
      <c r="AN13" s="22">
        <v>200000</v>
      </c>
      <c r="AO13" s="23">
        <f>AN13+'17.05'!AO13</f>
        <v>3759000</v>
      </c>
      <c r="AP13" s="28" t="s">
        <v>47</v>
      </c>
      <c r="AQ13" s="19">
        <f t="shared" si="9"/>
        <v>13</v>
      </c>
      <c r="AR13" s="20">
        <f t="shared" si="9"/>
        <v>449</v>
      </c>
      <c r="AS13" s="34">
        <v>1</v>
      </c>
      <c r="AT13" s="23">
        <f>AS13+'17.05'!AT13</f>
        <v>15</v>
      </c>
      <c r="AU13" s="34">
        <v>1</v>
      </c>
      <c r="AV13" s="23">
        <f>AU13+'17.05'!AV13</f>
        <v>17</v>
      </c>
      <c r="AW13" s="34">
        <v>0</v>
      </c>
      <c r="AX13" s="23">
        <f>AW13+'17.05'!AX13</f>
        <v>0</v>
      </c>
      <c r="AY13" s="34">
        <v>0</v>
      </c>
      <c r="AZ13" s="23">
        <f>AY13+'17.05'!AZ13</f>
        <v>0</v>
      </c>
      <c r="BA13" s="34">
        <v>11</v>
      </c>
      <c r="BB13" s="23">
        <f>BA13+'17.05'!BB13</f>
        <v>417</v>
      </c>
      <c r="BC13" s="19">
        <f t="shared" si="10"/>
        <v>4802</v>
      </c>
      <c r="BD13" s="20">
        <f t="shared" si="10"/>
        <v>206943</v>
      </c>
      <c r="BE13" s="22">
        <v>516</v>
      </c>
      <c r="BF13" s="23">
        <f>BE13+'17.05'!BF13</f>
        <v>9288</v>
      </c>
      <c r="BG13" s="34">
        <v>71</v>
      </c>
      <c r="BH13" s="23">
        <f>BG13+'17.05'!BH13</f>
        <v>319</v>
      </c>
      <c r="BI13" s="22">
        <v>4000</v>
      </c>
      <c r="BJ13" s="23">
        <f>BI13+'17.05'!BJ13</f>
        <v>192500</v>
      </c>
      <c r="BK13" s="22">
        <v>200</v>
      </c>
      <c r="BL13" s="23">
        <f>BK13+'17.05'!BL13</f>
        <v>4120</v>
      </c>
      <c r="BM13" s="22">
        <v>15</v>
      </c>
      <c r="BN13" s="23">
        <f>BM13+'17.05'!BN13</f>
        <v>716</v>
      </c>
      <c r="BO13" s="36"/>
      <c r="BP13" s="37">
        <v>1</v>
      </c>
      <c r="BQ13" s="23">
        <f>BP13+'17.05'!BQ13</f>
        <v>12</v>
      </c>
    </row>
    <row r="14" spans="1:69" ht="27.75" customHeight="1">
      <c r="A14" s="39" t="s">
        <v>48</v>
      </c>
      <c r="B14" s="40">
        <f t="shared" si="7"/>
        <v>3916</v>
      </c>
      <c r="C14" s="41">
        <f t="shared" si="7"/>
        <v>104</v>
      </c>
      <c r="D14" s="42">
        <f t="shared" si="7"/>
        <v>2012</v>
      </c>
      <c r="E14" s="43">
        <v>304</v>
      </c>
      <c r="F14" s="22">
        <v>94</v>
      </c>
      <c r="G14" s="23">
        <f>F14+'17.05'!G14</f>
        <v>1692</v>
      </c>
      <c r="H14" s="44">
        <v>5</v>
      </c>
      <c r="I14" s="45">
        <v>0</v>
      </c>
      <c r="J14" s="23">
        <f>I14+'17.05'!J14</f>
        <v>0</v>
      </c>
      <c r="K14" s="44">
        <v>34</v>
      </c>
      <c r="L14" s="22">
        <v>0</v>
      </c>
      <c r="M14" s="23">
        <f>L14+'17.05'!M14</f>
        <v>0</v>
      </c>
      <c r="N14" s="44">
        <v>583</v>
      </c>
      <c r="O14" s="22">
        <v>0</v>
      </c>
      <c r="P14" s="23">
        <f>O14+'17.05'!P14</f>
        <v>0</v>
      </c>
      <c r="Q14" s="44">
        <v>254</v>
      </c>
      <c r="R14" s="22">
        <v>0</v>
      </c>
      <c r="S14" s="23">
        <f>R14+'17.05'!S14</f>
        <v>0</v>
      </c>
      <c r="T14" s="44">
        <v>196</v>
      </c>
      <c r="U14" s="22">
        <v>0</v>
      </c>
      <c r="V14" s="23">
        <f>U14+'17.05'!V14</f>
        <v>0</v>
      </c>
      <c r="W14" s="44">
        <v>30</v>
      </c>
      <c r="X14" s="22">
        <v>8</v>
      </c>
      <c r="Y14" s="23">
        <f>X14+'17.05'!Y14</f>
        <v>244</v>
      </c>
      <c r="Z14" s="44">
        <v>10</v>
      </c>
      <c r="AA14" s="22">
        <v>0</v>
      </c>
      <c r="AB14" s="23">
        <f>AA14+'17.05'!AB14</f>
        <v>0</v>
      </c>
      <c r="AC14" s="44">
        <v>2500</v>
      </c>
      <c r="AD14" s="22">
        <v>2</v>
      </c>
      <c r="AE14" s="23">
        <f>AD14+'17.05'!AE14</f>
        <v>76</v>
      </c>
      <c r="AF14" s="19">
        <f t="shared" si="8"/>
        <v>112000</v>
      </c>
      <c r="AG14" s="20">
        <f t="shared" si="8"/>
        <v>1923040</v>
      </c>
      <c r="AH14" s="24">
        <v>3700</v>
      </c>
      <c r="AI14" s="23">
        <f>AH14+'17.05'!AI14</f>
        <v>59060</v>
      </c>
      <c r="AJ14" s="24">
        <v>5800</v>
      </c>
      <c r="AK14" s="23">
        <f>AJ14+'17.05'!AK14</f>
        <v>110050</v>
      </c>
      <c r="AL14" s="22">
        <v>8800</v>
      </c>
      <c r="AM14" s="23">
        <f>AL14+'17.05'!AM14</f>
        <v>125450</v>
      </c>
      <c r="AN14" s="22">
        <v>93700</v>
      </c>
      <c r="AO14" s="23">
        <f>AN14+'17.05'!AO14</f>
        <v>1628480</v>
      </c>
      <c r="AP14" s="39" t="s">
        <v>48</v>
      </c>
      <c r="AQ14" s="19">
        <f t="shared" si="9"/>
        <v>2</v>
      </c>
      <c r="AR14" s="20">
        <f t="shared" si="9"/>
        <v>63</v>
      </c>
      <c r="AS14" s="45">
        <v>0</v>
      </c>
      <c r="AT14" s="23">
        <f>AS14+'17.05'!AT14</f>
        <v>0</v>
      </c>
      <c r="AU14" s="45">
        <v>0</v>
      </c>
      <c r="AV14" s="23">
        <f>AU14+'17.05'!AV14</f>
        <v>4</v>
      </c>
      <c r="AW14" s="45">
        <v>0</v>
      </c>
      <c r="AX14" s="23">
        <f>AW14+'17.05'!AX14</f>
        <v>3</v>
      </c>
      <c r="AY14" s="45">
        <v>0</v>
      </c>
      <c r="AZ14" s="23">
        <f>AY14+'17.05'!AZ14</f>
        <v>1</v>
      </c>
      <c r="BA14" s="45">
        <v>2</v>
      </c>
      <c r="BB14" s="23">
        <f>BA14+'17.05'!BB14</f>
        <v>55</v>
      </c>
      <c r="BC14" s="19">
        <f t="shared" si="10"/>
        <v>1459</v>
      </c>
      <c r="BD14" s="20">
        <f t="shared" si="10"/>
        <v>41481</v>
      </c>
      <c r="BE14" s="22">
        <v>2</v>
      </c>
      <c r="BF14" s="23">
        <f>BE14+'17.05'!BF14</f>
        <v>58</v>
      </c>
      <c r="BG14" s="45">
        <v>1</v>
      </c>
      <c r="BH14" s="23">
        <f>BG14+'17.05'!BH14</f>
        <v>28</v>
      </c>
      <c r="BI14" s="22">
        <v>1450</v>
      </c>
      <c r="BJ14" s="23">
        <f>BI14+'17.05'!BJ14</f>
        <v>41280</v>
      </c>
      <c r="BK14" s="22">
        <v>4</v>
      </c>
      <c r="BL14" s="23">
        <f>BK14+'17.05'!BL14</f>
        <v>79</v>
      </c>
      <c r="BM14" s="22">
        <v>2</v>
      </c>
      <c r="BN14" s="23">
        <f>BM14+'17.05'!BN14</f>
        <v>36</v>
      </c>
      <c r="BO14" s="48">
        <v>22</v>
      </c>
      <c r="BP14" s="49">
        <v>0</v>
      </c>
      <c r="BQ14" s="23">
        <f>BP14+'17.05'!BQ14</f>
        <v>0</v>
      </c>
    </row>
    <row r="15" spans="1:69" s="1" customFormat="1" ht="27.75" customHeight="1">
      <c r="A15" s="50" t="s">
        <v>49</v>
      </c>
      <c r="B15" s="51">
        <f t="shared" si="7"/>
        <v>3897</v>
      </c>
      <c r="C15" s="52">
        <f t="shared" si="7"/>
        <v>441</v>
      </c>
      <c r="D15" s="53">
        <f t="shared" si="7"/>
        <v>7885</v>
      </c>
      <c r="E15" s="54">
        <v>776</v>
      </c>
      <c r="F15" s="55">
        <v>379</v>
      </c>
      <c r="G15" s="23">
        <f>F15+'17.05'!G15</f>
        <v>6130</v>
      </c>
      <c r="H15" s="56">
        <v>9</v>
      </c>
      <c r="I15" s="57">
        <v>0</v>
      </c>
      <c r="J15" s="23">
        <f>I15+'17.05'!J15</f>
        <v>0</v>
      </c>
      <c r="K15" s="56">
        <v>6</v>
      </c>
      <c r="L15" s="55">
        <v>0</v>
      </c>
      <c r="M15" s="23">
        <f>L15+'17.05'!M15</f>
        <v>0</v>
      </c>
      <c r="N15" s="56">
        <v>1305</v>
      </c>
      <c r="O15" s="55">
        <v>0</v>
      </c>
      <c r="P15" s="23">
        <f>O15+'17.05'!P15</f>
        <v>0</v>
      </c>
      <c r="Q15" s="56">
        <v>447</v>
      </c>
      <c r="R15" s="55">
        <v>0</v>
      </c>
      <c r="S15" s="23">
        <f>R15+'17.05'!S15</f>
        <v>0</v>
      </c>
      <c r="T15" s="56">
        <v>337</v>
      </c>
      <c r="U15" s="55">
        <v>0</v>
      </c>
      <c r="V15" s="23">
        <f>U15+'17.05'!V15</f>
        <v>0</v>
      </c>
      <c r="W15" s="56">
        <v>78</v>
      </c>
      <c r="X15" s="55">
        <v>0</v>
      </c>
      <c r="Y15" s="23">
        <f>X15+'17.05'!Y15</f>
        <v>0</v>
      </c>
      <c r="Z15" s="56">
        <v>141</v>
      </c>
      <c r="AA15" s="55">
        <v>0</v>
      </c>
      <c r="AB15" s="23">
        <f>AA15+'17.05'!AB15</f>
        <v>0</v>
      </c>
      <c r="AC15" s="56">
        <v>798</v>
      </c>
      <c r="AD15" s="55">
        <v>62</v>
      </c>
      <c r="AE15" s="23">
        <f>AD15+'17.05'!AE15</f>
        <v>1755</v>
      </c>
      <c r="AF15" s="58">
        <f t="shared" si="8"/>
        <v>1986926</v>
      </c>
      <c r="AG15" s="59">
        <f t="shared" si="8"/>
        <v>40340312</v>
      </c>
      <c r="AH15" s="60">
        <v>879</v>
      </c>
      <c r="AI15" s="23">
        <f>AH15+'17.05'!AI15</f>
        <v>15374</v>
      </c>
      <c r="AJ15" s="60">
        <v>2775</v>
      </c>
      <c r="AK15" s="23">
        <f>AJ15+'17.05'!AK15</f>
        <v>52152</v>
      </c>
      <c r="AL15" s="55">
        <v>991636</v>
      </c>
      <c r="AM15" s="23">
        <f>AL15+'17.05'!AM15</f>
        <v>24486393</v>
      </c>
      <c r="AN15" s="55">
        <v>991636</v>
      </c>
      <c r="AO15" s="23">
        <f>AN15+'17.05'!AO15</f>
        <v>15786393</v>
      </c>
      <c r="AP15" s="50" t="s">
        <v>49</v>
      </c>
      <c r="AQ15" s="58">
        <f t="shared" si="9"/>
        <v>4</v>
      </c>
      <c r="AR15" s="59">
        <f t="shared" si="9"/>
        <v>49</v>
      </c>
      <c r="AS15" s="57">
        <v>0</v>
      </c>
      <c r="AT15" s="23">
        <f>AS15+'17.05'!AT15</f>
        <v>2</v>
      </c>
      <c r="AU15" s="57">
        <v>1</v>
      </c>
      <c r="AV15" s="23">
        <f>AU15+'17.05'!AV15</f>
        <v>5</v>
      </c>
      <c r="AW15" s="57">
        <v>1</v>
      </c>
      <c r="AX15" s="23">
        <f>AW15+'17.05'!AX15</f>
        <v>4</v>
      </c>
      <c r="AY15" s="57">
        <v>0</v>
      </c>
      <c r="AZ15" s="23">
        <f>AY15+'17.05'!AZ15</f>
        <v>1</v>
      </c>
      <c r="BA15" s="57">
        <v>2</v>
      </c>
      <c r="BB15" s="23">
        <f>BA15+'17.05'!BB15</f>
        <v>37</v>
      </c>
      <c r="BC15" s="58">
        <f t="shared" si="10"/>
        <v>1698</v>
      </c>
      <c r="BD15" s="59">
        <f t="shared" si="10"/>
        <v>27511</v>
      </c>
      <c r="BE15" s="55">
        <v>97</v>
      </c>
      <c r="BF15" s="23">
        <f>BE15+'17.05'!BF15</f>
        <v>1370</v>
      </c>
      <c r="BG15" s="57">
        <v>2</v>
      </c>
      <c r="BH15" s="23">
        <f>BG15+'17.05'!BH15</f>
        <v>25</v>
      </c>
      <c r="BI15" s="55">
        <v>824</v>
      </c>
      <c r="BJ15" s="23">
        <f>BI15+'17.05'!BJ15</f>
        <v>13110</v>
      </c>
      <c r="BK15" s="55">
        <v>762</v>
      </c>
      <c r="BL15" s="23">
        <f>BK15+'17.05'!BL15</f>
        <v>12718</v>
      </c>
      <c r="BM15" s="55">
        <v>13</v>
      </c>
      <c r="BN15" s="23">
        <f>BM15+'17.05'!BN15</f>
        <v>288</v>
      </c>
      <c r="BO15" s="36">
        <v>6274</v>
      </c>
      <c r="BP15" s="37">
        <v>1</v>
      </c>
      <c r="BQ15" s="23">
        <f>BP15+'17.05'!BQ15</f>
        <v>12</v>
      </c>
    </row>
    <row r="16" spans="1:69" ht="27.75" customHeight="1">
      <c r="A16" s="28" t="s">
        <v>51</v>
      </c>
      <c r="B16" s="29">
        <f t="shared" si="7"/>
        <v>19901</v>
      </c>
      <c r="C16" s="30">
        <f t="shared" si="7"/>
        <v>149</v>
      </c>
      <c r="D16" s="31">
        <f t="shared" si="7"/>
        <v>2472</v>
      </c>
      <c r="E16" s="32">
        <v>310</v>
      </c>
      <c r="F16" s="22">
        <v>51</v>
      </c>
      <c r="G16" s="23">
        <f>F16+'17.05'!G16</f>
        <v>855</v>
      </c>
      <c r="H16" s="33">
        <v>5</v>
      </c>
      <c r="I16" s="34">
        <v>0</v>
      </c>
      <c r="J16" s="23">
        <f>I16+'17.05'!J16</f>
        <v>0</v>
      </c>
      <c r="K16" s="33">
        <v>3</v>
      </c>
      <c r="L16" s="22">
        <v>0</v>
      </c>
      <c r="M16" s="23">
        <f>L16+'17.05'!M16</f>
        <v>0</v>
      </c>
      <c r="N16" s="33">
        <v>384</v>
      </c>
      <c r="O16" s="22">
        <v>0</v>
      </c>
      <c r="P16" s="23">
        <f>O16+'17.05'!P16</f>
        <v>0</v>
      </c>
      <c r="Q16" s="33">
        <v>245</v>
      </c>
      <c r="R16" s="22">
        <v>0</v>
      </c>
      <c r="S16" s="23">
        <f>R16+'17.05'!S16</f>
        <v>0</v>
      </c>
      <c r="T16" s="33">
        <v>397</v>
      </c>
      <c r="U16" s="22">
        <v>0</v>
      </c>
      <c r="V16" s="23">
        <f>U16+'17.05'!V16</f>
        <v>0</v>
      </c>
      <c r="W16" s="33">
        <v>24</v>
      </c>
      <c r="X16" s="22">
        <v>54</v>
      </c>
      <c r="Y16" s="23">
        <f>X16+'17.05'!Y16</f>
        <v>877</v>
      </c>
      <c r="Z16" s="33">
        <v>18</v>
      </c>
      <c r="AA16" s="22">
        <v>0</v>
      </c>
      <c r="AB16" s="23">
        <f>AA16+'17.05'!AB16</f>
        <v>0</v>
      </c>
      <c r="AC16" s="33">
        <v>18515</v>
      </c>
      <c r="AD16" s="22">
        <v>44</v>
      </c>
      <c r="AE16" s="23">
        <f>AD16+'17.05'!AE16</f>
        <v>740</v>
      </c>
      <c r="AF16" s="19">
        <f t="shared" si="8"/>
        <v>56750</v>
      </c>
      <c r="AG16" s="20">
        <f t="shared" si="8"/>
        <v>1073906</v>
      </c>
      <c r="AH16" s="24">
        <v>151</v>
      </c>
      <c r="AI16" s="23">
        <f>AH16+'17.05'!AI16</f>
        <v>2866</v>
      </c>
      <c r="AJ16" s="24">
        <v>1457</v>
      </c>
      <c r="AK16" s="23">
        <f>AJ16+'17.05'!AK16</f>
        <v>23799</v>
      </c>
      <c r="AL16" s="22">
        <v>1571</v>
      </c>
      <c r="AM16" s="23">
        <f>AL16+'17.05'!AM16</f>
        <v>27744</v>
      </c>
      <c r="AN16" s="22">
        <v>53571</v>
      </c>
      <c r="AO16" s="23">
        <f>AN16+'17.05'!AO16</f>
        <v>1019497</v>
      </c>
      <c r="AP16" s="28" t="s">
        <v>51</v>
      </c>
      <c r="AQ16" s="19">
        <f t="shared" si="9"/>
        <v>79</v>
      </c>
      <c r="AR16" s="20">
        <f t="shared" si="9"/>
        <v>1364</v>
      </c>
      <c r="AS16" s="34">
        <v>0</v>
      </c>
      <c r="AT16" s="23">
        <f>AS16+'17.05'!AT16</f>
        <v>2</v>
      </c>
      <c r="AU16" s="34">
        <v>0</v>
      </c>
      <c r="AV16" s="23">
        <f>AU16+'17.05'!AV16</f>
        <v>0</v>
      </c>
      <c r="AW16" s="34">
        <v>0</v>
      </c>
      <c r="AX16" s="23">
        <f>AW16+'17.05'!AX16</f>
        <v>0</v>
      </c>
      <c r="AY16" s="34">
        <v>0</v>
      </c>
      <c r="AZ16" s="23">
        <f>AY16+'17.05'!AZ16</f>
        <v>0</v>
      </c>
      <c r="BA16" s="34">
        <v>79</v>
      </c>
      <c r="BB16" s="23">
        <f>BA16+'17.05'!BB16</f>
        <v>1362</v>
      </c>
      <c r="BC16" s="19">
        <f t="shared" si="10"/>
        <v>1211</v>
      </c>
      <c r="BD16" s="20">
        <f t="shared" si="10"/>
        <v>24136</v>
      </c>
      <c r="BE16" s="22">
        <v>97</v>
      </c>
      <c r="BF16" s="23">
        <f>BE16+'17.05'!BF16</f>
        <v>1274</v>
      </c>
      <c r="BG16" s="34">
        <v>0</v>
      </c>
      <c r="BH16" s="23">
        <f>BG16+'17.05'!BH16</f>
        <v>0</v>
      </c>
      <c r="BI16" s="22">
        <v>1063</v>
      </c>
      <c r="BJ16" s="23">
        <f>BI16+'17.05'!BJ16</f>
        <v>21965</v>
      </c>
      <c r="BK16" s="22">
        <v>42</v>
      </c>
      <c r="BL16" s="23">
        <f>BK16+'17.05'!BL16</f>
        <v>788</v>
      </c>
      <c r="BM16" s="22">
        <v>9</v>
      </c>
      <c r="BN16" s="23">
        <f>BM16+'17.05'!BN16</f>
        <v>109</v>
      </c>
      <c r="BO16" s="36">
        <v>2546</v>
      </c>
      <c r="BP16" s="37">
        <v>0</v>
      </c>
      <c r="BQ16" s="23">
        <f>BP16+'17.05'!BQ16</f>
        <v>0</v>
      </c>
    </row>
    <row r="17" spans="1:69" ht="27.75" customHeight="1">
      <c r="A17" s="28" t="s">
        <v>52</v>
      </c>
      <c r="B17" s="29">
        <f t="shared" si="7"/>
        <v>5602</v>
      </c>
      <c r="C17" s="30">
        <f t="shared" si="7"/>
        <v>147</v>
      </c>
      <c r="D17" s="31">
        <f t="shared" si="7"/>
        <v>3022</v>
      </c>
      <c r="E17" s="32">
        <v>754</v>
      </c>
      <c r="F17" s="22">
        <v>122</v>
      </c>
      <c r="G17" s="23">
        <f>F17+'17.05'!G17</f>
        <v>2571</v>
      </c>
      <c r="H17" s="33">
        <v>9</v>
      </c>
      <c r="I17" s="34">
        <v>0</v>
      </c>
      <c r="J17" s="23">
        <f>I17+'17.05'!J17</f>
        <v>0</v>
      </c>
      <c r="K17" s="33">
        <v>5</v>
      </c>
      <c r="L17" s="22">
        <v>0</v>
      </c>
      <c r="M17" s="23">
        <f>L17+'17.05'!M17</f>
        <v>0</v>
      </c>
      <c r="N17" s="33">
        <v>768</v>
      </c>
      <c r="O17" s="22">
        <v>0</v>
      </c>
      <c r="P17" s="23">
        <f>O17+'17.05'!P17</f>
        <v>0</v>
      </c>
      <c r="Q17" s="33">
        <v>624</v>
      </c>
      <c r="R17" s="22">
        <v>0</v>
      </c>
      <c r="S17" s="23">
        <f>R17+'17.05'!S17</f>
        <v>0</v>
      </c>
      <c r="T17" s="33">
        <v>742</v>
      </c>
      <c r="U17" s="22">
        <v>0</v>
      </c>
      <c r="V17" s="23">
        <f>U17+'17.05'!V17</f>
        <v>0</v>
      </c>
      <c r="W17" s="33">
        <v>54</v>
      </c>
      <c r="X17" s="22">
        <v>15</v>
      </c>
      <c r="Y17" s="23">
        <f>X17+'17.05'!Y17</f>
        <v>245</v>
      </c>
      <c r="Z17" s="33">
        <v>66</v>
      </c>
      <c r="AA17" s="22">
        <v>0</v>
      </c>
      <c r="AB17" s="23">
        <f>AA17+'17.05'!AB17</f>
        <v>0</v>
      </c>
      <c r="AC17" s="33">
        <v>2580</v>
      </c>
      <c r="AD17" s="22">
        <v>10</v>
      </c>
      <c r="AE17" s="23">
        <f>AD17+'17.05'!AE17</f>
        <v>206</v>
      </c>
      <c r="AF17" s="19">
        <f t="shared" si="8"/>
        <v>81500</v>
      </c>
      <c r="AG17" s="20">
        <f t="shared" si="8"/>
        <v>1807600</v>
      </c>
      <c r="AH17" s="24">
        <v>6000</v>
      </c>
      <c r="AI17" s="23">
        <f>AH17+'17.05'!AI17</f>
        <v>113100</v>
      </c>
      <c r="AJ17" s="24">
        <v>10500</v>
      </c>
      <c r="AK17" s="23">
        <f>AJ17+'17.05'!AK17</f>
        <v>180800</v>
      </c>
      <c r="AL17" s="22">
        <v>25000</v>
      </c>
      <c r="AM17" s="23">
        <f>AL17+'17.05'!AM17</f>
        <v>388700</v>
      </c>
      <c r="AN17" s="22">
        <v>40000</v>
      </c>
      <c r="AO17" s="23">
        <f>AN17+'17.05'!AO17</f>
        <v>1125000</v>
      </c>
      <c r="AP17" s="28" t="s">
        <v>52</v>
      </c>
      <c r="AQ17" s="19">
        <f t="shared" si="9"/>
        <v>17</v>
      </c>
      <c r="AR17" s="20">
        <f t="shared" si="9"/>
        <v>351</v>
      </c>
      <c r="AS17" s="34">
        <v>0</v>
      </c>
      <c r="AT17" s="23">
        <f>AS17+'17.05'!AT17</f>
        <v>19</v>
      </c>
      <c r="AU17" s="34">
        <v>2</v>
      </c>
      <c r="AV17" s="23">
        <f>AU17+'17.05'!AV17</f>
        <v>28</v>
      </c>
      <c r="AW17" s="34">
        <v>0</v>
      </c>
      <c r="AX17" s="23">
        <f>AW17+'17.05'!AX17</f>
        <v>0</v>
      </c>
      <c r="AY17" s="34">
        <v>0</v>
      </c>
      <c r="AZ17" s="23">
        <f>AY17+'17.05'!AZ17</f>
        <v>0</v>
      </c>
      <c r="BA17" s="34">
        <v>15</v>
      </c>
      <c r="BB17" s="23">
        <f>BA17+'17.05'!BB17</f>
        <v>304</v>
      </c>
      <c r="BC17" s="19">
        <f t="shared" si="10"/>
        <v>3824</v>
      </c>
      <c r="BD17" s="20">
        <f t="shared" si="10"/>
        <v>49134</v>
      </c>
      <c r="BE17" s="22">
        <v>12</v>
      </c>
      <c r="BF17" s="23">
        <f>BE17+'17.05'!BF17</f>
        <v>624</v>
      </c>
      <c r="BG17" s="34">
        <v>2</v>
      </c>
      <c r="BH17" s="23">
        <f>BG17+'17.05'!BH17</f>
        <v>21</v>
      </c>
      <c r="BI17" s="22">
        <v>3500</v>
      </c>
      <c r="BJ17" s="23">
        <f>BI17+'17.05'!BJ17</f>
        <v>44100</v>
      </c>
      <c r="BK17" s="22">
        <v>300</v>
      </c>
      <c r="BL17" s="23">
        <f>BK17+'17.05'!BL17</f>
        <v>4225</v>
      </c>
      <c r="BM17" s="22">
        <v>10</v>
      </c>
      <c r="BN17" s="23">
        <f>BM17+'17.05'!BN17</f>
        <v>164</v>
      </c>
      <c r="BO17" s="36">
        <v>8022</v>
      </c>
      <c r="BP17" s="37">
        <v>2</v>
      </c>
      <c r="BQ17" s="23">
        <f>BP17+'17.05'!BQ17</f>
        <v>62</v>
      </c>
    </row>
    <row r="18" spans="1:69" ht="27.75" customHeight="1">
      <c r="A18" s="17" t="s">
        <v>53</v>
      </c>
      <c r="B18" s="18">
        <f t="shared" si="7"/>
        <v>3791</v>
      </c>
      <c r="C18" s="19">
        <f t="shared" si="7"/>
        <v>197</v>
      </c>
      <c r="D18" s="20">
        <f t="shared" si="7"/>
        <v>4804</v>
      </c>
      <c r="E18" s="21">
        <v>1063</v>
      </c>
      <c r="F18" s="22">
        <v>118</v>
      </c>
      <c r="G18" s="23">
        <f>F18+'17.05'!G18</f>
        <v>2987</v>
      </c>
      <c r="H18" s="21">
        <v>19</v>
      </c>
      <c r="I18" s="22">
        <v>0</v>
      </c>
      <c r="J18" s="23">
        <f>I18+'17.05'!J18</f>
        <v>0</v>
      </c>
      <c r="K18" s="21">
        <v>8</v>
      </c>
      <c r="L18" s="22">
        <v>0</v>
      </c>
      <c r="M18" s="23">
        <f>L18+'17.05'!M18</f>
        <v>0</v>
      </c>
      <c r="N18" s="21">
        <v>1331</v>
      </c>
      <c r="O18" s="22">
        <v>0</v>
      </c>
      <c r="P18" s="23">
        <f>O18+'17.05'!P18</f>
        <v>0</v>
      </c>
      <c r="Q18" s="21">
        <v>777</v>
      </c>
      <c r="R18" s="22">
        <v>0</v>
      </c>
      <c r="S18" s="23">
        <f>R18+'17.05'!S18</f>
        <v>0</v>
      </c>
      <c r="T18" s="21">
        <v>318</v>
      </c>
      <c r="U18" s="22">
        <v>0</v>
      </c>
      <c r="V18" s="23">
        <f>U18+'17.05'!V18</f>
        <v>81</v>
      </c>
      <c r="W18" s="21">
        <v>60</v>
      </c>
      <c r="X18" s="22">
        <v>79</v>
      </c>
      <c r="Y18" s="23">
        <f>X18+'17.05'!Y18</f>
        <v>1736</v>
      </c>
      <c r="Z18" s="21">
        <v>72</v>
      </c>
      <c r="AA18" s="22">
        <v>0</v>
      </c>
      <c r="AB18" s="23">
        <f>AA18+'17.05'!AB18</f>
        <v>0</v>
      </c>
      <c r="AC18" s="21">
        <v>143</v>
      </c>
      <c r="AD18" s="22">
        <v>0</v>
      </c>
      <c r="AE18" s="23">
        <f>AD18+'17.05'!AE18</f>
        <v>0</v>
      </c>
      <c r="AF18" s="19">
        <f t="shared" si="8"/>
        <v>121711</v>
      </c>
      <c r="AG18" s="20">
        <f t="shared" si="8"/>
        <v>2519350</v>
      </c>
      <c r="AH18" s="24">
        <v>261</v>
      </c>
      <c r="AI18" s="23">
        <f>AH18+'17.05'!AI18</f>
        <v>4118</v>
      </c>
      <c r="AJ18" s="24">
        <v>1493</v>
      </c>
      <c r="AK18" s="23">
        <f>AJ18+'17.05'!AK18</f>
        <v>39416</v>
      </c>
      <c r="AL18" s="22">
        <v>1887</v>
      </c>
      <c r="AM18" s="23">
        <f>AL18+'17.05'!AM18</f>
        <v>45084</v>
      </c>
      <c r="AN18" s="22">
        <v>118070</v>
      </c>
      <c r="AO18" s="23">
        <f>AN18+'17.05'!AO18</f>
        <v>2430732</v>
      </c>
      <c r="AP18" s="17" t="s">
        <v>53</v>
      </c>
      <c r="AQ18" s="19">
        <f t="shared" si="9"/>
        <v>4</v>
      </c>
      <c r="AR18" s="20">
        <f t="shared" si="9"/>
        <v>31</v>
      </c>
      <c r="AS18" s="22">
        <v>2</v>
      </c>
      <c r="AT18" s="23">
        <f>AS18+'17.05'!AT18</f>
        <v>6</v>
      </c>
      <c r="AU18" s="22">
        <v>0</v>
      </c>
      <c r="AV18" s="23">
        <f>AU18+'17.05'!AV18</f>
        <v>0</v>
      </c>
      <c r="AW18" s="22">
        <v>0</v>
      </c>
      <c r="AX18" s="23">
        <f>AW18+'17.05'!AX18</f>
        <v>0</v>
      </c>
      <c r="AY18" s="22">
        <v>0</v>
      </c>
      <c r="AZ18" s="23">
        <f>AY18+'17.05'!AZ18</f>
        <v>0</v>
      </c>
      <c r="BA18" s="22">
        <v>2</v>
      </c>
      <c r="BB18" s="23">
        <f>BA18+'17.05'!BB18</f>
        <v>25</v>
      </c>
      <c r="BC18" s="19">
        <f t="shared" si="10"/>
        <v>551</v>
      </c>
      <c r="BD18" s="20">
        <f t="shared" si="10"/>
        <v>11263</v>
      </c>
      <c r="BE18" s="22">
        <v>1</v>
      </c>
      <c r="BF18" s="23">
        <f>BE18+'17.05'!BF18</f>
        <v>19</v>
      </c>
      <c r="BG18" s="22">
        <v>0</v>
      </c>
      <c r="BH18" s="23">
        <f>BG18+'17.05'!BH18</f>
        <v>388</v>
      </c>
      <c r="BI18" s="22">
        <v>411</v>
      </c>
      <c r="BJ18" s="23">
        <f>BI18+'17.05'!BJ18</f>
        <v>9115</v>
      </c>
      <c r="BK18" s="22">
        <v>118</v>
      </c>
      <c r="BL18" s="23">
        <f>BK18+'17.05'!BL18</f>
        <v>1511</v>
      </c>
      <c r="BM18" s="22">
        <v>21</v>
      </c>
      <c r="BN18" s="23">
        <f>BM18+'17.05'!BN18</f>
        <v>230</v>
      </c>
      <c r="BO18" s="36">
        <v>442</v>
      </c>
      <c r="BP18" s="37">
        <v>0</v>
      </c>
      <c r="BQ18" s="23">
        <f>BP18+'17.05'!BQ18</f>
        <v>36</v>
      </c>
    </row>
    <row r="19" spans="1:69" ht="27.75" customHeight="1">
      <c r="A19" s="28" t="s">
        <v>54</v>
      </c>
      <c r="B19" s="29">
        <f t="shared" si="7"/>
        <v>1040</v>
      </c>
      <c r="C19" s="30">
        <f t="shared" si="7"/>
        <v>33</v>
      </c>
      <c r="D19" s="31">
        <f t="shared" si="7"/>
        <v>634</v>
      </c>
      <c r="E19" s="33">
        <v>221</v>
      </c>
      <c r="F19" s="22">
        <v>6</v>
      </c>
      <c r="G19" s="23">
        <f>F19+'17.05'!G19</f>
        <v>122</v>
      </c>
      <c r="H19" s="33">
        <v>5</v>
      </c>
      <c r="I19" s="34">
        <v>0</v>
      </c>
      <c r="J19" s="23">
        <f>I19+'17.05'!J19</f>
        <v>0</v>
      </c>
      <c r="K19" s="33">
        <v>4</v>
      </c>
      <c r="L19" s="22">
        <v>0</v>
      </c>
      <c r="M19" s="23">
        <f>L19+'17.05'!M19</f>
        <v>0</v>
      </c>
      <c r="N19" s="33">
        <v>313</v>
      </c>
      <c r="O19" s="22">
        <v>0</v>
      </c>
      <c r="P19" s="23">
        <f>O19+'17.05'!P19</f>
        <v>167</v>
      </c>
      <c r="Q19" s="33">
        <v>203</v>
      </c>
      <c r="R19" s="22">
        <v>0</v>
      </c>
      <c r="S19" s="23">
        <f>R19+'17.05'!S19</f>
        <v>0</v>
      </c>
      <c r="T19" s="33">
        <v>241</v>
      </c>
      <c r="U19" s="22">
        <v>0</v>
      </c>
      <c r="V19" s="23">
        <f>U19+'17.05'!V19</f>
        <v>0</v>
      </c>
      <c r="W19" s="33">
        <v>14</v>
      </c>
      <c r="X19" s="22">
        <v>27</v>
      </c>
      <c r="Y19" s="23">
        <f>X19+'17.05'!Y19</f>
        <v>282</v>
      </c>
      <c r="Z19" s="33">
        <v>7</v>
      </c>
      <c r="AA19" s="22">
        <v>0</v>
      </c>
      <c r="AB19" s="23">
        <f>AA19+'17.05'!AB19</f>
        <v>0</v>
      </c>
      <c r="AC19" s="33">
        <v>32</v>
      </c>
      <c r="AD19" s="22">
        <v>0</v>
      </c>
      <c r="AE19" s="23">
        <f>AD19+'17.05'!AE19</f>
        <v>63</v>
      </c>
      <c r="AF19" s="19">
        <f t="shared" si="8"/>
        <v>3150</v>
      </c>
      <c r="AG19" s="20">
        <f t="shared" si="8"/>
        <v>59900</v>
      </c>
      <c r="AH19" s="24">
        <v>525</v>
      </c>
      <c r="AI19" s="23">
        <f>AH19+'17.05'!AI19</f>
        <v>9660</v>
      </c>
      <c r="AJ19" s="24">
        <v>525</v>
      </c>
      <c r="AK19" s="23">
        <f>AJ19+'17.05'!AK19</f>
        <v>9910</v>
      </c>
      <c r="AL19" s="22">
        <v>1050</v>
      </c>
      <c r="AM19" s="23">
        <f>AL19+'17.05'!AM19</f>
        <v>20165</v>
      </c>
      <c r="AN19" s="22">
        <v>1050</v>
      </c>
      <c r="AO19" s="23">
        <f>AN19+'17.05'!AO19</f>
        <v>20165</v>
      </c>
      <c r="AP19" s="28" t="s">
        <v>54</v>
      </c>
      <c r="AQ19" s="19">
        <f t="shared" si="9"/>
        <v>1</v>
      </c>
      <c r="AR19" s="20">
        <f t="shared" si="9"/>
        <v>5</v>
      </c>
      <c r="AS19" s="34">
        <v>0</v>
      </c>
      <c r="AT19" s="23">
        <f>AS19+'17.05'!AT19</f>
        <v>0</v>
      </c>
      <c r="AU19" s="34">
        <v>1</v>
      </c>
      <c r="AV19" s="23">
        <f>AU19+'17.05'!AV19</f>
        <v>4</v>
      </c>
      <c r="AW19" s="34">
        <v>0</v>
      </c>
      <c r="AX19" s="23">
        <f>AW19+'17.05'!AX19</f>
        <v>1</v>
      </c>
      <c r="AY19" s="34">
        <v>0</v>
      </c>
      <c r="AZ19" s="23">
        <f>AY19+'17.05'!AZ19</f>
        <v>0</v>
      </c>
      <c r="BA19" s="34">
        <v>0</v>
      </c>
      <c r="BB19" s="23">
        <f>BA19+'17.05'!BB19</f>
        <v>0</v>
      </c>
      <c r="BC19" s="19">
        <f t="shared" si="10"/>
        <v>1417</v>
      </c>
      <c r="BD19" s="20">
        <f t="shared" si="10"/>
        <v>19961</v>
      </c>
      <c r="BE19" s="22">
        <v>11</v>
      </c>
      <c r="BF19" s="23">
        <f>BE19+'17.05'!BF19</f>
        <v>248</v>
      </c>
      <c r="BG19" s="34">
        <v>0</v>
      </c>
      <c r="BH19" s="23">
        <f>BG19+'17.05'!BH19</f>
        <v>7</v>
      </c>
      <c r="BI19" s="22">
        <v>1200</v>
      </c>
      <c r="BJ19" s="23">
        <f>BI19+'17.05'!BJ19</f>
        <v>17350</v>
      </c>
      <c r="BK19" s="22">
        <v>200</v>
      </c>
      <c r="BL19" s="23">
        <f>BK19+'17.05'!BL19</f>
        <v>2250</v>
      </c>
      <c r="BM19" s="22">
        <v>6</v>
      </c>
      <c r="BN19" s="23">
        <f>BM19+'17.05'!BN19</f>
        <v>106</v>
      </c>
      <c r="BO19" s="36">
        <v>2898</v>
      </c>
      <c r="BP19" s="37">
        <v>0</v>
      </c>
      <c r="BQ19" s="23">
        <f>BP19+'17.05'!BQ19</f>
        <v>0</v>
      </c>
    </row>
    <row r="20" spans="1:69" ht="27.75" customHeight="1">
      <c r="A20" s="28" t="s">
        <v>55</v>
      </c>
      <c r="B20" s="29">
        <f t="shared" si="7"/>
        <v>5228</v>
      </c>
      <c r="C20" s="30">
        <f t="shared" si="7"/>
        <v>125</v>
      </c>
      <c r="D20" s="31">
        <f t="shared" si="7"/>
        <v>4423</v>
      </c>
      <c r="E20" s="32">
        <v>723</v>
      </c>
      <c r="F20" s="22">
        <v>39</v>
      </c>
      <c r="G20" s="23">
        <f>F20+'17.05'!G20</f>
        <v>2306</v>
      </c>
      <c r="H20" s="33">
        <v>5</v>
      </c>
      <c r="I20" s="34">
        <v>1</v>
      </c>
      <c r="J20" s="23">
        <f>I20+'17.05'!J20</f>
        <v>18</v>
      </c>
      <c r="K20" s="33">
        <v>3</v>
      </c>
      <c r="L20" s="22">
        <v>0</v>
      </c>
      <c r="M20" s="23">
        <f>L20+'17.05'!M20</f>
        <v>0</v>
      </c>
      <c r="N20" s="33">
        <v>975</v>
      </c>
      <c r="O20" s="22">
        <v>40</v>
      </c>
      <c r="P20" s="23">
        <f>O20+'17.05'!P20</f>
        <v>1010</v>
      </c>
      <c r="Q20" s="61">
        <v>1862</v>
      </c>
      <c r="R20" s="22">
        <v>1</v>
      </c>
      <c r="S20" s="23">
        <f>R20+'17.05'!S20</f>
        <v>20</v>
      </c>
      <c r="T20" s="33">
        <v>35</v>
      </c>
      <c r="U20" s="22">
        <v>1</v>
      </c>
      <c r="V20" s="23">
        <f>U20+'17.05'!V20</f>
        <v>18</v>
      </c>
      <c r="W20" s="33">
        <v>64</v>
      </c>
      <c r="X20" s="22">
        <v>1</v>
      </c>
      <c r="Y20" s="23">
        <f>X20+'17.05'!Y20</f>
        <v>20</v>
      </c>
      <c r="Z20" s="33">
        <v>15</v>
      </c>
      <c r="AA20" s="22">
        <v>1</v>
      </c>
      <c r="AB20" s="23">
        <f>AA20+'17.05'!AB20</f>
        <v>23</v>
      </c>
      <c r="AC20" s="33">
        <v>1546</v>
      </c>
      <c r="AD20" s="22">
        <v>41</v>
      </c>
      <c r="AE20" s="23">
        <f>AD20+'17.05'!AE20</f>
        <v>1008</v>
      </c>
      <c r="AF20" s="19">
        <f t="shared" si="8"/>
        <v>26898</v>
      </c>
      <c r="AG20" s="20">
        <f t="shared" si="8"/>
        <v>339912</v>
      </c>
      <c r="AH20" s="24">
        <v>13510</v>
      </c>
      <c r="AI20" s="23">
        <f>AH20+'17.05'!AI20</f>
        <v>156504</v>
      </c>
      <c r="AJ20" s="24">
        <v>12488</v>
      </c>
      <c r="AK20" s="23">
        <f>AJ20+'17.05'!AK20</f>
        <v>168198</v>
      </c>
      <c r="AL20" s="22">
        <v>650</v>
      </c>
      <c r="AM20" s="23">
        <f>AL20+'17.05'!AM20</f>
        <v>8600</v>
      </c>
      <c r="AN20" s="22">
        <v>250</v>
      </c>
      <c r="AO20" s="23">
        <f>AN20+'17.05'!AO20</f>
        <v>6610</v>
      </c>
      <c r="AP20" s="28" t="s">
        <v>55</v>
      </c>
      <c r="AQ20" s="19">
        <f t="shared" si="9"/>
        <v>221</v>
      </c>
      <c r="AR20" s="20">
        <f t="shared" si="9"/>
        <v>2998</v>
      </c>
      <c r="AS20" s="34">
        <v>1</v>
      </c>
      <c r="AT20" s="23">
        <f>AS20+'17.05'!AT20</f>
        <v>18</v>
      </c>
      <c r="AU20" s="34">
        <v>0</v>
      </c>
      <c r="AV20" s="23">
        <f>AU20+'17.05'!AV20</f>
        <v>0</v>
      </c>
      <c r="AW20" s="34">
        <v>0</v>
      </c>
      <c r="AX20" s="23">
        <f>AW20+'17.05'!AX20</f>
        <v>0</v>
      </c>
      <c r="AY20" s="34">
        <v>0</v>
      </c>
      <c r="AZ20" s="23">
        <f>AY20+'17.05'!AZ20</f>
        <v>0</v>
      </c>
      <c r="BA20" s="34">
        <v>220</v>
      </c>
      <c r="BB20" s="23">
        <f>BA20+'17.05'!BB20</f>
        <v>2980</v>
      </c>
      <c r="BC20" s="19">
        <f t="shared" si="10"/>
        <v>4503</v>
      </c>
      <c r="BD20" s="20">
        <f t="shared" si="10"/>
        <v>62881</v>
      </c>
      <c r="BE20" s="22">
        <v>2</v>
      </c>
      <c r="BF20" s="23">
        <f>BE20+'17.05'!BF20</f>
        <v>36</v>
      </c>
      <c r="BG20" s="34">
        <v>0</v>
      </c>
      <c r="BH20" s="23">
        <f>BG20+'17.05'!BH20</f>
        <v>0</v>
      </c>
      <c r="BI20" s="22">
        <v>2200</v>
      </c>
      <c r="BJ20" s="23">
        <f>BI20+'17.05'!BJ20</f>
        <v>31258</v>
      </c>
      <c r="BK20" s="22">
        <v>2300</v>
      </c>
      <c r="BL20" s="23">
        <f>BK20+'17.05'!BL20</f>
        <v>31570</v>
      </c>
      <c r="BM20" s="22">
        <v>1</v>
      </c>
      <c r="BN20" s="23">
        <f>BM20+'17.05'!BN20</f>
        <v>17</v>
      </c>
      <c r="BO20" s="36">
        <v>5854</v>
      </c>
      <c r="BP20" s="37">
        <v>0</v>
      </c>
      <c r="BQ20" s="23">
        <f>BP20+'17.05'!BQ20</f>
        <v>2</v>
      </c>
    </row>
    <row r="21" spans="1:69" ht="27.75" customHeight="1">
      <c r="A21" s="28" t="s">
        <v>58</v>
      </c>
      <c r="B21" s="29">
        <f t="shared" si="7"/>
        <v>3266</v>
      </c>
      <c r="C21" s="30">
        <f t="shared" si="7"/>
        <v>147</v>
      </c>
      <c r="D21" s="31">
        <f t="shared" si="7"/>
        <v>3810</v>
      </c>
      <c r="E21" s="32">
        <v>1017</v>
      </c>
      <c r="F21" s="22">
        <v>120</v>
      </c>
      <c r="G21" s="23">
        <f>F21+'17.05'!G21</f>
        <v>2710</v>
      </c>
      <c r="H21" s="33">
        <v>8</v>
      </c>
      <c r="I21" s="34">
        <v>0</v>
      </c>
      <c r="J21" s="23">
        <f>I21+'17.05'!J21</f>
        <v>131</v>
      </c>
      <c r="K21" s="33">
        <v>4</v>
      </c>
      <c r="L21" s="22">
        <v>0</v>
      </c>
      <c r="M21" s="23">
        <f>L21+'17.05'!M21</f>
        <v>20</v>
      </c>
      <c r="N21" s="33">
        <v>963</v>
      </c>
      <c r="O21" s="22">
        <v>3</v>
      </c>
      <c r="P21" s="23">
        <f>O21+'17.05'!P21</f>
        <v>49</v>
      </c>
      <c r="Q21" s="33">
        <v>912</v>
      </c>
      <c r="R21" s="22">
        <v>0</v>
      </c>
      <c r="S21" s="23">
        <f>R21+'17.05'!S21</f>
        <v>0</v>
      </c>
      <c r="T21" s="33">
        <v>199</v>
      </c>
      <c r="U21" s="22">
        <v>1</v>
      </c>
      <c r="V21" s="23">
        <f>U21+'17.05'!V21</f>
        <v>95</v>
      </c>
      <c r="W21" s="33">
        <v>101</v>
      </c>
      <c r="X21" s="22">
        <v>15</v>
      </c>
      <c r="Y21" s="23">
        <f>X21+'17.05'!Y21</f>
        <v>214</v>
      </c>
      <c r="Z21" s="33">
        <v>42</v>
      </c>
      <c r="AA21" s="22">
        <v>0</v>
      </c>
      <c r="AB21" s="23">
        <f>AA21+'17.05'!AB21</f>
        <v>1</v>
      </c>
      <c r="AC21" s="33">
        <v>20</v>
      </c>
      <c r="AD21" s="22">
        <v>8</v>
      </c>
      <c r="AE21" s="23">
        <f>AD21+'17.05'!AE21</f>
        <v>590</v>
      </c>
      <c r="AF21" s="19">
        <f t="shared" si="8"/>
        <v>1062800</v>
      </c>
      <c r="AG21" s="20">
        <f t="shared" si="8"/>
        <v>19354480</v>
      </c>
      <c r="AH21" s="24">
        <v>800</v>
      </c>
      <c r="AI21" s="23">
        <f>AH21+'17.05'!AI21</f>
        <v>21150</v>
      </c>
      <c r="AJ21" s="24">
        <v>142000</v>
      </c>
      <c r="AK21" s="23">
        <f>AJ21+'17.05'!AK21</f>
        <v>2998000</v>
      </c>
      <c r="AL21" s="22">
        <v>2000</v>
      </c>
      <c r="AM21" s="23">
        <f>AL21+'17.05'!AM21</f>
        <v>34630</v>
      </c>
      <c r="AN21" s="22">
        <v>918000</v>
      </c>
      <c r="AO21" s="23">
        <f>AN21+'17.05'!AO21</f>
        <v>16300700</v>
      </c>
      <c r="AP21" s="28" t="s">
        <v>58</v>
      </c>
      <c r="AQ21" s="19">
        <f t="shared" si="9"/>
        <v>3</v>
      </c>
      <c r="AR21" s="20">
        <f t="shared" si="9"/>
        <v>92</v>
      </c>
      <c r="AS21" s="34">
        <v>0</v>
      </c>
      <c r="AT21" s="23">
        <f>AS21+'17.05'!AT21</f>
        <v>3</v>
      </c>
      <c r="AU21" s="34">
        <v>0</v>
      </c>
      <c r="AV21" s="23">
        <f>AU21+'17.05'!AV21</f>
        <v>28</v>
      </c>
      <c r="AW21" s="34">
        <v>0</v>
      </c>
      <c r="AX21" s="23">
        <f>AW21+'17.05'!AX21</f>
        <v>0</v>
      </c>
      <c r="AY21" s="34">
        <v>0</v>
      </c>
      <c r="AZ21" s="23">
        <f>AY21+'17.05'!AZ21</f>
        <v>0</v>
      </c>
      <c r="BA21" s="34">
        <v>3</v>
      </c>
      <c r="BB21" s="23">
        <f>BA21+'17.05'!BB21</f>
        <v>61</v>
      </c>
      <c r="BC21" s="19">
        <f t="shared" si="10"/>
        <v>1067</v>
      </c>
      <c r="BD21" s="20">
        <f t="shared" si="10"/>
        <v>31746</v>
      </c>
      <c r="BE21" s="22">
        <v>60</v>
      </c>
      <c r="BF21" s="23">
        <f>BE21+'17.05'!BF21</f>
        <v>874</v>
      </c>
      <c r="BG21" s="34">
        <v>0</v>
      </c>
      <c r="BH21" s="23">
        <f>BG21+'17.05'!BH21</f>
        <v>0</v>
      </c>
      <c r="BI21" s="22">
        <v>1000</v>
      </c>
      <c r="BJ21" s="23">
        <f>BI21+'17.05'!BJ21</f>
        <v>30750</v>
      </c>
      <c r="BK21" s="22">
        <v>0</v>
      </c>
      <c r="BL21" s="23">
        <f>BK21+'17.05'!BL21</f>
        <v>0</v>
      </c>
      <c r="BM21" s="22">
        <v>7</v>
      </c>
      <c r="BN21" s="23">
        <f>BM21+'17.05'!BN21</f>
        <v>122</v>
      </c>
      <c r="BO21" s="36">
        <v>68</v>
      </c>
      <c r="BP21" s="37">
        <v>1</v>
      </c>
      <c r="BQ21" s="23">
        <f>BP21+'17.05'!BQ21</f>
        <v>30</v>
      </c>
    </row>
    <row r="22" spans="1:69" ht="27.75" customHeight="1">
      <c r="A22" s="28" t="s">
        <v>59</v>
      </c>
      <c r="B22" s="29">
        <f t="shared" si="7"/>
        <v>1787</v>
      </c>
      <c r="C22" s="30">
        <f t="shared" si="7"/>
        <v>1717</v>
      </c>
      <c r="D22" s="31">
        <f t="shared" si="7"/>
        <v>37977</v>
      </c>
      <c r="E22" s="32">
        <v>509</v>
      </c>
      <c r="F22" s="22">
        <v>392</v>
      </c>
      <c r="G22" s="23">
        <f>F22+'17.05'!G22</f>
        <v>6215</v>
      </c>
      <c r="H22" s="33">
        <v>8</v>
      </c>
      <c r="I22" s="34">
        <v>0</v>
      </c>
      <c r="J22" s="23">
        <f>I22+'17.05'!J22</f>
        <v>23</v>
      </c>
      <c r="K22" s="33">
        <v>21</v>
      </c>
      <c r="L22" s="22">
        <v>0</v>
      </c>
      <c r="M22" s="23">
        <f>L22+'17.05'!M22</f>
        <v>0</v>
      </c>
      <c r="N22" s="33">
        <v>560</v>
      </c>
      <c r="O22" s="22">
        <v>56</v>
      </c>
      <c r="P22" s="23">
        <f>O22+'17.05'!P22</f>
        <v>938</v>
      </c>
      <c r="Q22" s="33">
        <v>375</v>
      </c>
      <c r="R22" s="22">
        <v>0</v>
      </c>
      <c r="S22" s="23">
        <f>R22+'17.05'!S22</f>
        <v>0</v>
      </c>
      <c r="T22" s="33">
        <v>165</v>
      </c>
      <c r="U22" s="22">
        <v>22</v>
      </c>
      <c r="V22" s="23">
        <f>U22+'17.05'!V22</f>
        <v>406</v>
      </c>
      <c r="W22" s="33">
        <v>28</v>
      </c>
      <c r="X22" s="22">
        <v>99</v>
      </c>
      <c r="Y22" s="23">
        <f>X22+'17.05'!Y22</f>
        <v>1414</v>
      </c>
      <c r="Z22" s="33">
        <v>9</v>
      </c>
      <c r="AA22" s="22">
        <v>0</v>
      </c>
      <c r="AB22" s="23">
        <f>AA22+'17.05'!AB22</f>
        <v>0</v>
      </c>
      <c r="AC22" s="33">
        <v>112</v>
      </c>
      <c r="AD22" s="22">
        <v>1148</v>
      </c>
      <c r="AE22" s="23">
        <f>AD22+'17.05'!AE22</f>
        <v>28981</v>
      </c>
      <c r="AF22" s="19">
        <f t="shared" si="8"/>
        <v>367068</v>
      </c>
      <c r="AG22" s="20">
        <f t="shared" si="8"/>
        <v>7276907</v>
      </c>
      <c r="AH22" s="24">
        <v>1113</v>
      </c>
      <c r="AI22" s="23">
        <f>AH22+'17.05'!AI22</f>
        <v>44882</v>
      </c>
      <c r="AJ22" s="24">
        <v>8853</v>
      </c>
      <c r="AK22" s="23">
        <f>AJ22+'17.05'!AK22</f>
        <v>116209</v>
      </c>
      <c r="AL22" s="22">
        <v>10232</v>
      </c>
      <c r="AM22" s="23">
        <f>AL22+'17.05'!AM22</f>
        <v>188741</v>
      </c>
      <c r="AN22" s="22">
        <v>346870</v>
      </c>
      <c r="AO22" s="23">
        <f>AN22+'17.05'!AO22</f>
        <v>6927075</v>
      </c>
      <c r="AP22" s="28" t="s">
        <v>59</v>
      </c>
      <c r="AQ22" s="19">
        <f t="shared" si="9"/>
        <v>545</v>
      </c>
      <c r="AR22" s="20">
        <f t="shared" si="9"/>
        <v>33862</v>
      </c>
      <c r="AS22" s="34">
        <v>0</v>
      </c>
      <c r="AT22" s="23">
        <f>AS22+'17.05'!AT22</f>
        <v>5</v>
      </c>
      <c r="AU22" s="34">
        <v>0</v>
      </c>
      <c r="AV22" s="23">
        <f>AU22+'17.05'!AV22</f>
        <v>5</v>
      </c>
      <c r="AW22" s="34">
        <v>0</v>
      </c>
      <c r="AX22" s="23">
        <f>AW22+'17.05'!AX22</f>
        <v>2</v>
      </c>
      <c r="AY22" s="34">
        <v>0</v>
      </c>
      <c r="AZ22" s="23">
        <f>AY22+'17.05'!AZ22</f>
        <v>1</v>
      </c>
      <c r="BA22" s="34">
        <v>545</v>
      </c>
      <c r="BB22" s="23">
        <f>BA22+'17.05'!BB22</f>
        <v>33849</v>
      </c>
      <c r="BC22" s="19">
        <f t="shared" si="10"/>
        <v>5718</v>
      </c>
      <c r="BD22" s="20">
        <f t="shared" si="10"/>
        <v>124127</v>
      </c>
      <c r="BE22" s="22">
        <v>3</v>
      </c>
      <c r="BF22" s="23">
        <f>BE22+'17.05'!BF22</f>
        <v>96</v>
      </c>
      <c r="BG22" s="34">
        <v>59</v>
      </c>
      <c r="BH22" s="23">
        <f>BG22+'17.05'!BH22</f>
        <v>1089</v>
      </c>
      <c r="BI22" s="22">
        <v>2709</v>
      </c>
      <c r="BJ22" s="23">
        <f>BI22+'17.05'!BJ22</f>
        <v>85863</v>
      </c>
      <c r="BK22" s="22">
        <v>2867</v>
      </c>
      <c r="BL22" s="23">
        <f>BK22+'17.05'!BL22</f>
        <v>36156</v>
      </c>
      <c r="BM22" s="22">
        <v>80</v>
      </c>
      <c r="BN22" s="23">
        <f>BM22+'17.05'!BN22</f>
        <v>923</v>
      </c>
      <c r="BO22" s="36">
        <v>26</v>
      </c>
      <c r="BP22" s="37">
        <v>0</v>
      </c>
      <c r="BQ22" s="23">
        <f>BP22+'17.05'!BQ22</f>
        <v>1712</v>
      </c>
    </row>
    <row r="23" spans="1:69" ht="27.75" customHeight="1">
      <c r="A23" s="62" t="s">
        <v>12</v>
      </c>
      <c r="B23" s="63" t="e">
        <f t="shared" si="7"/>
        <v>#REF!</v>
      </c>
      <c r="C23" s="64">
        <f t="shared" si="7"/>
        <v>3498</v>
      </c>
      <c r="D23" s="65">
        <f t="shared" si="7"/>
        <v>74180</v>
      </c>
      <c r="E23" s="66" t="e">
        <f>+E18+E19+E22+E17+E16+E15+E14+E13+E12+E11+E10+E9+#REF!</f>
        <v>#REF!</v>
      </c>
      <c r="F23" s="67">
        <f>SUM(F9:F22)</f>
        <v>1427</v>
      </c>
      <c r="G23" s="68">
        <f>SUM(G9:G22)</f>
        <v>27122</v>
      </c>
      <c r="H23" s="66" t="e">
        <f>+H18+H19+H22+H17+H16+H15+H14+H13+H12+H11+H10+H9+#REF!</f>
        <v>#REF!</v>
      </c>
      <c r="I23" s="67">
        <f>SUM(I9:I22)</f>
        <v>9</v>
      </c>
      <c r="J23" s="68">
        <f>SUM(J9:J22)</f>
        <v>266</v>
      </c>
      <c r="K23" s="66" t="e">
        <f>+K18+K19+K22+K17+K16+K15+K14+K13+K12+K11+K10+K9+#REF!</f>
        <v>#REF!</v>
      </c>
      <c r="L23" s="67">
        <f>SUM(L9:L22)</f>
        <v>5</v>
      </c>
      <c r="M23" s="68">
        <f>SUM(M9:M22)</f>
        <v>37</v>
      </c>
      <c r="N23" s="66" t="e">
        <f>+N18+N19+N22+N17+N16+N15+N14+N13+N12+N11+N10+N9+#REF!</f>
        <v>#REF!</v>
      </c>
      <c r="O23" s="67">
        <f>SUM(O9:O22)</f>
        <v>147</v>
      </c>
      <c r="P23" s="68">
        <f>SUM(P9:P22)</f>
        <v>2636</v>
      </c>
      <c r="Q23" s="66" t="e">
        <f>+Q18+Q19+Q22+Q17+Q16+Q15+Q14+Q13+Q12+Q11+Q10+Q9+#REF!</f>
        <v>#REF!</v>
      </c>
      <c r="R23" s="67">
        <f>SUM(R9:R22)</f>
        <v>15</v>
      </c>
      <c r="S23" s="68">
        <f>SUM(S9:S22)</f>
        <v>125</v>
      </c>
      <c r="T23" s="66" t="e">
        <f>+T18+T19+T22+T17+T16+T15+T14+T13+T12+T11+T10+T9+#REF!</f>
        <v>#REF!</v>
      </c>
      <c r="U23" s="67">
        <f>SUM(U9:U22)</f>
        <v>35</v>
      </c>
      <c r="V23" s="68">
        <f>SUM(V9:V22)</f>
        <v>674</v>
      </c>
      <c r="W23" s="66" t="e">
        <f>+W18+W19+W22+W17+W16+W15+W14+W13+W12+W11+W10+W9+#REF!</f>
        <v>#REF!</v>
      </c>
      <c r="X23" s="67">
        <f>SUM(X9:X22)</f>
        <v>446</v>
      </c>
      <c r="Y23" s="68">
        <f>SUM(Y9:Y22)</f>
        <v>7466</v>
      </c>
      <c r="Z23" s="66" t="e">
        <f>+Z18+Z19+Z22+Z17+Z16+Z15+Z14+Z13+Z12+Z11+Z10+Z9+#REF!</f>
        <v>#REF!</v>
      </c>
      <c r="AA23" s="67">
        <f>SUM(AA9:AA22)</f>
        <v>1</v>
      </c>
      <c r="AB23" s="68">
        <f>SUM(AB9:AB22)</f>
        <v>61</v>
      </c>
      <c r="AC23" s="66" t="e">
        <f>+AC18+AC19+AC22+AC17+AC16+AC15+AC14+AC13+AC12+AC11+AC10+AC9+#REF!</f>
        <v>#REF!</v>
      </c>
      <c r="AD23" s="67">
        <f t="shared" ref="AD23:AO23" si="11">SUM(AD9:AD22)</f>
        <v>1413</v>
      </c>
      <c r="AE23" s="68">
        <f t="shared" si="11"/>
        <v>35793</v>
      </c>
      <c r="AF23" s="64">
        <f t="shared" si="11"/>
        <v>4218004</v>
      </c>
      <c r="AG23" s="64">
        <f t="shared" si="11"/>
        <v>82043464</v>
      </c>
      <c r="AH23" s="67">
        <f t="shared" si="11"/>
        <v>31798</v>
      </c>
      <c r="AI23" s="68">
        <f t="shared" si="11"/>
        <v>593399</v>
      </c>
      <c r="AJ23" s="67">
        <f t="shared" si="11"/>
        <v>214097</v>
      </c>
      <c r="AK23" s="68">
        <f t="shared" si="11"/>
        <v>4335547</v>
      </c>
      <c r="AL23" s="67">
        <f t="shared" si="11"/>
        <v>1087218</v>
      </c>
      <c r="AM23" s="68">
        <f t="shared" si="11"/>
        <v>26111987</v>
      </c>
      <c r="AN23" s="67">
        <f t="shared" si="11"/>
        <v>2884891</v>
      </c>
      <c r="AO23" s="68">
        <f t="shared" si="11"/>
        <v>51002531</v>
      </c>
      <c r="AP23" s="62" t="s">
        <v>12</v>
      </c>
      <c r="AQ23" s="64">
        <f t="shared" ref="AQ23:BP23" si="12">SUM(AQ9:AQ22)</f>
        <v>1033</v>
      </c>
      <c r="AR23" s="64">
        <f t="shared" si="12"/>
        <v>43521</v>
      </c>
      <c r="AS23" s="67">
        <f t="shared" si="12"/>
        <v>5</v>
      </c>
      <c r="AT23" s="68">
        <f t="shared" si="12"/>
        <v>79</v>
      </c>
      <c r="AU23" s="67">
        <f t="shared" si="12"/>
        <v>5</v>
      </c>
      <c r="AV23" s="68">
        <f t="shared" si="12"/>
        <v>100</v>
      </c>
      <c r="AW23" s="67">
        <f t="shared" si="12"/>
        <v>1</v>
      </c>
      <c r="AX23" s="68">
        <f t="shared" si="12"/>
        <v>13</v>
      </c>
      <c r="AY23" s="67">
        <f t="shared" si="12"/>
        <v>0</v>
      </c>
      <c r="AZ23" s="68">
        <f t="shared" si="12"/>
        <v>3</v>
      </c>
      <c r="BA23" s="67">
        <f t="shared" si="12"/>
        <v>1022</v>
      </c>
      <c r="BB23" s="68">
        <f t="shared" si="12"/>
        <v>43326</v>
      </c>
      <c r="BC23" s="64">
        <f t="shared" si="12"/>
        <v>34074</v>
      </c>
      <c r="BD23" s="64">
        <f t="shared" si="12"/>
        <v>754005</v>
      </c>
      <c r="BE23" s="67">
        <f t="shared" si="12"/>
        <v>1677</v>
      </c>
      <c r="BF23" s="68">
        <f t="shared" si="12"/>
        <v>26897</v>
      </c>
      <c r="BG23" s="67">
        <f t="shared" si="12"/>
        <v>153</v>
      </c>
      <c r="BH23" s="68">
        <f t="shared" si="12"/>
        <v>2107</v>
      </c>
      <c r="BI23" s="67">
        <f t="shared" si="12"/>
        <v>24101</v>
      </c>
      <c r="BJ23" s="68">
        <f t="shared" si="12"/>
        <v>591703</v>
      </c>
      <c r="BK23" s="67">
        <f t="shared" si="12"/>
        <v>7936</v>
      </c>
      <c r="BL23" s="68">
        <f t="shared" si="12"/>
        <v>129667</v>
      </c>
      <c r="BM23" s="67">
        <f t="shared" si="12"/>
        <v>207</v>
      </c>
      <c r="BN23" s="68">
        <f t="shared" si="12"/>
        <v>3631</v>
      </c>
      <c r="BO23" s="69">
        <f t="shared" si="12"/>
        <v>37704</v>
      </c>
      <c r="BP23" s="70">
        <f t="shared" si="12"/>
        <v>8</v>
      </c>
      <c r="BQ23" s="23">
        <f>BP23+'20.04'!BP23</f>
        <v>34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BQ23"/>
  <sheetViews>
    <sheetView zoomScale="70" zoomScaleNormal="70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B23" si="0">E8+H8+K8+N8+Q8+T8+W8+Z8+AC8</f>
        <v>3841</v>
      </c>
      <c r="C8" s="19">
        <f t="shared" ref="C8:C23" si="1">F8+I8+L8+O8+R8+U8+X8+AA8+AD8</f>
        <v>3</v>
      </c>
      <c r="D8" s="20">
        <f t="shared" ref="D8:D23" si="2">G8+J8+M8+P8+S8+V8+Y8+AB8+AE8</f>
        <v>5</v>
      </c>
      <c r="E8" s="32">
        <v>452</v>
      </c>
      <c r="F8" s="22">
        <v>1</v>
      </c>
      <c r="G8" s="23">
        <f>F8+'18.05'!G8</f>
        <v>2</v>
      </c>
      <c r="H8" s="33">
        <v>12</v>
      </c>
      <c r="I8" s="34">
        <v>1</v>
      </c>
      <c r="J8" s="23">
        <f>I8+'18.05'!J8</f>
        <v>2</v>
      </c>
      <c r="K8" s="33">
        <v>2</v>
      </c>
      <c r="L8" s="22">
        <v>0</v>
      </c>
      <c r="M8" s="23">
        <f>L8+'18.05'!M8</f>
        <v>0</v>
      </c>
      <c r="N8" s="33">
        <v>735</v>
      </c>
      <c r="O8" s="22">
        <v>0</v>
      </c>
      <c r="P8" s="23">
        <f>O8+'18.05'!P8</f>
        <v>0</v>
      </c>
      <c r="Q8" s="33">
        <v>502</v>
      </c>
      <c r="R8" s="22">
        <v>0</v>
      </c>
      <c r="S8" s="23">
        <f>R8+'18.05'!S8</f>
        <v>0</v>
      </c>
      <c r="T8" s="33">
        <v>197</v>
      </c>
      <c r="U8" s="22">
        <v>0</v>
      </c>
      <c r="V8" s="23">
        <f>U8+'18.05'!V8</f>
        <v>0</v>
      </c>
      <c r="W8" s="33">
        <v>47</v>
      </c>
      <c r="X8" s="22">
        <v>0</v>
      </c>
      <c r="Y8" s="23">
        <f>X8+'18.05'!Y8</f>
        <v>0</v>
      </c>
      <c r="Z8" s="33">
        <v>34</v>
      </c>
      <c r="AA8" s="22">
        <v>0</v>
      </c>
      <c r="AB8" s="23">
        <f>AA8+'18.05'!AB8</f>
        <v>0</v>
      </c>
      <c r="AC8" s="33">
        <v>1860</v>
      </c>
      <c r="AD8" s="22">
        <v>1</v>
      </c>
      <c r="AE8" s="23">
        <f>AD8+'18.05'!AE8</f>
        <v>1</v>
      </c>
      <c r="AF8" s="19">
        <f t="shared" ref="AF8" si="3">AH8+AJ8+AL8+AN8</f>
        <v>7720</v>
      </c>
      <c r="AG8" s="20">
        <f t="shared" ref="AG8" si="4">AI8+AK8+AM8+AO8</f>
        <v>15576</v>
      </c>
      <c r="AH8" s="24">
        <v>160</v>
      </c>
      <c r="AI8" s="23">
        <f>AH8+'18.05'!AI8</f>
        <v>218</v>
      </c>
      <c r="AJ8" s="24">
        <v>360</v>
      </c>
      <c r="AK8" s="23">
        <f>AJ8+'18.05'!AK8</f>
        <v>558</v>
      </c>
      <c r="AL8" s="22">
        <v>2600</v>
      </c>
      <c r="AM8" s="23">
        <f>AL8+'18.05'!AM8</f>
        <v>5700</v>
      </c>
      <c r="AN8" s="22">
        <v>4600</v>
      </c>
      <c r="AO8" s="23">
        <f>AN8+'18.05'!AO8</f>
        <v>9100</v>
      </c>
      <c r="AP8" s="28" t="s">
        <v>43</v>
      </c>
      <c r="AQ8" s="19">
        <f t="shared" ref="AQ8" si="5">AS8+AU8+AW8+AY8+BA8</f>
        <v>39</v>
      </c>
      <c r="AR8" s="20">
        <f t="shared" ref="AR8" si="6">AT8+AV8+AX8+AZ8+BB8</f>
        <v>102</v>
      </c>
      <c r="AS8" s="34">
        <v>1</v>
      </c>
      <c r="AT8" s="23">
        <f>AS8+'18.05'!AT8</f>
        <v>2</v>
      </c>
      <c r="AU8" s="34">
        <v>1</v>
      </c>
      <c r="AV8" s="23">
        <f>AU8+'18.05'!AV8</f>
        <v>1</v>
      </c>
      <c r="AW8" s="34">
        <v>0</v>
      </c>
      <c r="AX8" s="23">
        <f>AW8+'18.05'!AX8</f>
        <v>0</v>
      </c>
      <c r="AY8" s="34">
        <v>0</v>
      </c>
      <c r="AZ8" s="23">
        <f>AY8+'18.05'!AZ8</f>
        <v>0</v>
      </c>
      <c r="BA8" s="34">
        <v>37</v>
      </c>
      <c r="BB8" s="23">
        <f>BA8+'18.05'!BB8</f>
        <v>99</v>
      </c>
      <c r="BC8" s="19">
        <f t="shared" ref="BC8" si="7">BE8+BG8+BI8+BK8+BM8</f>
        <v>521</v>
      </c>
      <c r="BD8" s="20">
        <f t="shared" ref="BD8" si="8">BF8+BH8+BJ8+BL8+BN8</f>
        <v>903</v>
      </c>
      <c r="BE8" s="22">
        <v>1</v>
      </c>
      <c r="BF8" s="23">
        <f>BE8+'18.05'!BF8</f>
        <v>3</v>
      </c>
      <c r="BG8" s="34">
        <v>0</v>
      </c>
      <c r="BH8" s="23">
        <f>BG8+'18.05'!BH8</f>
        <v>0</v>
      </c>
      <c r="BI8" s="22">
        <v>520</v>
      </c>
      <c r="BJ8" s="23">
        <f>BI8+'18.05'!BJ8</f>
        <v>900</v>
      </c>
      <c r="BK8" s="22">
        <v>0</v>
      </c>
      <c r="BL8" s="23">
        <f>BK8+'18.05'!BL8</f>
        <v>0</v>
      </c>
      <c r="BM8" s="22">
        <v>0</v>
      </c>
      <c r="BN8" s="23">
        <f>BM8+'18.05'!BN8</f>
        <v>0</v>
      </c>
      <c r="BO8" s="36">
        <v>14</v>
      </c>
      <c r="BP8" s="37">
        <v>0</v>
      </c>
      <c r="BQ8" s="23">
        <f>BP8+'18.05'!BQ8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1"/>
        <v>3</v>
      </c>
      <c r="D9" s="31">
        <f t="shared" si="2"/>
        <v>100</v>
      </c>
      <c r="E9" s="32">
        <v>452</v>
      </c>
      <c r="F9" s="22">
        <v>1</v>
      </c>
      <c r="G9" s="23">
        <f>F9+'18.05'!G9</f>
        <v>51</v>
      </c>
      <c r="H9" s="33">
        <v>12</v>
      </c>
      <c r="I9" s="34">
        <v>1</v>
      </c>
      <c r="J9" s="23">
        <f>I9+'18.05'!J9</f>
        <v>15</v>
      </c>
      <c r="K9" s="33">
        <v>2</v>
      </c>
      <c r="L9" s="22">
        <v>0</v>
      </c>
      <c r="M9" s="23">
        <f>L9+'18.05'!M9</f>
        <v>0</v>
      </c>
      <c r="N9" s="33">
        <v>735</v>
      </c>
      <c r="O9" s="22">
        <v>0</v>
      </c>
      <c r="P9" s="23">
        <f>O9+'18.05'!P9</f>
        <v>0</v>
      </c>
      <c r="Q9" s="33">
        <v>502</v>
      </c>
      <c r="R9" s="22">
        <v>0</v>
      </c>
      <c r="S9" s="23">
        <f>R9+'18.05'!S9</f>
        <v>0</v>
      </c>
      <c r="T9" s="33">
        <v>197</v>
      </c>
      <c r="U9" s="22">
        <v>0</v>
      </c>
      <c r="V9" s="23">
        <f>U9+'18.05'!V9</f>
        <v>0</v>
      </c>
      <c r="W9" s="33">
        <v>47</v>
      </c>
      <c r="X9" s="22">
        <v>0</v>
      </c>
      <c r="Y9" s="23">
        <f>X9+'18.05'!Y9</f>
        <v>15</v>
      </c>
      <c r="Z9" s="33">
        <v>34</v>
      </c>
      <c r="AA9" s="22">
        <v>0</v>
      </c>
      <c r="AB9" s="23">
        <f>AA9+'18.05'!AB9</f>
        <v>0</v>
      </c>
      <c r="AC9" s="33">
        <v>1860</v>
      </c>
      <c r="AD9" s="22">
        <v>1</v>
      </c>
      <c r="AE9" s="23">
        <f>AD9+'18.05'!AE9</f>
        <v>19</v>
      </c>
      <c r="AF9" s="19">
        <f t="shared" ref="AF9:AF22" si="9">AH9+AJ9+AL9+AN9</f>
        <v>7720</v>
      </c>
      <c r="AG9" s="20">
        <f t="shared" ref="AG9:AG22" si="10">AI9+AK9+AM9+AO9</f>
        <v>165364</v>
      </c>
      <c r="AH9" s="24">
        <v>160</v>
      </c>
      <c r="AI9" s="23">
        <f>AH9+'18.05'!AI9</f>
        <v>2270</v>
      </c>
      <c r="AJ9" s="24">
        <v>360</v>
      </c>
      <c r="AK9" s="23">
        <f>AJ9+'18.05'!AK9</f>
        <v>15211</v>
      </c>
      <c r="AL9" s="22">
        <v>2600</v>
      </c>
      <c r="AM9" s="23">
        <f>AL9+'18.05'!AM9</f>
        <v>24285</v>
      </c>
      <c r="AN9" s="22">
        <v>4600</v>
      </c>
      <c r="AO9" s="23">
        <f>AN9+'18.05'!AO9</f>
        <v>123598</v>
      </c>
      <c r="AP9" s="28" t="s">
        <v>43</v>
      </c>
      <c r="AQ9" s="19">
        <f t="shared" ref="AQ9:AQ22" si="11">AS9+AU9+AW9+AY9+BA9</f>
        <v>39</v>
      </c>
      <c r="AR9" s="20">
        <f t="shared" ref="AR9:AR22" si="12">AT9+AV9+AX9+AZ9+BB9</f>
        <v>2652</v>
      </c>
      <c r="AS9" s="34">
        <v>1</v>
      </c>
      <c r="AT9" s="23">
        <f>AS9+'18.05'!AT9</f>
        <v>7</v>
      </c>
      <c r="AU9" s="34">
        <v>1</v>
      </c>
      <c r="AV9" s="23">
        <f>AU9+'18.05'!AV9</f>
        <v>7</v>
      </c>
      <c r="AW9" s="34">
        <v>0</v>
      </c>
      <c r="AX9" s="23">
        <f>AW9+'18.05'!AX9</f>
        <v>3</v>
      </c>
      <c r="AY9" s="34">
        <v>0</v>
      </c>
      <c r="AZ9" s="23">
        <f>AY9+'18.05'!AZ9</f>
        <v>0</v>
      </c>
      <c r="BA9" s="34">
        <v>37</v>
      </c>
      <c r="BB9" s="23">
        <f>BA9+'18.05'!BB9</f>
        <v>2635</v>
      </c>
      <c r="BC9" s="19">
        <f t="shared" ref="BC9:BC22" si="13">BE9+BG9+BI9+BK9+BM9</f>
        <v>521</v>
      </c>
      <c r="BD9" s="20">
        <f t="shared" ref="BD9:BD22" si="14">BF9+BH9+BJ9+BL9+BN9</f>
        <v>8612</v>
      </c>
      <c r="BE9" s="22">
        <v>1</v>
      </c>
      <c r="BF9" s="23">
        <f>BE9+'18.05'!BF9</f>
        <v>28</v>
      </c>
      <c r="BG9" s="34">
        <v>0</v>
      </c>
      <c r="BH9" s="23">
        <f>BG9+'18.05'!BH9</f>
        <v>0</v>
      </c>
      <c r="BI9" s="22">
        <v>520</v>
      </c>
      <c r="BJ9" s="23">
        <f>BI9+'18.05'!BJ9</f>
        <v>8560</v>
      </c>
      <c r="BK9" s="22">
        <v>0</v>
      </c>
      <c r="BL9" s="23">
        <f>BK9+'18.05'!BL9</f>
        <v>0</v>
      </c>
      <c r="BM9" s="22">
        <v>0</v>
      </c>
      <c r="BN9" s="23">
        <f>BM9+'18.05'!BN9</f>
        <v>24</v>
      </c>
      <c r="BO9" s="36">
        <v>14</v>
      </c>
      <c r="BP9" s="37">
        <v>0</v>
      </c>
      <c r="BQ9" s="23">
        <f>BP9+'18.05'!BQ9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114</v>
      </c>
      <c r="D10" s="31">
        <f t="shared" si="2"/>
        <v>2288</v>
      </c>
      <c r="E10" s="32">
        <v>585</v>
      </c>
      <c r="F10" s="22">
        <v>19</v>
      </c>
      <c r="G10" s="23">
        <f>F10+'18.05'!G10</f>
        <v>248</v>
      </c>
      <c r="H10" s="33">
        <v>93</v>
      </c>
      <c r="I10" s="34">
        <v>1</v>
      </c>
      <c r="J10" s="23">
        <f>I10+'18.05'!J10</f>
        <v>32</v>
      </c>
      <c r="K10" s="33">
        <v>34</v>
      </c>
      <c r="L10" s="22">
        <v>1</v>
      </c>
      <c r="M10" s="23">
        <f>L10+'18.05'!M10</f>
        <v>18</v>
      </c>
      <c r="N10" s="33">
        <v>352</v>
      </c>
      <c r="O10" s="22">
        <v>17</v>
      </c>
      <c r="P10" s="23">
        <f>O10+'18.05'!P10</f>
        <v>175</v>
      </c>
      <c r="Q10" s="33">
        <v>549</v>
      </c>
      <c r="R10" s="22">
        <v>11</v>
      </c>
      <c r="S10" s="23">
        <f>R10+'18.05'!S10</f>
        <v>116</v>
      </c>
      <c r="T10" s="33">
        <v>198</v>
      </c>
      <c r="U10" s="22">
        <v>9</v>
      </c>
      <c r="V10" s="23">
        <f>U10+'18.05'!V10</f>
        <v>83</v>
      </c>
      <c r="W10" s="38">
        <v>55</v>
      </c>
      <c r="X10" s="22">
        <v>0</v>
      </c>
      <c r="Y10" s="23">
        <f>X10+'18.05'!Y10</f>
        <v>65</v>
      </c>
      <c r="Z10" s="38">
        <v>71</v>
      </c>
      <c r="AA10" s="22">
        <v>1</v>
      </c>
      <c r="AB10" s="23">
        <f>AA10+'18.05'!AB10</f>
        <v>38</v>
      </c>
      <c r="AC10" s="38">
        <v>1690</v>
      </c>
      <c r="AD10" s="22">
        <v>55</v>
      </c>
      <c r="AE10" s="23">
        <f>AD10+'18.05'!AE10</f>
        <v>1513</v>
      </c>
      <c r="AF10" s="19">
        <f t="shared" si="9"/>
        <v>130366</v>
      </c>
      <c r="AG10" s="20">
        <f t="shared" si="10"/>
        <v>2087701</v>
      </c>
      <c r="AH10" s="24">
        <v>934</v>
      </c>
      <c r="AI10" s="23">
        <f>AH10+'18.05'!AI10</f>
        <v>21410</v>
      </c>
      <c r="AJ10" s="24">
        <v>4980</v>
      </c>
      <c r="AK10" s="23">
        <f>AJ10+'18.05'!AK10</f>
        <v>98158</v>
      </c>
      <c r="AL10" s="22">
        <v>14234</v>
      </c>
      <c r="AM10" s="23">
        <f>AL10+'18.05'!AM10</f>
        <v>232733</v>
      </c>
      <c r="AN10" s="22">
        <v>110218</v>
      </c>
      <c r="AO10" s="23">
        <f>AN10+'18.05'!AO10</f>
        <v>1735400</v>
      </c>
      <c r="AP10" s="28" t="s">
        <v>44</v>
      </c>
      <c r="AQ10" s="19">
        <f t="shared" si="11"/>
        <v>3</v>
      </c>
      <c r="AR10" s="20">
        <f t="shared" si="12"/>
        <v>87</v>
      </c>
      <c r="AS10" s="34">
        <v>0</v>
      </c>
      <c r="AT10" s="23">
        <f>AS10+'18.05'!AT10</f>
        <v>3</v>
      </c>
      <c r="AU10" s="34">
        <v>0</v>
      </c>
      <c r="AV10" s="23">
        <f>AU10+'18.05'!AV10</f>
        <v>3</v>
      </c>
      <c r="AW10" s="34">
        <v>0</v>
      </c>
      <c r="AX10" s="23">
        <f>AW10+'18.05'!AX10</f>
        <v>0</v>
      </c>
      <c r="AY10" s="34">
        <v>0</v>
      </c>
      <c r="AZ10" s="23">
        <f>AY10+'18.05'!AZ10</f>
        <v>0</v>
      </c>
      <c r="BA10" s="34">
        <v>3</v>
      </c>
      <c r="BB10" s="23">
        <f>BA10+'18.05'!BB10</f>
        <v>81</v>
      </c>
      <c r="BC10" s="19">
        <f t="shared" si="13"/>
        <v>4632</v>
      </c>
      <c r="BD10" s="20">
        <f t="shared" si="14"/>
        <v>88768</v>
      </c>
      <c r="BE10" s="22">
        <v>608</v>
      </c>
      <c r="BF10" s="23">
        <f>BE10+'18.05'!BF10</f>
        <v>10127</v>
      </c>
      <c r="BG10" s="34">
        <v>0</v>
      </c>
      <c r="BH10" s="23">
        <f>BG10+'18.05'!BH10</f>
        <v>18</v>
      </c>
      <c r="BI10" s="22">
        <v>2773</v>
      </c>
      <c r="BJ10" s="23">
        <f>BI10+'18.05'!BJ10</f>
        <v>46343</v>
      </c>
      <c r="BK10" s="22">
        <v>1251</v>
      </c>
      <c r="BL10" s="23">
        <f>BK10+'18.05'!BL10</f>
        <v>32277</v>
      </c>
      <c r="BM10" s="22">
        <v>0</v>
      </c>
      <c r="BN10" s="23">
        <f>BM10+'18.05'!BN10</f>
        <v>3</v>
      </c>
      <c r="BO10" s="36">
        <v>32</v>
      </c>
      <c r="BP10" s="37">
        <v>0</v>
      </c>
      <c r="BQ10" s="23">
        <f>BP10+'18.05'!BQ10</f>
        <v>11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36</v>
      </c>
      <c r="D11" s="31">
        <f t="shared" si="2"/>
        <v>696</v>
      </c>
      <c r="E11" s="32">
        <v>883</v>
      </c>
      <c r="F11" s="22">
        <v>17</v>
      </c>
      <c r="G11" s="23">
        <f>F11+'18.05'!G11</f>
        <v>344</v>
      </c>
      <c r="H11" s="33">
        <v>16</v>
      </c>
      <c r="I11" s="34">
        <v>0</v>
      </c>
      <c r="J11" s="23">
        <f>I11+'18.05'!J11</f>
        <v>0</v>
      </c>
      <c r="K11" s="33">
        <v>3</v>
      </c>
      <c r="L11" s="22">
        <v>0</v>
      </c>
      <c r="M11" s="23">
        <f>L11+'18.05'!M11</f>
        <v>0</v>
      </c>
      <c r="N11" s="33">
        <v>875</v>
      </c>
      <c r="O11" s="22">
        <v>0</v>
      </c>
      <c r="P11" s="23">
        <f>O11+'18.05'!P11</f>
        <v>0</v>
      </c>
      <c r="Q11" s="33">
        <v>2424</v>
      </c>
      <c r="R11" s="22">
        <v>0</v>
      </c>
      <c r="S11" s="23">
        <f>R11+'18.05'!S11</f>
        <v>0</v>
      </c>
      <c r="T11" s="33">
        <v>69</v>
      </c>
      <c r="U11" s="22">
        <v>0</v>
      </c>
      <c r="V11" s="23">
        <f>U11+'18.05'!V11</f>
        <v>0</v>
      </c>
      <c r="W11" s="38">
        <v>133</v>
      </c>
      <c r="X11" s="22">
        <v>18</v>
      </c>
      <c r="Y11" s="23">
        <f>X11+'18.05'!Y11</f>
        <v>324</v>
      </c>
      <c r="Z11" s="38">
        <v>1116</v>
      </c>
      <c r="AA11" s="22">
        <v>0</v>
      </c>
      <c r="AB11" s="23">
        <f>AA11+'18.05'!AB11</f>
        <v>0</v>
      </c>
      <c r="AC11" s="38">
        <v>9862</v>
      </c>
      <c r="AD11" s="22">
        <v>1</v>
      </c>
      <c r="AE11" s="23">
        <f>AD11+'18.05'!AE11</f>
        <v>28</v>
      </c>
      <c r="AF11" s="19">
        <f t="shared" si="9"/>
        <v>17800</v>
      </c>
      <c r="AG11" s="20">
        <f t="shared" si="10"/>
        <v>377800</v>
      </c>
      <c r="AH11" s="24">
        <v>2200</v>
      </c>
      <c r="AI11" s="23">
        <f>AH11+'18.05'!AI11</f>
        <v>45800</v>
      </c>
      <c r="AJ11" s="24">
        <v>3700</v>
      </c>
      <c r="AK11" s="23">
        <f>AJ11+'18.05'!AK11</f>
        <v>53100</v>
      </c>
      <c r="AL11" s="22">
        <v>3000</v>
      </c>
      <c r="AM11" s="23">
        <f>AL11+'18.05'!AM11</f>
        <v>87300</v>
      </c>
      <c r="AN11" s="22">
        <v>8900</v>
      </c>
      <c r="AO11" s="23">
        <f>AN11+'18.05'!AO11</f>
        <v>191600</v>
      </c>
      <c r="AP11" s="28" t="s">
        <v>45</v>
      </c>
      <c r="AQ11" s="19">
        <f t="shared" si="11"/>
        <v>3</v>
      </c>
      <c r="AR11" s="20">
        <f t="shared" si="12"/>
        <v>48</v>
      </c>
      <c r="AS11" s="34">
        <v>0</v>
      </c>
      <c r="AT11" s="23">
        <f>AS11+'18.05'!AT11</f>
        <v>0</v>
      </c>
      <c r="AU11" s="34">
        <v>0</v>
      </c>
      <c r="AV11" s="23">
        <f>AU11+'18.05'!AV11</f>
        <v>0</v>
      </c>
      <c r="AW11" s="34">
        <v>0</v>
      </c>
      <c r="AX11" s="23">
        <f>AW11+'18.05'!AX11</f>
        <v>0</v>
      </c>
      <c r="AY11" s="34">
        <v>0</v>
      </c>
      <c r="AZ11" s="23">
        <f>AY11+'18.05'!AZ11</f>
        <v>0</v>
      </c>
      <c r="BA11" s="34">
        <v>3</v>
      </c>
      <c r="BB11" s="23">
        <f>BA11+'18.05'!BB11</f>
        <v>48</v>
      </c>
      <c r="BC11" s="19">
        <f t="shared" si="13"/>
        <v>577</v>
      </c>
      <c r="BD11" s="20">
        <f t="shared" si="14"/>
        <v>12565</v>
      </c>
      <c r="BE11" s="22">
        <v>2</v>
      </c>
      <c r="BF11" s="23">
        <f>BE11+'18.05'!BF11</f>
        <v>33</v>
      </c>
      <c r="BG11" s="34">
        <v>4</v>
      </c>
      <c r="BH11" s="23">
        <f>BG11+'18.05'!BH11</f>
        <v>56</v>
      </c>
      <c r="BI11" s="22">
        <v>556</v>
      </c>
      <c r="BJ11" s="23">
        <f>BI11+'18.05'!BJ11</f>
        <v>12158</v>
      </c>
      <c r="BK11" s="22">
        <v>12</v>
      </c>
      <c r="BL11" s="23">
        <f>BK11+'18.05'!BL11</f>
        <v>286</v>
      </c>
      <c r="BM11" s="22">
        <v>3</v>
      </c>
      <c r="BN11" s="23">
        <f>BM11+'18.05'!BN11</f>
        <v>32</v>
      </c>
      <c r="BO11" s="36">
        <v>11506</v>
      </c>
      <c r="BP11" s="37">
        <v>3</v>
      </c>
      <c r="BQ11" s="23">
        <f>BP11+'18.05'!BQ11</f>
        <v>52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220</v>
      </c>
      <c r="D12" s="31">
        <f t="shared" si="2"/>
        <v>4155</v>
      </c>
      <c r="E12" s="32">
        <v>909</v>
      </c>
      <c r="F12" s="22">
        <v>48</v>
      </c>
      <c r="G12" s="23">
        <f>F12+'18.05'!G12</f>
        <v>958</v>
      </c>
      <c r="H12" s="33">
        <v>80</v>
      </c>
      <c r="I12" s="34">
        <v>2</v>
      </c>
      <c r="J12" s="23">
        <f>I12+'18.05'!J12</f>
        <v>44</v>
      </c>
      <c r="K12" s="33">
        <v>5</v>
      </c>
      <c r="L12" s="22">
        <v>0</v>
      </c>
      <c r="M12" s="23">
        <f>L12+'18.05'!M12</f>
        <v>0</v>
      </c>
      <c r="N12" s="33">
        <v>820</v>
      </c>
      <c r="O12" s="22">
        <v>21</v>
      </c>
      <c r="P12" s="23">
        <f>O12+'18.05'!P12</f>
        <v>326</v>
      </c>
      <c r="Q12" s="33">
        <v>549</v>
      </c>
      <c r="R12" s="22">
        <v>0</v>
      </c>
      <c r="S12" s="23">
        <f>R12+'18.05'!S12</f>
        <v>0</v>
      </c>
      <c r="T12" s="33">
        <v>992</v>
      </c>
      <c r="U12" s="22">
        <v>0</v>
      </c>
      <c r="V12" s="23">
        <f>U12+'18.05'!V12</f>
        <v>0</v>
      </c>
      <c r="W12" s="33">
        <v>38</v>
      </c>
      <c r="X12" s="22">
        <v>120</v>
      </c>
      <c r="Y12" s="23">
        <f>X12+'18.05'!Y12</f>
        <v>2167</v>
      </c>
      <c r="Z12" s="33">
        <v>68</v>
      </c>
      <c r="AA12" s="22">
        <v>0</v>
      </c>
      <c r="AB12" s="23">
        <f>AA12+'18.05'!AB12</f>
        <v>0</v>
      </c>
      <c r="AC12" s="33">
        <v>26703</v>
      </c>
      <c r="AD12" s="22">
        <v>29</v>
      </c>
      <c r="AE12" s="23">
        <f>AD12+'18.05'!AE12</f>
        <v>660</v>
      </c>
      <c r="AF12" s="19">
        <f t="shared" si="9"/>
        <v>33301</v>
      </c>
      <c r="AG12" s="20">
        <f t="shared" si="10"/>
        <v>297379</v>
      </c>
      <c r="AH12" s="24">
        <v>4200</v>
      </c>
      <c r="AI12" s="23">
        <f>AH12+'18.05'!AI12</f>
        <v>45699</v>
      </c>
      <c r="AJ12" s="24">
        <v>11000</v>
      </c>
      <c r="AK12" s="23">
        <f>AJ12+'18.05'!AK12</f>
        <v>89584</v>
      </c>
      <c r="AL12" s="22">
        <v>9050</v>
      </c>
      <c r="AM12" s="23">
        <f>AL12+'18.05'!AM12</f>
        <v>81046</v>
      </c>
      <c r="AN12" s="22">
        <v>9051</v>
      </c>
      <c r="AO12" s="23">
        <f>AN12+'18.05'!AO12</f>
        <v>81050</v>
      </c>
      <c r="AP12" s="28" t="s">
        <v>46</v>
      </c>
      <c r="AQ12" s="19">
        <f t="shared" si="11"/>
        <v>114</v>
      </c>
      <c r="AR12" s="20">
        <f t="shared" si="12"/>
        <v>1629</v>
      </c>
      <c r="AS12" s="34">
        <v>0</v>
      </c>
      <c r="AT12" s="23">
        <f>AS12+'18.05'!AT12</f>
        <v>0</v>
      </c>
      <c r="AU12" s="34">
        <v>0</v>
      </c>
      <c r="AV12" s="23">
        <f>AU12+'18.05'!AV12</f>
        <v>0</v>
      </c>
      <c r="AW12" s="34">
        <v>0</v>
      </c>
      <c r="AX12" s="23">
        <f>AW12+'18.05'!AX12</f>
        <v>0</v>
      </c>
      <c r="AY12" s="34">
        <v>0</v>
      </c>
      <c r="AZ12" s="23">
        <f>AY12+'18.05'!AZ12</f>
        <v>0</v>
      </c>
      <c r="BA12" s="34">
        <v>114</v>
      </c>
      <c r="BB12" s="23">
        <f>BA12+'18.05'!BB12</f>
        <v>1629</v>
      </c>
      <c r="BC12" s="19">
        <f t="shared" si="13"/>
        <v>3078</v>
      </c>
      <c r="BD12" s="20">
        <f t="shared" si="14"/>
        <v>53685</v>
      </c>
      <c r="BE12" s="22">
        <v>111</v>
      </c>
      <c r="BF12" s="23">
        <f>BE12+'18.05'!BF12</f>
        <v>3544</v>
      </c>
      <c r="BG12" s="34">
        <v>9</v>
      </c>
      <c r="BH12" s="23">
        <f>BG12+'18.05'!BH12</f>
        <v>169</v>
      </c>
      <c r="BI12" s="22">
        <v>2500</v>
      </c>
      <c r="BJ12" s="23">
        <f>BI12+'18.05'!BJ12</f>
        <v>43700</v>
      </c>
      <c r="BK12" s="22">
        <v>400</v>
      </c>
      <c r="BL12" s="23">
        <f>BK12+'18.05'!BL12</f>
        <v>5350</v>
      </c>
      <c r="BM12" s="22">
        <v>58</v>
      </c>
      <c r="BN12" s="23">
        <f>BM12+'18.05'!BN12</f>
        <v>922</v>
      </c>
      <c r="BO12" s="36"/>
      <c r="BP12" s="37">
        <v>2</v>
      </c>
      <c r="BQ12" s="23">
        <f>BP12+'18.05'!BQ12</f>
        <v>32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4</v>
      </c>
      <c r="D13" s="31">
        <f t="shared" si="2"/>
        <v>279</v>
      </c>
      <c r="E13" s="32">
        <v>516</v>
      </c>
      <c r="F13" s="22">
        <v>1</v>
      </c>
      <c r="G13" s="23">
        <f>F13+'18.05'!G13</f>
        <v>19</v>
      </c>
      <c r="H13" s="33">
        <v>10</v>
      </c>
      <c r="I13" s="34">
        <v>1</v>
      </c>
      <c r="J13" s="23">
        <f>I13+'18.05'!J13</f>
        <v>8</v>
      </c>
      <c r="K13" s="33">
        <v>38</v>
      </c>
      <c r="L13" s="22">
        <v>0</v>
      </c>
      <c r="M13" s="23">
        <f>L13+'18.05'!M13</f>
        <v>0</v>
      </c>
      <c r="N13" s="33">
        <v>581</v>
      </c>
      <c r="O13" s="22">
        <v>0</v>
      </c>
      <c r="P13" s="23">
        <f>O13+'18.05'!P13</f>
        <v>9</v>
      </c>
      <c r="Q13" s="33">
        <v>525</v>
      </c>
      <c r="R13" s="22">
        <v>0</v>
      </c>
      <c r="S13" s="23">
        <f>R13+'18.05'!S13</f>
        <v>0</v>
      </c>
      <c r="T13" s="33">
        <v>263</v>
      </c>
      <c r="U13" s="22">
        <v>0</v>
      </c>
      <c r="V13" s="23">
        <f>U13+'18.05'!V13</f>
        <v>0</v>
      </c>
      <c r="W13" s="33">
        <v>43</v>
      </c>
      <c r="X13" s="22">
        <v>0</v>
      </c>
      <c r="Y13" s="23">
        <f>X13+'18.05'!Y13</f>
        <v>1</v>
      </c>
      <c r="Z13" s="33">
        <v>17</v>
      </c>
      <c r="AA13" s="22">
        <v>0</v>
      </c>
      <c r="AB13" s="23">
        <f>AA13+'18.05'!AB13</f>
        <v>0</v>
      </c>
      <c r="AC13" s="33">
        <v>51</v>
      </c>
      <c r="AD13" s="22">
        <v>2</v>
      </c>
      <c r="AE13" s="23">
        <f>AD13+'18.05'!AE13</f>
        <v>242</v>
      </c>
      <c r="AF13" s="19">
        <f t="shared" si="9"/>
        <v>235000</v>
      </c>
      <c r="AG13" s="20">
        <f t="shared" si="10"/>
        <v>4844000</v>
      </c>
      <c r="AH13" s="24">
        <v>2000</v>
      </c>
      <c r="AI13" s="23">
        <f>AH13+'18.05'!AI13</f>
        <v>61000</v>
      </c>
      <c r="AJ13" s="24">
        <v>13000</v>
      </c>
      <c r="AK13" s="23">
        <f>AJ13+'18.05'!AK13</f>
        <v>414000</v>
      </c>
      <c r="AL13" s="22">
        <v>20000</v>
      </c>
      <c r="AM13" s="23">
        <f>AL13+'18.05'!AM13</f>
        <v>410000</v>
      </c>
      <c r="AN13" s="22">
        <v>200000</v>
      </c>
      <c r="AO13" s="23">
        <f>AN13+'18.05'!AO13</f>
        <v>3959000</v>
      </c>
      <c r="AP13" s="28" t="s">
        <v>47</v>
      </c>
      <c r="AQ13" s="19">
        <f t="shared" si="11"/>
        <v>6</v>
      </c>
      <c r="AR13" s="20">
        <f t="shared" si="12"/>
        <v>455</v>
      </c>
      <c r="AS13" s="34">
        <v>1</v>
      </c>
      <c r="AT13" s="23">
        <f>AS13+'18.05'!AT13</f>
        <v>16</v>
      </c>
      <c r="AU13" s="34">
        <v>1</v>
      </c>
      <c r="AV13" s="23">
        <f>AU13+'18.05'!AV13</f>
        <v>18</v>
      </c>
      <c r="AW13" s="34">
        <v>0</v>
      </c>
      <c r="AX13" s="23">
        <f>AW13+'18.05'!AX13</f>
        <v>0</v>
      </c>
      <c r="AY13" s="34">
        <v>0</v>
      </c>
      <c r="AZ13" s="23">
        <f>AY13+'18.05'!AZ13</f>
        <v>0</v>
      </c>
      <c r="BA13" s="34">
        <v>4</v>
      </c>
      <c r="BB13" s="23">
        <f>BA13+'18.05'!BB13</f>
        <v>421</v>
      </c>
      <c r="BC13" s="19">
        <f t="shared" si="13"/>
        <v>7757</v>
      </c>
      <c r="BD13" s="20">
        <f t="shared" si="14"/>
        <v>214700</v>
      </c>
      <c r="BE13" s="22">
        <v>516</v>
      </c>
      <c r="BF13" s="23">
        <f>BE13+'18.05'!BF13</f>
        <v>9804</v>
      </c>
      <c r="BG13" s="34">
        <v>31</v>
      </c>
      <c r="BH13" s="23">
        <f>BG13+'18.05'!BH13</f>
        <v>350</v>
      </c>
      <c r="BI13" s="22">
        <v>7000</v>
      </c>
      <c r="BJ13" s="23">
        <f>BI13+'18.05'!BJ13</f>
        <v>199500</v>
      </c>
      <c r="BK13" s="22">
        <v>200</v>
      </c>
      <c r="BL13" s="23">
        <f>BK13+'18.05'!BL13</f>
        <v>4320</v>
      </c>
      <c r="BM13" s="22">
        <v>10</v>
      </c>
      <c r="BN13" s="23">
        <f>BM13+'18.05'!BN13</f>
        <v>726</v>
      </c>
      <c r="BO13" s="36"/>
      <c r="BP13" s="37">
        <v>1</v>
      </c>
      <c r="BQ13" s="23">
        <f>BP13+'18.05'!BQ13</f>
        <v>13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1"/>
        <v>108</v>
      </c>
      <c r="D14" s="42">
        <f t="shared" si="2"/>
        <v>2120</v>
      </c>
      <c r="E14" s="43">
        <v>304</v>
      </c>
      <c r="F14" s="22">
        <v>94</v>
      </c>
      <c r="G14" s="23">
        <f>F14+'18.05'!G14</f>
        <v>1786</v>
      </c>
      <c r="H14" s="44">
        <v>5</v>
      </c>
      <c r="I14" s="45">
        <v>0</v>
      </c>
      <c r="J14" s="23">
        <f>I14+'18.05'!J14</f>
        <v>0</v>
      </c>
      <c r="K14" s="44">
        <v>34</v>
      </c>
      <c r="L14" s="22">
        <v>0</v>
      </c>
      <c r="M14" s="23">
        <f>L14+'18.05'!M14</f>
        <v>0</v>
      </c>
      <c r="N14" s="44">
        <v>583</v>
      </c>
      <c r="O14" s="22">
        <v>0</v>
      </c>
      <c r="P14" s="23">
        <f>O14+'18.05'!P14</f>
        <v>0</v>
      </c>
      <c r="Q14" s="44">
        <v>254</v>
      </c>
      <c r="R14" s="22">
        <v>0</v>
      </c>
      <c r="S14" s="23">
        <f>R14+'18.05'!S14</f>
        <v>0</v>
      </c>
      <c r="T14" s="44">
        <v>196</v>
      </c>
      <c r="U14" s="22">
        <v>0</v>
      </c>
      <c r="V14" s="23">
        <f>U14+'18.05'!V14</f>
        <v>0</v>
      </c>
      <c r="W14" s="44">
        <v>30</v>
      </c>
      <c r="X14" s="22">
        <v>12</v>
      </c>
      <c r="Y14" s="23">
        <f>X14+'18.05'!Y14</f>
        <v>256</v>
      </c>
      <c r="Z14" s="44">
        <v>10</v>
      </c>
      <c r="AA14" s="22">
        <v>0</v>
      </c>
      <c r="AB14" s="23">
        <f>AA14+'18.05'!AB14</f>
        <v>0</v>
      </c>
      <c r="AC14" s="44">
        <v>2500</v>
      </c>
      <c r="AD14" s="22">
        <v>2</v>
      </c>
      <c r="AE14" s="23">
        <f>AD14+'18.05'!AE14</f>
        <v>78</v>
      </c>
      <c r="AF14" s="19">
        <f t="shared" si="9"/>
        <v>115600</v>
      </c>
      <c r="AG14" s="20">
        <f t="shared" si="10"/>
        <v>2038640</v>
      </c>
      <c r="AH14" s="24">
        <v>3500</v>
      </c>
      <c r="AI14" s="23">
        <f>AH14+'18.05'!AI14</f>
        <v>62560</v>
      </c>
      <c r="AJ14" s="24">
        <v>5200</v>
      </c>
      <c r="AK14" s="23">
        <f>AJ14+'18.05'!AK14</f>
        <v>115250</v>
      </c>
      <c r="AL14" s="22">
        <v>9100</v>
      </c>
      <c r="AM14" s="23">
        <f>AL14+'18.05'!AM14</f>
        <v>134550</v>
      </c>
      <c r="AN14" s="22">
        <v>97800</v>
      </c>
      <c r="AO14" s="23">
        <f>AN14+'18.05'!AO14</f>
        <v>1726280</v>
      </c>
      <c r="AP14" s="39" t="s">
        <v>48</v>
      </c>
      <c r="AQ14" s="19">
        <f t="shared" si="11"/>
        <v>3</v>
      </c>
      <c r="AR14" s="20">
        <f t="shared" si="12"/>
        <v>66</v>
      </c>
      <c r="AS14" s="45">
        <v>0</v>
      </c>
      <c r="AT14" s="23">
        <f>AS14+'18.05'!AT14</f>
        <v>0</v>
      </c>
      <c r="AU14" s="45">
        <v>0</v>
      </c>
      <c r="AV14" s="23">
        <f>AU14+'18.05'!AV14</f>
        <v>4</v>
      </c>
      <c r="AW14" s="45">
        <v>1</v>
      </c>
      <c r="AX14" s="23">
        <f>AW14+'18.05'!AX14</f>
        <v>4</v>
      </c>
      <c r="AY14" s="45">
        <v>0</v>
      </c>
      <c r="AZ14" s="23">
        <f>AY14+'18.05'!AZ14</f>
        <v>1</v>
      </c>
      <c r="BA14" s="45">
        <v>2</v>
      </c>
      <c r="BB14" s="23">
        <f>BA14+'18.05'!BB14</f>
        <v>57</v>
      </c>
      <c r="BC14" s="19">
        <f t="shared" si="13"/>
        <v>1511</v>
      </c>
      <c r="BD14" s="20">
        <f t="shared" si="14"/>
        <v>42992</v>
      </c>
      <c r="BE14" s="22">
        <v>2</v>
      </c>
      <c r="BF14" s="23">
        <f>BE14+'18.05'!BF14</f>
        <v>60</v>
      </c>
      <c r="BG14" s="45">
        <v>1</v>
      </c>
      <c r="BH14" s="23">
        <f>BG14+'18.05'!BH14</f>
        <v>29</v>
      </c>
      <c r="BI14" s="22">
        <v>1500</v>
      </c>
      <c r="BJ14" s="23">
        <f>BI14+'18.05'!BJ14</f>
        <v>42780</v>
      </c>
      <c r="BK14" s="22">
        <v>6</v>
      </c>
      <c r="BL14" s="23">
        <f>BK14+'18.05'!BL14</f>
        <v>85</v>
      </c>
      <c r="BM14" s="22">
        <v>2</v>
      </c>
      <c r="BN14" s="23">
        <f>BM14+'18.05'!BN14</f>
        <v>38</v>
      </c>
      <c r="BO14" s="48">
        <v>22</v>
      </c>
      <c r="BP14" s="49">
        <v>0</v>
      </c>
      <c r="BQ14" s="23">
        <f>BP14+'18.05'!BQ14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441</v>
      </c>
      <c r="D15" s="53">
        <f t="shared" si="2"/>
        <v>8326</v>
      </c>
      <c r="E15" s="54">
        <v>776</v>
      </c>
      <c r="F15" s="55">
        <v>382</v>
      </c>
      <c r="G15" s="23">
        <f>F15+'18.05'!G15</f>
        <v>6512</v>
      </c>
      <c r="H15" s="56">
        <v>9</v>
      </c>
      <c r="I15" s="57">
        <v>0</v>
      </c>
      <c r="J15" s="23">
        <f>I15+'18.05'!J15</f>
        <v>0</v>
      </c>
      <c r="K15" s="56">
        <v>6</v>
      </c>
      <c r="L15" s="55">
        <v>0</v>
      </c>
      <c r="M15" s="23">
        <f>L15+'18.05'!M15</f>
        <v>0</v>
      </c>
      <c r="N15" s="56">
        <v>1305</v>
      </c>
      <c r="O15" s="55">
        <v>0</v>
      </c>
      <c r="P15" s="23">
        <f>O15+'18.05'!P15</f>
        <v>0</v>
      </c>
      <c r="Q15" s="56">
        <v>447</v>
      </c>
      <c r="R15" s="55">
        <v>0</v>
      </c>
      <c r="S15" s="23">
        <f>R15+'18.05'!S15</f>
        <v>0</v>
      </c>
      <c r="T15" s="56">
        <v>337</v>
      </c>
      <c r="U15" s="55">
        <v>0</v>
      </c>
      <c r="V15" s="23">
        <f>U15+'18.05'!V15</f>
        <v>0</v>
      </c>
      <c r="W15" s="56">
        <v>78</v>
      </c>
      <c r="X15" s="55">
        <v>0</v>
      </c>
      <c r="Y15" s="23">
        <f>X15+'18.05'!Y15</f>
        <v>0</v>
      </c>
      <c r="Z15" s="56">
        <v>141</v>
      </c>
      <c r="AA15" s="55">
        <v>0</v>
      </c>
      <c r="AB15" s="23">
        <f>AA15+'18.05'!AB15</f>
        <v>0</v>
      </c>
      <c r="AC15" s="56">
        <v>798</v>
      </c>
      <c r="AD15" s="55">
        <v>59</v>
      </c>
      <c r="AE15" s="23">
        <f>AD15+'18.05'!AE15</f>
        <v>1814</v>
      </c>
      <c r="AF15" s="58">
        <f t="shared" si="9"/>
        <v>1786475</v>
      </c>
      <c r="AG15" s="59">
        <f t="shared" si="10"/>
        <v>42126787</v>
      </c>
      <c r="AH15" s="60">
        <v>802</v>
      </c>
      <c r="AI15" s="23">
        <f>AH15+'18.05'!AI15</f>
        <v>16176</v>
      </c>
      <c r="AJ15" s="60">
        <v>2601</v>
      </c>
      <c r="AK15" s="23">
        <f>AJ15+'18.05'!AK15</f>
        <v>54753</v>
      </c>
      <c r="AL15" s="55">
        <v>891536</v>
      </c>
      <c r="AM15" s="23">
        <f>AL15+'18.05'!AM15</f>
        <v>25377929</v>
      </c>
      <c r="AN15" s="55">
        <v>891536</v>
      </c>
      <c r="AO15" s="23">
        <f>AN15+'18.05'!AO15</f>
        <v>16677929</v>
      </c>
      <c r="AP15" s="50" t="s">
        <v>49</v>
      </c>
      <c r="AQ15" s="58">
        <f t="shared" si="11"/>
        <v>1</v>
      </c>
      <c r="AR15" s="59">
        <f t="shared" si="12"/>
        <v>50</v>
      </c>
      <c r="AS15" s="57">
        <v>0</v>
      </c>
      <c r="AT15" s="23">
        <f>AS15+'18.05'!AT15</f>
        <v>2</v>
      </c>
      <c r="AU15" s="57">
        <v>0</v>
      </c>
      <c r="AV15" s="23">
        <f>AU15+'18.05'!AV15</f>
        <v>5</v>
      </c>
      <c r="AW15" s="57">
        <v>0</v>
      </c>
      <c r="AX15" s="23">
        <f>AW15+'18.05'!AX15</f>
        <v>4</v>
      </c>
      <c r="AY15" s="57">
        <v>0</v>
      </c>
      <c r="AZ15" s="23">
        <f>AY15+'18.05'!AZ15</f>
        <v>1</v>
      </c>
      <c r="BA15" s="57">
        <v>1</v>
      </c>
      <c r="BB15" s="23">
        <f>BA15+'18.05'!BB15</f>
        <v>38</v>
      </c>
      <c r="BC15" s="58">
        <f t="shared" si="13"/>
        <v>1723</v>
      </c>
      <c r="BD15" s="59">
        <f t="shared" si="14"/>
        <v>29234</v>
      </c>
      <c r="BE15" s="55">
        <v>90</v>
      </c>
      <c r="BF15" s="23">
        <f>BE15+'18.05'!BF15</f>
        <v>1460</v>
      </c>
      <c r="BG15" s="57">
        <v>1</v>
      </c>
      <c r="BH15" s="23">
        <f>BG15+'18.05'!BH15</f>
        <v>26</v>
      </c>
      <c r="BI15" s="55">
        <v>839</v>
      </c>
      <c r="BJ15" s="23">
        <f>BI15+'18.05'!BJ15</f>
        <v>13949</v>
      </c>
      <c r="BK15" s="55">
        <v>779</v>
      </c>
      <c r="BL15" s="23">
        <f>BK15+'18.05'!BL15</f>
        <v>13497</v>
      </c>
      <c r="BM15" s="55">
        <v>14</v>
      </c>
      <c r="BN15" s="23">
        <f>BM15+'18.05'!BN15</f>
        <v>302</v>
      </c>
      <c r="BO15" s="36">
        <v>6274</v>
      </c>
      <c r="BP15" s="37">
        <v>1</v>
      </c>
      <c r="BQ15" s="23">
        <f>BP15+'18.05'!BQ15</f>
        <v>13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133</v>
      </c>
      <c r="D16" s="31">
        <f t="shared" si="2"/>
        <v>2605</v>
      </c>
      <c r="E16" s="32">
        <v>310</v>
      </c>
      <c r="F16" s="22">
        <v>46</v>
      </c>
      <c r="G16" s="23">
        <f>F16+'18.05'!G16</f>
        <v>901</v>
      </c>
      <c r="H16" s="33">
        <v>5</v>
      </c>
      <c r="I16" s="34">
        <v>0</v>
      </c>
      <c r="J16" s="23">
        <f>I16+'18.05'!J16</f>
        <v>0</v>
      </c>
      <c r="K16" s="33">
        <v>3</v>
      </c>
      <c r="L16" s="22">
        <v>0</v>
      </c>
      <c r="M16" s="23">
        <f>L16+'18.05'!M16</f>
        <v>0</v>
      </c>
      <c r="N16" s="33">
        <v>384</v>
      </c>
      <c r="O16" s="22">
        <v>0</v>
      </c>
      <c r="P16" s="23">
        <f>O16+'18.05'!P16</f>
        <v>0</v>
      </c>
      <c r="Q16" s="33">
        <v>245</v>
      </c>
      <c r="R16" s="22">
        <v>0</v>
      </c>
      <c r="S16" s="23">
        <f>R16+'18.05'!S16</f>
        <v>0</v>
      </c>
      <c r="T16" s="33">
        <v>397</v>
      </c>
      <c r="U16" s="22">
        <v>0</v>
      </c>
      <c r="V16" s="23">
        <f>U16+'18.05'!V16</f>
        <v>0</v>
      </c>
      <c r="W16" s="33">
        <v>24</v>
      </c>
      <c r="X16" s="22">
        <v>49</v>
      </c>
      <c r="Y16" s="23">
        <f>X16+'18.05'!Y16</f>
        <v>926</v>
      </c>
      <c r="Z16" s="33">
        <v>18</v>
      </c>
      <c r="AA16" s="22">
        <v>0</v>
      </c>
      <c r="AB16" s="23">
        <f>AA16+'18.05'!AB16</f>
        <v>0</v>
      </c>
      <c r="AC16" s="33">
        <v>18515</v>
      </c>
      <c r="AD16" s="22">
        <v>38</v>
      </c>
      <c r="AE16" s="23">
        <f>AD16+'18.05'!AE16</f>
        <v>778</v>
      </c>
      <c r="AF16" s="19">
        <f t="shared" si="9"/>
        <v>58990</v>
      </c>
      <c r="AG16" s="20">
        <f t="shared" si="10"/>
        <v>1132896</v>
      </c>
      <c r="AH16" s="24">
        <v>167</v>
      </c>
      <c r="AI16" s="23">
        <f>AH16+'18.05'!AI16</f>
        <v>3033</v>
      </c>
      <c r="AJ16" s="24">
        <v>1514</v>
      </c>
      <c r="AK16" s="23">
        <f>AJ16+'18.05'!AK16</f>
        <v>25313</v>
      </c>
      <c r="AL16" s="22">
        <v>1672</v>
      </c>
      <c r="AM16" s="23">
        <f>AL16+'18.05'!AM16</f>
        <v>29416</v>
      </c>
      <c r="AN16" s="22">
        <v>55637</v>
      </c>
      <c r="AO16" s="23">
        <f>AN16+'18.05'!AO16</f>
        <v>1075134</v>
      </c>
      <c r="AP16" s="28" t="s">
        <v>51</v>
      </c>
      <c r="AQ16" s="19">
        <f t="shared" si="11"/>
        <v>88</v>
      </c>
      <c r="AR16" s="20">
        <f t="shared" si="12"/>
        <v>1452</v>
      </c>
      <c r="AS16" s="34">
        <v>0</v>
      </c>
      <c r="AT16" s="23">
        <f>AS16+'18.05'!AT16</f>
        <v>2</v>
      </c>
      <c r="AU16" s="34">
        <v>0</v>
      </c>
      <c r="AV16" s="23">
        <f>AU16+'18.05'!AV16</f>
        <v>0</v>
      </c>
      <c r="AW16" s="34">
        <v>0</v>
      </c>
      <c r="AX16" s="23">
        <f>AW16+'18.05'!AX16</f>
        <v>0</v>
      </c>
      <c r="AY16" s="34">
        <v>0</v>
      </c>
      <c r="AZ16" s="23">
        <f>AY16+'18.05'!AZ16</f>
        <v>0</v>
      </c>
      <c r="BA16" s="34">
        <v>88</v>
      </c>
      <c r="BB16" s="23">
        <f>BA16+'18.05'!BB16</f>
        <v>1450</v>
      </c>
      <c r="BC16" s="19">
        <f t="shared" si="13"/>
        <v>1361</v>
      </c>
      <c r="BD16" s="20">
        <f t="shared" si="14"/>
        <v>25497</v>
      </c>
      <c r="BE16" s="22">
        <v>81</v>
      </c>
      <c r="BF16" s="23">
        <f>BE16+'18.05'!BF16</f>
        <v>1355</v>
      </c>
      <c r="BG16" s="34">
        <v>0</v>
      </c>
      <c r="BH16" s="23">
        <f>BG16+'18.05'!BH16</f>
        <v>0</v>
      </c>
      <c r="BI16" s="22">
        <v>1234</v>
      </c>
      <c r="BJ16" s="23">
        <f>BI16+'18.05'!BJ16</f>
        <v>23199</v>
      </c>
      <c r="BK16" s="22">
        <v>39</v>
      </c>
      <c r="BL16" s="23">
        <f>BK16+'18.05'!BL16</f>
        <v>827</v>
      </c>
      <c r="BM16" s="22">
        <v>7</v>
      </c>
      <c r="BN16" s="23">
        <f>BM16+'18.05'!BN16</f>
        <v>116</v>
      </c>
      <c r="BO16" s="36">
        <v>2546</v>
      </c>
      <c r="BP16" s="37">
        <v>0</v>
      </c>
      <c r="BQ16" s="23">
        <f>BP16+'18.05'!BQ16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164</v>
      </c>
      <c r="D17" s="31">
        <f t="shared" si="2"/>
        <v>3186</v>
      </c>
      <c r="E17" s="32">
        <v>754</v>
      </c>
      <c r="F17" s="22">
        <v>140</v>
      </c>
      <c r="G17" s="23">
        <f>F17+'18.05'!G17</f>
        <v>2711</v>
      </c>
      <c r="H17" s="33">
        <v>9</v>
      </c>
      <c r="I17" s="34">
        <v>0</v>
      </c>
      <c r="J17" s="23">
        <f>I17+'18.05'!J17</f>
        <v>0</v>
      </c>
      <c r="K17" s="33">
        <v>5</v>
      </c>
      <c r="L17" s="22">
        <v>0</v>
      </c>
      <c r="M17" s="23">
        <f>L17+'18.05'!M17</f>
        <v>0</v>
      </c>
      <c r="N17" s="33">
        <v>768</v>
      </c>
      <c r="O17" s="22">
        <v>0</v>
      </c>
      <c r="P17" s="23">
        <f>O17+'18.05'!P17</f>
        <v>0</v>
      </c>
      <c r="Q17" s="33">
        <v>624</v>
      </c>
      <c r="R17" s="22">
        <v>0</v>
      </c>
      <c r="S17" s="23">
        <f>R17+'18.05'!S17</f>
        <v>0</v>
      </c>
      <c r="T17" s="33">
        <v>742</v>
      </c>
      <c r="U17" s="22">
        <v>0</v>
      </c>
      <c r="V17" s="23">
        <f>U17+'18.05'!V17</f>
        <v>0</v>
      </c>
      <c r="W17" s="33">
        <v>54</v>
      </c>
      <c r="X17" s="22">
        <v>12</v>
      </c>
      <c r="Y17" s="23">
        <f>X17+'18.05'!Y17</f>
        <v>257</v>
      </c>
      <c r="Z17" s="33">
        <v>66</v>
      </c>
      <c r="AA17" s="22">
        <v>0</v>
      </c>
      <c r="AB17" s="23">
        <f>AA17+'18.05'!AB17</f>
        <v>0</v>
      </c>
      <c r="AC17" s="33">
        <v>2580</v>
      </c>
      <c r="AD17" s="22">
        <v>12</v>
      </c>
      <c r="AE17" s="23">
        <f>AD17+'18.05'!AE17</f>
        <v>218</v>
      </c>
      <c r="AF17" s="19">
        <f t="shared" si="9"/>
        <v>101700</v>
      </c>
      <c r="AG17" s="20">
        <f t="shared" si="10"/>
        <v>1909300</v>
      </c>
      <c r="AH17" s="24">
        <v>7100</v>
      </c>
      <c r="AI17" s="23">
        <f>AH17+'18.05'!AI17</f>
        <v>120200</v>
      </c>
      <c r="AJ17" s="24">
        <v>10200</v>
      </c>
      <c r="AK17" s="23">
        <f>AJ17+'18.05'!AK17</f>
        <v>191000</v>
      </c>
      <c r="AL17" s="22">
        <v>24000</v>
      </c>
      <c r="AM17" s="23">
        <f>AL17+'18.05'!AM17</f>
        <v>412700</v>
      </c>
      <c r="AN17" s="22">
        <v>60400</v>
      </c>
      <c r="AO17" s="23">
        <f>AN17+'18.05'!AO17</f>
        <v>1185400</v>
      </c>
      <c r="AP17" s="28" t="s">
        <v>52</v>
      </c>
      <c r="AQ17" s="19">
        <f t="shared" si="11"/>
        <v>17</v>
      </c>
      <c r="AR17" s="20">
        <f t="shared" si="12"/>
        <v>368</v>
      </c>
      <c r="AS17" s="34">
        <v>0</v>
      </c>
      <c r="AT17" s="23">
        <f>AS17+'18.05'!AT17</f>
        <v>19</v>
      </c>
      <c r="AU17" s="34">
        <v>4</v>
      </c>
      <c r="AV17" s="23">
        <f>AU17+'18.05'!AV17</f>
        <v>32</v>
      </c>
      <c r="AW17" s="34">
        <v>0</v>
      </c>
      <c r="AX17" s="23">
        <f>AW17+'18.05'!AX17</f>
        <v>0</v>
      </c>
      <c r="AY17" s="34">
        <v>0</v>
      </c>
      <c r="AZ17" s="23">
        <f>AY17+'18.05'!AZ17</f>
        <v>0</v>
      </c>
      <c r="BA17" s="34">
        <v>13</v>
      </c>
      <c r="BB17" s="23">
        <f>BA17+'18.05'!BB17</f>
        <v>317</v>
      </c>
      <c r="BC17" s="19">
        <f t="shared" si="13"/>
        <v>3463</v>
      </c>
      <c r="BD17" s="20">
        <f t="shared" si="14"/>
        <v>52597</v>
      </c>
      <c r="BE17" s="22">
        <v>40</v>
      </c>
      <c r="BF17" s="23">
        <f>BE17+'18.05'!BF17</f>
        <v>664</v>
      </c>
      <c r="BG17" s="34">
        <v>1</v>
      </c>
      <c r="BH17" s="23">
        <f>BG17+'18.05'!BH17</f>
        <v>22</v>
      </c>
      <c r="BI17" s="22">
        <v>3100</v>
      </c>
      <c r="BJ17" s="23">
        <f>BI17+'18.05'!BJ17</f>
        <v>47200</v>
      </c>
      <c r="BK17" s="22">
        <v>310</v>
      </c>
      <c r="BL17" s="23">
        <f>BK17+'18.05'!BL17</f>
        <v>4535</v>
      </c>
      <c r="BM17" s="22">
        <v>12</v>
      </c>
      <c r="BN17" s="23">
        <f>BM17+'18.05'!BN17</f>
        <v>176</v>
      </c>
      <c r="BO17" s="36">
        <v>8022</v>
      </c>
      <c r="BP17" s="37">
        <v>3</v>
      </c>
      <c r="BQ17" s="23">
        <f>BP17+'18.05'!BQ17</f>
        <v>65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207</v>
      </c>
      <c r="D18" s="20">
        <f t="shared" si="2"/>
        <v>5011</v>
      </c>
      <c r="E18" s="21">
        <v>1063</v>
      </c>
      <c r="F18" s="22">
        <v>121</v>
      </c>
      <c r="G18" s="23">
        <f>F18+'18.05'!G18</f>
        <v>3108</v>
      </c>
      <c r="H18" s="21">
        <v>19</v>
      </c>
      <c r="I18" s="22">
        <v>0</v>
      </c>
      <c r="J18" s="23">
        <f>I18+'18.05'!J18</f>
        <v>0</v>
      </c>
      <c r="K18" s="21">
        <v>8</v>
      </c>
      <c r="L18" s="22">
        <v>0</v>
      </c>
      <c r="M18" s="23">
        <f>L18+'18.05'!M18</f>
        <v>0</v>
      </c>
      <c r="N18" s="21">
        <v>1331</v>
      </c>
      <c r="O18" s="22">
        <v>0</v>
      </c>
      <c r="P18" s="23">
        <f>O18+'18.05'!P18</f>
        <v>0</v>
      </c>
      <c r="Q18" s="21">
        <v>777</v>
      </c>
      <c r="R18" s="22">
        <v>0</v>
      </c>
      <c r="S18" s="23">
        <f>R18+'18.05'!S18</f>
        <v>0</v>
      </c>
      <c r="T18" s="21">
        <v>318</v>
      </c>
      <c r="U18" s="22">
        <v>0</v>
      </c>
      <c r="V18" s="23">
        <f>U18+'18.05'!V18</f>
        <v>81</v>
      </c>
      <c r="W18" s="21">
        <v>60</v>
      </c>
      <c r="X18" s="22">
        <v>86</v>
      </c>
      <c r="Y18" s="23">
        <f>X18+'18.05'!Y18</f>
        <v>1822</v>
      </c>
      <c r="Z18" s="21">
        <v>72</v>
      </c>
      <c r="AA18" s="22">
        <v>0</v>
      </c>
      <c r="AB18" s="23">
        <f>AA18+'18.05'!AB18</f>
        <v>0</v>
      </c>
      <c r="AC18" s="21">
        <v>143</v>
      </c>
      <c r="AD18" s="22">
        <v>0</v>
      </c>
      <c r="AE18" s="23">
        <f>AD18+'18.05'!AE18</f>
        <v>0</v>
      </c>
      <c r="AF18" s="19">
        <f t="shared" si="9"/>
        <v>122562</v>
      </c>
      <c r="AG18" s="20">
        <f t="shared" si="10"/>
        <v>2641912</v>
      </c>
      <c r="AH18" s="24">
        <v>248</v>
      </c>
      <c r="AI18" s="23">
        <f>AH18+'18.05'!AI18</f>
        <v>4366</v>
      </c>
      <c r="AJ18" s="24">
        <v>1440</v>
      </c>
      <c r="AK18" s="23">
        <f>AJ18+'18.05'!AK18</f>
        <v>40856</v>
      </c>
      <c r="AL18" s="22">
        <v>1927</v>
      </c>
      <c r="AM18" s="23">
        <f>AL18+'18.05'!AM18</f>
        <v>47011</v>
      </c>
      <c r="AN18" s="22">
        <v>118947</v>
      </c>
      <c r="AO18" s="23">
        <f>AN18+'18.05'!AO18</f>
        <v>2549679</v>
      </c>
      <c r="AP18" s="17" t="s">
        <v>53</v>
      </c>
      <c r="AQ18" s="19">
        <f t="shared" si="11"/>
        <v>4</v>
      </c>
      <c r="AR18" s="20">
        <f t="shared" si="12"/>
        <v>35</v>
      </c>
      <c r="AS18" s="22">
        <v>1</v>
      </c>
      <c r="AT18" s="23">
        <f>AS18+'18.05'!AT18</f>
        <v>7</v>
      </c>
      <c r="AU18" s="22">
        <v>0</v>
      </c>
      <c r="AV18" s="23">
        <f>AU18+'18.05'!AV18</f>
        <v>0</v>
      </c>
      <c r="AW18" s="22">
        <v>0</v>
      </c>
      <c r="AX18" s="23">
        <f>AW18+'18.05'!AX18</f>
        <v>0</v>
      </c>
      <c r="AY18" s="22">
        <v>0</v>
      </c>
      <c r="AZ18" s="23">
        <f>AY18+'18.05'!AZ18</f>
        <v>0</v>
      </c>
      <c r="BA18" s="22">
        <v>3</v>
      </c>
      <c r="BB18" s="23">
        <f>BA18+'18.05'!BB18</f>
        <v>28</v>
      </c>
      <c r="BC18" s="19">
        <f t="shared" si="13"/>
        <v>809</v>
      </c>
      <c r="BD18" s="20">
        <f t="shared" si="14"/>
        <v>12072</v>
      </c>
      <c r="BE18" s="22">
        <v>2</v>
      </c>
      <c r="BF18" s="23">
        <f>BE18+'18.05'!BF18</f>
        <v>21</v>
      </c>
      <c r="BG18" s="22">
        <v>0</v>
      </c>
      <c r="BH18" s="23">
        <f>BG18+'18.05'!BH18</f>
        <v>388</v>
      </c>
      <c r="BI18" s="22">
        <v>645</v>
      </c>
      <c r="BJ18" s="23">
        <f>BI18+'18.05'!BJ18</f>
        <v>9760</v>
      </c>
      <c r="BK18" s="22">
        <v>137</v>
      </c>
      <c r="BL18" s="23">
        <f>BK18+'18.05'!BL18</f>
        <v>1648</v>
      </c>
      <c r="BM18" s="22">
        <v>25</v>
      </c>
      <c r="BN18" s="23">
        <f>BM18+'18.05'!BN18</f>
        <v>255</v>
      </c>
      <c r="BO18" s="36">
        <v>442</v>
      </c>
      <c r="BP18" s="37">
        <v>0</v>
      </c>
      <c r="BQ18" s="23">
        <f>BP18+'18.05'!BQ18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39</v>
      </c>
      <c r="D19" s="31">
        <f t="shared" si="2"/>
        <v>673</v>
      </c>
      <c r="E19" s="33">
        <v>221</v>
      </c>
      <c r="F19" s="22">
        <v>8</v>
      </c>
      <c r="G19" s="23">
        <f>F19+'18.05'!G19</f>
        <v>130</v>
      </c>
      <c r="H19" s="33">
        <v>5</v>
      </c>
      <c r="I19" s="34">
        <v>0</v>
      </c>
      <c r="J19" s="23">
        <f>I19+'18.05'!J19</f>
        <v>0</v>
      </c>
      <c r="K19" s="33">
        <v>4</v>
      </c>
      <c r="L19" s="22">
        <v>0</v>
      </c>
      <c r="M19" s="23">
        <f>L19+'18.05'!M19</f>
        <v>0</v>
      </c>
      <c r="N19" s="33">
        <v>313</v>
      </c>
      <c r="O19" s="22">
        <v>12</v>
      </c>
      <c r="P19" s="23">
        <f>O19+'18.05'!P19</f>
        <v>179</v>
      </c>
      <c r="Q19" s="33">
        <v>203</v>
      </c>
      <c r="R19" s="22">
        <v>0</v>
      </c>
      <c r="S19" s="23">
        <f>R19+'18.05'!S19</f>
        <v>0</v>
      </c>
      <c r="T19" s="33">
        <v>241</v>
      </c>
      <c r="U19" s="22">
        <v>0</v>
      </c>
      <c r="V19" s="23">
        <f>U19+'18.05'!V19</f>
        <v>0</v>
      </c>
      <c r="W19" s="33">
        <v>14</v>
      </c>
      <c r="X19" s="22">
        <v>19</v>
      </c>
      <c r="Y19" s="23">
        <f>X19+'18.05'!Y19</f>
        <v>301</v>
      </c>
      <c r="Z19" s="33">
        <v>7</v>
      </c>
      <c r="AA19" s="22">
        <v>0</v>
      </c>
      <c r="AB19" s="23">
        <f>AA19+'18.05'!AB19</f>
        <v>0</v>
      </c>
      <c r="AC19" s="33">
        <v>32</v>
      </c>
      <c r="AD19" s="22">
        <v>0</v>
      </c>
      <c r="AE19" s="23">
        <f>AD19+'18.05'!AE19</f>
        <v>63</v>
      </c>
      <c r="AF19" s="19">
        <f t="shared" si="9"/>
        <v>2860</v>
      </c>
      <c r="AG19" s="20">
        <f t="shared" si="10"/>
        <v>62760</v>
      </c>
      <c r="AH19" s="24">
        <v>460</v>
      </c>
      <c r="AI19" s="23">
        <f>AH19+'18.05'!AI19</f>
        <v>10120</v>
      </c>
      <c r="AJ19" s="24">
        <v>460</v>
      </c>
      <c r="AK19" s="23">
        <f>AJ19+'18.05'!AK19</f>
        <v>10370</v>
      </c>
      <c r="AL19" s="22">
        <v>970</v>
      </c>
      <c r="AM19" s="23">
        <f>AL19+'18.05'!AM19</f>
        <v>21135</v>
      </c>
      <c r="AN19" s="22">
        <v>970</v>
      </c>
      <c r="AO19" s="23">
        <f>AN19+'18.05'!AO19</f>
        <v>21135</v>
      </c>
      <c r="AP19" s="28" t="s">
        <v>54</v>
      </c>
      <c r="AQ19" s="19">
        <f t="shared" si="11"/>
        <v>0</v>
      </c>
      <c r="AR19" s="20">
        <f t="shared" si="12"/>
        <v>5</v>
      </c>
      <c r="AS19" s="34">
        <v>0</v>
      </c>
      <c r="AT19" s="23">
        <f>AS19+'18.05'!AT19</f>
        <v>0</v>
      </c>
      <c r="AU19" s="34">
        <v>0</v>
      </c>
      <c r="AV19" s="23">
        <f>AU19+'18.05'!AV19</f>
        <v>4</v>
      </c>
      <c r="AW19" s="34">
        <v>0</v>
      </c>
      <c r="AX19" s="23">
        <f>AW19+'18.05'!AX19</f>
        <v>1</v>
      </c>
      <c r="AY19" s="34">
        <v>0</v>
      </c>
      <c r="AZ19" s="23">
        <f>AY19+'18.05'!AZ19</f>
        <v>0</v>
      </c>
      <c r="BA19" s="34">
        <v>0</v>
      </c>
      <c r="BB19" s="23">
        <f>BA19+'18.05'!BB19</f>
        <v>0</v>
      </c>
      <c r="BC19" s="19">
        <f t="shared" si="13"/>
        <v>931</v>
      </c>
      <c r="BD19" s="20">
        <f t="shared" si="14"/>
        <v>20892</v>
      </c>
      <c r="BE19" s="22">
        <v>14</v>
      </c>
      <c r="BF19" s="23">
        <f>BE19+'18.05'!BF19</f>
        <v>262</v>
      </c>
      <c r="BG19" s="34">
        <v>2</v>
      </c>
      <c r="BH19" s="23">
        <f>BG19+'18.05'!BH19</f>
        <v>9</v>
      </c>
      <c r="BI19" s="22">
        <v>800</v>
      </c>
      <c r="BJ19" s="23">
        <f>BI19+'18.05'!BJ19</f>
        <v>18150</v>
      </c>
      <c r="BK19" s="22">
        <v>110</v>
      </c>
      <c r="BL19" s="23">
        <f>BK19+'18.05'!BL19</f>
        <v>2360</v>
      </c>
      <c r="BM19" s="22">
        <v>5</v>
      </c>
      <c r="BN19" s="23">
        <f>BM19+'18.05'!BN19</f>
        <v>111</v>
      </c>
      <c r="BO19" s="36">
        <v>2898</v>
      </c>
      <c r="BP19" s="37">
        <v>5</v>
      </c>
      <c r="BQ19" s="23">
        <f>BP19+'18.05'!BQ19</f>
        <v>5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165</v>
      </c>
      <c r="D20" s="31">
        <f t="shared" si="2"/>
        <v>4588</v>
      </c>
      <c r="E20" s="32">
        <v>723</v>
      </c>
      <c r="F20" s="22">
        <v>54</v>
      </c>
      <c r="G20" s="23">
        <f>F20+'18.05'!G20</f>
        <v>2360</v>
      </c>
      <c r="H20" s="33">
        <v>5</v>
      </c>
      <c r="I20" s="34">
        <v>1</v>
      </c>
      <c r="J20" s="23">
        <f>I20+'18.05'!J20</f>
        <v>19</v>
      </c>
      <c r="K20" s="33">
        <v>3</v>
      </c>
      <c r="L20" s="22">
        <v>0</v>
      </c>
      <c r="M20" s="23">
        <f>L20+'18.05'!M20</f>
        <v>0</v>
      </c>
      <c r="N20" s="33">
        <v>975</v>
      </c>
      <c r="O20" s="22">
        <v>52</v>
      </c>
      <c r="P20" s="23">
        <f>O20+'18.05'!P20</f>
        <v>1062</v>
      </c>
      <c r="Q20" s="61">
        <v>1862</v>
      </c>
      <c r="R20" s="22">
        <v>1</v>
      </c>
      <c r="S20" s="23">
        <f>R20+'18.05'!S20</f>
        <v>21</v>
      </c>
      <c r="T20" s="33">
        <v>35</v>
      </c>
      <c r="U20" s="22">
        <v>1</v>
      </c>
      <c r="V20" s="23">
        <f>U20+'18.05'!V20</f>
        <v>19</v>
      </c>
      <c r="W20" s="33">
        <v>64</v>
      </c>
      <c r="X20" s="22">
        <v>1</v>
      </c>
      <c r="Y20" s="23">
        <f>X20+'18.05'!Y20</f>
        <v>21</v>
      </c>
      <c r="Z20" s="33">
        <v>15</v>
      </c>
      <c r="AA20" s="22">
        <v>1</v>
      </c>
      <c r="AB20" s="23">
        <f>AA20+'18.05'!AB20</f>
        <v>24</v>
      </c>
      <c r="AC20" s="33">
        <v>1546</v>
      </c>
      <c r="AD20" s="22">
        <v>54</v>
      </c>
      <c r="AE20" s="23">
        <f>AD20+'18.05'!AE20</f>
        <v>1062</v>
      </c>
      <c r="AF20" s="19">
        <f t="shared" si="9"/>
        <v>17680</v>
      </c>
      <c r="AG20" s="20">
        <f t="shared" si="10"/>
        <v>357592</v>
      </c>
      <c r="AH20" s="24">
        <v>8500</v>
      </c>
      <c r="AI20" s="23">
        <f>AH20+'18.05'!AI20</f>
        <v>165004</v>
      </c>
      <c r="AJ20" s="24">
        <v>8380</v>
      </c>
      <c r="AK20" s="23">
        <f>AJ20+'18.05'!AK20</f>
        <v>176578</v>
      </c>
      <c r="AL20" s="22">
        <v>450</v>
      </c>
      <c r="AM20" s="23">
        <f>AL20+'18.05'!AM20</f>
        <v>9050</v>
      </c>
      <c r="AN20" s="22">
        <v>350</v>
      </c>
      <c r="AO20" s="23">
        <f>AN20+'18.05'!AO20</f>
        <v>6960</v>
      </c>
      <c r="AP20" s="28" t="s">
        <v>55</v>
      </c>
      <c r="AQ20" s="19">
        <f t="shared" si="11"/>
        <v>33</v>
      </c>
      <c r="AR20" s="20">
        <f t="shared" si="12"/>
        <v>3031</v>
      </c>
      <c r="AS20" s="34">
        <v>1</v>
      </c>
      <c r="AT20" s="23">
        <f>AS20+'18.05'!AT20</f>
        <v>19</v>
      </c>
      <c r="AU20" s="34">
        <v>0</v>
      </c>
      <c r="AV20" s="23">
        <f>AU20+'18.05'!AV20</f>
        <v>0</v>
      </c>
      <c r="AW20" s="34">
        <v>0</v>
      </c>
      <c r="AX20" s="23">
        <f>AW20+'18.05'!AX20</f>
        <v>0</v>
      </c>
      <c r="AY20" s="34">
        <v>0</v>
      </c>
      <c r="AZ20" s="23">
        <f>AY20+'18.05'!AZ20</f>
        <v>0</v>
      </c>
      <c r="BA20" s="34">
        <v>32</v>
      </c>
      <c r="BB20" s="23">
        <f>BA20+'18.05'!BB20</f>
        <v>3012</v>
      </c>
      <c r="BC20" s="19">
        <f t="shared" si="13"/>
        <v>3478</v>
      </c>
      <c r="BD20" s="20">
        <f t="shared" si="14"/>
        <v>66359</v>
      </c>
      <c r="BE20" s="22">
        <v>2</v>
      </c>
      <c r="BF20" s="23">
        <f>BE20+'18.05'!BF20</f>
        <v>38</v>
      </c>
      <c r="BG20" s="34">
        <v>0</v>
      </c>
      <c r="BH20" s="23">
        <f>BG20+'18.05'!BH20</f>
        <v>0</v>
      </c>
      <c r="BI20" s="22">
        <v>1370</v>
      </c>
      <c r="BJ20" s="23">
        <f>BI20+'18.05'!BJ20</f>
        <v>32628</v>
      </c>
      <c r="BK20" s="22">
        <v>2105</v>
      </c>
      <c r="BL20" s="23">
        <f>BK20+'18.05'!BL20</f>
        <v>33675</v>
      </c>
      <c r="BM20" s="22">
        <v>1</v>
      </c>
      <c r="BN20" s="23">
        <f>BM20+'18.05'!BN20</f>
        <v>18</v>
      </c>
      <c r="BO20" s="36">
        <v>5854</v>
      </c>
      <c r="BP20" s="37">
        <v>0</v>
      </c>
      <c r="BQ20" s="23">
        <f>BP20+'18.05'!BQ20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157</v>
      </c>
      <c r="D21" s="31">
        <f t="shared" si="2"/>
        <v>3967</v>
      </c>
      <c r="E21" s="32">
        <v>1017</v>
      </c>
      <c r="F21" s="22">
        <v>135</v>
      </c>
      <c r="G21" s="23">
        <f>F21+'18.05'!G21</f>
        <v>2845</v>
      </c>
      <c r="H21" s="33">
        <v>8</v>
      </c>
      <c r="I21" s="34">
        <v>0</v>
      </c>
      <c r="J21" s="23">
        <f>I21+'18.05'!J21</f>
        <v>131</v>
      </c>
      <c r="K21" s="33">
        <v>4</v>
      </c>
      <c r="L21" s="22">
        <v>0</v>
      </c>
      <c r="M21" s="23">
        <f>L21+'18.05'!M21</f>
        <v>20</v>
      </c>
      <c r="N21" s="33">
        <v>963</v>
      </c>
      <c r="O21" s="22">
        <v>1</v>
      </c>
      <c r="P21" s="23">
        <f>O21+'18.05'!P21</f>
        <v>50</v>
      </c>
      <c r="Q21" s="33">
        <v>912</v>
      </c>
      <c r="R21" s="22">
        <v>0</v>
      </c>
      <c r="S21" s="23">
        <f>R21+'18.05'!S21</f>
        <v>0</v>
      </c>
      <c r="T21" s="33">
        <v>199</v>
      </c>
      <c r="U21" s="22">
        <v>2</v>
      </c>
      <c r="V21" s="23">
        <f>U21+'18.05'!V21</f>
        <v>97</v>
      </c>
      <c r="W21" s="33">
        <v>101</v>
      </c>
      <c r="X21" s="22">
        <v>10</v>
      </c>
      <c r="Y21" s="23">
        <f>X21+'18.05'!Y21</f>
        <v>224</v>
      </c>
      <c r="Z21" s="33">
        <v>42</v>
      </c>
      <c r="AA21" s="22">
        <v>0</v>
      </c>
      <c r="AB21" s="23">
        <f>AA21+'18.05'!AB21</f>
        <v>1</v>
      </c>
      <c r="AC21" s="33">
        <v>20</v>
      </c>
      <c r="AD21" s="22">
        <v>9</v>
      </c>
      <c r="AE21" s="23">
        <f>AD21+'18.05'!AE21</f>
        <v>599</v>
      </c>
      <c r="AF21" s="19">
        <f t="shared" si="9"/>
        <v>1150000</v>
      </c>
      <c r="AG21" s="20">
        <f t="shared" si="10"/>
        <v>20504480</v>
      </c>
      <c r="AH21" s="24">
        <v>1000</v>
      </c>
      <c r="AI21" s="23">
        <f>AH21+'18.05'!AI21</f>
        <v>22150</v>
      </c>
      <c r="AJ21" s="24">
        <v>149000</v>
      </c>
      <c r="AK21" s="23">
        <f>AJ21+'18.05'!AK21</f>
        <v>3147000</v>
      </c>
      <c r="AL21" s="22">
        <v>5000</v>
      </c>
      <c r="AM21" s="23">
        <f>AL21+'18.05'!AM21</f>
        <v>39630</v>
      </c>
      <c r="AN21" s="22">
        <v>995000</v>
      </c>
      <c r="AO21" s="23">
        <f>AN21+'18.05'!AO21</f>
        <v>17295700</v>
      </c>
      <c r="AP21" s="28" t="s">
        <v>58</v>
      </c>
      <c r="AQ21" s="19">
        <f t="shared" si="11"/>
        <v>3</v>
      </c>
      <c r="AR21" s="20">
        <f t="shared" si="12"/>
        <v>95</v>
      </c>
      <c r="AS21" s="34">
        <v>0</v>
      </c>
      <c r="AT21" s="23">
        <f>AS21+'18.05'!AT21</f>
        <v>3</v>
      </c>
      <c r="AU21" s="34">
        <v>0</v>
      </c>
      <c r="AV21" s="23">
        <f>AU21+'18.05'!AV21</f>
        <v>28</v>
      </c>
      <c r="AW21" s="34">
        <v>1</v>
      </c>
      <c r="AX21" s="23">
        <f>AW21+'18.05'!AX21</f>
        <v>1</v>
      </c>
      <c r="AY21" s="34">
        <v>0</v>
      </c>
      <c r="AZ21" s="23">
        <f>AY21+'18.05'!AZ21</f>
        <v>0</v>
      </c>
      <c r="BA21" s="34">
        <v>2</v>
      </c>
      <c r="BB21" s="23">
        <f>BA21+'18.05'!BB21</f>
        <v>63</v>
      </c>
      <c r="BC21" s="19">
        <f t="shared" si="13"/>
        <v>890</v>
      </c>
      <c r="BD21" s="20">
        <f t="shared" si="14"/>
        <v>32636</v>
      </c>
      <c r="BE21" s="22">
        <v>45</v>
      </c>
      <c r="BF21" s="23">
        <f>BE21+'18.05'!BF21</f>
        <v>919</v>
      </c>
      <c r="BG21" s="34">
        <v>0</v>
      </c>
      <c r="BH21" s="23">
        <f>BG21+'18.05'!BH21</f>
        <v>0</v>
      </c>
      <c r="BI21" s="22">
        <v>800</v>
      </c>
      <c r="BJ21" s="23">
        <f>BI21+'18.05'!BJ21</f>
        <v>31550</v>
      </c>
      <c r="BK21" s="22">
        <v>0</v>
      </c>
      <c r="BL21" s="23">
        <f>BK21+'18.05'!BL21</f>
        <v>0</v>
      </c>
      <c r="BM21" s="22">
        <v>45</v>
      </c>
      <c r="BN21" s="23">
        <f>BM21+'18.05'!BN21</f>
        <v>167</v>
      </c>
      <c r="BO21" s="36">
        <v>68</v>
      </c>
      <c r="BP21" s="37">
        <v>1</v>
      </c>
      <c r="BQ21" s="23">
        <f>BP21+'18.05'!BQ21</f>
        <v>31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1"/>
        <v>2153</v>
      </c>
      <c r="D22" s="31">
        <f t="shared" si="2"/>
        <v>40130</v>
      </c>
      <c r="E22" s="32">
        <v>509</v>
      </c>
      <c r="F22" s="22">
        <v>364</v>
      </c>
      <c r="G22" s="23">
        <f>F22+'18.05'!G22</f>
        <v>6579</v>
      </c>
      <c r="H22" s="33">
        <v>8</v>
      </c>
      <c r="I22" s="34">
        <v>0</v>
      </c>
      <c r="J22" s="23">
        <f>I22+'18.05'!J22</f>
        <v>23</v>
      </c>
      <c r="K22" s="33">
        <v>21</v>
      </c>
      <c r="L22" s="22">
        <v>0</v>
      </c>
      <c r="M22" s="23">
        <f>L22+'18.05'!M22</f>
        <v>0</v>
      </c>
      <c r="N22" s="33">
        <v>560</v>
      </c>
      <c r="O22" s="22">
        <v>43</v>
      </c>
      <c r="P22" s="23">
        <f>O22+'18.05'!P22</f>
        <v>981</v>
      </c>
      <c r="Q22" s="33">
        <v>375</v>
      </c>
      <c r="R22" s="22">
        <v>0</v>
      </c>
      <c r="S22" s="23">
        <f>R22+'18.05'!S22</f>
        <v>0</v>
      </c>
      <c r="T22" s="33">
        <v>165</v>
      </c>
      <c r="U22" s="22">
        <v>26</v>
      </c>
      <c r="V22" s="23">
        <f>U22+'18.05'!V22</f>
        <v>432</v>
      </c>
      <c r="W22" s="33">
        <v>28</v>
      </c>
      <c r="X22" s="22">
        <v>101</v>
      </c>
      <c r="Y22" s="23">
        <f>X22+'18.05'!Y22</f>
        <v>1515</v>
      </c>
      <c r="Z22" s="33">
        <v>9</v>
      </c>
      <c r="AA22" s="22">
        <v>0</v>
      </c>
      <c r="AB22" s="23">
        <f>AA22+'18.05'!AB22</f>
        <v>0</v>
      </c>
      <c r="AC22" s="33">
        <v>112</v>
      </c>
      <c r="AD22" s="22">
        <v>1619</v>
      </c>
      <c r="AE22" s="23">
        <f>AD22+'18.05'!AE22</f>
        <v>30600</v>
      </c>
      <c r="AF22" s="19">
        <f t="shared" si="9"/>
        <v>386543</v>
      </c>
      <c r="AG22" s="20">
        <f t="shared" si="10"/>
        <v>7663450</v>
      </c>
      <c r="AH22" s="24">
        <v>1004</v>
      </c>
      <c r="AI22" s="23">
        <f>AH22+'18.05'!AI22</f>
        <v>45886</v>
      </c>
      <c r="AJ22" s="24">
        <v>6657</v>
      </c>
      <c r="AK22" s="23">
        <f>AJ22+'18.05'!AK22</f>
        <v>122866</v>
      </c>
      <c r="AL22" s="22">
        <v>11121</v>
      </c>
      <c r="AM22" s="23">
        <f>AL22+'18.05'!AM22</f>
        <v>199862</v>
      </c>
      <c r="AN22" s="22">
        <v>367761</v>
      </c>
      <c r="AO22" s="23">
        <f>AN22+'18.05'!AO22</f>
        <v>7294836</v>
      </c>
      <c r="AP22" s="28" t="s">
        <v>59</v>
      </c>
      <c r="AQ22" s="19">
        <f t="shared" si="11"/>
        <v>455</v>
      </c>
      <c r="AR22" s="20">
        <f t="shared" si="12"/>
        <v>34317</v>
      </c>
      <c r="AS22" s="34">
        <v>0</v>
      </c>
      <c r="AT22" s="23">
        <f>AS22+'18.05'!AT22</f>
        <v>5</v>
      </c>
      <c r="AU22" s="34">
        <v>0</v>
      </c>
      <c r="AV22" s="23">
        <f>AU22+'18.05'!AV22</f>
        <v>5</v>
      </c>
      <c r="AW22" s="34">
        <v>0</v>
      </c>
      <c r="AX22" s="23">
        <f>AW22+'18.05'!AX22</f>
        <v>2</v>
      </c>
      <c r="AY22" s="34">
        <v>0</v>
      </c>
      <c r="AZ22" s="23">
        <f>AY22+'18.05'!AZ22</f>
        <v>1</v>
      </c>
      <c r="BA22" s="34">
        <v>455</v>
      </c>
      <c r="BB22" s="23">
        <f>BA22+'18.05'!BB22</f>
        <v>34304</v>
      </c>
      <c r="BC22" s="19">
        <f t="shared" si="13"/>
        <v>5452</v>
      </c>
      <c r="BD22" s="20">
        <f t="shared" si="14"/>
        <v>129579</v>
      </c>
      <c r="BE22" s="22">
        <v>3</v>
      </c>
      <c r="BF22" s="23">
        <f>BE22+'18.05'!BF22</f>
        <v>99</v>
      </c>
      <c r="BG22" s="34">
        <v>55</v>
      </c>
      <c r="BH22" s="23">
        <f>BG22+'18.05'!BH22</f>
        <v>1144</v>
      </c>
      <c r="BI22" s="22">
        <v>2648</v>
      </c>
      <c r="BJ22" s="23">
        <f>BI22+'18.05'!BJ22</f>
        <v>88511</v>
      </c>
      <c r="BK22" s="22">
        <v>2666</v>
      </c>
      <c r="BL22" s="23">
        <f>BK22+'18.05'!BL22</f>
        <v>38822</v>
      </c>
      <c r="BM22" s="22">
        <v>80</v>
      </c>
      <c r="BN22" s="23">
        <f>BM22+'18.05'!BN22</f>
        <v>1003</v>
      </c>
      <c r="BO22" s="36">
        <v>26</v>
      </c>
      <c r="BP22" s="37">
        <v>0</v>
      </c>
      <c r="BQ22" s="23">
        <f>BP22+'18.05'!BQ22</f>
        <v>1712</v>
      </c>
    </row>
    <row r="23" spans="1:69" ht="27.75" customHeight="1" thickBot="1">
      <c r="A23" s="62" t="s">
        <v>12</v>
      </c>
      <c r="B23" s="63">
        <f t="shared" si="0"/>
        <v>98832</v>
      </c>
      <c r="C23" s="64">
        <f t="shared" si="1"/>
        <v>3947</v>
      </c>
      <c r="D23" s="65">
        <f t="shared" si="2"/>
        <v>78129</v>
      </c>
      <c r="E23" s="66">
        <f>+E18+E19+E22+E17+E16+E15+E14+E13+E12+E11+E10+E9+E8</f>
        <v>7734</v>
      </c>
      <c r="F23" s="67">
        <f t="shared" ref="F23:J23" si="15">SUM(F8:F22)</f>
        <v>1431</v>
      </c>
      <c r="G23" s="68">
        <f t="shared" si="15"/>
        <v>28554</v>
      </c>
      <c r="H23" s="66">
        <f>+H18+H19+H22+H17+H16+H15+H14+H13+H12+H11+H10+H9+H8</f>
        <v>283</v>
      </c>
      <c r="I23" s="67">
        <f t="shared" si="15"/>
        <v>7</v>
      </c>
      <c r="J23" s="68">
        <f t="shared" si="15"/>
        <v>274</v>
      </c>
      <c r="K23" s="66">
        <f>+K18+K19+K22+K17+K16+K15+K14+K13+K12+K11+K10+K9+K8</f>
        <v>165</v>
      </c>
      <c r="L23" s="67">
        <f t="shared" ref="L23:P23" si="16">SUM(L8:L22)</f>
        <v>1</v>
      </c>
      <c r="M23" s="68">
        <f t="shared" si="16"/>
        <v>38</v>
      </c>
      <c r="N23" s="66">
        <f>+N18+N19+N22+N17+N16+N15+N14+N13+N12+N11+N10+N9+N8</f>
        <v>9342</v>
      </c>
      <c r="O23" s="67">
        <f t="shared" si="16"/>
        <v>146</v>
      </c>
      <c r="P23" s="68">
        <f t="shared" si="16"/>
        <v>2782</v>
      </c>
      <c r="Q23" s="66">
        <f>+Q18+Q19+Q22+Q17+Q16+Q15+Q14+Q13+Q12+Q11+Q10+Q9+Q8</f>
        <v>7976</v>
      </c>
      <c r="R23" s="67">
        <f t="shared" ref="R23:V23" si="17">SUM(R8:R22)</f>
        <v>12</v>
      </c>
      <c r="S23" s="68">
        <f t="shared" si="17"/>
        <v>137</v>
      </c>
      <c r="T23" s="66">
        <f>+T18+T19+T22+T17+T16+T15+T14+T13+T12+T11+T10+T9+T8</f>
        <v>4312</v>
      </c>
      <c r="U23" s="67">
        <f t="shared" si="17"/>
        <v>38</v>
      </c>
      <c r="V23" s="68">
        <f t="shared" si="17"/>
        <v>712</v>
      </c>
      <c r="W23" s="66">
        <f>+W18+W19+W22+W17+W16+W15+W14+W13+W12+W11+W10+W9+W8</f>
        <v>651</v>
      </c>
      <c r="X23" s="67">
        <f t="shared" ref="X23:AB23" si="18">SUM(X8:X22)</f>
        <v>428</v>
      </c>
      <c r="Y23" s="68">
        <f t="shared" si="18"/>
        <v>7894</v>
      </c>
      <c r="Z23" s="66">
        <f>+Z18+Z19+Z22+Z17+Z16+Z15+Z14+Z13+Z12+Z11+Z10+Z9+Z8</f>
        <v>1663</v>
      </c>
      <c r="AA23" s="67">
        <f t="shared" si="18"/>
        <v>2</v>
      </c>
      <c r="AB23" s="68">
        <f t="shared" si="18"/>
        <v>63</v>
      </c>
      <c r="AC23" s="66">
        <f>+AC18+AC19+AC22+AC17+AC16+AC15+AC14+AC13+AC12+AC11+AC10+AC9+AC8</f>
        <v>66706</v>
      </c>
      <c r="AD23" s="67">
        <f t="shared" ref="AD23:AO23" si="19">SUM(AD8:AD22)</f>
        <v>1882</v>
      </c>
      <c r="AE23" s="68">
        <f t="shared" si="19"/>
        <v>37675</v>
      </c>
      <c r="AF23" s="64">
        <f t="shared" si="19"/>
        <v>4174317</v>
      </c>
      <c r="AG23" s="64">
        <f t="shared" si="19"/>
        <v>86225637</v>
      </c>
      <c r="AH23" s="67">
        <f t="shared" si="19"/>
        <v>32435</v>
      </c>
      <c r="AI23" s="68">
        <f t="shared" si="19"/>
        <v>625892</v>
      </c>
      <c r="AJ23" s="67">
        <f t="shared" si="19"/>
        <v>218852</v>
      </c>
      <c r="AK23" s="68">
        <f t="shared" si="19"/>
        <v>4554597</v>
      </c>
      <c r="AL23" s="67">
        <f t="shared" si="19"/>
        <v>997260</v>
      </c>
      <c r="AM23" s="68">
        <f t="shared" si="19"/>
        <v>27112347</v>
      </c>
      <c r="AN23" s="67">
        <f t="shared" si="19"/>
        <v>2925770</v>
      </c>
      <c r="AO23" s="68">
        <f t="shared" si="19"/>
        <v>53932801</v>
      </c>
      <c r="AP23" s="62" t="s">
        <v>12</v>
      </c>
      <c r="AQ23" s="64">
        <f t="shared" ref="AQ23:BP23" si="20">SUM(AQ8:AQ22)</f>
        <v>808</v>
      </c>
      <c r="AR23" s="64">
        <f t="shared" si="20"/>
        <v>44392</v>
      </c>
      <c r="AS23" s="67">
        <f t="shared" si="20"/>
        <v>5</v>
      </c>
      <c r="AT23" s="68">
        <f t="shared" si="20"/>
        <v>85</v>
      </c>
      <c r="AU23" s="67">
        <f t="shared" si="20"/>
        <v>7</v>
      </c>
      <c r="AV23" s="68">
        <f t="shared" si="20"/>
        <v>107</v>
      </c>
      <c r="AW23" s="67">
        <f t="shared" si="20"/>
        <v>2</v>
      </c>
      <c r="AX23" s="68">
        <f t="shared" si="20"/>
        <v>15</v>
      </c>
      <c r="AY23" s="67">
        <f t="shared" si="20"/>
        <v>0</v>
      </c>
      <c r="AZ23" s="68">
        <f t="shared" si="20"/>
        <v>3</v>
      </c>
      <c r="BA23" s="67">
        <f t="shared" si="20"/>
        <v>794</v>
      </c>
      <c r="BB23" s="68">
        <f t="shared" si="20"/>
        <v>44182</v>
      </c>
      <c r="BC23" s="64">
        <f t="shared" si="20"/>
        <v>36704</v>
      </c>
      <c r="BD23" s="64">
        <f t="shared" si="20"/>
        <v>791091</v>
      </c>
      <c r="BE23" s="67">
        <f t="shared" si="20"/>
        <v>1518</v>
      </c>
      <c r="BF23" s="68">
        <f t="shared" si="20"/>
        <v>28417</v>
      </c>
      <c r="BG23" s="67">
        <f t="shared" si="20"/>
        <v>104</v>
      </c>
      <c r="BH23" s="68">
        <f t="shared" si="20"/>
        <v>2211</v>
      </c>
      <c r="BI23" s="67">
        <f t="shared" si="20"/>
        <v>26805</v>
      </c>
      <c r="BJ23" s="68">
        <f t="shared" si="20"/>
        <v>618888</v>
      </c>
      <c r="BK23" s="67">
        <f t="shared" si="20"/>
        <v>8015</v>
      </c>
      <c r="BL23" s="68">
        <f t="shared" si="20"/>
        <v>137682</v>
      </c>
      <c r="BM23" s="67">
        <f t="shared" si="20"/>
        <v>262</v>
      </c>
      <c r="BN23" s="68">
        <f t="shared" si="20"/>
        <v>3893</v>
      </c>
      <c r="BO23" s="69">
        <f t="shared" si="20"/>
        <v>37718</v>
      </c>
      <c r="BP23" s="70">
        <f t="shared" si="20"/>
        <v>16</v>
      </c>
      <c r="BQ23" s="23">
        <f>SUM(BQ8:BQ22)</f>
        <v>1978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BQ23"/>
  <sheetViews>
    <sheetView zoomScale="85" zoomScaleNormal="85" workbookViewId="0">
      <pane xSplit="4" ySplit="8" topLeftCell="AP12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1"/>
        <v>3</v>
      </c>
      <c r="D9" s="31">
        <f t="shared" si="2"/>
        <v>103</v>
      </c>
      <c r="E9" s="32">
        <v>452</v>
      </c>
      <c r="F9" s="22">
        <v>3</v>
      </c>
      <c r="G9" s="23">
        <f>F9+'19.05'!G9</f>
        <v>54</v>
      </c>
      <c r="H9" s="33">
        <v>12</v>
      </c>
      <c r="I9" s="34">
        <v>0</v>
      </c>
      <c r="J9" s="23">
        <f>I9+'19.05'!J9</f>
        <v>15</v>
      </c>
      <c r="K9" s="33">
        <v>2</v>
      </c>
      <c r="L9" s="22">
        <v>0</v>
      </c>
      <c r="M9" s="23">
        <f>L9+'19.05'!M9</f>
        <v>0</v>
      </c>
      <c r="N9" s="33">
        <v>735</v>
      </c>
      <c r="O9" s="22">
        <v>0</v>
      </c>
      <c r="P9" s="23">
        <f>O9+'19.05'!P9</f>
        <v>0</v>
      </c>
      <c r="Q9" s="33">
        <v>502</v>
      </c>
      <c r="R9" s="22">
        <v>0</v>
      </c>
      <c r="S9" s="23">
        <f>R9+'19.05'!S9</f>
        <v>0</v>
      </c>
      <c r="T9" s="33">
        <v>197</v>
      </c>
      <c r="U9" s="22">
        <v>0</v>
      </c>
      <c r="V9" s="23">
        <f>U9+'19.05'!V9</f>
        <v>0</v>
      </c>
      <c r="W9" s="33">
        <v>47</v>
      </c>
      <c r="X9" s="22">
        <v>0</v>
      </c>
      <c r="Y9" s="23">
        <f>X9+'19.05'!Y9</f>
        <v>15</v>
      </c>
      <c r="Z9" s="33">
        <v>34</v>
      </c>
      <c r="AA9" s="22">
        <v>0</v>
      </c>
      <c r="AB9" s="23">
        <f>AA9+'19.05'!AB9</f>
        <v>0</v>
      </c>
      <c r="AC9" s="33">
        <v>1860</v>
      </c>
      <c r="AD9" s="22">
        <v>0</v>
      </c>
      <c r="AE9" s="23">
        <f>AD9+'19.05'!AE9</f>
        <v>19</v>
      </c>
      <c r="AF9" s="19">
        <f t="shared" si="3"/>
        <v>7166</v>
      </c>
      <c r="AG9" s="20">
        <f t="shared" si="4"/>
        <v>172530</v>
      </c>
      <c r="AH9" s="24">
        <v>68</v>
      </c>
      <c r="AI9" s="23">
        <f>AH9+'19.05'!AI9</f>
        <v>2338</v>
      </c>
      <c r="AJ9" s="24">
        <v>298</v>
      </c>
      <c r="AK9" s="23">
        <f>AJ9+'19.05'!AK9</f>
        <v>15509</v>
      </c>
      <c r="AL9" s="22">
        <v>2550</v>
      </c>
      <c r="AM9" s="23">
        <f>AL9+'19.05'!AM9</f>
        <v>26835</v>
      </c>
      <c r="AN9" s="22">
        <v>4250</v>
      </c>
      <c r="AO9" s="23">
        <f>AN9+'19.05'!AO9</f>
        <v>127848</v>
      </c>
      <c r="AP9" s="28" t="s">
        <v>43</v>
      </c>
      <c r="AQ9" s="19">
        <f t="shared" si="6"/>
        <v>57</v>
      </c>
      <c r="AR9" s="20">
        <f t="shared" si="7"/>
        <v>2709</v>
      </c>
      <c r="AS9" s="34">
        <v>1</v>
      </c>
      <c r="AT9" s="23">
        <f>AS9+'19.05'!AT9</f>
        <v>8</v>
      </c>
      <c r="AU9" s="34">
        <v>1</v>
      </c>
      <c r="AV9" s="23">
        <f>AU9+'19.05'!AV9</f>
        <v>8</v>
      </c>
      <c r="AW9" s="34">
        <v>1</v>
      </c>
      <c r="AX9" s="23">
        <f>AW9+'19.05'!AX9</f>
        <v>4</v>
      </c>
      <c r="AY9" s="34">
        <v>0</v>
      </c>
      <c r="AZ9" s="23">
        <f>AY9+'19.05'!AZ9</f>
        <v>0</v>
      </c>
      <c r="BA9" s="34">
        <v>54</v>
      </c>
      <c r="BB9" s="23">
        <f>BA9+'19.05'!BB9</f>
        <v>2689</v>
      </c>
      <c r="BC9" s="19">
        <f t="shared" si="9"/>
        <v>402</v>
      </c>
      <c r="BD9" s="20">
        <f t="shared" si="10"/>
        <v>9014</v>
      </c>
      <c r="BE9" s="22">
        <v>1</v>
      </c>
      <c r="BF9" s="23">
        <f>BE9+'19.05'!BF9</f>
        <v>29</v>
      </c>
      <c r="BG9" s="34">
        <v>0</v>
      </c>
      <c r="BH9" s="23">
        <f>BG9+'19.05'!BH9</f>
        <v>0</v>
      </c>
      <c r="BI9" s="22">
        <v>400</v>
      </c>
      <c r="BJ9" s="23">
        <f>BI9+'19.05'!BJ9</f>
        <v>8960</v>
      </c>
      <c r="BK9" s="22">
        <v>0</v>
      </c>
      <c r="BL9" s="23">
        <f>BK9+'19.05'!BL9</f>
        <v>0</v>
      </c>
      <c r="BM9" s="22">
        <v>1</v>
      </c>
      <c r="BN9" s="23">
        <f>BM9+'19.05'!BN9</f>
        <v>25</v>
      </c>
      <c r="BO9" s="36">
        <v>14</v>
      </c>
      <c r="BP9" s="37">
        <v>0</v>
      </c>
      <c r="BQ9" s="23">
        <f>BP9+'19.05'!BQ9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125</v>
      </c>
      <c r="D10" s="31">
        <f t="shared" si="2"/>
        <v>2413</v>
      </c>
      <c r="E10" s="32">
        <v>585</v>
      </c>
      <c r="F10" s="22">
        <v>21</v>
      </c>
      <c r="G10" s="23">
        <f>F10+'19.05'!G10</f>
        <v>269</v>
      </c>
      <c r="H10" s="33">
        <v>93</v>
      </c>
      <c r="I10" s="34">
        <v>3</v>
      </c>
      <c r="J10" s="23">
        <f>I10+'19.05'!J10</f>
        <v>35</v>
      </c>
      <c r="K10" s="33">
        <v>34</v>
      </c>
      <c r="L10" s="22">
        <v>1</v>
      </c>
      <c r="M10" s="23">
        <f>L10+'19.05'!M10</f>
        <v>19</v>
      </c>
      <c r="N10" s="33">
        <v>352</v>
      </c>
      <c r="O10" s="22">
        <v>18</v>
      </c>
      <c r="P10" s="23">
        <f>O10+'19.05'!P10</f>
        <v>193</v>
      </c>
      <c r="Q10" s="33">
        <v>549</v>
      </c>
      <c r="R10" s="22">
        <v>11</v>
      </c>
      <c r="S10" s="23">
        <f>R10+'19.05'!S10</f>
        <v>127</v>
      </c>
      <c r="T10" s="33">
        <v>198</v>
      </c>
      <c r="U10" s="22">
        <v>9</v>
      </c>
      <c r="V10" s="23">
        <f>U10+'19.05'!V10</f>
        <v>92</v>
      </c>
      <c r="W10" s="38">
        <v>55</v>
      </c>
      <c r="X10" s="22">
        <v>3</v>
      </c>
      <c r="Y10" s="23">
        <f>X10+'19.05'!Y10</f>
        <v>68</v>
      </c>
      <c r="Z10" s="38">
        <v>71</v>
      </c>
      <c r="AA10" s="22">
        <v>0</v>
      </c>
      <c r="AB10" s="23">
        <f>AA10+'19.05'!AB10</f>
        <v>38</v>
      </c>
      <c r="AC10" s="38">
        <v>1690</v>
      </c>
      <c r="AD10" s="22">
        <v>59</v>
      </c>
      <c r="AE10" s="23">
        <f>AD10+'19.05'!AE10</f>
        <v>1572</v>
      </c>
      <c r="AF10" s="19">
        <f t="shared" si="3"/>
        <v>129281</v>
      </c>
      <c r="AG10" s="20">
        <f t="shared" si="4"/>
        <v>2216982</v>
      </c>
      <c r="AH10" s="24">
        <v>1316</v>
      </c>
      <c r="AI10" s="23">
        <f>AH10+'19.05'!AI10</f>
        <v>22726</v>
      </c>
      <c r="AJ10" s="24">
        <v>6402</v>
      </c>
      <c r="AK10" s="23">
        <f>AJ10+'19.05'!AK10</f>
        <v>104560</v>
      </c>
      <c r="AL10" s="22">
        <v>14323</v>
      </c>
      <c r="AM10" s="23">
        <f>AL10+'19.05'!AM10</f>
        <v>247056</v>
      </c>
      <c r="AN10" s="22">
        <v>107240</v>
      </c>
      <c r="AO10" s="23">
        <f>AN10+'19.05'!AO10</f>
        <v>1842640</v>
      </c>
      <c r="AP10" s="28" t="s">
        <v>44</v>
      </c>
      <c r="AQ10" s="19">
        <f t="shared" si="6"/>
        <v>3</v>
      </c>
      <c r="AR10" s="20">
        <f t="shared" si="7"/>
        <v>90</v>
      </c>
      <c r="AS10" s="34">
        <v>1</v>
      </c>
      <c r="AT10" s="23">
        <f>AS10+'19.05'!AT10</f>
        <v>4</v>
      </c>
      <c r="AU10" s="34">
        <v>0</v>
      </c>
      <c r="AV10" s="23">
        <f>AU10+'19.05'!AV10</f>
        <v>3</v>
      </c>
      <c r="AW10" s="34">
        <v>0</v>
      </c>
      <c r="AX10" s="23">
        <f>AW10+'19.05'!AX10</f>
        <v>0</v>
      </c>
      <c r="AY10" s="34">
        <v>0</v>
      </c>
      <c r="AZ10" s="23">
        <f>AY10+'19.05'!AZ10</f>
        <v>0</v>
      </c>
      <c r="BA10" s="34">
        <v>2</v>
      </c>
      <c r="BB10" s="23">
        <f>BA10+'19.05'!BB10</f>
        <v>83</v>
      </c>
      <c r="BC10" s="19">
        <f t="shared" si="9"/>
        <v>4987</v>
      </c>
      <c r="BD10" s="20">
        <f t="shared" si="10"/>
        <v>93755</v>
      </c>
      <c r="BE10" s="22">
        <v>597</v>
      </c>
      <c r="BF10" s="23">
        <f>BE10+'19.05'!BF10</f>
        <v>10724</v>
      </c>
      <c r="BG10" s="34">
        <v>5</v>
      </c>
      <c r="BH10" s="23">
        <f>BG10+'19.05'!BH10</f>
        <v>23</v>
      </c>
      <c r="BI10" s="22">
        <v>2868</v>
      </c>
      <c r="BJ10" s="23">
        <f>BI10+'19.05'!BJ10</f>
        <v>49211</v>
      </c>
      <c r="BK10" s="22">
        <v>1517</v>
      </c>
      <c r="BL10" s="23">
        <f>BK10+'19.05'!BL10</f>
        <v>33794</v>
      </c>
      <c r="BM10" s="22">
        <v>0</v>
      </c>
      <c r="BN10" s="23">
        <f>BM10+'19.05'!BN10</f>
        <v>3</v>
      </c>
      <c r="BO10" s="36">
        <v>32</v>
      </c>
      <c r="BP10" s="37">
        <v>0</v>
      </c>
      <c r="BQ10" s="23">
        <f>BP10+'19.05'!BQ10</f>
        <v>11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32</v>
      </c>
      <c r="D11" s="31">
        <f t="shared" si="2"/>
        <v>728</v>
      </c>
      <c r="E11" s="32">
        <v>883</v>
      </c>
      <c r="F11" s="22">
        <v>16</v>
      </c>
      <c r="G11" s="23">
        <f>F11+'19.05'!G11</f>
        <v>360</v>
      </c>
      <c r="H11" s="33">
        <v>16</v>
      </c>
      <c r="I11" s="34">
        <v>0</v>
      </c>
      <c r="J11" s="23">
        <f>I11+'19.05'!J11</f>
        <v>0</v>
      </c>
      <c r="K11" s="33">
        <v>3</v>
      </c>
      <c r="L11" s="22">
        <v>0</v>
      </c>
      <c r="M11" s="23">
        <f>L11+'19.05'!M11</f>
        <v>0</v>
      </c>
      <c r="N11" s="33">
        <v>875</v>
      </c>
      <c r="O11" s="22">
        <v>0</v>
      </c>
      <c r="P11" s="23">
        <f>O11+'19.05'!P11</f>
        <v>0</v>
      </c>
      <c r="Q11" s="33">
        <v>2424</v>
      </c>
      <c r="R11" s="22">
        <v>0</v>
      </c>
      <c r="S11" s="23">
        <f>R11+'19.05'!S11</f>
        <v>0</v>
      </c>
      <c r="T11" s="33">
        <v>69</v>
      </c>
      <c r="U11" s="22">
        <v>0</v>
      </c>
      <c r="V11" s="23">
        <f>U11+'19.05'!V11</f>
        <v>0</v>
      </c>
      <c r="W11" s="38">
        <v>133</v>
      </c>
      <c r="X11" s="22">
        <v>15</v>
      </c>
      <c r="Y11" s="23">
        <f>X11+'19.05'!Y11</f>
        <v>339</v>
      </c>
      <c r="Z11" s="38">
        <v>1116</v>
      </c>
      <c r="AA11" s="22">
        <v>0</v>
      </c>
      <c r="AB11" s="23">
        <f>AA11+'19.05'!AB11</f>
        <v>0</v>
      </c>
      <c r="AC11" s="38">
        <v>9862</v>
      </c>
      <c r="AD11" s="22">
        <v>1</v>
      </c>
      <c r="AE11" s="23">
        <f>AD11+'19.05'!AE11</f>
        <v>29</v>
      </c>
      <c r="AF11" s="19">
        <f t="shared" si="3"/>
        <v>16900</v>
      </c>
      <c r="AG11" s="20">
        <f t="shared" si="4"/>
        <v>394700</v>
      </c>
      <c r="AH11" s="24">
        <v>2000</v>
      </c>
      <c r="AI11" s="23">
        <f>AH11+'19.05'!AI11</f>
        <v>47800</v>
      </c>
      <c r="AJ11" s="24">
        <v>3600</v>
      </c>
      <c r="AK11" s="23">
        <f>AJ11+'19.05'!AK11</f>
        <v>56700</v>
      </c>
      <c r="AL11" s="22">
        <v>2800</v>
      </c>
      <c r="AM11" s="23">
        <f>AL11+'19.05'!AM11</f>
        <v>90100</v>
      </c>
      <c r="AN11" s="22">
        <v>8500</v>
      </c>
      <c r="AO11" s="23">
        <f>AN11+'19.05'!AO11</f>
        <v>200100</v>
      </c>
      <c r="AP11" s="28" t="s">
        <v>45</v>
      </c>
      <c r="AQ11" s="19">
        <f t="shared" si="6"/>
        <v>2</v>
      </c>
      <c r="AR11" s="20">
        <f t="shared" si="7"/>
        <v>50</v>
      </c>
      <c r="AS11" s="34">
        <v>0</v>
      </c>
      <c r="AT11" s="23">
        <f>AS11+'19.05'!AT11</f>
        <v>0</v>
      </c>
      <c r="AU11" s="34">
        <v>0</v>
      </c>
      <c r="AV11" s="23">
        <f>AU11+'19.05'!AV11</f>
        <v>0</v>
      </c>
      <c r="AW11" s="34">
        <v>0</v>
      </c>
      <c r="AX11" s="23">
        <f>AW11+'19.05'!AX11</f>
        <v>0</v>
      </c>
      <c r="AY11" s="34">
        <v>0</v>
      </c>
      <c r="AZ11" s="23">
        <f>AY11+'19.05'!AZ11</f>
        <v>0</v>
      </c>
      <c r="BA11" s="34">
        <v>2</v>
      </c>
      <c r="BB11" s="23">
        <f>BA11+'19.05'!BB11</f>
        <v>50</v>
      </c>
      <c r="BC11" s="19">
        <f t="shared" si="9"/>
        <v>566</v>
      </c>
      <c r="BD11" s="20">
        <f t="shared" si="10"/>
        <v>13131</v>
      </c>
      <c r="BE11" s="22">
        <v>3</v>
      </c>
      <c r="BF11" s="23">
        <f>BE11+'19.05'!BF11</f>
        <v>36</v>
      </c>
      <c r="BG11" s="34">
        <v>5</v>
      </c>
      <c r="BH11" s="23">
        <f>BG11+'19.05'!BH11</f>
        <v>61</v>
      </c>
      <c r="BI11" s="22">
        <v>540</v>
      </c>
      <c r="BJ11" s="23">
        <f>BI11+'19.05'!BJ11</f>
        <v>12698</v>
      </c>
      <c r="BK11" s="22">
        <v>14</v>
      </c>
      <c r="BL11" s="23">
        <f>BK11+'19.05'!BL11</f>
        <v>300</v>
      </c>
      <c r="BM11" s="22">
        <v>4</v>
      </c>
      <c r="BN11" s="23">
        <f>BM11+'19.05'!BN11</f>
        <v>36</v>
      </c>
      <c r="BO11" s="36">
        <v>11506</v>
      </c>
      <c r="BP11" s="37">
        <v>4</v>
      </c>
      <c r="BQ11" s="23">
        <f>BP11+'19.05'!BQ11</f>
        <v>56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252</v>
      </c>
      <c r="D12" s="31">
        <f t="shared" si="2"/>
        <v>4407</v>
      </c>
      <c r="E12" s="32">
        <v>909</v>
      </c>
      <c r="F12" s="22">
        <v>82</v>
      </c>
      <c r="G12" s="23">
        <f>F12+'19.05'!G12</f>
        <v>1040</v>
      </c>
      <c r="H12" s="33">
        <v>80</v>
      </c>
      <c r="I12" s="34">
        <v>6</v>
      </c>
      <c r="J12" s="23">
        <f>I12+'19.05'!J12</f>
        <v>50</v>
      </c>
      <c r="K12" s="33">
        <v>5</v>
      </c>
      <c r="L12" s="22">
        <v>0</v>
      </c>
      <c r="M12" s="23">
        <f>L12+'19.05'!M12</f>
        <v>0</v>
      </c>
      <c r="N12" s="33">
        <v>820</v>
      </c>
      <c r="O12" s="22">
        <v>31</v>
      </c>
      <c r="P12" s="23">
        <f>O12+'19.05'!P12</f>
        <v>357</v>
      </c>
      <c r="Q12" s="33">
        <v>549</v>
      </c>
      <c r="R12" s="22">
        <v>0</v>
      </c>
      <c r="S12" s="23">
        <f>R12+'19.05'!S12</f>
        <v>0</v>
      </c>
      <c r="T12" s="33">
        <v>992</v>
      </c>
      <c r="U12" s="22">
        <v>0</v>
      </c>
      <c r="V12" s="23">
        <f>U12+'19.05'!V12</f>
        <v>0</v>
      </c>
      <c r="W12" s="33">
        <v>38</v>
      </c>
      <c r="X12" s="22">
        <v>95</v>
      </c>
      <c r="Y12" s="23">
        <f>X12+'19.05'!Y12</f>
        <v>2262</v>
      </c>
      <c r="Z12" s="33">
        <v>68</v>
      </c>
      <c r="AA12" s="22">
        <v>0</v>
      </c>
      <c r="AB12" s="23">
        <f>AA12+'19.05'!AB12</f>
        <v>0</v>
      </c>
      <c r="AC12" s="33">
        <v>26703</v>
      </c>
      <c r="AD12" s="22">
        <v>38</v>
      </c>
      <c r="AE12" s="23">
        <f>AD12+'19.05'!AE12</f>
        <v>698</v>
      </c>
      <c r="AF12" s="19">
        <f t="shared" si="3"/>
        <v>5103</v>
      </c>
      <c r="AG12" s="20">
        <f t="shared" si="4"/>
        <v>302482</v>
      </c>
      <c r="AH12" s="24">
        <v>957</v>
      </c>
      <c r="AI12" s="23">
        <f>AH12+'19.05'!AI12</f>
        <v>46656</v>
      </c>
      <c r="AJ12" s="24">
        <v>1046</v>
      </c>
      <c r="AK12" s="23">
        <f>AJ12+'19.05'!AK12</f>
        <v>90630</v>
      </c>
      <c r="AL12" s="22">
        <v>1550</v>
      </c>
      <c r="AM12" s="23">
        <f>AL12+'19.05'!AM12</f>
        <v>82596</v>
      </c>
      <c r="AN12" s="22">
        <v>1550</v>
      </c>
      <c r="AO12" s="23">
        <f>AN12+'19.05'!AO12</f>
        <v>82600</v>
      </c>
      <c r="AP12" s="28" t="s">
        <v>46</v>
      </c>
      <c r="AQ12" s="19">
        <f t="shared" si="6"/>
        <v>77</v>
      </c>
      <c r="AR12" s="20">
        <f t="shared" si="7"/>
        <v>1706</v>
      </c>
      <c r="AS12" s="34">
        <v>0</v>
      </c>
      <c r="AT12" s="23">
        <f>AS12+'19.05'!AT12</f>
        <v>0</v>
      </c>
      <c r="AU12" s="34">
        <v>0</v>
      </c>
      <c r="AV12" s="23">
        <f>AU12+'19.05'!AV12</f>
        <v>0</v>
      </c>
      <c r="AW12" s="34">
        <v>0</v>
      </c>
      <c r="AX12" s="23">
        <f>AW12+'19.05'!AX12</f>
        <v>0</v>
      </c>
      <c r="AY12" s="34">
        <v>0</v>
      </c>
      <c r="AZ12" s="23">
        <f>AY12+'19.05'!AZ12</f>
        <v>0</v>
      </c>
      <c r="BA12" s="34">
        <v>77</v>
      </c>
      <c r="BB12" s="23">
        <f>BA12+'19.05'!BB12</f>
        <v>1706</v>
      </c>
      <c r="BC12" s="19">
        <f t="shared" si="9"/>
        <v>2708</v>
      </c>
      <c r="BD12" s="20">
        <f t="shared" si="10"/>
        <v>56393</v>
      </c>
      <c r="BE12" s="22">
        <v>250</v>
      </c>
      <c r="BF12" s="23">
        <f>BE12+'19.05'!BF12</f>
        <v>3794</v>
      </c>
      <c r="BG12" s="34">
        <v>10</v>
      </c>
      <c r="BH12" s="23">
        <f>BG12+'19.05'!BH12</f>
        <v>179</v>
      </c>
      <c r="BI12" s="22">
        <v>2200</v>
      </c>
      <c r="BJ12" s="23">
        <f>BI12+'19.05'!BJ12</f>
        <v>45900</v>
      </c>
      <c r="BK12" s="22">
        <v>200</v>
      </c>
      <c r="BL12" s="23">
        <f>BK12+'19.05'!BL12</f>
        <v>5550</v>
      </c>
      <c r="BM12" s="22">
        <v>48</v>
      </c>
      <c r="BN12" s="23">
        <f>BM12+'19.05'!BN12</f>
        <v>970</v>
      </c>
      <c r="BO12" s="36"/>
      <c r="BP12" s="37">
        <v>2</v>
      </c>
      <c r="BQ12" s="23">
        <f>BP12+'19.05'!BQ12</f>
        <v>34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3</v>
      </c>
      <c r="D13" s="31">
        <f t="shared" si="2"/>
        <v>282</v>
      </c>
      <c r="E13" s="32">
        <v>516</v>
      </c>
      <c r="F13" s="22">
        <v>1</v>
      </c>
      <c r="G13" s="23">
        <f>F13+'19.05'!G13</f>
        <v>20</v>
      </c>
      <c r="H13" s="33">
        <v>10</v>
      </c>
      <c r="I13" s="34">
        <v>1</v>
      </c>
      <c r="J13" s="23">
        <f>I13+'19.05'!J13</f>
        <v>9</v>
      </c>
      <c r="K13" s="33">
        <v>38</v>
      </c>
      <c r="L13" s="22">
        <v>0</v>
      </c>
      <c r="M13" s="23">
        <f>L13+'19.05'!M13</f>
        <v>0</v>
      </c>
      <c r="N13" s="33">
        <v>581</v>
      </c>
      <c r="O13" s="22">
        <v>0</v>
      </c>
      <c r="P13" s="23">
        <f>O13+'19.05'!P13</f>
        <v>9</v>
      </c>
      <c r="Q13" s="33">
        <v>525</v>
      </c>
      <c r="R13" s="22">
        <v>0</v>
      </c>
      <c r="S13" s="23">
        <f>R13+'19.05'!S13</f>
        <v>0</v>
      </c>
      <c r="T13" s="33">
        <v>263</v>
      </c>
      <c r="U13" s="22">
        <v>0</v>
      </c>
      <c r="V13" s="23">
        <f>U13+'19.05'!V13</f>
        <v>0</v>
      </c>
      <c r="W13" s="33">
        <v>43</v>
      </c>
      <c r="X13" s="22">
        <v>0</v>
      </c>
      <c r="Y13" s="23">
        <f>X13+'19.05'!Y13</f>
        <v>1</v>
      </c>
      <c r="Z13" s="33">
        <v>17</v>
      </c>
      <c r="AA13" s="22">
        <v>0</v>
      </c>
      <c r="AB13" s="23">
        <f>AA13+'19.05'!AB13</f>
        <v>0</v>
      </c>
      <c r="AC13" s="33">
        <v>51</v>
      </c>
      <c r="AD13" s="22">
        <v>1</v>
      </c>
      <c r="AE13" s="23">
        <f>AD13+'19.05'!AE13</f>
        <v>243</v>
      </c>
      <c r="AF13" s="19">
        <f t="shared" si="3"/>
        <v>233000</v>
      </c>
      <c r="AG13" s="20">
        <f t="shared" si="4"/>
        <v>5077000</v>
      </c>
      <c r="AH13" s="24">
        <v>2000</v>
      </c>
      <c r="AI13" s="23">
        <f>AH13+'19.05'!AI13</f>
        <v>63000</v>
      </c>
      <c r="AJ13" s="24">
        <v>11000</v>
      </c>
      <c r="AK13" s="23">
        <f>AJ13+'19.05'!AK13</f>
        <v>425000</v>
      </c>
      <c r="AL13" s="22">
        <v>20000</v>
      </c>
      <c r="AM13" s="23">
        <f>AL13+'19.05'!AM13</f>
        <v>430000</v>
      </c>
      <c r="AN13" s="22">
        <v>200000</v>
      </c>
      <c r="AO13" s="23">
        <f>AN13+'19.05'!AO13</f>
        <v>4159000</v>
      </c>
      <c r="AP13" s="28" t="s">
        <v>47</v>
      </c>
      <c r="AQ13" s="19">
        <f t="shared" si="6"/>
        <v>9</v>
      </c>
      <c r="AR13" s="20">
        <f t="shared" si="7"/>
        <v>464</v>
      </c>
      <c r="AS13" s="34">
        <v>1</v>
      </c>
      <c r="AT13" s="23">
        <f>AS13+'19.05'!AT13</f>
        <v>17</v>
      </c>
      <c r="AU13" s="34">
        <v>1</v>
      </c>
      <c r="AV13" s="23">
        <f>AU13+'19.05'!AV13</f>
        <v>19</v>
      </c>
      <c r="AW13" s="34">
        <v>0</v>
      </c>
      <c r="AX13" s="23">
        <f>AW13+'19.05'!AX13</f>
        <v>0</v>
      </c>
      <c r="AY13" s="34">
        <v>0</v>
      </c>
      <c r="AZ13" s="23">
        <f>AY13+'19.05'!AZ13</f>
        <v>0</v>
      </c>
      <c r="BA13" s="34">
        <v>7</v>
      </c>
      <c r="BB13" s="23">
        <f>BA13+'19.05'!BB13</f>
        <v>428</v>
      </c>
      <c r="BC13" s="19">
        <f t="shared" si="9"/>
        <v>5733</v>
      </c>
      <c r="BD13" s="20">
        <f t="shared" si="10"/>
        <v>220433</v>
      </c>
      <c r="BE13" s="22">
        <v>516</v>
      </c>
      <c r="BF13" s="23">
        <f>BE13+'19.05'!BF13</f>
        <v>10320</v>
      </c>
      <c r="BG13" s="34">
        <v>50</v>
      </c>
      <c r="BH13" s="23">
        <f>BG13+'19.05'!BH13</f>
        <v>400</v>
      </c>
      <c r="BI13" s="22">
        <v>5000</v>
      </c>
      <c r="BJ13" s="23">
        <f>BI13+'19.05'!BJ13</f>
        <v>204500</v>
      </c>
      <c r="BK13" s="22">
        <v>100</v>
      </c>
      <c r="BL13" s="23">
        <f>BK13+'19.05'!BL13</f>
        <v>4420</v>
      </c>
      <c r="BM13" s="22">
        <v>67</v>
      </c>
      <c r="BN13" s="23">
        <f>BM13+'19.05'!BN13</f>
        <v>793</v>
      </c>
      <c r="BO13" s="36"/>
      <c r="BP13" s="37">
        <v>0</v>
      </c>
      <c r="BQ13" s="23">
        <f>BP13+'19.05'!BQ13</f>
        <v>13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1"/>
        <v>112</v>
      </c>
      <c r="D14" s="42">
        <f t="shared" si="2"/>
        <v>2232</v>
      </c>
      <c r="E14" s="43">
        <v>304</v>
      </c>
      <c r="F14" s="22">
        <v>104</v>
      </c>
      <c r="G14" s="23">
        <f>F14+'19.05'!G14</f>
        <v>1890</v>
      </c>
      <c r="H14" s="44">
        <v>5</v>
      </c>
      <c r="I14" s="45">
        <v>0</v>
      </c>
      <c r="J14" s="23">
        <f>I14+'19.05'!J14</f>
        <v>0</v>
      </c>
      <c r="K14" s="44">
        <v>34</v>
      </c>
      <c r="L14" s="22">
        <v>0</v>
      </c>
      <c r="M14" s="23">
        <f>L14+'19.05'!M14</f>
        <v>0</v>
      </c>
      <c r="N14" s="44">
        <v>583</v>
      </c>
      <c r="O14" s="22">
        <v>0</v>
      </c>
      <c r="P14" s="23">
        <f>O14+'19.05'!P14</f>
        <v>0</v>
      </c>
      <c r="Q14" s="44">
        <v>254</v>
      </c>
      <c r="R14" s="22">
        <v>0</v>
      </c>
      <c r="S14" s="23">
        <f>R14+'19.05'!S14</f>
        <v>0</v>
      </c>
      <c r="T14" s="44">
        <v>196</v>
      </c>
      <c r="U14" s="22">
        <v>0</v>
      </c>
      <c r="V14" s="23">
        <f>U14+'19.05'!V14</f>
        <v>0</v>
      </c>
      <c r="W14" s="44">
        <v>30</v>
      </c>
      <c r="X14" s="22">
        <v>6</v>
      </c>
      <c r="Y14" s="23">
        <f>X14+'19.05'!Y14</f>
        <v>262</v>
      </c>
      <c r="Z14" s="44">
        <v>10</v>
      </c>
      <c r="AA14" s="22">
        <v>0</v>
      </c>
      <c r="AB14" s="23">
        <f>AA14+'19.05'!AB14</f>
        <v>0</v>
      </c>
      <c r="AC14" s="44">
        <v>2500</v>
      </c>
      <c r="AD14" s="22">
        <v>2</v>
      </c>
      <c r="AE14" s="23">
        <f>AD14+'19.05'!AE14</f>
        <v>80</v>
      </c>
      <c r="AF14" s="19">
        <f t="shared" si="3"/>
        <v>116500</v>
      </c>
      <c r="AG14" s="20">
        <f t="shared" si="4"/>
        <v>2155140</v>
      </c>
      <c r="AH14" s="24">
        <v>3100</v>
      </c>
      <c r="AI14" s="23">
        <f>AH14+'19.05'!AI14</f>
        <v>65660</v>
      </c>
      <c r="AJ14" s="24">
        <v>5400</v>
      </c>
      <c r="AK14" s="23">
        <f>AJ14+'19.05'!AK14</f>
        <v>120650</v>
      </c>
      <c r="AL14" s="22">
        <v>9300</v>
      </c>
      <c r="AM14" s="23">
        <f>AL14+'19.05'!AM14</f>
        <v>143850</v>
      </c>
      <c r="AN14" s="22">
        <v>98700</v>
      </c>
      <c r="AO14" s="23">
        <f>AN14+'19.05'!AO14</f>
        <v>1824980</v>
      </c>
      <c r="AP14" s="39" t="s">
        <v>48</v>
      </c>
      <c r="AQ14" s="19">
        <f t="shared" si="6"/>
        <v>4</v>
      </c>
      <c r="AR14" s="20">
        <f t="shared" si="7"/>
        <v>70</v>
      </c>
      <c r="AS14" s="45">
        <v>0</v>
      </c>
      <c r="AT14" s="23">
        <f>AS14+'19.05'!AT14</f>
        <v>0</v>
      </c>
      <c r="AU14" s="45">
        <v>0</v>
      </c>
      <c r="AV14" s="23">
        <f>AU14+'19.05'!AV14</f>
        <v>4</v>
      </c>
      <c r="AW14" s="45">
        <v>0</v>
      </c>
      <c r="AX14" s="23">
        <f>AW14+'19.05'!AX14</f>
        <v>4</v>
      </c>
      <c r="AY14" s="45">
        <v>1</v>
      </c>
      <c r="AZ14" s="23">
        <f>AY14+'19.05'!AZ14</f>
        <v>2</v>
      </c>
      <c r="BA14" s="45">
        <v>3</v>
      </c>
      <c r="BB14" s="23">
        <f>BA14+'19.05'!BB14</f>
        <v>60</v>
      </c>
      <c r="BC14" s="19">
        <f t="shared" si="9"/>
        <v>1210</v>
      </c>
      <c r="BD14" s="20">
        <f t="shared" si="10"/>
        <v>44202</v>
      </c>
      <c r="BE14" s="22">
        <v>3</v>
      </c>
      <c r="BF14" s="23">
        <f>BE14+'19.05'!BF14</f>
        <v>63</v>
      </c>
      <c r="BG14" s="45">
        <v>1</v>
      </c>
      <c r="BH14" s="23">
        <f>BG14+'19.05'!BH14</f>
        <v>30</v>
      </c>
      <c r="BI14" s="22">
        <v>1200</v>
      </c>
      <c r="BJ14" s="23">
        <f>BI14+'19.05'!BJ14</f>
        <v>43980</v>
      </c>
      <c r="BK14" s="22">
        <v>4</v>
      </c>
      <c r="BL14" s="23">
        <f>BK14+'19.05'!BL14</f>
        <v>89</v>
      </c>
      <c r="BM14" s="22">
        <v>2</v>
      </c>
      <c r="BN14" s="23">
        <f>BM14+'19.05'!BN14</f>
        <v>40</v>
      </c>
      <c r="BO14" s="48">
        <v>22</v>
      </c>
      <c r="BP14" s="49">
        <v>0</v>
      </c>
      <c r="BQ14" s="23">
        <f>BP14+'19.05'!BQ14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451</v>
      </c>
      <c r="D15" s="53">
        <f t="shared" si="2"/>
        <v>8777</v>
      </c>
      <c r="E15" s="54">
        <v>776</v>
      </c>
      <c r="F15" s="55">
        <v>391</v>
      </c>
      <c r="G15" s="23">
        <f>F15+'19.05'!G15</f>
        <v>6903</v>
      </c>
      <c r="H15" s="56">
        <v>9</v>
      </c>
      <c r="I15" s="57">
        <v>0</v>
      </c>
      <c r="J15" s="23">
        <f>I15+'19.05'!J15</f>
        <v>0</v>
      </c>
      <c r="K15" s="56">
        <v>6</v>
      </c>
      <c r="L15" s="55">
        <v>0</v>
      </c>
      <c r="M15" s="23">
        <f>L15+'19.05'!M15</f>
        <v>0</v>
      </c>
      <c r="N15" s="56">
        <v>1305</v>
      </c>
      <c r="O15" s="55">
        <v>0</v>
      </c>
      <c r="P15" s="23">
        <f>O15+'19.05'!P15</f>
        <v>0</v>
      </c>
      <c r="Q15" s="56">
        <v>447</v>
      </c>
      <c r="R15" s="55">
        <v>0</v>
      </c>
      <c r="S15" s="23">
        <f>R15+'19.05'!S15</f>
        <v>0</v>
      </c>
      <c r="T15" s="56">
        <v>337</v>
      </c>
      <c r="U15" s="55">
        <v>0</v>
      </c>
      <c r="V15" s="23">
        <f>U15+'19.05'!V15</f>
        <v>0</v>
      </c>
      <c r="W15" s="56">
        <v>78</v>
      </c>
      <c r="X15" s="55">
        <v>0</v>
      </c>
      <c r="Y15" s="23">
        <f>X15+'19.05'!Y15</f>
        <v>0</v>
      </c>
      <c r="Z15" s="56">
        <v>141</v>
      </c>
      <c r="AA15" s="55">
        <v>0</v>
      </c>
      <c r="AB15" s="23">
        <f>AA15+'19.05'!AB15</f>
        <v>0</v>
      </c>
      <c r="AC15" s="56">
        <v>798</v>
      </c>
      <c r="AD15" s="55">
        <v>60</v>
      </c>
      <c r="AE15" s="23">
        <f>AD15+'19.05'!AE15</f>
        <v>1874</v>
      </c>
      <c r="AF15" s="58">
        <f t="shared" si="3"/>
        <v>1686969</v>
      </c>
      <c r="AG15" s="59">
        <f t="shared" si="4"/>
        <v>43813756</v>
      </c>
      <c r="AH15" s="60">
        <v>798</v>
      </c>
      <c r="AI15" s="23">
        <f>AH15+'19.05'!AI15</f>
        <v>16974</v>
      </c>
      <c r="AJ15" s="60">
        <v>2599</v>
      </c>
      <c r="AK15" s="23">
        <f>AJ15+'19.05'!AK15</f>
        <v>57352</v>
      </c>
      <c r="AL15" s="55">
        <v>841786</v>
      </c>
      <c r="AM15" s="23">
        <f>AL15+'19.05'!AM15</f>
        <v>26219715</v>
      </c>
      <c r="AN15" s="55">
        <v>841786</v>
      </c>
      <c r="AO15" s="23">
        <f>AN15+'19.05'!AO15</f>
        <v>17519715</v>
      </c>
      <c r="AP15" s="50" t="s">
        <v>49</v>
      </c>
      <c r="AQ15" s="58">
        <f t="shared" si="6"/>
        <v>3</v>
      </c>
      <c r="AR15" s="59">
        <f t="shared" si="7"/>
        <v>53</v>
      </c>
      <c r="AS15" s="57">
        <v>0</v>
      </c>
      <c r="AT15" s="23">
        <f>AS15+'19.05'!AT15</f>
        <v>2</v>
      </c>
      <c r="AU15" s="57">
        <v>0</v>
      </c>
      <c r="AV15" s="23">
        <f>AU15+'19.05'!AV15</f>
        <v>5</v>
      </c>
      <c r="AW15" s="57">
        <v>1</v>
      </c>
      <c r="AX15" s="23">
        <f>AW15+'19.05'!AX15</f>
        <v>5</v>
      </c>
      <c r="AY15" s="57">
        <v>0</v>
      </c>
      <c r="AZ15" s="23">
        <f>AY15+'19.05'!AZ15</f>
        <v>1</v>
      </c>
      <c r="BA15" s="57">
        <v>2</v>
      </c>
      <c r="BB15" s="23">
        <f>BA15+'19.05'!BB15</f>
        <v>40</v>
      </c>
      <c r="BC15" s="58">
        <f t="shared" si="9"/>
        <v>1237</v>
      </c>
      <c r="BD15" s="59">
        <f t="shared" si="10"/>
        <v>30471</v>
      </c>
      <c r="BE15" s="55">
        <v>76</v>
      </c>
      <c r="BF15" s="23">
        <f>BE15+'19.05'!BF15</f>
        <v>1536</v>
      </c>
      <c r="BG15" s="57">
        <v>0</v>
      </c>
      <c r="BH15" s="23">
        <f>BG15+'19.05'!BH15</f>
        <v>26</v>
      </c>
      <c r="BI15" s="55">
        <v>590</v>
      </c>
      <c r="BJ15" s="23">
        <f>BI15+'19.05'!BJ15</f>
        <v>14539</v>
      </c>
      <c r="BK15" s="55">
        <v>554</v>
      </c>
      <c r="BL15" s="23">
        <f>BK15+'19.05'!BL15</f>
        <v>14051</v>
      </c>
      <c r="BM15" s="55">
        <v>17</v>
      </c>
      <c r="BN15" s="23">
        <f>BM15+'19.05'!BN15</f>
        <v>319</v>
      </c>
      <c r="BO15" s="36">
        <v>6274</v>
      </c>
      <c r="BP15" s="37">
        <v>0</v>
      </c>
      <c r="BQ15" s="23">
        <f>BP15+'19.05'!BQ15</f>
        <v>13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141</v>
      </c>
      <c r="D16" s="31">
        <f t="shared" si="2"/>
        <v>2746</v>
      </c>
      <c r="E16" s="32">
        <v>310</v>
      </c>
      <c r="F16" s="22">
        <v>43</v>
      </c>
      <c r="G16" s="23">
        <f>F16+'19.05'!G16</f>
        <v>944</v>
      </c>
      <c r="H16" s="33">
        <v>5</v>
      </c>
      <c r="I16" s="34">
        <v>0</v>
      </c>
      <c r="J16" s="23">
        <f>I16+'19.05'!J16</f>
        <v>0</v>
      </c>
      <c r="K16" s="33">
        <v>3</v>
      </c>
      <c r="L16" s="22">
        <v>0</v>
      </c>
      <c r="M16" s="23">
        <f>L16+'19.05'!M16</f>
        <v>0</v>
      </c>
      <c r="N16" s="33">
        <v>384</v>
      </c>
      <c r="O16" s="22">
        <v>0</v>
      </c>
      <c r="P16" s="23">
        <f>O16+'19.05'!P16</f>
        <v>0</v>
      </c>
      <c r="Q16" s="33">
        <v>245</v>
      </c>
      <c r="R16" s="22">
        <v>0</v>
      </c>
      <c r="S16" s="23">
        <f>R16+'19.05'!S16</f>
        <v>0</v>
      </c>
      <c r="T16" s="33">
        <v>397</v>
      </c>
      <c r="U16" s="22">
        <v>0</v>
      </c>
      <c r="V16" s="23">
        <f>U16+'19.05'!V16</f>
        <v>0</v>
      </c>
      <c r="W16" s="33">
        <v>24</v>
      </c>
      <c r="X16" s="22">
        <v>46</v>
      </c>
      <c r="Y16" s="23">
        <f>X16+'19.05'!Y16</f>
        <v>972</v>
      </c>
      <c r="Z16" s="33">
        <v>18</v>
      </c>
      <c r="AA16" s="22">
        <v>0</v>
      </c>
      <c r="AB16" s="23">
        <f>AA16+'19.05'!AB16</f>
        <v>0</v>
      </c>
      <c r="AC16" s="33">
        <v>18515</v>
      </c>
      <c r="AD16" s="22">
        <v>52</v>
      </c>
      <c r="AE16" s="23">
        <f>AD16+'19.05'!AE16</f>
        <v>830</v>
      </c>
      <c r="AF16" s="19">
        <f t="shared" si="3"/>
        <v>53226</v>
      </c>
      <c r="AG16" s="20">
        <f t="shared" si="4"/>
        <v>1186122</v>
      </c>
      <c r="AH16" s="24">
        <v>151</v>
      </c>
      <c r="AI16" s="23">
        <f>AH16+'19.05'!AI16</f>
        <v>3184</v>
      </c>
      <c r="AJ16" s="24">
        <v>1341</v>
      </c>
      <c r="AK16" s="23">
        <f>AJ16+'19.05'!AK16</f>
        <v>26654</v>
      </c>
      <c r="AL16" s="22">
        <v>1387</v>
      </c>
      <c r="AM16" s="23">
        <f>AL16+'19.05'!AM16</f>
        <v>30803</v>
      </c>
      <c r="AN16" s="22">
        <v>50347</v>
      </c>
      <c r="AO16" s="23">
        <f>AN16+'19.05'!AO16</f>
        <v>1125481</v>
      </c>
      <c r="AP16" s="28" t="s">
        <v>51</v>
      </c>
      <c r="AQ16" s="19">
        <f t="shared" si="6"/>
        <v>73</v>
      </c>
      <c r="AR16" s="20">
        <f t="shared" si="7"/>
        <v>1525</v>
      </c>
      <c r="AS16" s="34">
        <v>1</v>
      </c>
      <c r="AT16" s="23">
        <f>AS16+'19.05'!AT16</f>
        <v>3</v>
      </c>
      <c r="AU16" s="34">
        <v>0</v>
      </c>
      <c r="AV16" s="23">
        <f>AU16+'19.05'!AV16</f>
        <v>0</v>
      </c>
      <c r="AW16" s="34">
        <v>0</v>
      </c>
      <c r="AX16" s="23">
        <f>AW16+'19.05'!AX16</f>
        <v>0</v>
      </c>
      <c r="AY16" s="34">
        <v>0</v>
      </c>
      <c r="AZ16" s="23">
        <f>AY16+'19.05'!AZ16</f>
        <v>0</v>
      </c>
      <c r="BA16" s="34">
        <v>72</v>
      </c>
      <c r="BB16" s="23">
        <f>BA16+'19.05'!BB16</f>
        <v>1522</v>
      </c>
      <c r="BC16" s="19">
        <f t="shared" si="9"/>
        <v>1219</v>
      </c>
      <c r="BD16" s="20">
        <f t="shared" si="10"/>
        <v>26716</v>
      </c>
      <c r="BE16" s="22">
        <v>84</v>
      </c>
      <c r="BF16" s="23">
        <f>BE16+'19.05'!BF16</f>
        <v>1439</v>
      </c>
      <c r="BG16" s="34">
        <v>0</v>
      </c>
      <c r="BH16" s="23">
        <f>BG16+'19.05'!BH16</f>
        <v>0</v>
      </c>
      <c r="BI16" s="22">
        <v>1097</v>
      </c>
      <c r="BJ16" s="23">
        <f>BI16+'19.05'!BJ16</f>
        <v>24296</v>
      </c>
      <c r="BK16" s="22">
        <v>32</v>
      </c>
      <c r="BL16" s="23">
        <f>BK16+'19.05'!BL16</f>
        <v>859</v>
      </c>
      <c r="BM16" s="22">
        <v>6</v>
      </c>
      <c r="BN16" s="23">
        <f>BM16+'19.05'!BN16</f>
        <v>122</v>
      </c>
      <c r="BO16" s="36">
        <v>2546</v>
      </c>
      <c r="BP16" s="37">
        <v>0</v>
      </c>
      <c r="BQ16" s="23">
        <f>BP16+'19.05'!BQ16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168</v>
      </c>
      <c r="D17" s="31">
        <f t="shared" si="2"/>
        <v>3354</v>
      </c>
      <c r="E17" s="32">
        <v>754</v>
      </c>
      <c r="F17" s="22">
        <v>146</v>
      </c>
      <c r="G17" s="23">
        <f>F17+'19.05'!G17</f>
        <v>2857</v>
      </c>
      <c r="H17" s="33">
        <v>9</v>
      </c>
      <c r="I17" s="34">
        <v>0</v>
      </c>
      <c r="J17" s="23">
        <f>I17+'19.05'!J17</f>
        <v>0</v>
      </c>
      <c r="K17" s="33">
        <v>5</v>
      </c>
      <c r="L17" s="22">
        <v>0</v>
      </c>
      <c r="M17" s="23">
        <f>L17+'19.05'!M17</f>
        <v>0</v>
      </c>
      <c r="N17" s="33">
        <v>768</v>
      </c>
      <c r="O17" s="22">
        <v>0</v>
      </c>
      <c r="P17" s="23">
        <f>O17+'19.05'!P17</f>
        <v>0</v>
      </c>
      <c r="Q17" s="33">
        <v>624</v>
      </c>
      <c r="R17" s="22">
        <v>0</v>
      </c>
      <c r="S17" s="23">
        <f>R17+'19.05'!S17</f>
        <v>0</v>
      </c>
      <c r="T17" s="33">
        <v>742</v>
      </c>
      <c r="U17" s="22">
        <v>0</v>
      </c>
      <c r="V17" s="23">
        <f>U17+'19.05'!V17</f>
        <v>0</v>
      </c>
      <c r="W17" s="33">
        <v>54</v>
      </c>
      <c r="X17" s="22">
        <v>11</v>
      </c>
      <c r="Y17" s="23">
        <f>X17+'19.05'!Y17</f>
        <v>268</v>
      </c>
      <c r="Z17" s="33">
        <v>66</v>
      </c>
      <c r="AA17" s="22">
        <v>0</v>
      </c>
      <c r="AB17" s="23">
        <f>AA17+'19.05'!AB17</f>
        <v>0</v>
      </c>
      <c r="AC17" s="33">
        <v>2580</v>
      </c>
      <c r="AD17" s="22">
        <v>11</v>
      </c>
      <c r="AE17" s="23">
        <f>AD17+'19.05'!AE17</f>
        <v>229</v>
      </c>
      <c r="AF17" s="19">
        <f t="shared" si="3"/>
        <v>97700</v>
      </c>
      <c r="AG17" s="20">
        <f t="shared" si="4"/>
        <v>2007000</v>
      </c>
      <c r="AH17" s="24">
        <v>6300</v>
      </c>
      <c r="AI17" s="23">
        <f>AH17+'19.05'!AI17</f>
        <v>126500</v>
      </c>
      <c r="AJ17" s="24">
        <v>10400</v>
      </c>
      <c r="AK17" s="23">
        <f>AJ17+'19.05'!AK17</f>
        <v>201400</v>
      </c>
      <c r="AL17" s="22">
        <v>19000</v>
      </c>
      <c r="AM17" s="23">
        <f>AL17+'19.05'!AM17</f>
        <v>431700</v>
      </c>
      <c r="AN17" s="22">
        <v>62000</v>
      </c>
      <c r="AO17" s="23">
        <f>AN17+'19.05'!AO17</f>
        <v>1247400</v>
      </c>
      <c r="AP17" s="28" t="s">
        <v>52</v>
      </c>
      <c r="AQ17" s="19">
        <f t="shared" si="6"/>
        <v>12</v>
      </c>
      <c r="AR17" s="20">
        <f t="shared" si="7"/>
        <v>380</v>
      </c>
      <c r="AS17" s="34">
        <v>0</v>
      </c>
      <c r="AT17" s="23">
        <f>AS17+'19.05'!AT17</f>
        <v>19</v>
      </c>
      <c r="AU17" s="34">
        <v>2</v>
      </c>
      <c r="AV17" s="23">
        <f>AU17+'19.05'!AV17</f>
        <v>34</v>
      </c>
      <c r="AW17" s="34">
        <v>0</v>
      </c>
      <c r="AX17" s="23">
        <f>AW17+'19.05'!AX17</f>
        <v>0</v>
      </c>
      <c r="AY17" s="34">
        <v>0</v>
      </c>
      <c r="AZ17" s="23">
        <f>AY17+'19.05'!AZ17</f>
        <v>0</v>
      </c>
      <c r="BA17" s="34">
        <v>10</v>
      </c>
      <c r="BB17" s="23">
        <f>BA17+'19.05'!BB17</f>
        <v>327</v>
      </c>
      <c r="BC17" s="19">
        <f t="shared" si="9"/>
        <v>3338</v>
      </c>
      <c r="BD17" s="20">
        <f t="shared" si="10"/>
        <v>55935</v>
      </c>
      <c r="BE17" s="22">
        <v>37</v>
      </c>
      <c r="BF17" s="23">
        <f>BE17+'19.05'!BF17</f>
        <v>701</v>
      </c>
      <c r="BG17" s="34">
        <v>1</v>
      </c>
      <c r="BH17" s="23">
        <f>BG17+'19.05'!BH17</f>
        <v>23</v>
      </c>
      <c r="BI17" s="22">
        <v>3000</v>
      </c>
      <c r="BJ17" s="23">
        <f>BI17+'19.05'!BJ17</f>
        <v>50200</v>
      </c>
      <c r="BK17" s="22">
        <v>290</v>
      </c>
      <c r="BL17" s="23">
        <f>BK17+'19.05'!BL17</f>
        <v>4825</v>
      </c>
      <c r="BM17" s="22">
        <v>10</v>
      </c>
      <c r="BN17" s="23">
        <f>BM17+'19.05'!BN17</f>
        <v>186</v>
      </c>
      <c r="BO17" s="36">
        <v>8022</v>
      </c>
      <c r="BP17" s="37">
        <v>2</v>
      </c>
      <c r="BQ17" s="23">
        <f>BP17+'19.05'!BQ17</f>
        <v>67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211</v>
      </c>
      <c r="D18" s="20">
        <f t="shared" si="2"/>
        <v>5222</v>
      </c>
      <c r="E18" s="21">
        <v>1063</v>
      </c>
      <c r="F18" s="22">
        <v>119</v>
      </c>
      <c r="G18" s="23">
        <f>F18+'19.05'!G18</f>
        <v>3227</v>
      </c>
      <c r="H18" s="21">
        <v>19</v>
      </c>
      <c r="I18" s="22">
        <v>0</v>
      </c>
      <c r="J18" s="23">
        <f>I18+'19.05'!J18</f>
        <v>0</v>
      </c>
      <c r="K18" s="21">
        <v>8</v>
      </c>
      <c r="L18" s="22">
        <v>0</v>
      </c>
      <c r="M18" s="23">
        <f>L18+'19.05'!M18</f>
        <v>0</v>
      </c>
      <c r="N18" s="21">
        <v>1331</v>
      </c>
      <c r="O18" s="22">
        <v>0</v>
      </c>
      <c r="P18" s="23">
        <f>O18+'19.05'!P18</f>
        <v>0</v>
      </c>
      <c r="Q18" s="21">
        <v>777</v>
      </c>
      <c r="R18" s="22">
        <v>0</v>
      </c>
      <c r="S18" s="23">
        <f>R18+'19.05'!S18</f>
        <v>0</v>
      </c>
      <c r="T18" s="21">
        <v>318</v>
      </c>
      <c r="U18" s="22">
        <v>0</v>
      </c>
      <c r="V18" s="23">
        <f>U18+'19.05'!V18</f>
        <v>81</v>
      </c>
      <c r="W18" s="21">
        <v>60</v>
      </c>
      <c r="X18" s="22">
        <v>92</v>
      </c>
      <c r="Y18" s="23">
        <f>X18+'19.05'!Y18</f>
        <v>1914</v>
      </c>
      <c r="Z18" s="21">
        <v>72</v>
      </c>
      <c r="AA18" s="22">
        <v>0</v>
      </c>
      <c r="AB18" s="23">
        <f>AA18+'19.05'!AB18</f>
        <v>0</v>
      </c>
      <c r="AC18" s="21">
        <v>143</v>
      </c>
      <c r="AD18" s="22">
        <v>0</v>
      </c>
      <c r="AE18" s="23">
        <f>AD18+'19.05'!AE18</f>
        <v>0</v>
      </c>
      <c r="AF18" s="19">
        <f t="shared" si="3"/>
        <v>119338</v>
      </c>
      <c r="AG18" s="20">
        <f t="shared" si="4"/>
        <v>2761250</v>
      </c>
      <c r="AH18" s="24">
        <v>238</v>
      </c>
      <c r="AI18" s="23">
        <f>AH18+'19.05'!AI18</f>
        <v>4604</v>
      </c>
      <c r="AJ18" s="24">
        <v>1349</v>
      </c>
      <c r="AK18" s="23">
        <f>AJ18+'19.05'!AK18</f>
        <v>42205</v>
      </c>
      <c r="AL18" s="22">
        <v>1834</v>
      </c>
      <c r="AM18" s="23">
        <f>AL18+'19.05'!AM18</f>
        <v>48845</v>
      </c>
      <c r="AN18" s="22">
        <v>115917</v>
      </c>
      <c r="AO18" s="23">
        <f>AN18+'19.05'!AO18</f>
        <v>2665596</v>
      </c>
      <c r="AP18" s="17" t="s">
        <v>53</v>
      </c>
      <c r="AQ18" s="19">
        <f t="shared" si="6"/>
        <v>3</v>
      </c>
      <c r="AR18" s="20">
        <f t="shared" si="7"/>
        <v>38</v>
      </c>
      <c r="AS18" s="22">
        <v>1</v>
      </c>
      <c r="AT18" s="23">
        <f>AS18+'19.05'!AT18</f>
        <v>8</v>
      </c>
      <c r="AU18" s="22">
        <v>0</v>
      </c>
      <c r="AV18" s="23">
        <f>AU18+'19.05'!AV18</f>
        <v>0</v>
      </c>
      <c r="AW18" s="22">
        <v>0</v>
      </c>
      <c r="AX18" s="23">
        <f>AW18+'19.05'!AX18</f>
        <v>0</v>
      </c>
      <c r="AY18" s="22">
        <v>0</v>
      </c>
      <c r="AZ18" s="23">
        <f>AY18+'19.05'!AZ18</f>
        <v>0</v>
      </c>
      <c r="BA18" s="22">
        <v>2</v>
      </c>
      <c r="BB18" s="23">
        <f>BA18+'19.05'!BB18</f>
        <v>30</v>
      </c>
      <c r="BC18" s="19">
        <f t="shared" si="9"/>
        <v>874</v>
      </c>
      <c r="BD18" s="20">
        <f t="shared" si="10"/>
        <v>12946</v>
      </c>
      <c r="BE18" s="22">
        <v>4</v>
      </c>
      <c r="BF18" s="23">
        <f>BE18+'19.05'!BF18</f>
        <v>25</v>
      </c>
      <c r="BG18" s="22">
        <v>0</v>
      </c>
      <c r="BH18" s="23">
        <f>BG18+'19.05'!BH18</f>
        <v>388</v>
      </c>
      <c r="BI18" s="22">
        <v>638</v>
      </c>
      <c r="BJ18" s="23">
        <f>BI18+'19.05'!BJ18</f>
        <v>10398</v>
      </c>
      <c r="BK18" s="22">
        <v>211</v>
      </c>
      <c r="BL18" s="23">
        <f>BK18+'19.05'!BL18</f>
        <v>1859</v>
      </c>
      <c r="BM18" s="22">
        <v>21</v>
      </c>
      <c r="BN18" s="23">
        <f>BM18+'19.05'!BN18</f>
        <v>276</v>
      </c>
      <c r="BO18" s="36">
        <v>442</v>
      </c>
      <c r="BP18" s="37">
        <v>0</v>
      </c>
      <c r="BQ18" s="23">
        <f>BP18+'19.05'!BQ18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32</v>
      </c>
      <c r="D19" s="31">
        <f t="shared" si="2"/>
        <v>705</v>
      </c>
      <c r="E19" s="33">
        <v>221</v>
      </c>
      <c r="F19" s="22">
        <v>4</v>
      </c>
      <c r="G19" s="23">
        <f>F19+'19.05'!G19</f>
        <v>134</v>
      </c>
      <c r="H19" s="33">
        <v>5</v>
      </c>
      <c r="I19" s="34">
        <v>0</v>
      </c>
      <c r="J19" s="23">
        <f>I19+'19.05'!J19</f>
        <v>0</v>
      </c>
      <c r="K19" s="33">
        <v>4</v>
      </c>
      <c r="L19" s="22">
        <v>0</v>
      </c>
      <c r="M19" s="23">
        <f>L19+'19.05'!M19</f>
        <v>0</v>
      </c>
      <c r="N19" s="33">
        <v>313</v>
      </c>
      <c r="O19" s="22">
        <v>17</v>
      </c>
      <c r="P19" s="23">
        <f>O19+'19.05'!P19</f>
        <v>196</v>
      </c>
      <c r="Q19" s="33">
        <v>203</v>
      </c>
      <c r="R19" s="22">
        <v>0</v>
      </c>
      <c r="S19" s="23">
        <f>R19+'19.05'!S19</f>
        <v>0</v>
      </c>
      <c r="T19" s="33">
        <v>241</v>
      </c>
      <c r="U19" s="22">
        <v>0</v>
      </c>
      <c r="V19" s="23">
        <f>U19+'19.05'!V19</f>
        <v>0</v>
      </c>
      <c r="W19" s="33">
        <v>14</v>
      </c>
      <c r="X19" s="22">
        <v>11</v>
      </c>
      <c r="Y19" s="23">
        <f>X19+'19.05'!Y19</f>
        <v>312</v>
      </c>
      <c r="Z19" s="33">
        <v>7</v>
      </c>
      <c r="AA19" s="22">
        <v>0</v>
      </c>
      <c r="AB19" s="23">
        <f>AA19+'19.05'!AB19</f>
        <v>0</v>
      </c>
      <c r="AC19" s="33">
        <v>32</v>
      </c>
      <c r="AD19" s="22">
        <v>0</v>
      </c>
      <c r="AE19" s="23">
        <f>AD19+'19.05'!AE19</f>
        <v>63</v>
      </c>
      <c r="AF19" s="19">
        <f t="shared" si="3"/>
        <v>2600</v>
      </c>
      <c r="AG19" s="20">
        <f t="shared" si="4"/>
        <v>65360</v>
      </c>
      <c r="AH19" s="24">
        <v>430</v>
      </c>
      <c r="AI19" s="23">
        <f>AH19+'19.05'!AI19</f>
        <v>10550</v>
      </c>
      <c r="AJ19" s="24">
        <v>430</v>
      </c>
      <c r="AK19" s="23">
        <f>AJ19+'19.05'!AK19</f>
        <v>10800</v>
      </c>
      <c r="AL19" s="22">
        <v>870</v>
      </c>
      <c r="AM19" s="23">
        <f>AL19+'19.05'!AM19</f>
        <v>22005</v>
      </c>
      <c r="AN19" s="22">
        <v>870</v>
      </c>
      <c r="AO19" s="23">
        <f>AN19+'19.05'!AO19</f>
        <v>22005</v>
      </c>
      <c r="AP19" s="28" t="s">
        <v>54</v>
      </c>
      <c r="AQ19" s="19">
        <f t="shared" si="6"/>
        <v>1</v>
      </c>
      <c r="AR19" s="20">
        <f t="shared" si="7"/>
        <v>6</v>
      </c>
      <c r="AS19" s="34">
        <v>0</v>
      </c>
      <c r="AT19" s="23">
        <f>AS19+'19.05'!AT19</f>
        <v>0</v>
      </c>
      <c r="AU19" s="34">
        <v>1</v>
      </c>
      <c r="AV19" s="23">
        <f>AU19+'19.05'!AV19</f>
        <v>5</v>
      </c>
      <c r="AW19" s="34">
        <v>0</v>
      </c>
      <c r="AX19" s="23">
        <f>AW19+'19.05'!AX19</f>
        <v>1</v>
      </c>
      <c r="AY19" s="34">
        <v>0</v>
      </c>
      <c r="AZ19" s="23">
        <f>AY19+'19.05'!AZ19</f>
        <v>0</v>
      </c>
      <c r="BA19" s="34">
        <v>0</v>
      </c>
      <c r="BB19" s="23">
        <f>BA19+'19.05'!BB19</f>
        <v>0</v>
      </c>
      <c r="BC19" s="19">
        <f t="shared" si="9"/>
        <v>867</v>
      </c>
      <c r="BD19" s="20">
        <f t="shared" si="10"/>
        <v>21759</v>
      </c>
      <c r="BE19" s="22">
        <v>12</v>
      </c>
      <c r="BF19" s="23">
        <f>BE19+'19.05'!BF19</f>
        <v>274</v>
      </c>
      <c r="BG19" s="34">
        <v>0</v>
      </c>
      <c r="BH19" s="23">
        <f>BG19+'19.05'!BH19</f>
        <v>9</v>
      </c>
      <c r="BI19" s="22">
        <v>700</v>
      </c>
      <c r="BJ19" s="23">
        <f>BI19+'19.05'!BJ19</f>
        <v>18850</v>
      </c>
      <c r="BK19" s="22">
        <v>150</v>
      </c>
      <c r="BL19" s="23">
        <f>BK19+'19.05'!BL19</f>
        <v>2510</v>
      </c>
      <c r="BM19" s="22">
        <v>5</v>
      </c>
      <c r="BN19" s="23">
        <f>BM19+'19.05'!BN19</f>
        <v>116</v>
      </c>
      <c r="BO19" s="36">
        <v>2898</v>
      </c>
      <c r="BP19" s="37">
        <v>2</v>
      </c>
      <c r="BQ19" s="23">
        <f>BP19+'19.05'!BQ19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286</v>
      </c>
      <c r="D20" s="31">
        <f t="shared" si="2"/>
        <v>4874</v>
      </c>
      <c r="E20" s="32">
        <v>723</v>
      </c>
      <c r="F20" s="22">
        <v>135</v>
      </c>
      <c r="G20" s="23">
        <f>F20+'19.05'!G20</f>
        <v>2495</v>
      </c>
      <c r="H20" s="33">
        <v>5</v>
      </c>
      <c r="I20" s="34">
        <v>1</v>
      </c>
      <c r="J20" s="23">
        <f>I20+'19.05'!J20</f>
        <v>20</v>
      </c>
      <c r="K20" s="33">
        <v>3</v>
      </c>
      <c r="L20" s="22">
        <v>0</v>
      </c>
      <c r="M20" s="23">
        <f>L20+'19.05'!M20</f>
        <v>0</v>
      </c>
      <c r="N20" s="33">
        <v>975</v>
      </c>
      <c r="O20" s="22">
        <v>80</v>
      </c>
      <c r="P20" s="23">
        <f>O20+'19.05'!P20</f>
        <v>1142</v>
      </c>
      <c r="Q20" s="61">
        <v>1862</v>
      </c>
      <c r="R20" s="22">
        <v>1</v>
      </c>
      <c r="S20" s="23">
        <f>R20+'19.05'!S20</f>
        <v>22</v>
      </c>
      <c r="T20" s="33">
        <v>35</v>
      </c>
      <c r="U20" s="22">
        <v>1</v>
      </c>
      <c r="V20" s="23">
        <f>U20+'19.05'!V20</f>
        <v>20</v>
      </c>
      <c r="W20" s="33">
        <v>64</v>
      </c>
      <c r="X20" s="22">
        <v>1</v>
      </c>
      <c r="Y20" s="23">
        <f>X20+'19.05'!Y20</f>
        <v>22</v>
      </c>
      <c r="Z20" s="33">
        <v>15</v>
      </c>
      <c r="AA20" s="22">
        <v>1</v>
      </c>
      <c r="AB20" s="23">
        <f>AA20+'19.05'!AB20</f>
        <v>25</v>
      </c>
      <c r="AC20" s="33">
        <v>1546</v>
      </c>
      <c r="AD20" s="22">
        <v>66</v>
      </c>
      <c r="AE20" s="23">
        <f>AD20+'19.05'!AE20</f>
        <v>1128</v>
      </c>
      <c r="AF20" s="19">
        <f t="shared" si="3"/>
        <v>20802</v>
      </c>
      <c r="AG20" s="20">
        <f t="shared" si="4"/>
        <v>378394</v>
      </c>
      <c r="AH20" s="24">
        <v>7840</v>
      </c>
      <c r="AI20" s="23">
        <f>AH20+'19.05'!AI20</f>
        <v>172844</v>
      </c>
      <c r="AJ20" s="24">
        <v>12162</v>
      </c>
      <c r="AK20" s="23">
        <f>AJ20+'19.05'!AK20</f>
        <v>188740</v>
      </c>
      <c r="AL20" s="22">
        <v>400</v>
      </c>
      <c r="AM20" s="23">
        <f>AL20+'19.05'!AM20</f>
        <v>9450</v>
      </c>
      <c r="AN20" s="22">
        <v>400</v>
      </c>
      <c r="AO20" s="23">
        <f>AN20+'19.05'!AO20</f>
        <v>7360</v>
      </c>
      <c r="AP20" s="28" t="s">
        <v>55</v>
      </c>
      <c r="AQ20" s="19">
        <f t="shared" si="6"/>
        <v>161</v>
      </c>
      <c r="AR20" s="20">
        <f t="shared" si="7"/>
        <v>3192</v>
      </c>
      <c r="AS20" s="34">
        <v>1</v>
      </c>
      <c r="AT20" s="23">
        <f>AS20+'19.05'!AT20</f>
        <v>20</v>
      </c>
      <c r="AU20" s="34">
        <v>0</v>
      </c>
      <c r="AV20" s="23">
        <f>AU20+'19.05'!AV20</f>
        <v>0</v>
      </c>
      <c r="AW20" s="34">
        <v>0</v>
      </c>
      <c r="AX20" s="23">
        <f>AW20+'19.05'!AX20</f>
        <v>0</v>
      </c>
      <c r="AY20" s="34">
        <v>0</v>
      </c>
      <c r="AZ20" s="23">
        <f>AY20+'19.05'!AZ20</f>
        <v>0</v>
      </c>
      <c r="BA20" s="34">
        <v>160</v>
      </c>
      <c r="BB20" s="23">
        <f>BA20+'19.05'!BB20</f>
        <v>3172</v>
      </c>
      <c r="BC20" s="19">
        <f t="shared" si="9"/>
        <v>3603</v>
      </c>
      <c r="BD20" s="20">
        <f t="shared" si="10"/>
        <v>69962</v>
      </c>
      <c r="BE20" s="22">
        <v>2</v>
      </c>
      <c r="BF20" s="23">
        <f>BE20+'19.05'!BF20</f>
        <v>40</v>
      </c>
      <c r="BG20" s="34">
        <v>0</v>
      </c>
      <c r="BH20" s="23">
        <f>BG20+'19.05'!BH20</f>
        <v>0</v>
      </c>
      <c r="BI20" s="22">
        <v>2075</v>
      </c>
      <c r="BJ20" s="23">
        <f>BI20+'19.05'!BJ20</f>
        <v>34703</v>
      </c>
      <c r="BK20" s="22">
        <v>1525</v>
      </c>
      <c r="BL20" s="23">
        <f>BK20+'19.05'!BL20</f>
        <v>35200</v>
      </c>
      <c r="BM20" s="22">
        <v>1</v>
      </c>
      <c r="BN20" s="23">
        <f>BM20+'19.05'!BN20</f>
        <v>19</v>
      </c>
      <c r="BO20" s="36">
        <v>5854</v>
      </c>
      <c r="BP20" s="37">
        <v>0</v>
      </c>
      <c r="BQ20" s="23">
        <f>BP20+'19.05'!BQ20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179</v>
      </c>
      <c r="D21" s="31">
        <f t="shared" si="2"/>
        <v>4146</v>
      </c>
      <c r="E21" s="32">
        <v>1017</v>
      </c>
      <c r="F21" s="22">
        <v>150</v>
      </c>
      <c r="G21" s="23">
        <f>F21+'19.05'!G21</f>
        <v>2995</v>
      </c>
      <c r="H21" s="33">
        <v>8</v>
      </c>
      <c r="I21" s="34">
        <v>0</v>
      </c>
      <c r="J21" s="23">
        <f>I21+'19.05'!J21</f>
        <v>131</v>
      </c>
      <c r="K21" s="33">
        <v>4</v>
      </c>
      <c r="L21" s="22">
        <v>0</v>
      </c>
      <c r="M21" s="23">
        <f>L21+'19.05'!M21</f>
        <v>20</v>
      </c>
      <c r="N21" s="33">
        <v>963</v>
      </c>
      <c r="O21" s="22">
        <v>2</v>
      </c>
      <c r="P21" s="23">
        <f>O21+'19.05'!P21</f>
        <v>52</v>
      </c>
      <c r="Q21" s="33">
        <v>912</v>
      </c>
      <c r="R21" s="22">
        <v>0</v>
      </c>
      <c r="S21" s="23">
        <f>R21+'19.05'!S21</f>
        <v>0</v>
      </c>
      <c r="T21" s="33">
        <v>199</v>
      </c>
      <c r="U21" s="22">
        <v>1</v>
      </c>
      <c r="V21" s="23">
        <f>U21+'19.05'!V21</f>
        <v>98</v>
      </c>
      <c r="W21" s="33">
        <v>101</v>
      </c>
      <c r="X21" s="22">
        <v>15</v>
      </c>
      <c r="Y21" s="23">
        <f>X21+'19.05'!Y21</f>
        <v>239</v>
      </c>
      <c r="Z21" s="33">
        <v>42</v>
      </c>
      <c r="AA21" s="22">
        <v>1</v>
      </c>
      <c r="AB21" s="23">
        <f>AA21+'19.05'!AB21</f>
        <v>2</v>
      </c>
      <c r="AC21" s="33">
        <v>20</v>
      </c>
      <c r="AD21" s="22">
        <v>10</v>
      </c>
      <c r="AE21" s="23">
        <f>AD21+'19.05'!AE21</f>
        <v>609</v>
      </c>
      <c r="AF21" s="19">
        <f t="shared" si="3"/>
        <v>1130000</v>
      </c>
      <c r="AG21" s="20">
        <f t="shared" si="4"/>
        <v>21634480</v>
      </c>
      <c r="AH21" s="24">
        <v>1000</v>
      </c>
      <c r="AI21" s="23">
        <f>AH21+'19.05'!AI21</f>
        <v>23150</v>
      </c>
      <c r="AJ21" s="24">
        <v>129000</v>
      </c>
      <c r="AK21" s="23">
        <f>AJ21+'19.05'!AK21</f>
        <v>3276000</v>
      </c>
      <c r="AL21" s="22">
        <v>5000</v>
      </c>
      <c r="AM21" s="23">
        <f>AL21+'19.05'!AM21</f>
        <v>44630</v>
      </c>
      <c r="AN21" s="22">
        <v>995000</v>
      </c>
      <c r="AO21" s="23">
        <f>AN21+'19.05'!AO21</f>
        <v>18290700</v>
      </c>
      <c r="AP21" s="28" t="s">
        <v>58</v>
      </c>
      <c r="AQ21" s="19">
        <f t="shared" si="6"/>
        <v>3</v>
      </c>
      <c r="AR21" s="20">
        <f t="shared" si="7"/>
        <v>98</v>
      </c>
      <c r="AS21" s="34">
        <v>0</v>
      </c>
      <c r="AT21" s="23">
        <f>AS21+'19.05'!AT21</f>
        <v>3</v>
      </c>
      <c r="AU21" s="34">
        <v>0</v>
      </c>
      <c r="AV21" s="23">
        <f>AU21+'19.05'!AV21</f>
        <v>28</v>
      </c>
      <c r="AW21" s="34">
        <v>0</v>
      </c>
      <c r="AX21" s="23">
        <f>AW21+'19.05'!AX21</f>
        <v>1</v>
      </c>
      <c r="AY21" s="34">
        <v>0</v>
      </c>
      <c r="AZ21" s="23">
        <f>AY21+'19.05'!AZ21</f>
        <v>0</v>
      </c>
      <c r="BA21" s="34">
        <v>3</v>
      </c>
      <c r="BB21" s="23">
        <f>BA21+'19.05'!BB21</f>
        <v>66</v>
      </c>
      <c r="BC21" s="19">
        <f t="shared" si="9"/>
        <v>1060</v>
      </c>
      <c r="BD21" s="20">
        <f t="shared" si="10"/>
        <v>33696</v>
      </c>
      <c r="BE21" s="22">
        <v>55</v>
      </c>
      <c r="BF21" s="23">
        <f>BE21+'19.05'!BF21</f>
        <v>974</v>
      </c>
      <c r="BG21" s="34">
        <v>0</v>
      </c>
      <c r="BH21" s="23">
        <f>BG21+'19.05'!BH21</f>
        <v>0</v>
      </c>
      <c r="BI21" s="22">
        <v>1000</v>
      </c>
      <c r="BJ21" s="23">
        <f>BI21+'19.05'!BJ21</f>
        <v>32550</v>
      </c>
      <c r="BK21" s="22">
        <v>0</v>
      </c>
      <c r="BL21" s="23">
        <f>BK21+'19.05'!BL21</f>
        <v>0</v>
      </c>
      <c r="BM21" s="22">
        <v>5</v>
      </c>
      <c r="BN21" s="23">
        <f>BM21+'19.05'!BN21</f>
        <v>172</v>
      </c>
      <c r="BO21" s="36">
        <v>68</v>
      </c>
      <c r="BP21" s="37">
        <v>0</v>
      </c>
      <c r="BQ21" s="23">
        <f>BP21+'19.05'!BQ21</f>
        <v>31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1"/>
        <v>2169</v>
      </c>
      <c r="D22" s="31">
        <f t="shared" si="2"/>
        <v>42299</v>
      </c>
      <c r="E22" s="32">
        <v>509</v>
      </c>
      <c r="F22" s="22">
        <v>387</v>
      </c>
      <c r="G22" s="23">
        <f>F22+'19.05'!G22</f>
        <v>6966</v>
      </c>
      <c r="H22" s="33">
        <v>8</v>
      </c>
      <c r="I22" s="34">
        <v>0</v>
      </c>
      <c r="J22" s="23">
        <f>I22+'19.05'!J22</f>
        <v>23</v>
      </c>
      <c r="K22" s="33">
        <v>21</v>
      </c>
      <c r="L22" s="22">
        <v>0</v>
      </c>
      <c r="M22" s="23">
        <f>L22+'19.05'!M22</f>
        <v>0</v>
      </c>
      <c r="N22" s="33">
        <v>560</v>
      </c>
      <c r="O22" s="22">
        <v>76</v>
      </c>
      <c r="P22" s="23">
        <f>O22+'19.05'!P22</f>
        <v>1057</v>
      </c>
      <c r="Q22" s="33">
        <v>375</v>
      </c>
      <c r="R22" s="22">
        <v>0</v>
      </c>
      <c r="S22" s="23">
        <f>R22+'19.05'!S22</f>
        <v>0</v>
      </c>
      <c r="T22" s="33">
        <v>165</v>
      </c>
      <c r="U22" s="22">
        <v>29</v>
      </c>
      <c r="V22" s="23">
        <f>U22+'19.05'!V22</f>
        <v>461</v>
      </c>
      <c r="W22" s="33">
        <v>28</v>
      </c>
      <c r="X22" s="22">
        <v>100</v>
      </c>
      <c r="Y22" s="23">
        <f>X22+'19.05'!Y22</f>
        <v>1615</v>
      </c>
      <c r="Z22" s="33">
        <v>9</v>
      </c>
      <c r="AA22" s="22">
        <v>0</v>
      </c>
      <c r="AB22" s="23">
        <f>AA22+'19.05'!AB22</f>
        <v>0</v>
      </c>
      <c r="AC22" s="33">
        <v>112</v>
      </c>
      <c r="AD22" s="22">
        <v>1577</v>
      </c>
      <c r="AE22" s="23">
        <f>AD22+'19.05'!AE22</f>
        <v>32177</v>
      </c>
      <c r="AF22" s="19">
        <f t="shared" si="3"/>
        <v>402572</v>
      </c>
      <c r="AG22" s="20">
        <f t="shared" si="4"/>
        <v>8066022</v>
      </c>
      <c r="AH22" s="24">
        <v>1207</v>
      </c>
      <c r="AI22" s="23">
        <f>AH22+'19.05'!AI22</f>
        <v>47093</v>
      </c>
      <c r="AJ22" s="24">
        <v>6487</v>
      </c>
      <c r="AK22" s="23">
        <f>AJ22+'19.05'!AK22</f>
        <v>129353</v>
      </c>
      <c r="AL22" s="22">
        <v>11198</v>
      </c>
      <c r="AM22" s="23">
        <f>AL22+'19.05'!AM22</f>
        <v>211060</v>
      </c>
      <c r="AN22" s="22">
        <v>383680</v>
      </c>
      <c r="AO22" s="23">
        <f>AN22+'19.05'!AO22</f>
        <v>7678516</v>
      </c>
      <c r="AP22" s="28" t="s">
        <v>59</v>
      </c>
      <c r="AQ22" s="19">
        <f t="shared" si="6"/>
        <v>255</v>
      </c>
      <c r="AR22" s="20">
        <f t="shared" si="7"/>
        <v>34572</v>
      </c>
      <c r="AS22" s="34">
        <v>0</v>
      </c>
      <c r="AT22" s="23">
        <f>AS22+'19.05'!AT22</f>
        <v>5</v>
      </c>
      <c r="AU22" s="34">
        <v>0</v>
      </c>
      <c r="AV22" s="23">
        <f>AU22+'19.05'!AV22</f>
        <v>5</v>
      </c>
      <c r="AW22" s="34">
        <v>0</v>
      </c>
      <c r="AX22" s="23">
        <f>AW22+'19.05'!AX22</f>
        <v>2</v>
      </c>
      <c r="AY22" s="34">
        <v>0</v>
      </c>
      <c r="AZ22" s="23">
        <f>AY22+'19.05'!AZ22</f>
        <v>1</v>
      </c>
      <c r="BA22" s="34">
        <v>255</v>
      </c>
      <c r="BB22" s="23">
        <f>BA22+'19.05'!BB22</f>
        <v>34559</v>
      </c>
      <c r="BC22" s="19">
        <f t="shared" si="9"/>
        <v>6054</v>
      </c>
      <c r="BD22" s="20">
        <f t="shared" si="10"/>
        <v>135633</v>
      </c>
      <c r="BE22" s="22">
        <v>6</v>
      </c>
      <c r="BF22" s="23">
        <f>BE22+'19.05'!BF22</f>
        <v>105</v>
      </c>
      <c r="BG22" s="34">
        <v>59</v>
      </c>
      <c r="BH22" s="23">
        <f>BG22+'19.05'!BH22</f>
        <v>1203</v>
      </c>
      <c r="BI22" s="22">
        <v>2798</v>
      </c>
      <c r="BJ22" s="23">
        <f>BI22+'19.05'!BJ22</f>
        <v>91309</v>
      </c>
      <c r="BK22" s="22">
        <v>3111</v>
      </c>
      <c r="BL22" s="23">
        <f>BK22+'19.05'!BL22</f>
        <v>41933</v>
      </c>
      <c r="BM22" s="22">
        <v>80</v>
      </c>
      <c r="BN22" s="23">
        <f>BM22+'19.05'!BN22</f>
        <v>1083</v>
      </c>
      <c r="BO22" s="36">
        <v>26</v>
      </c>
      <c r="BP22" s="37">
        <v>0</v>
      </c>
      <c r="BQ22" s="23">
        <f>BP22+'19.05'!BQ22</f>
        <v>1712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1"/>
        <v>4164</v>
      </c>
      <c r="D23" s="65">
        <f t="shared" si="2"/>
        <v>82288</v>
      </c>
      <c r="E23" s="66">
        <f>+E18+E19+E22+E17+E16+E15+E14+E13+E12+E11+E10+E9+E8</f>
        <v>7282</v>
      </c>
      <c r="F23" s="67">
        <f t="shared" ref="F23:J23" si="12">SUM(F8:F22)</f>
        <v>1602</v>
      </c>
      <c r="G23" s="68">
        <f t="shared" si="12"/>
        <v>30154</v>
      </c>
      <c r="H23" s="66">
        <f>+H18+H19+H22+H17+H16+H15+H14+H13+H12+H11+H10+H9+H8</f>
        <v>271</v>
      </c>
      <c r="I23" s="67">
        <f t="shared" si="12"/>
        <v>11</v>
      </c>
      <c r="J23" s="68">
        <f t="shared" si="12"/>
        <v>283</v>
      </c>
      <c r="K23" s="66">
        <f>+K18+K19+K22+K17+K16+K15+K14+K13+K12+K11+K10+K9+K8</f>
        <v>163</v>
      </c>
      <c r="L23" s="67">
        <f t="shared" ref="L23:P23" si="13">SUM(L8:L22)</f>
        <v>1</v>
      </c>
      <c r="M23" s="68">
        <f t="shared" si="13"/>
        <v>39</v>
      </c>
      <c r="N23" s="66">
        <f>+N18+N19+N22+N17+N16+N15+N14+N13+N12+N11+N10+N9+N8</f>
        <v>8607</v>
      </c>
      <c r="O23" s="67">
        <f t="shared" si="13"/>
        <v>224</v>
      </c>
      <c r="P23" s="68">
        <f t="shared" si="13"/>
        <v>3006</v>
      </c>
      <c r="Q23" s="66">
        <f>+Q18+Q19+Q22+Q17+Q16+Q15+Q14+Q13+Q12+Q11+Q10+Q9+Q8</f>
        <v>7474</v>
      </c>
      <c r="R23" s="67">
        <f t="shared" ref="R23:V23" si="14">SUM(R8:R22)</f>
        <v>12</v>
      </c>
      <c r="S23" s="68">
        <f t="shared" si="14"/>
        <v>149</v>
      </c>
      <c r="T23" s="66">
        <f>+T18+T19+T22+T17+T16+T15+T14+T13+T12+T11+T10+T9+T8</f>
        <v>4115</v>
      </c>
      <c r="U23" s="67">
        <f t="shared" si="14"/>
        <v>40</v>
      </c>
      <c r="V23" s="68">
        <f t="shared" si="14"/>
        <v>752</v>
      </c>
      <c r="W23" s="66">
        <f>+W18+W19+W22+W17+W16+W15+W14+W13+W12+W11+W10+W9+W8</f>
        <v>604</v>
      </c>
      <c r="X23" s="67">
        <f t="shared" ref="X23:AB23" si="15">SUM(X8:X22)</f>
        <v>395</v>
      </c>
      <c r="Y23" s="68">
        <f t="shared" si="15"/>
        <v>8289</v>
      </c>
      <c r="Z23" s="66">
        <f>+Z18+Z19+Z22+Z17+Z16+Z15+Z14+Z13+Z12+Z11+Z10+Z9+Z8</f>
        <v>1629</v>
      </c>
      <c r="AA23" s="67">
        <f t="shared" si="15"/>
        <v>2</v>
      </c>
      <c r="AB23" s="68">
        <f t="shared" si="15"/>
        <v>65</v>
      </c>
      <c r="AC23" s="66">
        <f>+AC18+AC19+AC22+AC17+AC16+AC15+AC14+AC13+AC12+AC11+AC10+AC9+AC8</f>
        <v>64846</v>
      </c>
      <c r="AD23" s="67">
        <f t="shared" ref="AD23:AO23" si="16">SUM(AD8:AD22)</f>
        <v>1877</v>
      </c>
      <c r="AE23" s="68">
        <f t="shared" si="16"/>
        <v>39551</v>
      </c>
      <c r="AF23" s="64">
        <f t="shared" si="16"/>
        <v>4021157</v>
      </c>
      <c r="AG23" s="64">
        <f t="shared" si="16"/>
        <v>90231218</v>
      </c>
      <c r="AH23" s="67">
        <f t="shared" si="16"/>
        <v>27405</v>
      </c>
      <c r="AI23" s="68">
        <f t="shared" si="16"/>
        <v>653079</v>
      </c>
      <c r="AJ23" s="67">
        <f t="shared" si="16"/>
        <v>191514</v>
      </c>
      <c r="AK23" s="68">
        <f t="shared" si="16"/>
        <v>4745553</v>
      </c>
      <c r="AL23" s="67">
        <f t="shared" si="16"/>
        <v>931998</v>
      </c>
      <c r="AM23" s="68">
        <f t="shared" si="16"/>
        <v>28038645</v>
      </c>
      <c r="AN23" s="67">
        <f t="shared" si="16"/>
        <v>2870240</v>
      </c>
      <c r="AO23" s="68">
        <f t="shared" si="16"/>
        <v>56793941</v>
      </c>
      <c r="AP23" s="62" t="s">
        <v>12</v>
      </c>
      <c r="AQ23" s="64">
        <f t="shared" ref="AQ23:BP23" si="17">SUM(AQ8:AQ22)</f>
        <v>663</v>
      </c>
      <c r="AR23" s="64">
        <f t="shared" si="17"/>
        <v>44953</v>
      </c>
      <c r="AS23" s="67">
        <f t="shared" si="17"/>
        <v>6</v>
      </c>
      <c r="AT23" s="68">
        <f t="shared" si="17"/>
        <v>89</v>
      </c>
      <c r="AU23" s="67">
        <f t="shared" si="17"/>
        <v>5</v>
      </c>
      <c r="AV23" s="68">
        <f t="shared" si="17"/>
        <v>111</v>
      </c>
      <c r="AW23" s="67">
        <f t="shared" si="17"/>
        <v>2</v>
      </c>
      <c r="AX23" s="68">
        <f t="shared" si="17"/>
        <v>17</v>
      </c>
      <c r="AY23" s="67">
        <f t="shared" si="17"/>
        <v>1</v>
      </c>
      <c r="AZ23" s="68">
        <f t="shared" si="17"/>
        <v>4</v>
      </c>
      <c r="BA23" s="67">
        <f t="shared" si="17"/>
        <v>649</v>
      </c>
      <c r="BB23" s="68">
        <f t="shared" si="17"/>
        <v>44732</v>
      </c>
      <c r="BC23" s="64">
        <f t="shared" si="17"/>
        <v>33858</v>
      </c>
      <c r="BD23" s="64">
        <f t="shared" si="17"/>
        <v>824046</v>
      </c>
      <c r="BE23" s="67">
        <f t="shared" si="17"/>
        <v>1646</v>
      </c>
      <c r="BF23" s="68">
        <f t="shared" si="17"/>
        <v>30060</v>
      </c>
      <c r="BG23" s="67">
        <f t="shared" si="17"/>
        <v>131</v>
      </c>
      <c r="BH23" s="68">
        <f t="shared" si="17"/>
        <v>2342</v>
      </c>
      <c r="BI23" s="67">
        <f t="shared" si="17"/>
        <v>24106</v>
      </c>
      <c r="BJ23" s="68">
        <f t="shared" si="17"/>
        <v>642094</v>
      </c>
      <c r="BK23" s="67">
        <f t="shared" si="17"/>
        <v>7708</v>
      </c>
      <c r="BL23" s="68">
        <f t="shared" si="17"/>
        <v>145390</v>
      </c>
      <c r="BM23" s="67">
        <f t="shared" si="17"/>
        <v>267</v>
      </c>
      <c r="BN23" s="68">
        <f t="shared" si="17"/>
        <v>4160</v>
      </c>
      <c r="BO23" s="69">
        <f t="shared" si="17"/>
        <v>37704</v>
      </c>
      <c r="BP23" s="70">
        <f t="shared" si="17"/>
        <v>10</v>
      </c>
      <c r="BQ23" s="23">
        <f>BP23+'20.04'!BP23</f>
        <v>36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7030A0"/>
  </sheetPr>
  <dimension ref="A1:BQ23"/>
  <sheetViews>
    <sheetView zoomScale="85" zoomScaleNormal="85" workbookViewId="0">
      <pane xSplit="4" ySplit="8" topLeftCell="AK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1"/>
        <v>2</v>
      </c>
      <c r="D9" s="31">
        <f t="shared" si="2"/>
        <v>105</v>
      </c>
      <c r="E9" s="32">
        <v>452</v>
      </c>
      <c r="F9" s="22">
        <v>1</v>
      </c>
      <c r="G9" s="23">
        <f>F9+'20.05'!G9</f>
        <v>55</v>
      </c>
      <c r="H9" s="33">
        <v>12</v>
      </c>
      <c r="I9" s="34">
        <v>0</v>
      </c>
      <c r="J9" s="23">
        <f>I9+'20.05'!J9</f>
        <v>15</v>
      </c>
      <c r="K9" s="33">
        <v>2</v>
      </c>
      <c r="L9" s="22">
        <v>0</v>
      </c>
      <c r="M9" s="23">
        <f>L9+'20.05'!M9</f>
        <v>0</v>
      </c>
      <c r="N9" s="33">
        <v>735</v>
      </c>
      <c r="O9" s="22">
        <v>0</v>
      </c>
      <c r="P9" s="23">
        <f>O9+'20.05'!P9</f>
        <v>0</v>
      </c>
      <c r="Q9" s="33">
        <v>502</v>
      </c>
      <c r="R9" s="22">
        <v>0</v>
      </c>
      <c r="S9" s="23">
        <f>R9+'20.05'!S9</f>
        <v>0</v>
      </c>
      <c r="T9" s="33">
        <v>197</v>
      </c>
      <c r="U9" s="22">
        <v>0</v>
      </c>
      <c r="V9" s="23">
        <f>U9+'20.05'!V9</f>
        <v>0</v>
      </c>
      <c r="W9" s="33">
        <v>47</v>
      </c>
      <c r="X9" s="22">
        <v>1</v>
      </c>
      <c r="Y9" s="23">
        <f>X9+'20.05'!Y9</f>
        <v>16</v>
      </c>
      <c r="Z9" s="33">
        <v>34</v>
      </c>
      <c r="AA9" s="22">
        <v>0</v>
      </c>
      <c r="AB9" s="23">
        <f>AA9+'20.05'!AB9</f>
        <v>0</v>
      </c>
      <c r="AC9" s="33">
        <v>1860</v>
      </c>
      <c r="AD9" s="22">
        <v>0</v>
      </c>
      <c r="AE9" s="23">
        <f>AD9+'20.05'!AE9</f>
        <v>19</v>
      </c>
      <c r="AF9" s="19">
        <f t="shared" si="3"/>
        <v>7940</v>
      </c>
      <c r="AG9" s="20">
        <f t="shared" si="4"/>
        <v>180470</v>
      </c>
      <c r="AH9" s="24">
        <v>125</v>
      </c>
      <c r="AI9" s="23">
        <f>AH9+'20.05'!AI9</f>
        <v>2463</v>
      </c>
      <c r="AJ9" s="24">
        <v>415</v>
      </c>
      <c r="AK9" s="23">
        <f>AJ9+'20.05'!AK9</f>
        <v>15924</v>
      </c>
      <c r="AL9" s="22">
        <v>2400</v>
      </c>
      <c r="AM9" s="23">
        <f>AL9+'20.05'!AM9</f>
        <v>29235</v>
      </c>
      <c r="AN9" s="22">
        <v>5000</v>
      </c>
      <c r="AO9" s="23">
        <f>AN9+'20.05'!AO9</f>
        <v>132848</v>
      </c>
      <c r="AP9" s="28" t="s">
        <v>43</v>
      </c>
      <c r="AQ9" s="19">
        <f t="shared" si="6"/>
        <v>49</v>
      </c>
      <c r="AR9" s="20">
        <f t="shared" si="7"/>
        <v>2758</v>
      </c>
      <c r="AS9" s="34">
        <v>1</v>
      </c>
      <c r="AT9" s="23">
        <f>AS9+'20.05'!AT9</f>
        <v>9</v>
      </c>
      <c r="AU9" s="34">
        <v>1</v>
      </c>
      <c r="AV9" s="23">
        <f>AU9+'20.05'!AV9</f>
        <v>9</v>
      </c>
      <c r="AW9" s="34">
        <v>1</v>
      </c>
      <c r="AX9" s="23">
        <f>AW9+'20.05'!AX9</f>
        <v>5</v>
      </c>
      <c r="AY9" s="34">
        <v>0</v>
      </c>
      <c r="AZ9" s="23">
        <f>AY9+'20.05'!AZ9</f>
        <v>0</v>
      </c>
      <c r="BA9" s="34">
        <v>46</v>
      </c>
      <c r="BB9" s="23">
        <f>BA9+'20.05'!BB9</f>
        <v>2735</v>
      </c>
      <c r="BC9" s="19">
        <f t="shared" si="9"/>
        <v>421</v>
      </c>
      <c r="BD9" s="20">
        <f t="shared" si="10"/>
        <v>9435</v>
      </c>
      <c r="BE9" s="22">
        <v>1</v>
      </c>
      <c r="BF9" s="23">
        <f>BE9+'20.05'!BF9</f>
        <v>30</v>
      </c>
      <c r="BG9" s="34">
        <v>0</v>
      </c>
      <c r="BH9" s="23">
        <f>BG9+'20.05'!BH9</f>
        <v>0</v>
      </c>
      <c r="BI9" s="22">
        <v>420</v>
      </c>
      <c r="BJ9" s="23">
        <f>BI9+'20.05'!BJ9</f>
        <v>9380</v>
      </c>
      <c r="BK9" s="22">
        <v>0</v>
      </c>
      <c r="BL9" s="23">
        <f>BK9+'20.05'!BL9</f>
        <v>0</v>
      </c>
      <c r="BM9" s="22">
        <v>0</v>
      </c>
      <c r="BN9" s="23">
        <f>BM9+'20.05'!BN9</f>
        <v>25</v>
      </c>
      <c r="BO9" s="36">
        <v>14</v>
      </c>
      <c r="BP9" s="37">
        <v>0</v>
      </c>
      <c r="BQ9" s="23">
        <f>BP9+'20.05'!BQ9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144</v>
      </c>
      <c r="D10" s="31">
        <f t="shared" si="2"/>
        <v>2557</v>
      </c>
      <c r="E10" s="32">
        <v>585</v>
      </c>
      <c r="F10" s="22">
        <v>23</v>
      </c>
      <c r="G10" s="23">
        <f>F10+'20.05'!G10</f>
        <v>292</v>
      </c>
      <c r="H10" s="33">
        <v>93</v>
      </c>
      <c r="I10" s="34">
        <v>2</v>
      </c>
      <c r="J10" s="23">
        <f>I10+'20.05'!J10</f>
        <v>37</v>
      </c>
      <c r="K10" s="33">
        <v>34</v>
      </c>
      <c r="L10" s="22">
        <v>0</v>
      </c>
      <c r="M10" s="23">
        <f>L10+'20.05'!M10</f>
        <v>19</v>
      </c>
      <c r="N10" s="33">
        <v>352</v>
      </c>
      <c r="O10" s="22">
        <v>21</v>
      </c>
      <c r="P10" s="23">
        <f>O10+'20.05'!P10</f>
        <v>214</v>
      </c>
      <c r="Q10" s="33">
        <v>549</v>
      </c>
      <c r="R10" s="22">
        <v>12</v>
      </c>
      <c r="S10" s="23">
        <f>R10+'20.05'!S10</f>
        <v>139</v>
      </c>
      <c r="T10" s="33">
        <v>198</v>
      </c>
      <c r="U10" s="22">
        <v>11</v>
      </c>
      <c r="V10" s="23">
        <f>U10+'20.05'!V10</f>
        <v>103</v>
      </c>
      <c r="W10" s="38">
        <v>55</v>
      </c>
      <c r="X10" s="22">
        <v>0</v>
      </c>
      <c r="Y10" s="23">
        <f>X10+'20.05'!Y10</f>
        <v>68</v>
      </c>
      <c r="Z10" s="38">
        <v>71</v>
      </c>
      <c r="AA10" s="22">
        <v>1</v>
      </c>
      <c r="AB10" s="23">
        <f>AA10+'20.05'!AB10</f>
        <v>39</v>
      </c>
      <c r="AC10" s="38">
        <v>1690</v>
      </c>
      <c r="AD10" s="22">
        <v>74</v>
      </c>
      <c r="AE10" s="23">
        <f>AD10+'20.05'!AE10</f>
        <v>1646</v>
      </c>
      <c r="AF10" s="19">
        <f t="shared" si="3"/>
        <v>120185</v>
      </c>
      <c r="AG10" s="20">
        <f t="shared" si="4"/>
        <v>2337167</v>
      </c>
      <c r="AH10" s="24">
        <v>1519</v>
      </c>
      <c r="AI10" s="23">
        <f>AH10+'20.05'!AI10</f>
        <v>24245</v>
      </c>
      <c r="AJ10" s="24">
        <v>4855</v>
      </c>
      <c r="AK10" s="23">
        <f>AJ10+'20.05'!AK10</f>
        <v>109415</v>
      </c>
      <c r="AL10" s="22">
        <v>13478</v>
      </c>
      <c r="AM10" s="23">
        <f>AL10+'20.05'!AM10</f>
        <v>260534</v>
      </c>
      <c r="AN10" s="22">
        <v>100333</v>
      </c>
      <c r="AO10" s="23">
        <f>AN10+'20.05'!AO10</f>
        <v>1942973</v>
      </c>
      <c r="AP10" s="28" t="s">
        <v>44</v>
      </c>
      <c r="AQ10" s="19">
        <f t="shared" si="6"/>
        <v>4</v>
      </c>
      <c r="AR10" s="20">
        <f t="shared" si="7"/>
        <v>94</v>
      </c>
      <c r="AS10" s="34">
        <v>1</v>
      </c>
      <c r="AT10" s="23">
        <f>AS10+'20.05'!AT10</f>
        <v>5</v>
      </c>
      <c r="AU10" s="34">
        <v>1</v>
      </c>
      <c r="AV10" s="23">
        <f>AU10+'20.05'!AV10</f>
        <v>4</v>
      </c>
      <c r="AW10" s="34">
        <v>0</v>
      </c>
      <c r="AX10" s="23">
        <f>AW10+'20.05'!AX10</f>
        <v>0</v>
      </c>
      <c r="AY10" s="34">
        <v>0</v>
      </c>
      <c r="AZ10" s="23">
        <f>AY10+'20.05'!AZ10</f>
        <v>0</v>
      </c>
      <c r="BA10" s="34">
        <v>2</v>
      </c>
      <c r="BB10" s="23">
        <f>BA10+'20.05'!BB10</f>
        <v>85</v>
      </c>
      <c r="BC10" s="19">
        <f t="shared" si="9"/>
        <v>4579</v>
      </c>
      <c r="BD10" s="20">
        <f t="shared" si="10"/>
        <v>98334</v>
      </c>
      <c r="BE10" s="22">
        <v>601</v>
      </c>
      <c r="BF10" s="23">
        <f>BE10+'20.05'!BF10</f>
        <v>11325</v>
      </c>
      <c r="BG10" s="34">
        <v>5</v>
      </c>
      <c r="BH10" s="23">
        <f>BG10+'20.05'!BH10</f>
        <v>28</v>
      </c>
      <c r="BI10" s="22">
        <v>2880</v>
      </c>
      <c r="BJ10" s="23">
        <f>BI10+'20.05'!BJ10</f>
        <v>52091</v>
      </c>
      <c r="BK10" s="22">
        <v>1093</v>
      </c>
      <c r="BL10" s="23">
        <f>BK10+'20.05'!BL10</f>
        <v>34887</v>
      </c>
      <c r="BM10" s="22">
        <v>0</v>
      </c>
      <c r="BN10" s="23">
        <f>BM10+'20.05'!BN10</f>
        <v>3</v>
      </c>
      <c r="BO10" s="36">
        <v>32</v>
      </c>
      <c r="BP10" s="37">
        <v>2</v>
      </c>
      <c r="BQ10" s="23">
        <f>BP10+'20.05'!BQ10</f>
        <v>13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33</v>
      </c>
      <c r="D11" s="31">
        <f t="shared" si="2"/>
        <v>761</v>
      </c>
      <c r="E11" s="32">
        <v>883</v>
      </c>
      <c r="F11" s="22">
        <v>15</v>
      </c>
      <c r="G11" s="23">
        <f>F11+'20.05'!G11</f>
        <v>375</v>
      </c>
      <c r="H11" s="33">
        <v>16</v>
      </c>
      <c r="I11" s="34">
        <v>0</v>
      </c>
      <c r="J11" s="23">
        <f>I11+'20.05'!J11</f>
        <v>0</v>
      </c>
      <c r="K11" s="33">
        <v>3</v>
      </c>
      <c r="L11" s="22">
        <v>0</v>
      </c>
      <c r="M11" s="23">
        <f>L11+'20.05'!M11</f>
        <v>0</v>
      </c>
      <c r="N11" s="33">
        <v>875</v>
      </c>
      <c r="O11" s="22">
        <v>0</v>
      </c>
      <c r="P11" s="23">
        <f>O11+'20.05'!P11</f>
        <v>0</v>
      </c>
      <c r="Q11" s="33">
        <v>2424</v>
      </c>
      <c r="R11" s="22">
        <v>0</v>
      </c>
      <c r="S11" s="23">
        <f>R11+'20.05'!S11</f>
        <v>0</v>
      </c>
      <c r="T11" s="33">
        <v>69</v>
      </c>
      <c r="U11" s="22">
        <v>0</v>
      </c>
      <c r="V11" s="23">
        <f>U11+'20.05'!V11</f>
        <v>0</v>
      </c>
      <c r="W11" s="38">
        <v>133</v>
      </c>
      <c r="X11" s="22">
        <v>17</v>
      </c>
      <c r="Y11" s="23">
        <f>X11+'20.05'!Y11</f>
        <v>356</v>
      </c>
      <c r="Z11" s="38">
        <v>1116</v>
      </c>
      <c r="AA11" s="22">
        <v>0</v>
      </c>
      <c r="AB11" s="23">
        <f>AA11+'20.05'!AB11</f>
        <v>0</v>
      </c>
      <c r="AC11" s="38">
        <v>9862</v>
      </c>
      <c r="AD11" s="22">
        <v>1</v>
      </c>
      <c r="AE11" s="23">
        <f>AD11+'20.05'!AE11</f>
        <v>30</v>
      </c>
      <c r="AF11" s="19">
        <f t="shared" si="3"/>
        <v>16900</v>
      </c>
      <c r="AG11" s="20">
        <f t="shared" si="4"/>
        <v>411600</v>
      </c>
      <c r="AH11" s="24">
        <v>2200</v>
      </c>
      <c r="AI11" s="23">
        <f>AH11+'20.05'!AI11</f>
        <v>50000</v>
      </c>
      <c r="AJ11" s="24">
        <v>3200</v>
      </c>
      <c r="AK11" s="23">
        <f>AJ11+'20.05'!AK11</f>
        <v>59900</v>
      </c>
      <c r="AL11" s="22">
        <v>3000</v>
      </c>
      <c r="AM11" s="23">
        <f>AL11+'20.05'!AM11</f>
        <v>93100</v>
      </c>
      <c r="AN11" s="22">
        <v>8500</v>
      </c>
      <c r="AO11" s="23">
        <f>AN11+'20.05'!AO11</f>
        <v>208600</v>
      </c>
      <c r="AP11" s="28" t="s">
        <v>45</v>
      </c>
      <c r="AQ11" s="19">
        <f t="shared" si="6"/>
        <v>3</v>
      </c>
      <c r="AR11" s="20">
        <f t="shared" si="7"/>
        <v>53</v>
      </c>
      <c r="AS11" s="34">
        <v>0</v>
      </c>
      <c r="AT11" s="23">
        <f>AS11+'20.05'!AT11</f>
        <v>0</v>
      </c>
      <c r="AU11" s="34">
        <v>0</v>
      </c>
      <c r="AV11" s="23">
        <f>AU11+'20.05'!AV11</f>
        <v>0</v>
      </c>
      <c r="AW11" s="34">
        <v>0</v>
      </c>
      <c r="AX11" s="23">
        <f>AW11+'20.05'!AX11</f>
        <v>0</v>
      </c>
      <c r="AY11" s="34">
        <v>0</v>
      </c>
      <c r="AZ11" s="23">
        <f>AY11+'20.05'!AZ11</f>
        <v>0</v>
      </c>
      <c r="BA11" s="34">
        <v>3</v>
      </c>
      <c r="BB11" s="23">
        <f>BA11+'20.05'!BB11</f>
        <v>53</v>
      </c>
      <c r="BC11" s="19">
        <f t="shared" si="9"/>
        <v>507</v>
      </c>
      <c r="BD11" s="20">
        <f t="shared" si="10"/>
        <v>13638</v>
      </c>
      <c r="BE11" s="22">
        <v>4</v>
      </c>
      <c r="BF11" s="23">
        <f>BE11+'20.05'!BF11</f>
        <v>40</v>
      </c>
      <c r="BG11" s="34">
        <v>4</v>
      </c>
      <c r="BH11" s="23">
        <f>BG11+'20.05'!BH11</f>
        <v>65</v>
      </c>
      <c r="BI11" s="22">
        <v>480</v>
      </c>
      <c r="BJ11" s="23">
        <f>BI11+'20.05'!BJ11</f>
        <v>13178</v>
      </c>
      <c r="BK11" s="22">
        <v>16</v>
      </c>
      <c r="BL11" s="23">
        <f>BK11+'20.05'!BL11</f>
        <v>316</v>
      </c>
      <c r="BM11" s="22">
        <v>3</v>
      </c>
      <c r="BN11" s="23">
        <f>BM11+'20.05'!BN11</f>
        <v>39</v>
      </c>
      <c r="BO11" s="36">
        <v>11506</v>
      </c>
      <c r="BP11" s="37">
        <v>4</v>
      </c>
      <c r="BQ11" s="23">
        <f>BP11+'20.05'!BQ11</f>
        <v>60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265</v>
      </c>
      <c r="D12" s="31">
        <f t="shared" si="2"/>
        <v>4672</v>
      </c>
      <c r="E12" s="32">
        <v>909</v>
      </c>
      <c r="F12" s="22">
        <v>87</v>
      </c>
      <c r="G12" s="23">
        <f>F12+'20.05'!G12</f>
        <v>1127</v>
      </c>
      <c r="H12" s="33">
        <v>80</v>
      </c>
      <c r="I12" s="34">
        <v>2</v>
      </c>
      <c r="J12" s="23">
        <f>I12+'20.05'!J12</f>
        <v>52</v>
      </c>
      <c r="K12" s="33">
        <v>5</v>
      </c>
      <c r="L12" s="22">
        <v>0</v>
      </c>
      <c r="M12" s="23">
        <f>L12+'20.05'!M12</f>
        <v>0</v>
      </c>
      <c r="N12" s="33">
        <v>820</v>
      </c>
      <c r="O12" s="22">
        <v>20</v>
      </c>
      <c r="P12" s="23">
        <f>O12+'20.05'!P12</f>
        <v>377</v>
      </c>
      <c r="Q12" s="33">
        <v>549</v>
      </c>
      <c r="R12" s="22">
        <v>0</v>
      </c>
      <c r="S12" s="23">
        <f>R12+'20.05'!S12</f>
        <v>0</v>
      </c>
      <c r="T12" s="33">
        <v>992</v>
      </c>
      <c r="U12" s="22">
        <v>0</v>
      </c>
      <c r="V12" s="23">
        <f>U12+'20.05'!V12</f>
        <v>0</v>
      </c>
      <c r="W12" s="33">
        <v>38</v>
      </c>
      <c r="X12" s="22">
        <v>118</v>
      </c>
      <c r="Y12" s="23">
        <f>X12+'20.05'!Y12</f>
        <v>2380</v>
      </c>
      <c r="Z12" s="33">
        <v>68</v>
      </c>
      <c r="AA12" s="22">
        <v>0</v>
      </c>
      <c r="AB12" s="23">
        <f>AA12+'20.05'!AB12</f>
        <v>0</v>
      </c>
      <c r="AC12" s="33">
        <v>26703</v>
      </c>
      <c r="AD12" s="22">
        <v>38</v>
      </c>
      <c r="AE12" s="23">
        <f>AD12+'20.05'!AE12</f>
        <v>736</v>
      </c>
      <c r="AF12" s="19">
        <f t="shared" si="3"/>
        <v>18245</v>
      </c>
      <c r="AG12" s="20">
        <f t="shared" si="4"/>
        <v>320727</v>
      </c>
      <c r="AH12" s="24">
        <v>910</v>
      </c>
      <c r="AI12" s="23">
        <f>AH12+'20.05'!AI12</f>
        <v>47566</v>
      </c>
      <c r="AJ12" s="24">
        <v>9015</v>
      </c>
      <c r="AK12" s="23">
        <f>AJ12+'20.05'!AK12</f>
        <v>99645</v>
      </c>
      <c r="AL12" s="22">
        <v>4160</v>
      </c>
      <c r="AM12" s="23">
        <f>AL12+'20.05'!AM12</f>
        <v>86756</v>
      </c>
      <c r="AN12" s="22">
        <v>4160</v>
      </c>
      <c r="AO12" s="23">
        <f>AN12+'20.05'!AO12</f>
        <v>86760</v>
      </c>
      <c r="AP12" s="28" t="s">
        <v>46</v>
      </c>
      <c r="AQ12" s="19">
        <f t="shared" si="6"/>
        <v>50</v>
      </c>
      <c r="AR12" s="20">
        <f t="shared" si="7"/>
        <v>1756</v>
      </c>
      <c r="AS12" s="34">
        <v>0</v>
      </c>
      <c r="AT12" s="23">
        <f>AS12+'20.05'!AT12</f>
        <v>0</v>
      </c>
      <c r="AU12" s="34">
        <v>0</v>
      </c>
      <c r="AV12" s="23">
        <f>AU12+'20.05'!AV12</f>
        <v>0</v>
      </c>
      <c r="AW12" s="34">
        <v>0</v>
      </c>
      <c r="AX12" s="23">
        <f>AW12+'20.05'!AX12</f>
        <v>0</v>
      </c>
      <c r="AY12" s="34">
        <v>0</v>
      </c>
      <c r="AZ12" s="23">
        <f>AY12+'20.05'!AZ12</f>
        <v>0</v>
      </c>
      <c r="BA12" s="34">
        <v>50</v>
      </c>
      <c r="BB12" s="23">
        <f>BA12+'20.05'!BB12</f>
        <v>1756</v>
      </c>
      <c r="BC12" s="19">
        <f t="shared" si="9"/>
        <v>2638</v>
      </c>
      <c r="BD12" s="20">
        <f t="shared" si="10"/>
        <v>59031</v>
      </c>
      <c r="BE12" s="22">
        <v>165</v>
      </c>
      <c r="BF12" s="23">
        <f>BE12+'20.05'!BF12</f>
        <v>3959</v>
      </c>
      <c r="BG12" s="34">
        <v>8</v>
      </c>
      <c r="BH12" s="23">
        <f>BG12+'20.05'!BH12</f>
        <v>187</v>
      </c>
      <c r="BI12" s="22">
        <v>2000</v>
      </c>
      <c r="BJ12" s="23">
        <f>BI12+'20.05'!BJ12</f>
        <v>47900</v>
      </c>
      <c r="BK12" s="22">
        <v>400</v>
      </c>
      <c r="BL12" s="23">
        <f>BK12+'20.05'!BL12</f>
        <v>5950</v>
      </c>
      <c r="BM12" s="22">
        <v>65</v>
      </c>
      <c r="BN12" s="23">
        <f>BM12+'20.05'!BN12</f>
        <v>1035</v>
      </c>
      <c r="BO12" s="36"/>
      <c r="BP12" s="37">
        <v>3</v>
      </c>
      <c r="BQ12" s="23">
        <f>BP12+'20.05'!BQ12</f>
        <v>37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4</v>
      </c>
      <c r="D13" s="31">
        <f t="shared" si="2"/>
        <v>286</v>
      </c>
      <c r="E13" s="32">
        <v>516</v>
      </c>
      <c r="F13" s="22">
        <v>1</v>
      </c>
      <c r="G13" s="23">
        <f>F13+'20.05'!G13</f>
        <v>21</v>
      </c>
      <c r="H13" s="33">
        <v>10</v>
      </c>
      <c r="I13" s="34">
        <v>1</v>
      </c>
      <c r="J13" s="23">
        <f>I13+'20.05'!J13</f>
        <v>10</v>
      </c>
      <c r="K13" s="33">
        <v>38</v>
      </c>
      <c r="L13" s="22">
        <v>0</v>
      </c>
      <c r="M13" s="23">
        <f>L13+'20.05'!M13</f>
        <v>0</v>
      </c>
      <c r="N13" s="33">
        <v>581</v>
      </c>
      <c r="O13" s="22">
        <v>1</v>
      </c>
      <c r="P13" s="23">
        <f>O13+'20.05'!P13</f>
        <v>10</v>
      </c>
      <c r="Q13" s="33">
        <v>525</v>
      </c>
      <c r="R13" s="22">
        <v>0</v>
      </c>
      <c r="S13" s="23">
        <f>R13+'20.05'!S13</f>
        <v>0</v>
      </c>
      <c r="T13" s="33">
        <v>263</v>
      </c>
      <c r="U13" s="22">
        <v>0</v>
      </c>
      <c r="V13" s="23">
        <f>U13+'20.05'!V13</f>
        <v>0</v>
      </c>
      <c r="W13" s="33">
        <v>43</v>
      </c>
      <c r="X13" s="22">
        <v>0</v>
      </c>
      <c r="Y13" s="23">
        <f>X13+'20.05'!Y13</f>
        <v>1</v>
      </c>
      <c r="Z13" s="33">
        <v>17</v>
      </c>
      <c r="AA13" s="22">
        <v>0</v>
      </c>
      <c r="AB13" s="23">
        <f>AA13+'20.05'!AB13</f>
        <v>0</v>
      </c>
      <c r="AC13" s="33">
        <v>51</v>
      </c>
      <c r="AD13" s="22">
        <v>1</v>
      </c>
      <c r="AE13" s="23">
        <f>AD13+'20.05'!AE13</f>
        <v>244</v>
      </c>
      <c r="AF13" s="19">
        <f t="shared" si="3"/>
        <v>237000</v>
      </c>
      <c r="AG13" s="20">
        <f t="shared" si="4"/>
        <v>5314000</v>
      </c>
      <c r="AH13" s="24">
        <v>2000</v>
      </c>
      <c r="AI13" s="23">
        <f>AH13+'20.05'!AI13</f>
        <v>65000</v>
      </c>
      <c r="AJ13" s="24">
        <v>15000</v>
      </c>
      <c r="AK13" s="23">
        <f>AJ13+'20.05'!AK13</f>
        <v>440000</v>
      </c>
      <c r="AL13" s="22">
        <v>20000</v>
      </c>
      <c r="AM13" s="23">
        <f>AL13+'20.05'!AM13</f>
        <v>450000</v>
      </c>
      <c r="AN13" s="22">
        <v>200000</v>
      </c>
      <c r="AO13" s="23">
        <f>AN13+'20.05'!AO13</f>
        <v>4359000</v>
      </c>
      <c r="AP13" s="28" t="s">
        <v>47</v>
      </c>
      <c r="AQ13" s="19">
        <f t="shared" si="6"/>
        <v>8</v>
      </c>
      <c r="AR13" s="20">
        <f t="shared" si="7"/>
        <v>472</v>
      </c>
      <c r="AS13" s="34">
        <v>1</v>
      </c>
      <c r="AT13" s="23">
        <f>AS13+'20.05'!AT13</f>
        <v>18</v>
      </c>
      <c r="AU13" s="34">
        <v>0</v>
      </c>
      <c r="AV13" s="23">
        <f>AU13+'20.05'!AV13</f>
        <v>19</v>
      </c>
      <c r="AW13" s="34">
        <v>0</v>
      </c>
      <c r="AX13" s="23">
        <f>AW13+'20.05'!AX13</f>
        <v>0</v>
      </c>
      <c r="AY13" s="34">
        <v>0</v>
      </c>
      <c r="AZ13" s="23">
        <f>AY13+'20.05'!AZ13</f>
        <v>0</v>
      </c>
      <c r="BA13" s="34">
        <v>7</v>
      </c>
      <c r="BB13" s="23">
        <f>BA13+'20.05'!BB13</f>
        <v>435</v>
      </c>
      <c r="BC13" s="19">
        <f t="shared" si="9"/>
        <v>8737</v>
      </c>
      <c r="BD13" s="20">
        <f t="shared" si="10"/>
        <v>229170</v>
      </c>
      <c r="BE13" s="22">
        <v>516</v>
      </c>
      <c r="BF13" s="23">
        <f>BE13+'20.05'!BF13</f>
        <v>10836</v>
      </c>
      <c r="BG13" s="34">
        <v>54</v>
      </c>
      <c r="BH13" s="23">
        <f>BG13+'20.05'!BH13</f>
        <v>454</v>
      </c>
      <c r="BI13" s="22">
        <v>8000</v>
      </c>
      <c r="BJ13" s="23">
        <f>BI13+'20.05'!BJ13</f>
        <v>212500</v>
      </c>
      <c r="BK13" s="22">
        <v>100</v>
      </c>
      <c r="BL13" s="23">
        <f>BK13+'20.05'!BL13</f>
        <v>4520</v>
      </c>
      <c r="BM13" s="22">
        <v>67</v>
      </c>
      <c r="BN13" s="23">
        <f>BM13+'20.05'!BN13</f>
        <v>860</v>
      </c>
      <c r="BO13" s="36"/>
      <c r="BP13" s="37">
        <v>0</v>
      </c>
      <c r="BQ13" s="23">
        <f>BP13+'20.05'!BQ13</f>
        <v>13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1"/>
        <v>123</v>
      </c>
      <c r="D14" s="42">
        <f t="shared" si="2"/>
        <v>2355</v>
      </c>
      <c r="E14" s="43">
        <v>304</v>
      </c>
      <c r="F14" s="22">
        <v>112</v>
      </c>
      <c r="G14" s="23">
        <f>F14+'20.05'!G14</f>
        <v>2002</v>
      </c>
      <c r="H14" s="44">
        <v>5</v>
      </c>
      <c r="I14" s="45">
        <v>0</v>
      </c>
      <c r="J14" s="23">
        <f>I14+'20.05'!J14</f>
        <v>0</v>
      </c>
      <c r="K14" s="44">
        <v>34</v>
      </c>
      <c r="L14" s="22">
        <v>0</v>
      </c>
      <c r="M14" s="23">
        <f>L14+'20.05'!M14</f>
        <v>0</v>
      </c>
      <c r="N14" s="44">
        <v>583</v>
      </c>
      <c r="O14" s="22">
        <v>0</v>
      </c>
      <c r="P14" s="23">
        <f>O14+'20.05'!P14</f>
        <v>0</v>
      </c>
      <c r="Q14" s="44">
        <v>254</v>
      </c>
      <c r="R14" s="22">
        <v>0</v>
      </c>
      <c r="S14" s="23">
        <f>R14+'20.05'!S14</f>
        <v>0</v>
      </c>
      <c r="T14" s="44">
        <v>196</v>
      </c>
      <c r="U14" s="22">
        <v>0</v>
      </c>
      <c r="V14" s="23">
        <f>U14+'20.05'!V14</f>
        <v>0</v>
      </c>
      <c r="W14" s="44">
        <v>30</v>
      </c>
      <c r="X14" s="22">
        <v>7</v>
      </c>
      <c r="Y14" s="23">
        <f>X14+'20.05'!Y14</f>
        <v>269</v>
      </c>
      <c r="Z14" s="44">
        <v>10</v>
      </c>
      <c r="AA14" s="22">
        <v>0</v>
      </c>
      <c r="AB14" s="23">
        <f>AA14+'20.05'!AB14</f>
        <v>0</v>
      </c>
      <c r="AC14" s="44">
        <v>2500</v>
      </c>
      <c r="AD14" s="22">
        <v>4</v>
      </c>
      <c r="AE14" s="23">
        <f>AD14+'20.05'!AE14</f>
        <v>84</v>
      </c>
      <c r="AF14" s="19">
        <f t="shared" si="3"/>
        <v>131100</v>
      </c>
      <c r="AG14" s="20">
        <f t="shared" si="4"/>
        <v>2286240</v>
      </c>
      <c r="AH14" s="24">
        <v>3800</v>
      </c>
      <c r="AI14" s="23">
        <f>AH14+'20.05'!AI14</f>
        <v>69460</v>
      </c>
      <c r="AJ14" s="24">
        <v>5500</v>
      </c>
      <c r="AK14" s="23">
        <f>AJ14+'20.05'!AK14</f>
        <v>126150</v>
      </c>
      <c r="AL14" s="22">
        <v>9700</v>
      </c>
      <c r="AM14" s="23">
        <f>AL14+'20.05'!AM14</f>
        <v>153550</v>
      </c>
      <c r="AN14" s="22">
        <v>112100</v>
      </c>
      <c r="AO14" s="23">
        <f>AN14+'20.05'!AO14</f>
        <v>1937080</v>
      </c>
      <c r="AP14" s="39" t="s">
        <v>48</v>
      </c>
      <c r="AQ14" s="19">
        <f t="shared" si="6"/>
        <v>4</v>
      </c>
      <c r="AR14" s="20">
        <f t="shared" si="7"/>
        <v>74</v>
      </c>
      <c r="AS14" s="45">
        <v>0</v>
      </c>
      <c r="AT14" s="23">
        <f>AS14+'20.05'!AT14</f>
        <v>0</v>
      </c>
      <c r="AU14" s="45">
        <v>0</v>
      </c>
      <c r="AV14" s="23">
        <f>AU14+'20.05'!AV14</f>
        <v>4</v>
      </c>
      <c r="AW14" s="45">
        <v>0</v>
      </c>
      <c r="AX14" s="23">
        <f>AW14+'20.05'!AX14</f>
        <v>4</v>
      </c>
      <c r="AY14" s="45">
        <v>0</v>
      </c>
      <c r="AZ14" s="23">
        <f>AY14+'20.05'!AZ14</f>
        <v>2</v>
      </c>
      <c r="BA14" s="45">
        <v>4</v>
      </c>
      <c r="BB14" s="23">
        <f>BA14+'20.05'!BB14</f>
        <v>64</v>
      </c>
      <c r="BC14" s="19">
        <f t="shared" si="9"/>
        <v>1518</v>
      </c>
      <c r="BD14" s="20">
        <f t="shared" si="10"/>
        <v>45720</v>
      </c>
      <c r="BE14" s="22">
        <v>4</v>
      </c>
      <c r="BF14" s="23">
        <f>BE14+'20.05'!BF14</f>
        <v>67</v>
      </c>
      <c r="BG14" s="45">
        <v>2</v>
      </c>
      <c r="BH14" s="23">
        <f>BG14+'20.05'!BH14</f>
        <v>32</v>
      </c>
      <c r="BI14" s="22">
        <v>1500</v>
      </c>
      <c r="BJ14" s="23">
        <f>BI14+'20.05'!BJ14</f>
        <v>45480</v>
      </c>
      <c r="BK14" s="22">
        <v>8</v>
      </c>
      <c r="BL14" s="23">
        <f>BK14+'20.05'!BL14</f>
        <v>97</v>
      </c>
      <c r="BM14" s="22">
        <v>4</v>
      </c>
      <c r="BN14" s="23">
        <f>BM14+'20.05'!BN14</f>
        <v>44</v>
      </c>
      <c r="BO14" s="48">
        <v>22</v>
      </c>
      <c r="BP14" s="49">
        <v>0</v>
      </c>
      <c r="BQ14" s="23">
        <f>BP14+'20.05'!BQ14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450</v>
      </c>
      <c r="D15" s="53">
        <f t="shared" si="2"/>
        <v>9227</v>
      </c>
      <c r="E15" s="54">
        <v>776</v>
      </c>
      <c r="F15" s="55">
        <v>394</v>
      </c>
      <c r="G15" s="23">
        <f>F15+'20.05'!G15</f>
        <v>7297</v>
      </c>
      <c r="H15" s="56">
        <v>9</v>
      </c>
      <c r="I15" s="57">
        <v>0</v>
      </c>
      <c r="J15" s="23">
        <f>I15+'20.05'!J15</f>
        <v>0</v>
      </c>
      <c r="K15" s="56">
        <v>6</v>
      </c>
      <c r="L15" s="55">
        <v>0</v>
      </c>
      <c r="M15" s="23">
        <f>L15+'20.05'!M15</f>
        <v>0</v>
      </c>
      <c r="N15" s="56">
        <v>1305</v>
      </c>
      <c r="O15" s="55">
        <v>0</v>
      </c>
      <c r="P15" s="23">
        <f>O15+'20.05'!P15</f>
        <v>0</v>
      </c>
      <c r="Q15" s="56">
        <v>447</v>
      </c>
      <c r="R15" s="55">
        <v>0</v>
      </c>
      <c r="S15" s="23">
        <f>R15+'20.05'!S15</f>
        <v>0</v>
      </c>
      <c r="T15" s="56">
        <v>337</v>
      </c>
      <c r="U15" s="55">
        <v>0</v>
      </c>
      <c r="V15" s="23">
        <f>U15+'20.05'!V15</f>
        <v>0</v>
      </c>
      <c r="W15" s="56">
        <v>78</v>
      </c>
      <c r="X15" s="55">
        <v>0</v>
      </c>
      <c r="Y15" s="23">
        <f>X15+'20.05'!Y15</f>
        <v>0</v>
      </c>
      <c r="Z15" s="56">
        <v>141</v>
      </c>
      <c r="AA15" s="55">
        <v>0</v>
      </c>
      <c r="AB15" s="23">
        <f>AA15+'20.05'!AB15</f>
        <v>0</v>
      </c>
      <c r="AC15" s="56">
        <v>798</v>
      </c>
      <c r="AD15" s="55">
        <v>56</v>
      </c>
      <c r="AE15" s="23">
        <f>AD15+'20.05'!AE15</f>
        <v>1930</v>
      </c>
      <c r="AF15" s="58">
        <f t="shared" si="3"/>
        <v>1663331</v>
      </c>
      <c r="AG15" s="59">
        <f t="shared" si="4"/>
        <v>45477087</v>
      </c>
      <c r="AH15" s="60">
        <v>790</v>
      </c>
      <c r="AI15" s="23">
        <f>AH15+'20.05'!AI15</f>
        <v>17764</v>
      </c>
      <c r="AJ15" s="60">
        <v>2569</v>
      </c>
      <c r="AK15" s="23">
        <f>AJ15+'20.05'!AK15</f>
        <v>59921</v>
      </c>
      <c r="AL15" s="55">
        <v>829986</v>
      </c>
      <c r="AM15" s="23">
        <f>AL15+'20.05'!AM15</f>
        <v>27049701</v>
      </c>
      <c r="AN15" s="55">
        <v>829986</v>
      </c>
      <c r="AO15" s="23">
        <f>AN15+'20.05'!AO15</f>
        <v>18349701</v>
      </c>
      <c r="AP15" s="50" t="s">
        <v>49</v>
      </c>
      <c r="AQ15" s="58">
        <f t="shared" si="6"/>
        <v>1</v>
      </c>
      <c r="AR15" s="59">
        <f t="shared" si="7"/>
        <v>54</v>
      </c>
      <c r="AS15" s="57">
        <v>0</v>
      </c>
      <c r="AT15" s="23">
        <f>AS15+'20.05'!AT15</f>
        <v>2</v>
      </c>
      <c r="AU15" s="57">
        <v>0</v>
      </c>
      <c r="AV15" s="23">
        <f>AU15+'20.05'!AV15</f>
        <v>5</v>
      </c>
      <c r="AW15" s="57">
        <v>0</v>
      </c>
      <c r="AX15" s="23">
        <f>AW15+'20.05'!AX15</f>
        <v>5</v>
      </c>
      <c r="AY15" s="57">
        <v>0</v>
      </c>
      <c r="AZ15" s="23">
        <f>AY15+'20.05'!AZ15</f>
        <v>1</v>
      </c>
      <c r="BA15" s="57">
        <v>1</v>
      </c>
      <c r="BB15" s="23">
        <f>BA15+'20.05'!BB15</f>
        <v>41</v>
      </c>
      <c r="BC15" s="58">
        <f t="shared" si="9"/>
        <v>1265</v>
      </c>
      <c r="BD15" s="59">
        <f t="shared" si="10"/>
        <v>31736</v>
      </c>
      <c r="BE15" s="55">
        <v>79</v>
      </c>
      <c r="BF15" s="23">
        <f>BE15+'20.05'!BF15</f>
        <v>1615</v>
      </c>
      <c r="BG15" s="57">
        <v>1</v>
      </c>
      <c r="BH15" s="23">
        <f>BG15+'20.05'!BH15</f>
        <v>27</v>
      </c>
      <c r="BI15" s="55">
        <v>599</v>
      </c>
      <c r="BJ15" s="23">
        <f>BI15+'20.05'!BJ15</f>
        <v>15138</v>
      </c>
      <c r="BK15" s="55">
        <v>571</v>
      </c>
      <c r="BL15" s="23">
        <f>BK15+'20.05'!BL15</f>
        <v>14622</v>
      </c>
      <c r="BM15" s="55">
        <v>15</v>
      </c>
      <c r="BN15" s="23">
        <f>BM15+'20.05'!BN15</f>
        <v>334</v>
      </c>
      <c r="BO15" s="36">
        <v>6274</v>
      </c>
      <c r="BP15" s="37">
        <v>1</v>
      </c>
      <c r="BQ15" s="23">
        <f>BP15+'20.05'!BQ15</f>
        <v>14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132</v>
      </c>
      <c r="D16" s="31">
        <f t="shared" si="2"/>
        <v>2878</v>
      </c>
      <c r="E16" s="32">
        <v>310</v>
      </c>
      <c r="F16" s="22">
        <v>51</v>
      </c>
      <c r="G16" s="23">
        <f>F16+'20.05'!G16</f>
        <v>995</v>
      </c>
      <c r="H16" s="33">
        <v>5</v>
      </c>
      <c r="I16" s="34">
        <v>0</v>
      </c>
      <c r="J16" s="23">
        <f>I16+'20.05'!J16</f>
        <v>0</v>
      </c>
      <c r="K16" s="33">
        <v>3</v>
      </c>
      <c r="L16" s="22">
        <v>0</v>
      </c>
      <c r="M16" s="23">
        <f>L16+'20.05'!M16</f>
        <v>0</v>
      </c>
      <c r="N16" s="33">
        <v>384</v>
      </c>
      <c r="O16" s="22">
        <v>0</v>
      </c>
      <c r="P16" s="23">
        <f>O16+'20.05'!P16</f>
        <v>0</v>
      </c>
      <c r="Q16" s="33">
        <v>245</v>
      </c>
      <c r="R16" s="22">
        <v>0</v>
      </c>
      <c r="S16" s="23">
        <f>R16+'20.05'!S16</f>
        <v>0</v>
      </c>
      <c r="T16" s="33">
        <v>397</v>
      </c>
      <c r="U16" s="22">
        <v>0</v>
      </c>
      <c r="V16" s="23">
        <f>U16+'20.05'!V16</f>
        <v>0</v>
      </c>
      <c r="W16" s="33">
        <v>24</v>
      </c>
      <c r="X16" s="22">
        <v>42</v>
      </c>
      <c r="Y16" s="23">
        <f>X16+'20.05'!Y16</f>
        <v>1014</v>
      </c>
      <c r="Z16" s="33">
        <v>18</v>
      </c>
      <c r="AA16" s="22">
        <v>0</v>
      </c>
      <c r="AB16" s="23">
        <f>AA16+'20.05'!AB16</f>
        <v>0</v>
      </c>
      <c r="AC16" s="33">
        <v>18515</v>
      </c>
      <c r="AD16" s="22">
        <v>39</v>
      </c>
      <c r="AE16" s="23">
        <f>AD16+'20.05'!AE16</f>
        <v>869</v>
      </c>
      <c r="AF16" s="19">
        <f t="shared" si="3"/>
        <v>65679</v>
      </c>
      <c r="AG16" s="20">
        <f t="shared" si="4"/>
        <v>1251801</v>
      </c>
      <c r="AH16" s="24">
        <v>168</v>
      </c>
      <c r="AI16" s="23">
        <f>AH16+'20.05'!AI16</f>
        <v>3352</v>
      </c>
      <c r="AJ16" s="24">
        <v>1595</v>
      </c>
      <c r="AK16" s="23">
        <f>AJ16+'20.05'!AK16</f>
        <v>28249</v>
      </c>
      <c r="AL16" s="22">
        <v>1532</v>
      </c>
      <c r="AM16" s="23">
        <f>AL16+'20.05'!AM16</f>
        <v>32335</v>
      </c>
      <c r="AN16" s="22">
        <v>62384</v>
      </c>
      <c r="AO16" s="23">
        <f>AN16+'20.05'!AO16</f>
        <v>1187865</v>
      </c>
      <c r="AP16" s="28" t="s">
        <v>51</v>
      </c>
      <c r="AQ16" s="19">
        <f t="shared" si="6"/>
        <v>87</v>
      </c>
      <c r="AR16" s="20">
        <f t="shared" si="7"/>
        <v>1612</v>
      </c>
      <c r="AS16" s="34">
        <v>0</v>
      </c>
      <c r="AT16" s="23">
        <f>AS16+'20.05'!AT16</f>
        <v>3</v>
      </c>
      <c r="AU16" s="34">
        <v>0</v>
      </c>
      <c r="AV16" s="23">
        <f>AU16+'20.05'!AV16</f>
        <v>0</v>
      </c>
      <c r="AW16" s="34">
        <v>0</v>
      </c>
      <c r="AX16" s="23">
        <f>AW16+'20.05'!AX16</f>
        <v>0</v>
      </c>
      <c r="AY16" s="34">
        <v>0</v>
      </c>
      <c r="AZ16" s="23">
        <f>AY16+'20.05'!AZ16</f>
        <v>0</v>
      </c>
      <c r="BA16" s="34">
        <v>87</v>
      </c>
      <c r="BB16" s="23">
        <f>BA16+'20.05'!BB16</f>
        <v>1609</v>
      </c>
      <c r="BC16" s="19">
        <f t="shared" si="9"/>
        <v>1594</v>
      </c>
      <c r="BD16" s="20">
        <f t="shared" si="10"/>
        <v>28310</v>
      </c>
      <c r="BE16" s="22">
        <v>79</v>
      </c>
      <c r="BF16" s="23">
        <f>BE16+'20.05'!BF16</f>
        <v>1518</v>
      </c>
      <c r="BG16" s="34">
        <v>0</v>
      </c>
      <c r="BH16" s="23">
        <f>BG16+'20.05'!BH16</f>
        <v>0</v>
      </c>
      <c r="BI16" s="22">
        <v>1463</v>
      </c>
      <c r="BJ16" s="23">
        <f>BI16+'20.05'!BJ16</f>
        <v>25759</v>
      </c>
      <c r="BK16" s="22">
        <v>43</v>
      </c>
      <c r="BL16" s="23">
        <f>BK16+'20.05'!BL16</f>
        <v>902</v>
      </c>
      <c r="BM16" s="22">
        <v>9</v>
      </c>
      <c r="BN16" s="23">
        <f>BM16+'20.05'!BN16</f>
        <v>131</v>
      </c>
      <c r="BO16" s="36">
        <v>2546</v>
      </c>
      <c r="BP16" s="37">
        <v>0</v>
      </c>
      <c r="BQ16" s="23">
        <f>BP16+'20.05'!BQ16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160</v>
      </c>
      <c r="D17" s="31">
        <f t="shared" si="2"/>
        <v>3514</v>
      </c>
      <c r="E17" s="32">
        <v>754</v>
      </c>
      <c r="F17" s="22">
        <v>138</v>
      </c>
      <c r="G17" s="23">
        <f>F17+'20.05'!G17</f>
        <v>2995</v>
      </c>
      <c r="H17" s="33">
        <v>9</v>
      </c>
      <c r="I17" s="34">
        <v>0</v>
      </c>
      <c r="J17" s="23">
        <f>I17+'20.05'!J17</f>
        <v>0</v>
      </c>
      <c r="K17" s="33">
        <v>5</v>
      </c>
      <c r="L17" s="22">
        <v>0</v>
      </c>
      <c r="M17" s="23">
        <f>L17+'20.05'!M17</f>
        <v>0</v>
      </c>
      <c r="N17" s="33">
        <v>768</v>
      </c>
      <c r="O17" s="22">
        <v>0</v>
      </c>
      <c r="P17" s="23">
        <f>O17+'20.05'!P17</f>
        <v>0</v>
      </c>
      <c r="Q17" s="33">
        <v>624</v>
      </c>
      <c r="R17" s="22">
        <v>0</v>
      </c>
      <c r="S17" s="23">
        <f>R17+'20.05'!S17</f>
        <v>0</v>
      </c>
      <c r="T17" s="33">
        <v>742</v>
      </c>
      <c r="U17" s="22">
        <v>0</v>
      </c>
      <c r="V17" s="23">
        <f>U17+'20.05'!V17</f>
        <v>0</v>
      </c>
      <c r="W17" s="33">
        <v>54</v>
      </c>
      <c r="X17" s="22">
        <v>10</v>
      </c>
      <c r="Y17" s="23">
        <f>X17+'20.05'!Y17</f>
        <v>278</v>
      </c>
      <c r="Z17" s="33">
        <v>66</v>
      </c>
      <c r="AA17" s="22">
        <v>0</v>
      </c>
      <c r="AB17" s="23">
        <f>AA17+'20.05'!AB17</f>
        <v>0</v>
      </c>
      <c r="AC17" s="33">
        <v>2580</v>
      </c>
      <c r="AD17" s="22">
        <v>12</v>
      </c>
      <c r="AE17" s="23">
        <f>AD17+'20.05'!AE17</f>
        <v>241</v>
      </c>
      <c r="AF17" s="19">
        <f t="shared" si="3"/>
        <v>95100</v>
      </c>
      <c r="AG17" s="20">
        <f t="shared" si="4"/>
        <v>2102100</v>
      </c>
      <c r="AH17" s="24">
        <v>6000</v>
      </c>
      <c r="AI17" s="23">
        <f>AH17+'20.05'!AI17</f>
        <v>132500</v>
      </c>
      <c r="AJ17" s="24">
        <v>10100</v>
      </c>
      <c r="AK17" s="23">
        <f>AJ17+'20.05'!AK17</f>
        <v>211500</v>
      </c>
      <c r="AL17" s="22">
        <v>18000</v>
      </c>
      <c r="AM17" s="23">
        <f>AL17+'20.05'!AM17</f>
        <v>449700</v>
      </c>
      <c r="AN17" s="22">
        <v>61000</v>
      </c>
      <c r="AO17" s="23">
        <f>AN17+'20.05'!AO17</f>
        <v>1308400</v>
      </c>
      <c r="AP17" s="28" t="s">
        <v>52</v>
      </c>
      <c r="AQ17" s="19">
        <f t="shared" si="6"/>
        <v>15</v>
      </c>
      <c r="AR17" s="20">
        <f t="shared" si="7"/>
        <v>395</v>
      </c>
      <c r="AS17" s="34">
        <v>0</v>
      </c>
      <c r="AT17" s="23">
        <f>AS17+'20.05'!AT17</f>
        <v>19</v>
      </c>
      <c r="AU17" s="34">
        <v>3</v>
      </c>
      <c r="AV17" s="23">
        <f>AU17+'20.05'!AV17</f>
        <v>37</v>
      </c>
      <c r="AW17" s="34">
        <v>0</v>
      </c>
      <c r="AX17" s="23">
        <f>AW17+'20.05'!AX17</f>
        <v>0</v>
      </c>
      <c r="AY17" s="34">
        <v>0</v>
      </c>
      <c r="AZ17" s="23">
        <f>AY17+'20.05'!AZ17</f>
        <v>0</v>
      </c>
      <c r="BA17" s="34">
        <v>12</v>
      </c>
      <c r="BB17" s="23">
        <f>BA17+'20.05'!BB17</f>
        <v>339</v>
      </c>
      <c r="BC17" s="19">
        <f t="shared" si="9"/>
        <v>3260</v>
      </c>
      <c r="BD17" s="20">
        <f t="shared" si="10"/>
        <v>59195</v>
      </c>
      <c r="BE17" s="22">
        <v>38</v>
      </c>
      <c r="BF17" s="23">
        <f>BE17+'20.05'!BF17</f>
        <v>739</v>
      </c>
      <c r="BG17" s="34">
        <v>1</v>
      </c>
      <c r="BH17" s="23">
        <f>BG17+'20.05'!BH17</f>
        <v>24</v>
      </c>
      <c r="BI17" s="22">
        <v>2900</v>
      </c>
      <c r="BJ17" s="23">
        <f>BI17+'20.05'!BJ17</f>
        <v>53100</v>
      </c>
      <c r="BK17" s="22">
        <v>310</v>
      </c>
      <c r="BL17" s="23">
        <f>BK17+'20.05'!BL17</f>
        <v>5135</v>
      </c>
      <c r="BM17" s="22">
        <v>11</v>
      </c>
      <c r="BN17" s="23">
        <f>BM17+'20.05'!BN17</f>
        <v>197</v>
      </c>
      <c r="BO17" s="36">
        <v>8022</v>
      </c>
      <c r="BP17" s="37">
        <v>1</v>
      </c>
      <c r="BQ17" s="23">
        <f>BP17+'20.05'!BQ17</f>
        <v>68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204</v>
      </c>
      <c r="D18" s="20">
        <f t="shared" si="2"/>
        <v>5426</v>
      </c>
      <c r="E18" s="21">
        <v>1063</v>
      </c>
      <c r="F18" s="22">
        <v>117</v>
      </c>
      <c r="G18" s="23">
        <f>F18+'20.05'!G18</f>
        <v>3344</v>
      </c>
      <c r="H18" s="21">
        <v>19</v>
      </c>
      <c r="I18" s="22">
        <v>0</v>
      </c>
      <c r="J18" s="23">
        <f>I18+'20.05'!J18</f>
        <v>0</v>
      </c>
      <c r="K18" s="21">
        <v>8</v>
      </c>
      <c r="L18" s="22">
        <v>0</v>
      </c>
      <c r="M18" s="23">
        <f>L18+'20.05'!M18</f>
        <v>0</v>
      </c>
      <c r="N18" s="21">
        <v>1331</v>
      </c>
      <c r="O18" s="22">
        <v>0</v>
      </c>
      <c r="P18" s="23">
        <f>O18+'20.05'!P18</f>
        <v>0</v>
      </c>
      <c r="Q18" s="21">
        <v>777</v>
      </c>
      <c r="R18" s="22">
        <v>0</v>
      </c>
      <c r="S18" s="23">
        <f>R18+'20.05'!S18</f>
        <v>0</v>
      </c>
      <c r="T18" s="21">
        <v>318</v>
      </c>
      <c r="U18" s="22">
        <v>0</v>
      </c>
      <c r="V18" s="23">
        <f>U18+'20.05'!V18</f>
        <v>81</v>
      </c>
      <c r="W18" s="21">
        <v>60</v>
      </c>
      <c r="X18" s="22">
        <v>87</v>
      </c>
      <c r="Y18" s="23">
        <f>X18+'20.05'!Y18</f>
        <v>2001</v>
      </c>
      <c r="Z18" s="21">
        <v>72</v>
      </c>
      <c r="AA18" s="22">
        <v>0</v>
      </c>
      <c r="AB18" s="23">
        <f>AA18+'20.05'!AB18</f>
        <v>0</v>
      </c>
      <c r="AC18" s="21">
        <v>143</v>
      </c>
      <c r="AD18" s="22">
        <v>0</v>
      </c>
      <c r="AE18" s="23">
        <f>AD18+'20.05'!AE18</f>
        <v>0</v>
      </c>
      <c r="AF18" s="19">
        <f t="shared" si="3"/>
        <v>119722</v>
      </c>
      <c r="AG18" s="20">
        <f t="shared" si="4"/>
        <v>2880972</v>
      </c>
      <c r="AH18" s="24">
        <v>224</v>
      </c>
      <c r="AI18" s="23">
        <f>AH18+'20.05'!AI18</f>
        <v>4828</v>
      </c>
      <c r="AJ18" s="24">
        <v>1411</v>
      </c>
      <c r="AK18" s="23">
        <f>AJ18+'20.05'!AK18</f>
        <v>43616</v>
      </c>
      <c r="AL18" s="22">
        <v>1651</v>
      </c>
      <c r="AM18" s="23">
        <f>AL18+'20.05'!AM18</f>
        <v>50496</v>
      </c>
      <c r="AN18" s="22">
        <v>116436</v>
      </c>
      <c r="AO18" s="23">
        <f>AN18+'20.05'!AO18</f>
        <v>2782032</v>
      </c>
      <c r="AP18" s="17" t="s">
        <v>53</v>
      </c>
      <c r="AQ18" s="19">
        <f t="shared" si="6"/>
        <v>3</v>
      </c>
      <c r="AR18" s="20">
        <f t="shared" si="7"/>
        <v>41</v>
      </c>
      <c r="AS18" s="22">
        <v>1</v>
      </c>
      <c r="AT18" s="23">
        <f>AS18+'20.05'!AT18</f>
        <v>9</v>
      </c>
      <c r="AU18" s="22">
        <v>0</v>
      </c>
      <c r="AV18" s="23">
        <f>AU18+'20.05'!AV18</f>
        <v>0</v>
      </c>
      <c r="AW18" s="22">
        <v>0</v>
      </c>
      <c r="AX18" s="23">
        <f>AW18+'20.05'!AX18</f>
        <v>0</v>
      </c>
      <c r="AY18" s="22">
        <v>0</v>
      </c>
      <c r="AZ18" s="23">
        <f>AY18+'20.05'!AZ18</f>
        <v>0</v>
      </c>
      <c r="BA18" s="22">
        <v>2</v>
      </c>
      <c r="BB18" s="23">
        <f>BA18+'20.05'!BB18</f>
        <v>32</v>
      </c>
      <c r="BC18" s="19">
        <f t="shared" si="9"/>
        <v>946</v>
      </c>
      <c r="BD18" s="20">
        <f t="shared" si="10"/>
        <v>13892</v>
      </c>
      <c r="BE18" s="22">
        <v>5</v>
      </c>
      <c r="BF18" s="23">
        <f>BE18+'20.05'!BF18</f>
        <v>30</v>
      </c>
      <c r="BG18" s="22">
        <v>0</v>
      </c>
      <c r="BH18" s="23">
        <f>BG18+'20.05'!BH18</f>
        <v>388</v>
      </c>
      <c r="BI18" s="22">
        <v>681</v>
      </c>
      <c r="BJ18" s="23">
        <f>BI18+'20.05'!BJ18</f>
        <v>11079</v>
      </c>
      <c r="BK18" s="22">
        <v>234</v>
      </c>
      <c r="BL18" s="23">
        <f>BK18+'20.05'!BL18</f>
        <v>2093</v>
      </c>
      <c r="BM18" s="22">
        <v>26</v>
      </c>
      <c r="BN18" s="23">
        <f>BM18+'20.05'!BN18</f>
        <v>302</v>
      </c>
      <c r="BO18" s="36">
        <v>442</v>
      </c>
      <c r="BP18" s="37">
        <v>0</v>
      </c>
      <c r="BQ18" s="23">
        <f>BP18+'20.05'!BQ18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37</v>
      </c>
      <c r="D19" s="31">
        <f t="shared" si="2"/>
        <v>742</v>
      </c>
      <c r="E19" s="33">
        <v>221</v>
      </c>
      <c r="F19" s="22">
        <v>6</v>
      </c>
      <c r="G19" s="23">
        <f>F19+'20.05'!G19</f>
        <v>140</v>
      </c>
      <c r="H19" s="33">
        <v>5</v>
      </c>
      <c r="I19" s="34">
        <v>0</v>
      </c>
      <c r="J19" s="23">
        <f>I19+'20.05'!J19</f>
        <v>0</v>
      </c>
      <c r="K19" s="33">
        <v>4</v>
      </c>
      <c r="L19" s="22">
        <v>0</v>
      </c>
      <c r="M19" s="23">
        <f>L19+'20.05'!M19</f>
        <v>0</v>
      </c>
      <c r="N19" s="33">
        <v>313</v>
      </c>
      <c r="O19" s="22">
        <v>14</v>
      </c>
      <c r="P19" s="23">
        <f>O19+'20.05'!P19</f>
        <v>210</v>
      </c>
      <c r="Q19" s="33">
        <v>203</v>
      </c>
      <c r="R19" s="22">
        <v>0</v>
      </c>
      <c r="S19" s="23">
        <f>R19+'20.05'!S19</f>
        <v>0</v>
      </c>
      <c r="T19" s="33">
        <v>241</v>
      </c>
      <c r="U19" s="22">
        <v>0</v>
      </c>
      <c r="V19" s="23">
        <f>U19+'20.05'!V19</f>
        <v>0</v>
      </c>
      <c r="W19" s="33">
        <v>14</v>
      </c>
      <c r="X19" s="22">
        <v>17</v>
      </c>
      <c r="Y19" s="23">
        <f>X19+'20.05'!Y19</f>
        <v>329</v>
      </c>
      <c r="Z19" s="33">
        <v>7</v>
      </c>
      <c r="AA19" s="22">
        <v>0</v>
      </c>
      <c r="AB19" s="23">
        <f>AA19+'20.05'!AB19</f>
        <v>0</v>
      </c>
      <c r="AC19" s="33">
        <v>32</v>
      </c>
      <c r="AD19" s="22">
        <v>0</v>
      </c>
      <c r="AE19" s="23">
        <f>AD19+'20.05'!AE19</f>
        <v>63</v>
      </c>
      <c r="AF19" s="19">
        <f t="shared" si="3"/>
        <v>2470</v>
      </c>
      <c r="AG19" s="20">
        <f t="shared" si="4"/>
        <v>67830</v>
      </c>
      <c r="AH19" s="24">
        <v>325</v>
      </c>
      <c r="AI19" s="23">
        <f>AH19+'20.05'!AI19</f>
        <v>10875</v>
      </c>
      <c r="AJ19" s="24">
        <v>325</v>
      </c>
      <c r="AK19" s="23">
        <f>AJ19+'20.05'!AK19</f>
        <v>11125</v>
      </c>
      <c r="AL19" s="22">
        <v>910</v>
      </c>
      <c r="AM19" s="23">
        <f>AL19+'20.05'!AM19</f>
        <v>22915</v>
      </c>
      <c r="AN19" s="22">
        <v>910</v>
      </c>
      <c r="AO19" s="23">
        <f>AN19+'20.05'!AO19</f>
        <v>22915</v>
      </c>
      <c r="AP19" s="28" t="s">
        <v>54</v>
      </c>
      <c r="AQ19" s="19">
        <f t="shared" si="6"/>
        <v>0</v>
      </c>
      <c r="AR19" s="20">
        <f t="shared" si="7"/>
        <v>6</v>
      </c>
      <c r="AS19" s="34">
        <v>0</v>
      </c>
      <c r="AT19" s="23">
        <f>AS19+'20.05'!AT19</f>
        <v>0</v>
      </c>
      <c r="AU19" s="34">
        <v>0</v>
      </c>
      <c r="AV19" s="23">
        <f>AU19+'20.05'!AV19</f>
        <v>5</v>
      </c>
      <c r="AW19" s="34">
        <v>0</v>
      </c>
      <c r="AX19" s="23">
        <f>AW19+'20.05'!AX19</f>
        <v>1</v>
      </c>
      <c r="AY19" s="34">
        <v>0</v>
      </c>
      <c r="AZ19" s="23">
        <f>AY19+'20.05'!AZ19</f>
        <v>0</v>
      </c>
      <c r="BA19" s="34">
        <v>0</v>
      </c>
      <c r="BB19" s="23">
        <f>BA19+'20.05'!BB19</f>
        <v>0</v>
      </c>
      <c r="BC19" s="19">
        <f t="shared" si="9"/>
        <v>771</v>
      </c>
      <c r="BD19" s="20">
        <f t="shared" si="10"/>
        <v>22530</v>
      </c>
      <c r="BE19" s="22">
        <v>14</v>
      </c>
      <c r="BF19" s="23">
        <f>BE19+'20.05'!BF19</f>
        <v>288</v>
      </c>
      <c r="BG19" s="34">
        <v>0</v>
      </c>
      <c r="BH19" s="23">
        <f>BG19+'20.05'!BH19</f>
        <v>9</v>
      </c>
      <c r="BI19" s="22">
        <v>700</v>
      </c>
      <c r="BJ19" s="23">
        <f>BI19+'20.05'!BJ19</f>
        <v>19550</v>
      </c>
      <c r="BK19" s="22">
        <v>50</v>
      </c>
      <c r="BL19" s="23">
        <f>BK19+'20.05'!BL19</f>
        <v>2560</v>
      </c>
      <c r="BM19" s="22">
        <v>7</v>
      </c>
      <c r="BN19" s="23">
        <f>BM19+'20.05'!BN19</f>
        <v>123</v>
      </c>
      <c r="BO19" s="36">
        <v>2898</v>
      </c>
      <c r="BP19" s="37">
        <v>0</v>
      </c>
      <c r="BQ19" s="23">
        <f>BP19+'20.05'!BQ19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241</v>
      </c>
      <c r="D20" s="31">
        <f t="shared" si="2"/>
        <v>5115</v>
      </c>
      <c r="E20" s="32">
        <v>723</v>
      </c>
      <c r="F20" s="22">
        <v>79</v>
      </c>
      <c r="G20" s="23">
        <f>F20+'20.05'!G20</f>
        <v>2574</v>
      </c>
      <c r="H20" s="33">
        <v>5</v>
      </c>
      <c r="I20" s="34">
        <v>1</v>
      </c>
      <c r="J20" s="23">
        <f>I20+'20.05'!J20</f>
        <v>21</v>
      </c>
      <c r="K20" s="33">
        <v>3</v>
      </c>
      <c r="L20" s="22">
        <v>0</v>
      </c>
      <c r="M20" s="23">
        <f>L20+'20.05'!M20</f>
        <v>0</v>
      </c>
      <c r="N20" s="33">
        <v>975</v>
      </c>
      <c r="O20" s="22">
        <v>72</v>
      </c>
      <c r="P20" s="23">
        <f>O20+'20.05'!P20</f>
        <v>1214</v>
      </c>
      <c r="Q20" s="61">
        <v>1862</v>
      </c>
      <c r="R20" s="22">
        <v>1</v>
      </c>
      <c r="S20" s="23">
        <f>R20+'20.05'!S20</f>
        <v>23</v>
      </c>
      <c r="T20" s="33">
        <v>35</v>
      </c>
      <c r="U20" s="22">
        <v>1</v>
      </c>
      <c r="V20" s="23">
        <f>U20+'20.05'!V20</f>
        <v>21</v>
      </c>
      <c r="W20" s="33">
        <v>64</v>
      </c>
      <c r="X20" s="22">
        <v>1</v>
      </c>
      <c r="Y20" s="23">
        <f>X20+'20.05'!Y20</f>
        <v>23</v>
      </c>
      <c r="Z20" s="33">
        <v>15</v>
      </c>
      <c r="AA20" s="22">
        <v>1</v>
      </c>
      <c r="AB20" s="23">
        <f>AA20+'20.05'!AB20</f>
        <v>26</v>
      </c>
      <c r="AC20" s="33">
        <v>1546</v>
      </c>
      <c r="AD20" s="22">
        <v>85</v>
      </c>
      <c r="AE20" s="23">
        <f>AD20+'20.05'!AE20</f>
        <v>1213</v>
      </c>
      <c r="AF20" s="19">
        <f t="shared" si="3"/>
        <v>15430</v>
      </c>
      <c r="AG20" s="20">
        <f t="shared" si="4"/>
        <v>393824</v>
      </c>
      <c r="AH20" s="24">
        <v>7200</v>
      </c>
      <c r="AI20" s="23">
        <f>AH20+'20.05'!AI20</f>
        <v>180044</v>
      </c>
      <c r="AJ20" s="24">
        <v>7330</v>
      </c>
      <c r="AK20" s="23">
        <f>AJ20+'20.05'!AK20</f>
        <v>196070</v>
      </c>
      <c r="AL20" s="22">
        <v>450</v>
      </c>
      <c r="AM20" s="23">
        <f>AL20+'20.05'!AM20</f>
        <v>9900</v>
      </c>
      <c r="AN20" s="22">
        <v>450</v>
      </c>
      <c r="AO20" s="23">
        <f>AN20+'20.05'!AO20</f>
        <v>7810</v>
      </c>
      <c r="AP20" s="28" t="s">
        <v>55</v>
      </c>
      <c r="AQ20" s="19">
        <f t="shared" si="6"/>
        <v>33</v>
      </c>
      <c r="AR20" s="20">
        <f t="shared" si="7"/>
        <v>3225</v>
      </c>
      <c r="AS20" s="34">
        <v>1</v>
      </c>
      <c r="AT20" s="23">
        <f>AS20+'20.05'!AT20</f>
        <v>21</v>
      </c>
      <c r="AU20" s="34">
        <v>0</v>
      </c>
      <c r="AV20" s="23">
        <f>AU20+'20.05'!AV20</f>
        <v>0</v>
      </c>
      <c r="AW20" s="34">
        <v>0</v>
      </c>
      <c r="AX20" s="23">
        <f>AW20+'20.05'!AX20</f>
        <v>0</v>
      </c>
      <c r="AY20" s="34">
        <v>0</v>
      </c>
      <c r="AZ20" s="23">
        <f>AY20+'20.05'!AZ20</f>
        <v>0</v>
      </c>
      <c r="BA20" s="34">
        <v>32</v>
      </c>
      <c r="BB20" s="23">
        <f>BA20+'20.05'!BB20</f>
        <v>3204</v>
      </c>
      <c r="BC20" s="19">
        <f t="shared" si="9"/>
        <v>2883</v>
      </c>
      <c r="BD20" s="20">
        <f t="shared" si="10"/>
        <v>72845</v>
      </c>
      <c r="BE20" s="22">
        <v>2</v>
      </c>
      <c r="BF20" s="23">
        <f>BE20+'20.05'!BF20</f>
        <v>42</v>
      </c>
      <c r="BG20" s="34">
        <v>0</v>
      </c>
      <c r="BH20" s="23">
        <f>BG20+'20.05'!BH20</f>
        <v>0</v>
      </c>
      <c r="BI20" s="22">
        <v>1515</v>
      </c>
      <c r="BJ20" s="23">
        <f>BI20+'20.05'!BJ20</f>
        <v>36218</v>
      </c>
      <c r="BK20" s="22">
        <v>1365</v>
      </c>
      <c r="BL20" s="23">
        <f>BK20+'20.05'!BL20</f>
        <v>36565</v>
      </c>
      <c r="BM20" s="22">
        <v>1</v>
      </c>
      <c r="BN20" s="23">
        <f>BM20+'20.05'!BN20</f>
        <v>20</v>
      </c>
      <c r="BO20" s="36">
        <v>5854</v>
      </c>
      <c r="BP20" s="37">
        <v>0</v>
      </c>
      <c r="BQ20" s="23">
        <f>BP20+'20.05'!BQ20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171</v>
      </c>
      <c r="D21" s="31">
        <f t="shared" si="2"/>
        <v>4317</v>
      </c>
      <c r="E21" s="32">
        <v>1017</v>
      </c>
      <c r="F21" s="22">
        <v>150</v>
      </c>
      <c r="G21" s="23">
        <f>F21+'20.05'!G21</f>
        <v>3145</v>
      </c>
      <c r="H21" s="33">
        <v>8</v>
      </c>
      <c r="I21" s="34">
        <v>0</v>
      </c>
      <c r="J21" s="23">
        <f>I21+'20.05'!J21</f>
        <v>131</v>
      </c>
      <c r="K21" s="33">
        <v>4</v>
      </c>
      <c r="L21" s="22">
        <v>0</v>
      </c>
      <c r="M21" s="23">
        <f>L21+'20.05'!M21</f>
        <v>20</v>
      </c>
      <c r="N21" s="33">
        <v>963</v>
      </c>
      <c r="O21" s="22">
        <v>3</v>
      </c>
      <c r="P21" s="23">
        <f>O21+'20.05'!P21</f>
        <v>55</v>
      </c>
      <c r="Q21" s="33">
        <v>912</v>
      </c>
      <c r="R21" s="22">
        <v>0</v>
      </c>
      <c r="S21" s="23">
        <f>R21+'20.05'!S21</f>
        <v>0</v>
      </c>
      <c r="T21" s="33">
        <v>199</v>
      </c>
      <c r="U21" s="22">
        <v>0</v>
      </c>
      <c r="V21" s="23">
        <f>U21+'20.05'!V21</f>
        <v>98</v>
      </c>
      <c r="W21" s="33">
        <v>101</v>
      </c>
      <c r="X21" s="22">
        <v>10</v>
      </c>
      <c r="Y21" s="23">
        <f>X21+'20.05'!Y21</f>
        <v>249</v>
      </c>
      <c r="Z21" s="33">
        <v>42</v>
      </c>
      <c r="AA21" s="22">
        <v>0</v>
      </c>
      <c r="AB21" s="23">
        <f>AA21+'20.05'!AB21</f>
        <v>2</v>
      </c>
      <c r="AC21" s="33">
        <v>20</v>
      </c>
      <c r="AD21" s="22">
        <v>8</v>
      </c>
      <c r="AE21" s="23">
        <f>AD21+'20.05'!AE21</f>
        <v>617</v>
      </c>
      <c r="AF21" s="19">
        <f t="shared" si="3"/>
        <v>1250000</v>
      </c>
      <c r="AG21" s="20">
        <f t="shared" si="4"/>
        <v>22884480</v>
      </c>
      <c r="AH21" s="24">
        <v>1000</v>
      </c>
      <c r="AI21" s="23">
        <f>AH21+'20.05'!AI21</f>
        <v>24150</v>
      </c>
      <c r="AJ21" s="24">
        <v>149000</v>
      </c>
      <c r="AK21" s="23">
        <f>AJ21+'20.05'!AK21</f>
        <v>3425000</v>
      </c>
      <c r="AL21" s="22">
        <v>5000</v>
      </c>
      <c r="AM21" s="23">
        <f>AL21+'20.05'!AM21</f>
        <v>49630</v>
      </c>
      <c r="AN21" s="22">
        <v>1095000</v>
      </c>
      <c r="AO21" s="23">
        <f>AN21+'20.05'!AO21</f>
        <v>19385700</v>
      </c>
      <c r="AP21" s="28" t="s">
        <v>58</v>
      </c>
      <c r="AQ21" s="19">
        <f t="shared" si="6"/>
        <v>4</v>
      </c>
      <c r="AR21" s="20">
        <f t="shared" si="7"/>
        <v>102</v>
      </c>
      <c r="AS21" s="34">
        <v>0</v>
      </c>
      <c r="AT21" s="23">
        <f>AS21+'20.05'!AT21</f>
        <v>3</v>
      </c>
      <c r="AU21" s="34">
        <v>0</v>
      </c>
      <c r="AV21" s="23">
        <f>AU21+'20.05'!AV21</f>
        <v>28</v>
      </c>
      <c r="AW21" s="34">
        <v>0</v>
      </c>
      <c r="AX21" s="23">
        <f>AW21+'20.05'!AX21</f>
        <v>1</v>
      </c>
      <c r="AY21" s="34">
        <v>0</v>
      </c>
      <c r="AZ21" s="23">
        <f>AY21+'20.05'!AZ21</f>
        <v>0</v>
      </c>
      <c r="BA21" s="34">
        <v>4</v>
      </c>
      <c r="BB21" s="23">
        <f>BA21+'20.05'!BB21</f>
        <v>70</v>
      </c>
      <c r="BC21" s="19">
        <f t="shared" si="9"/>
        <v>1070</v>
      </c>
      <c r="BD21" s="20">
        <f t="shared" si="10"/>
        <v>34766</v>
      </c>
      <c r="BE21" s="22">
        <v>60</v>
      </c>
      <c r="BF21" s="23">
        <f>BE21+'20.05'!BF21</f>
        <v>1034</v>
      </c>
      <c r="BG21" s="34">
        <v>0</v>
      </c>
      <c r="BH21" s="23">
        <f>BG21+'20.05'!BH21</f>
        <v>0</v>
      </c>
      <c r="BI21" s="22">
        <v>1000</v>
      </c>
      <c r="BJ21" s="23">
        <f>BI21+'20.05'!BJ21</f>
        <v>33550</v>
      </c>
      <c r="BK21" s="22">
        <v>0</v>
      </c>
      <c r="BL21" s="23">
        <f>BK21+'20.05'!BL21</f>
        <v>0</v>
      </c>
      <c r="BM21" s="22">
        <v>10</v>
      </c>
      <c r="BN21" s="23">
        <f>BM21+'20.05'!BN21</f>
        <v>182</v>
      </c>
      <c r="BO21" s="36">
        <v>68</v>
      </c>
      <c r="BP21" s="37">
        <v>0</v>
      </c>
      <c r="BQ21" s="23">
        <f>BP21+'20.05'!BQ21</f>
        <v>31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1"/>
        <v>2083</v>
      </c>
      <c r="D22" s="31">
        <f t="shared" si="2"/>
        <v>44382</v>
      </c>
      <c r="E22" s="32">
        <v>509</v>
      </c>
      <c r="F22" s="22">
        <v>402</v>
      </c>
      <c r="G22" s="23">
        <f>F22+'20.05'!G22</f>
        <v>7368</v>
      </c>
      <c r="H22" s="33">
        <v>8</v>
      </c>
      <c r="I22" s="34">
        <v>0</v>
      </c>
      <c r="J22" s="23">
        <f>I22+'20.05'!J22</f>
        <v>23</v>
      </c>
      <c r="K22" s="33">
        <v>21</v>
      </c>
      <c r="L22" s="22">
        <v>0</v>
      </c>
      <c r="M22" s="23">
        <f>L22+'20.05'!M22</f>
        <v>0</v>
      </c>
      <c r="N22" s="33">
        <v>560</v>
      </c>
      <c r="O22" s="22">
        <v>55</v>
      </c>
      <c r="P22" s="23">
        <f>O22+'20.05'!P22</f>
        <v>1112</v>
      </c>
      <c r="Q22" s="33">
        <v>375</v>
      </c>
      <c r="R22" s="22">
        <v>0</v>
      </c>
      <c r="S22" s="23">
        <f>R22+'20.05'!S22</f>
        <v>0</v>
      </c>
      <c r="T22" s="33">
        <v>165</v>
      </c>
      <c r="U22" s="22">
        <v>22</v>
      </c>
      <c r="V22" s="23">
        <f>U22+'20.05'!V22</f>
        <v>483</v>
      </c>
      <c r="W22" s="33">
        <v>28</v>
      </c>
      <c r="X22" s="22">
        <v>98</v>
      </c>
      <c r="Y22" s="23">
        <f>X22+'20.05'!Y22</f>
        <v>1713</v>
      </c>
      <c r="Z22" s="33">
        <v>9</v>
      </c>
      <c r="AA22" s="22">
        <v>0</v>
      </c>
      <c r="AB22" s="23">
        <f>AA22+'20.05'!AB22</f>
        <v>0</v>
      </c>
      <c r="AC22" s="33">
        <v>112</v>
      </c>
      <c r="AD22" s="22">
        <v>1506</v>
      </c>
      <c r="AE22" s="23">
        <f>AD22+'20.05'!AE22</f>
        <v>33683</v>
      </c>
      <c r="AF22" s="19">
        <f t="shared" si="3"/>
        <v>409930</v>
      </c>
      <c r="AG22" s="20">
        <f t="shared" si="4"/>
        <v>8475952</v>
      </c>
      <c r="AH22" s="24">
        <v>1321</v>
      </c>
      <c r="AI22" s="23">
        <f>AH22+'20.05'!AI22</f>
        <v>48414</v>
      </c>
      <c r="AJ22" s="24">
        <v>7287</v>
      </c>
      <c r="AK22" s="23">
        <f>AJ22+'20.05'!AK22</f>
        <v>136640</v>
      </c>
      <c r="AL22" s="22">
        <v>12101</v>
      </c>
      <c r="AM22" s="23">
        <f>AL22+'20.05'!AM22</f>
        <v>223161</v>
      </c>
      <c r="AN22" s="22">
        <v>389221</v>
      </c>
      <c r="AO22" s="23">
        <f>AN22+'20.05'!AO22</f>
        <v>8067737</v>
      </c>
      <c r="AP22" s="28" t="s">
        <v>59</v>
      </c>
      <c r="AQ22" s="19">
        <f t="shared" si="6"/>
        <v>240</v>
      </c>
      <c r="AR22" s="20">
        <f t="shared" si="7"/>
        <v>34812</v>
      </c>
      <c r="AS22" s="34">
        <v>2</v>
      </c>
      <c r="AT22" s="23">
        <f>AS22+'20.05'!AT22</f>
        <v>7</v>
      </c>
      <c r="AU22" s="34">
        <v>1</v>
      </c>
      <c r="AV22" s="23">
        <f>AU22+'20.05'!AV22</f>
        <v>6</v>
      </c>
      <c r="AW22" s="34">
        <v>0</v>
      </c>
      <c r="AX22" s="23">
        <f>AW22+'20.05'!AX22</f>
        <v>2</v>
      </c>
      <c r="AY22" s="34">
        <v>0</v>
      </c>
      <c r="AZ22" s="23">
        <f>AY22+'20.05'!AZ22</f>
        <v>1</v>
      </c>
      <c r="BA22" s="34">
        <v>237</v>
      </c>
      <c r="BB22" s="23">
        <f>BA22+'20.05'!BB22</f>
        <v>34796</v>
      </c>
      <c r="BC22" s="19">
        <f t="shared" si="9"/>
        <v>7379</v>
      </c>
      <c r="BD22" s="20">
        <f t="shared" si="10"/>
        <v>143012</v>
      </c>
      <c r="BE22" s="22">
        <v>9</v>
      </c>
      <c r="BF22" s="23">
        <f>BE22+'20.05'!BF22</f>
        <v>114</v>
      </c>
      <c r="BG22" s="34">
        <v>64</v>
      </c>
      <c r="BH22" s="23">
        <f>BG22+'20.05'!BH22</f>
        <v>1267</v>
      </c>
      <c r="BI22" s="22">
        <v>2808</v>
      </c>
      <c r="BJ22" s="23">
        <f>BI22+'20.05'!BJ22</f>
        <v>94117</v>
      </c>
      <c r="BK22" s="22">
        <v>4421</v>
      </c>
      <c r="BL22" s="23">
        <f>BK22+'20.05'!BL22</f>
        <v>46354</v>
      </c>
      <c r="BM22" s="22">
        <v>77</v>
      </c>
      <c r="BN22" s="23">
        <f>BM22+'20.05'!BN22</f>
        <v>1160</v>
      </c>
      <c r="BO22" s="36">
        <v>26</v>
      </c>
      <c r="BP22" s="37">
        <v>1</v>
      </c>
      <c r="BQ22" s="23">
        <f>BP22+'20.05'!BQ22</f>
        <v>1713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1"/>
        <v>4049</v>
      </c>
      <c r="D23" s="65">
        <f t="shared" si="2"/>
        <v>86337</v>
      </c>
      <c r="E23" s="66">
        <f>+E18+E19+E22+E17+E16+E15+E14+E13+E12+E11+E10+E9+E8</f>
        <v>7282</v>
      </c>
      <c r="F23" s="67">
        <f t="shared" ref="F23:J23" si="12">SUM(F8:F22)</f>
        <v>1576</v>
      </c>
      <c r="G23" s="68">
        <f t="shared" si="12"/>
        <v>31730</v>
      </c>
      <c r="H23" s="66">
        <f>+H18+H19+H22+H17+H16+H15+H14+H13+H12+H11+H10+H9+H8</f>
        <v>271</v>
      </c>
      <c r="I23" s="67">
        <f t="shared" si="12"/>
        <v>6</v>
      </c>
      <c r="J23" s="68">
        <f t="shared" si="12"/>
        <v>289</v>
      </c>
      <c r="K23" s="66">
        <f>+K18+K19+K22+K17+K16+K15+K14+K13+K12+K11+K10+K9+K8</f>
        <v>163</v>
      </c>
      <c r="L23" s="67">
        <f t="shared" ref="L23:P23" si="13">SUM(L8:L22)</f>
        <v>0</v>
      </c>
      <c r="M23" s="68">
        <f t="shared" si="13"/>
        <v>39</v>
      </c>
      <c r="N23" s="66">
        <f>+N18+N19+N22+N17+N16+N15+N14+N13+N12+N11+N10+N9+N8</f>
        <v>8607</v>
      </c>
      <c r="O23" s="67">
        <f t="shared" si="13"/>
        <v>186</v>
      </c>
      <c r="P23" s="68">
        <f t="shared" si="13"/>
        <v>3192</v>
      </c>
      <c r="Q23" s="66">
        <f>+Q18+Q19+Q22+Q17+Q16+Q15+Q14+Q13+Q12+Q11+Q10+Q9+Q8</f>
        <v>7474</v>
      </c>
      <c r="R23" s="67">
        <f t="shared" ref="R23:V23" si="14">SUM(R8:R22)</f>
        <v>13</v>
      </c>
      <c r="S23" s="68">
        <f t="shared" si="14"/>
        <v>162</v>
      </c>
      <c r="T23" s="66">
        <f>+T18+T19+T22+T17+T16+T15+T14+T13+T12+T11+T10+T9+T8</f>
        <v>4115</v>
      </c>
      <c r="U23" s="67">
        <f t="shared" si="14"/>
        <v>34</v>
      </c>
      <c r="V23" s="68">
        <f t="shared" si="14"/>
        <v>786</v>
      </c>
      <c r="W23" s="66">
        <f>+W18+W19+W22+W17+W16+W15+W14+W13+W12+W11+W10+W9+W8</f>
        <v>604</v>
      </c>
      <c r="X23" s="67">
        <f t="shared" ref="X23:AB23" si="15">SUM(X8:X22)</f>
        <v>408</v>
      </c>
      <c r="Y23" s="68">
        <f t="shared" si="15"/>
        <v>8697</v>
      </c>
      <c r="Z23" s="66">
        <f>+Z18+Z19+Z22+Z17+Z16+Z15+Z14+Z13+Z12+Z11+Z10+Z9+Z8</f>
        <v>1629</v>
      </c>
      <c r="AA23" s="67">
        <f t="shared" si="15"/>
        <v>2</v>
      </c>
      <c r="AB23" s="68">
        <f t="shared" si="15"/>
        <v>67</v>
      </c>
      <c r="AC23" s="66">
        <f>+AC18+AC19+AC22+AC17+AC16+AC15+AC14+AC13+AC12+AC11+AC10+AC9+AC8</f>
        <v>64846</v>
      </c>
      <c r="AD23" s="67">
        <f t="shared" ref="AD23:AO23" si="16">SUM(AD8:AD22)</f>
        <v>1824</v>
      </c>
      <c r="AE23" s="68">
        <f t="shared" si="16"/>
        <v>41375</v>
      </c>
      <c r="AF23" s="64">
        <f t="shared" si="16"/>
        <v>4153032</v>
      </c>
      <c r="AG23" s="64">
        <f t="shared" si="16"/>
        <v>94384250</v>
      </c>
      <c r="AH23" s="67">
        <f t="shared" si="16"/>
        <v>27582</v>
      </c>
      <c r="AI23" s="68">
        <f t="shared" si="16"/>
        <v>680661</v>
      </c>
      <c r="AJ23" s="67">
        <f t="shared" si="16"/>
        <v>217602</v>
      </c>
      <c r="AK23" s="68">
        <f t="shared" si="16"/>
        <v>4963155</v>
      </c>
      <c r="AL23" s="67">
        <f t="shared" si="16"/>
        <v>922368</v>
      </c>
      <c r="AM23" s="68">
        <f t="shared" si="16"/>
        <v>28961013</v>
      </c>
      <c r="AN23" s="67">
        <f t="shared" si="16"/>
        <v>2985480</v>
      </c>
      <c r="AO23" s="68">
        <f t="shared" si="16"/>
        <v>59779421</v>
      </c>
      <c r="AP23" s="62" t="s">
        <v>12</v>
      </c>
      <c r="AQ23" s="64">
        <f t="shared" ref="AQ23:BP23" si="17">SUM(AQ8:AQ22)</f>
        <v>501</v>
      </c>
      <c r="AR23" s="64">
        <f t="shared" si="17"/>
        <v>45454</v>
      </c>
      <c r="AS23" s="67">
        <f t="shared" si="17"/>
        <v>7</v>
      </c>
      <c r="AT23" s="68">
        <f t="shared" si="17"/>
        <v>96</v>
      </c>
      <c r="AU23" s="67">
        <f t="shared" si="17"/>
        <v>6</v>
      </c>
      <c r="AV23" s="68">
        <f t="shared" si="17"/>
        <v>117</v>
      </c>
      <c r="AW23" s="67">
        <f t="shared" si="17"/>
        <v>1</v>
      </c>
      <c r="AX23" s="68">
        <f t="shared" si="17"/>
        <v>18</v>
      </c>
      <c r="AY23" s="67">
        <f t="shared" si="17"/>
        <v>0</v>
      </c>
      <c r="AZ23" s="68">
        <f t="shared" si="17"/>
        <v>4</v>
      </c>
      <c r="BA23" s="67">
        <f t="shared" si="17"/>
        <v>487</v>
      </c>
      <c r="BB23" s="68">
        <f t="shared" si="17"/>
        <v>45219</v>
      </c>
      <c r="BC23" s="64">
        <f t="shared" si="17"/>
        <v>37568</v>
      </c>
      <c r="BD23" s="64">
        <f t="shared" si="17"/>
        <v>861614</v>
      </c>
      <c r="BE23" s="67">
        <f t="shared" si="17"/>
        <v>1577</v>
      </c>
      <c r="BF23" s="68">
        <f t="shared" si="17"/>
        <v>31637</v>
      </c>
      <c r="BG23" s="67">
        <f t="shared" si="17"/>
        <v>139</v>
      </c>
      <c r="BH23" s="68">
        <f t="shared" si="17"/>
        <v>2481</v>
      </c>
      <c r="BI23" s="67">
        <f t="shared" si="17"/>
        <v>26946</v>
      </c>
      <c r="BJ23" s="68">
        <f t="shared" si="17"/>
        <v>669040</v>
      </c>
      <c r="BK23" s="67">
        <f t="shared" si="17"/>
        <v>8611</v>
      </c>
      <c r="BL23" s="68">
        <f t="shared" si="17"/>
        <v>154001</v>
      </c>
      <c r="BM23" s="67">
        <f t="shared" si="17"/>
        <v>295</v>
      </c>
      <c r="BN23" s="68">
        <f t="shared" si="17"/>
        <v>4455</v>
      </c>
      <c r="BO23" s="69">
        <f t="shared" si="17"/>
        <v>37704</v>
      </c>
      <c r="BP23" s="70">
        <f t="shared" si="17"/>
        <v>12</v>
      </c>
      <c r="BQ23" s="23">
        <f>BP23+'20.04'!BP23</f>
        <v>38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30A0"/>
  </sheetPr>
  <dimension ref="A1:BQ23"/>
  <sheetViews>
    <sheetView zoomScaleNormal="100" workbookViewId="0">
      <pane xSplit="4" ySplit="8" topLeftCell="AS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1"/>
        <v>2</v>
      </c>
      <c r="D9" s="31">
        <f t="shared" si="2"/>
        <v>107</v>
      </c>
      <c r="E9" s="32">
        <v>452</v>
      </c>
      <c r="F9" s="22">
        <v>1</v>
      </c>
      <c r="G9" s="23">
        <f>F9+'21.05'!G9</f>
        <v>56</v>
      </c>
      <c r="H9" s="33">
        <v>12</v>
      </c>
      <c r="I9" s="34">
        <v>1</v>
      </c>
      <c r="J9" s="23">
        <f>I9+'21.05'!J9</f>
        <v>16</v>
      </c>
      <c r="K9" s="33">
        <v>2</v>
      </c>
      <c r="L9" s="22">
        <v>0</v>
      </c>
      <c r="M9" s="23">
        <f>L9+'21.05'!M9</f>
        <v>0</v>
      </c>
      <c r="N9" s="33">
        <v>735</v>
      </c>
      <c r="O9" s="22">
        <v>0</v>
      </c>
      <c r="P9" s="23">
        <f>O9+'21.05'!P9</f>
        <v>0</v>
      </c>
      <c r="Q9" s="33">
        <v>502</v>
      </c>
      <c r="R9" s="22">
        <v>0</v>
      </c>
      <c r="S9" s="23">
        <f>R9+'21.05'!S9</f>
        <v>0</v>
      </c>
      <c r="T9" s="33">
        <v>197</v>
      </c>
      <c r="U9" s="22">
        <v>0</v>
      </c>
      <c r="V9" s="23">
        <f>U9+'21.05'!V9</f>
        <v>0</v>
      </c>
      <c r="W9" s="33">
        <v>47</v>
      </c>
      <c r="X9" s="22">
        <v>0</v>
      </c>
      <c r="Y9" s="23">
        <f>X9+'21.05'!Y9</f>
        <v>16</v>
      </c>
      <c r="Z9" s="33">
        <v>34</v>
      </c>
      <c r="AA9" s="22">
        <v>0</v>
      </c>
      <c r="AB9" s="23">
        <f>AA9+'21.05'!AB9</f>
        <v>0</v>
      </c>
      <c r="AC9" s="33">
        <v>1860</v>
      </c>
      <c r="AD9" s="22">
        <v>0</v>
      </c>
      <c r="AE9" s="23">
        <f>AD9+'21.05'!AE9</f>
        <v>19</v>
      </c>
      <c r="AF9" s="19">
        <f t="shared" si="3"/>
        <v>6860</v>
      </c>
      <c r="AG9" s="20">
        <f t="shared" si="4"/>
        <v>187330</v>
      </c>
      <c r="AH9" s="24">
        <v>180</v>
      </c>
      <c r="AI9" s="23">
        <f>AH9+'21.05'!AI9</f>
        <v>2643</v>
      </c>
      <c r="AJ9" s="24">
        <v>280</v>
      </c>
      <c r="AK9" s="23">
        <f>AJ9+'21.05'!AK9</f>
        <v>16204</v>
      </c>
      <c r="AL9" s="22">
        <v>2600</v>
      </c>
      <c r="AM9" s="23">
        <f>AL9+'21.05'!AM9</f>
        <v>31835</v>
      </c>
      <c r="AN9" s="22">
        <v>3800</v>
      </c>
      <c r="AO9" s="23">
        <f>AN9+'21.05'!AO9</f>
        <v>136648</v>
      </c>
      <c r="AP9" s="28" t="s">
        <v>43</v>
      </c>
      <c r="AQ9" s="19">
        <f t="shared" si="6"/>
        <v>36</v>
      </c>
      <c r="AR9" s="20">
        <f t="shared" si="7"/>
        <v>2794</v>
      </c>
      <c r="AS9" s="34">
        <v>1</v>
      </c>
      <c r="AT9" s="23">
        <f>AS9+'21.05'!AT9</f>
        <v>10</v>
      </c>
      <c r="AU9" s="34">
        <v>1</v>
      </c>
      <c r="AV9" s="23">
        <f>AU9+'21.05'!AV9</f>
        <v>10</v>
      </c>
      <c r="AW9" s="34">
        <v>0</v>
      </c>
      <c r="AX9" s="23">
        <f>AW9+'21.05'!AX9</f>
        <v>5</v>
      </c>
      <c r="AY9" s="34">
        <v>0</v>
      </c>
      <c r="AZ9" s="23">
        <f>AY9+'21.05'!AZ9</f>
        <v>0</v>
      </c>
      <c r="BA9" s="34">
        <v>34</v>
      </c>
      <c r="BB9" s="23">
        <f>BA9+'21.05'!BB9</f>
        <v>2769</v>
      </c>
      <c r="BC9" s="19">
        <f t="shared" si="9"/>
        <v>421</v>
      </c>
      <c r="BD9" s="20">
        <f t="shared" si="10"/>
        <v>9856</v>
      </c>
      <c r="BE9" s="22">
        <v>1</v>
      </c>
      <c r="BF9" s="23">
        <f>BE9+'21.05'!BF9</f>
        <v>31</v>
      </c>
      <c r="BG9" s="34">
        <v>0</v>
      </c>
      <c r="BH9" s="23">
        <f>BG9+'21.05'!BH9</f>
        <v>0</v>
      </c>
      <c r="BI9" s="22">
        <v>420</v>
      </c>
      <c r="BJ9" s="23">
        <f>BI9+'21.05'!BJ9</f>
        <v>9800</v>
      </c>
      <c r="BK9" s="22">
        <v>0</v>
      </c>
      <c r="BL9" s="23">
        <f>BK9+'21.05'!BL9</f>
        <v>0</v>
      </c>
      <c r="BM9" s="22">
        <v>0</v>
      </c>
      <c r="BN9" s="23">
        <f>BM9+'21.05'!BN9</f>
        <v>25</v>
      </c>
      <c r="BO9" s="36">
        <v>14</v>
      </c>
      <c r="BP9" s="37">
        <v>0</v>
      </c>
      <c r="BQ9" s="23">
        <f>BP9+'21.05'!BQ9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0</v>
      </c>
      <c r="D10" s="31">
        <f t="shared" si="2"/>
        <v>2557</v>
      </c>
      <c r="E10" s="32">
        <v>585</v>
      </c>
      <c r="F10" s="22">
        <v>0</v>
      </c>
      <c r="G10" s="23">
        <f>F10+'21.05'!G10</f>
        <v>292</v>
      </c>
      <c r="H10" s="33">
        <v>93</v>
      </c>
      <c r="I10" s="34">
        <v>0</v>
      </c>
      <c r="J10" s="23">
        <f>I10+'21.05'!J10</f>
        <v>37</v>
      </c>
      <c r="K10" s="33">
        <v>34</v>
      </c>
      <c r="L10" s="22">
        <v>0</v>
      </c>
      <c r="M10" s="23">
        <f>L10+'21.05'!M10</f>
        <v>19</v>
      </c>
      <c r="N10" s="33">
        <v>352</v>
      </c>
      <c r="O10" s="22">
        <v>0</v>
      </c>
      <c r="P10" s="23">
        <f>O10+'21.05'!P10</f>
        <v>214</v>
      </c>
      <c r="Q10" s="33">
        <v>549</v>
      </c>
      <c r="R10" s="22">
        <v>0</v>
      </c>
      <c r="S10" s="23">
        <f>R10+'21.05'!S10</f>
        <v>139</v>
      </c>
      <c r="T10" s="33">
        <v>198</v>
      </c>
      <c r="U10" s="22">
        <v>0</v>
      </c>
      <c r="V10" s="23">
        <f>U10+'21.05'!V10</f>
        <v>103</v>
      </c>
      <c r="W10" s="38">
        <v>55</v>
      </c>
      <c r="X10" s="22">
        <v>0</v>
      </c>
      <c r="Y10" s="23">
        <f>X10+'21.05'!Y10</f>
        <v>68</v>
      </c>
      <c r="Z10" s="38">
        <v>71</v>
      </c>
      <c r="AA10" s="22">
        <v>0</v>
      </c>
      <c r="AB10" s="23">
        <f>AA10+'21.05'!AB10</f>
        <v>39</v>
      </c>
      <c r="AC10" s="38">
        <v>1690</v>
      </c>
      <c r="AD10" s="22">
        <v>0</v>
      </c>
      <c r="AE10" s="23">
        <f>AD10+'21.05'!AE10</f>
        <v>1646</v>
      </c>
      <c r="AF10" s="19">
        <f t="shared" si="3"/>
        <v>0</v>
      </c>
      <c r="AG10" s="20">
        <f t="shared" si="4"/>
        <v>2337167</v>
      </c>
      <c r="AH10" s="24">
        <v>0</v>
      </c>
      <c r="AI10" s="23">
        <f>AH10+'21.05'!AI10</f>
        <v>24245</v>
      </c>
      <c r="AJ10" s="24">
        <v>0</v>
      </c>
      <c r="AK10" s="23">
        <f>AJ10+'21.05'!AK10</f>
        <v>109415</v>
      </c>
      <c r="AL10" s="22">
        <v>0</v>
      </c>
      <c r="AM10" s="23">
        <f>AL10+'21.05'!AM10</f>
        <v>260534</v>
      </c>
      <c r="AN10" s="22">
        <v>0</v>
      </c>
      <c r="AO10" s="23">
        <f>AN10+'21.05'!AO10</f>
        <v>1942973</v>
      </c>
      <c r="AP10" s="28" t="s">
        <v>44</v>
      </c>
      <c r="AQ10" s="19">
        <f t="shared" si="6"/>
        <v>0</v>
      </c>
      <c r="AR10" s="20">
        <f t="shared" si="7"/>
        <v>94</v>
      </c>
      <c r="AS10" s="34">
        <v>0</v>
      </c>
      <c r="AT10" s="23">
        <f>AS10+'21.05'!AT10</f>
        <v>5</v>
      </c>
      <c r="AU10" s="34">
        <v>0</v>
      </c>
      <c r="AV10" s="23">
        <f>AU10+'21.05'!AV10</f>
        <v>4</v>
      </c>
      <c r="AW10" s="34">
        <v>0</v>
      </c>
      <c r="AX10" s="23">
        <f>AW10+'21.05'!AX10</f>
        <v>0</v>
      </c>
      <c r="AY10" s="34">
        <v>0</v>
      </c>
      <c r="AZ10" s="23">
        <f>AY10+'21.05'!AZ10</f>
        <v>0</v>
      </c>
      <c r="BA10" s="34">
        <v>0</v>
      </c>
      <c r="BB10" s="23">
        <f>BA10+'21.05'!BB10</f>
        <v>85</v>
      </c>
      <c r="BC10" s="19">
        <f t="shared" si="9"/>
        <v>0</v>
      </c>
      <c r="BD10" s="20">
        <f t="shared" si="10"/>
        <v>98334</v>
      </c>
      <c r="BE10" s="22">
        <v>0</v>
      </c>
      <c r="BF10" s="23">
        <f>BE10+'21.05'!BF10</f>
        <v>11325</v>
      </c>
      <c r="BG10" s="34">
        <v>0</v>
      </c>
      <c r="BH10" s="23">
        <f>BG10+'21.05'!BH10</f>
        <v>28</v>
      </c>
      <c r="BI10" s="22">
        <v>0</v>
      </c>
      <c r="BJ10" s="23">
        <f>BI10+'21.05'!BJ10</f>
        <v>52091</v>
      </c>
      <c r="BK10" s="22">
        <v>0</v>
      </c>
      <c r="BL10" s="23">
        <f>BK10+'21.05'!BL10</f>
        <v>34887</v>
      </c>
      <c r="BM10" s="22">
        <v>0</v>
      </c>
      <c r="BN10" s="23">
        <f>BM10+'21.05'!BN10</f>
        <v>3</v>
      </c>
      <c r="BO10" s="36">
        <v>32</v>
      </c>
      <c r="BP10" s="37">
        <v>0</v>
      </c>
      <c r="BQ10" s="23">
        <f>BP10+'21.05'!BQ10</f>
        <v>13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38</v>
      </c>
      <c r="D11" s="31">
        <f t="shared" si="2"/>
        <v>799</v>
      </c>
      <c r="E11" s="32">
        <v>883</v>
      </c>
      <c r="F11" s="22">
        <v>16</v>
      </c>
      <c r="G11" s="23">
        <f>F11+'21.05'!G11</f>
        <v>391</v>
      </c>
      <c r="H11" s="33">
        <v>16</v>
      </c>
      <c r="I11" s="34">
        <v>0</v>
      </c>
      <c r="J11" s="23">
        <f>I11+'21.05'!J11</f>
        <v>0</v>
      </c>
      <c r="K11" s="33">
        <v>3</v>
      </c>
      <c r="L11" s="22">
        <v>0</v>
      </c>
      <c r="M11" s="23">
        <f>L11+'21.05'!M11</f>
        <v>0</v>
      </c>
      <c r="N11" s="33">
        <v>875</v>
      </c>
      <c r="O11" s="22">
        <v>0</v>
      </c>
      <c r="P11" s="23">
        <f>O11+'21.05'!P11</f>
        <v>0</v>
      </c>
      <c r="Q11" s="33">
        <v>2424</v>
      </c>
      <c r="R11" s="22">
        <v>0</v>
      </c>
      <c r="S11" s="23">
        <f>R11+'21.05'!S11</f>
        <v>0</v>
      </c>
      <c r="T11" s="33">
        <v>69</v>
      </c>
      <c r="U11" s="22">
        <v>0</v>
      </c>
      <c r="V11" s="23">
        <f>U11+'21.05'!V11</f>
        <v>0</v>
      </c>
      <c r="W11" s="38">
        <v>133</v>
      </c>
      <c r="X11" s="22">
        <v>20</v>
      </c>
      <c r="Y11" s="23">
        <f>X11+'21.05'!Y11</f>
        <v>376</v>
      </c>
      <c r="Z11" s="38">
        <v>1116</v>
      </c>
      <c r="AA11" s="22">
        <v>0</v>
      </c>
      <c r="AB11" s="23">
        <f>AA11+'21.05'!AB11</f>
        <v>0</v>
      </c>
      <c r="AC11" s="38">
        <v>9862</v>
      </c>
      <c r="AD11" s="22">
        <v>2</v>
      </c>
      <c r="AE11" s="23">
        <f>AD11+'21.05'!AE11</f>
        <v>32</v>
      </c>
      <c r="AF11" s="19">
        <f t="shared" si="3"/>
        <v>16300</v>
      </c>
      <c r="AG11" s="20">
        <f t="shared" si="4"/>
        <v>427900</v>
      </c>
      <c r="AH11" s="24">
        <v>2200</v>
      </c>
      <c r="AI11" s="23">
        <f>AH11+'21.05'!AI11</f>
        <v>52200</v>
      </c>
      <c r="AJ11" s="24">
        <v>3600</v>
      </c>
      <c r="AK11" s="23">
        <f>AJ11+'21.05'!AK11</f>
        <v>63500</v>
      </c>
      <c r="AL11" s="22">
        <v>2600</v>
      </c>
      <c r="AM11" s="23">
        <f>AL11+'21.05'!AM11</f>
        <v>95700</v>
      </c>
      <c r="AN11" s="22">
        <v>7900</v>
      </c>
      <c r="AO11" s="23">
        <f>AN11+'21.05'!AO11</f>
        <v>216500</v>
      </c>
      <c r="AP11" s="28" t="s">
        <v>45</v>
      </c>
      <c r="AQ11" s="19">
        <f t="shared" si="6"/>
        <v>2</v>
      </c>
      <c r="AR11" s="20">
        <f t="shared" si="7"/>
        <v>55</v>
      </c>
      <c r="AS11" s="34">
        <v>0</v>
      </c>
      <c r="AT11" s="23">
        <f>AS11+'21.05'!AT11</f>
        <v>0</v>
      </c>
      <c r="AU11" s="34">
        <v>0</v>
      </c>
      <c r="AV11" s="23">
        <f>AU11+'21.05'!AV11</f>
        <v>0</v>
      </c>
      <c r="AW11" s="34">
        <v>0</v>
      </c>
      <c r="AX11" s="23">
        <f>AW11+'21.05'!AX11</f>
        <v>0</v>
      </c>
      <c r="AY11" s="34">
        <v>0</v>
      </c>
      <c r="AZ11" s="23">
        <f>AY11+'21.05'!AZ11</f>
        <v>0</v>
      </c>
      <c r="BA11" s="34">
        <v>2</v>
      </c>
      <c r="BB11" s="23">
        <f>BA11+'21.05'!BB11</f>
        <v>55</v>
      </c>
      <c r="BC11" s="19">
        <f t="shared" si="9"/>
        <v>482</v>
      </c>
      <c r="BD11" s="20">
        <f t="shared" si="10"/>
        <v>14120</v>
      </c>
      <c r="BE11" s="22">
        <v>3</v>
      </c>
      <c r="BF11" s="23">
        <f>BE11+'21.05'!BF11</f>
        <v>43</v>
      </c>
      <c r="BG11" s="34">
        <v>2</v>
      </c>
      <c r="BH11" s="23">
        <f>BG11+'21.05'!BH11</f>
        <v>67</v>
      </c>
      <c r="BI11" s="22">
        <v>460</v>
      </c>
      <c r="BJ11" s="23">
        <f>BI11+'21.05'!BJ11</f>
        <v>13638</v>
      </c>
      <c r="BK11" s="22">
        <v>13</v>
      </c>
      <c r="BL11" s="23">
        <f>BK11+'21.05'!BL11</f>
        <v>329</v>
      </c>
      <c r="BM11" s="22">
        <v>4</v>
      </c>
      <c r="BN11" s="23">
        <f>BM11+'21.05'!BN11</f>
        <v>43</v>
      </c>
      <c r="BO11" s="36">
        <v>11506</v>
      </c>
      <c r="BP11" s="37">
        <v>4</v>
      </c>
      <c r="BQ11" s="23">
        <f>BP11+'21.05'!BQ11</f>
        <v>64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237</v>
      </c>
      <c r="D12" s="31">
        <f t="shared" si="2"/>
        <v>4909</v>
      </c>
      <c r="E12" s="32">
        <v>909</v>
      </c>
      <c r="F12" s="22">
        <v>50</v>
      </c>
      <c r="G12" s="23">
        <f>F12+'21.05'!G12</f>
        <v>1177</v>
      </c>
      <c r="H12" s="33">
        <v>80</v>
      </c>
      <c r="I12" s="34">
        <v>3</v>
      </c>
      <c r="J12" s="23">
        <f>I12+'21.05'!J12</f>
        <v>55</v>
      </c>
      <c r="K12" s="33">
        <v>5</v>
      </c>
      <c r="L12" s="22">
        <v>0</v>
      </c>
      <c r="M12" s="23">
        <f>L12+'21.05'!M12</f>
        <v>0</v>
      </c>
      <c r="N12" s="33">
        <v>820</v>
      </c>
      <c r="O12" s="22">
        <v>18</v>
      </c>
      <c r="P12" s="23">
        <f>O12+'21.05'!P12</f>
        <v>395</v>
      </c>
      <c r="Q12" s="33">
        <v>549</v>
      </c>
      <c r="R12" s="22">
        <v>0</v>
      </c>
      <c r="S12" s="23">
        <f>R12+'21.05'!S12</f>
        <v>0</v>
      </c>
      <c r="T12" s="33">
        <v>992</v>
      </c>
      <c r="U12" s="22">
        <v>0</v>
      </c>
      <c r="V12" s="23">
        <f>U12+'21.05'!V12</f>
        <v>0</v>
      </c>
      <c r="W12" s="33">
        <v>38</v>
      </c>
      <c r="X12" s="22">
        <v>130</v>
      </c>
      <c r="Y12" s="23">
        <f>X12+'21.05'!Y12</f>
        <v>2510</v>
      </c>
      <c r="Z12" s="33">
        <v>68</v>
      </c>
      <c r="AA12" s="22">
        <v>0</v>
      </c>
      <c r="AB12" s="23">
        <f>AA12+'21.05'!AB12</f>
        <v>0</v>
      </c>
      <c r="AC12" s="33">
        <v>26703</v>
      </c>
      <c r="AD12" s="22">
        <v>36</v>
      </c>
      <c r="AE12" s="23">
        <f>AD12+'21.05'!AE12</f>
        <v>772</v>
      </c>
      <c r="AF12" s="19">
        <f t="shared" si="3"/>
        <v>27205</v>
      </c>
      <c r="AG12" s="20">
        <f t="shared" si="4"/>
        <v>347932</v>
      </c>
      <c r="AH12" s="24">
        <v>6000</v>
      </c>
      <c r="AI12" s="23">
        <f>AH12+'21.05'!AI12</f>
        <v>53566</v>
      </c>
      <c r="AJ12" s="24">
        <v>9600</v>
      </c>
      <c r="AK12" s="23">
        <f>AJ12+'21.05'!AK12</f>
        <v>109245</v>
      </c>
      <c r="AL12" s="22">
        <v>5802</v>
      </c>
      <c r="AM12" s="23">
        <f>AL12+'21.05'!AM12</f>
        <v>92558</v>
      </c>
      <c r="AN12" s="22">
        <v>5803</v>
      </c>
      <c r="AO12" s="23">
        <f>AN12+'21.05'!AO12</f>
        <v>92563</v>
      </c>
      <c r="AP12" s="28" t="s">
        <v>46</v>
      </c>
      <c r="AQ12" s="19">
        <f t="shared" si="6"/>
        <v>121</v>
      </c>
      <c r="AR12" s="20">
        <f t="shared" si="7"/>
        <v>1877</v>
      </c>
      <c r="AS12" s="34">
        <v>0</v>
      </c>
      <c r="AT12" s="23">
        <f>AS12+'21.05'!AT12</f>
        <v>0</v>
      </c>
      <c r="AU12" s="34">
        <v>0</v>
      </c>
      <c r="AV12" s="23">
        <f>AU12+'21.05'!AV12</f>
        <v>0</v>
      </c>
      <c r="AW12" s="34">
        <v>0</v>
      </c>
      <c r="AX12" s="23">
        <f>AW12+'21.05'!AX12</f>
        <v>0</v>
      </c>
      <c r="AY12" s="34">
        <v>0</v>
      </c>
      <c r="AZ12" s="23">
        <f>AY12+'21.05'!AZ12</f>
        <v>0</v>
      </c>
      <c r="BA12" s="34">
        <v>121</v>
      </c>
      <c r="BB12" s="23">
        <f>BA12+'21.05'!BB12</f>
        <v>1877</v>
      </c>
      <c r="BC12" s="19">
        <f t="shared" si="9"/>
        <v>3332</v>
      </c>
      <c r="BD12" s="20">
        <f t="shared" si="10"/>
        <v>62363</v>
      </c>
      <c r="BE12" s="22">
        <v>96</v>
      </c>
      <c r="BF12" s="23">
        <f>BE12+'21.05'!BF12</f>
        <v>4055</v>
      </c>
      <c r="BG12" s="34">
        <v>15</v>
      </c>
      <c r="BH12" s="23">
        <f>BG12+'21.05'!BH12</f>
        <v>202</v>
      </c>
      <c r="BI12" s="22">
        <v>2700</v>
      </c>
      <c r="BJ12" s="23">
        <f>BI12+'21.05'!BJ12</f>
        <v>50600</v>
      </c>
      <c r="BK12" s="22">
        <v>450</v>
      </c>
      <c r="BL12" s="23">
        <f>BK12+'21.05'!BL12</f>
        <v>6400</v>
      </c>
      <c r="BM12" s="22">
        <v>71</v>
      </c>
      <c r="BN12" s="23">
        <f>BM12+'21.05'!BN12</f>
        <v>1106</v>
      </c>
      <c r="BO12" s="36"/>
      <c r="BP12" s="37">
        <v>3</v>
      </c>
      <c r="BQ12" s="23">
        <f>BP12+'21.05'!BQ12</f>
        <v>40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5</v>
      </c>
      <c r="D13" s="31">
        <f t="shared" si="2"/>
        <v>291</v>
      </c>
      <c r="E13" s="32">
        <v>516</v>
      </c>
      <c r="F13" s="22">
        <v>2</v>
      </c>
      <c r="G13" s="23">
        <f>F13+'21.05'!G13</f>
        <v>23</v>
      </c>
      <c r="H13" s="33">
        <v>10</v>
      </c>
      <c r="I13" s="34">
        <v>1</v>
      </c>
      <c r="J13" s="23">
        <f>I13+'21.05'!J13</f>
        <v>11</v>
      </c>
      <c r="K13" s="33">
        <v>38</v>
      </c>
      <c r="L13" s="22">
        <v>0</v>
      </c>
      <c r="M13" s="23">
        <f>L13+'21.05'!M13</f>
        <v>0</v>
      </c>
      <c r="N13" s="33">
        <v>581</v>
      </c>
      <c r="O13" s="22">
        <v>0</v>
      </c>
      <c r="P13" s="23">
        <f>O13+'21.05'!P13</f>
        <v>10</v>
      </c>
      <c r="Q13" s="33">
        <v>525</v>
      </c>
      <c r="R13" s="22">
        <v>0</v>
      </c>
      <c r="S13" s="23">
        <f>R13+'21.05'!S13</f>
        <v>0</v>
      </c>
      <c r="T13" s="33">
        <v>263</v>
      </c>
      <c r="U13" s="22">
        <v>0</v>
      </c>
      <c r="V13" s="23">
        <f>U13+'21.05'!V13</f>
        <v>0</v>
      </c>
      <c r="W13" s="33">
        <v>43</v>
      </c>
      <c r="X13" s="22">
        <v>0</v>
      </c>
      <c r="Y13" s="23">
        <f>X13+'21.05'!Y13</f>
        <v>1</v>
      </c>
      <c r="Z13" s="33">
        <v>17</v>
      </c>
      <c r="AA13" s="22">
        <v>0</v>
      </c>
      <c r="AB13" s="23">
        <f>AA13+'21.05'!AB13</f>
        <v>0</v>
      </c>
      <c r="AC13" s="33">
        <v>51</v>
      </c>
      <c r="AD13" s="22">
        <v>2</v>
      </c>
      <c r="AE13" s="23">
        <f>AD13+'21.05'!AE13</f>
        <v>246</v>
      </c>
      <c r="AF13" s="19">
        <f t="shared" si="3"/>
        <v>363000</v>
      </c>
      <c r="AG13" s="20">
        <f t="shared" si="4"/>
        <v>5677000</v>
      </c>
      <c r="AH13" s="24">
        <v>1500</v>
      </c>
      <c r="AI13" s="23">
        <f>AH13+'21.05'!AI13</f>
        <v>66500</v>
      </c>
      <c r="AJ13" s="24">
        <v>11500</v>
      </c>
      <c r="AK13" s="23">
        <f>AJ13+'21.05'!AK13</f>
        <v>451500</v>
      </c>
      <c r="AL13" s="22">
        <v>250000</v>
      </c>
      <c r="AM13" s="23">
        <f>AL13+'21.05'!AM13</f>
        <v>700000</v>
      </c>
      <c r="AN13" s="22">
        <v>100000</v>
      </c>
      <c r="AO13" s="23">
        <f>AN13+'21.05'!AO13</f>
        <v>4459000</v>
      </c>
      <c r="AP13" s="28" t="s">
        <v>47</v>
      </c>
      <c r="AQ13" s="19">
        <f t="shared" si="6"/>
        <v>9</v>
      </c>
      <c r="AR13" s="20">
        <f t="shared" si="7"/>
        <v>481</v>
      </c>
      <c r="AS13" s="34">
        <v>1</v>
      </c>
      <c r="AT13" s="23">
        <f>AS13+'21.05'!AT13</f>
        <v>19</v>
      </c>
      <c r="AU13" s="34">
        <v>0</v>
      </c>
      <c r="AV13" s="23">
        <f>AU13+'21.05'!AV13</f>
        <v>19</v>
      </c>
      <c r="AW13" s="34">
        <v>1</v>
      </c>
      <c r="AX13" s="23">
        <f>AW13+'21.05'!AX13</f>
        <v>1</v>
      </c>
      <c r="AY13" s="34">
        <v>0</v>
      </c>
      <c r="AZ13" s="23">
        <f>AY13+'21.05'!AZ13</f>
        <v>0</v>
      </c>
      <c r="BA13" s="34">
        <v>7</v>
      </c>
      <c r="BB13" s="23">
        <f>BA13+'21.05'!BB13</f>
        <v>442</v>
      </c>
      <c r="BC13" s="19">
        <f t="shared" si="9"/>
        <v>8737</v>
      </c>
      <c r="BD13" s="20">
        <f t="shared" si="10"/>
        <v>237907</v>
      </c>
      <c r="BE13" s="22">
        <v>516</v>
      </c>
      <c r="BF13" s="23">
        <f>BE13+'21.05'!BF13</f>
        <v>11352</v>
      </c>
      <c r="BG13" s="34">
        <v>54</v>
      </c>
      <c r="BH13" s="23">
        <f>BG13+'21.05'!BH13</f>
        <v>508</v>
      </c>
      <c r="BI13" s="22">
        <v>8000</v>
      </c>
      <c r="BJ13" s="23">
        <f>BI13+'21.05'!BJ13</f>
        <v>220500</v>
      </c>
      <c r="BK13" s="22">
        <v>100</v>
      </c>
      <c r="BL13" s="23">
        <f>BK13+'21.05'!BL13</f>
        <v>4620</v>
      </c>
      <c r="BM13" s="22">
        <v>67</v>
      </c>
      <c r="BN13" s="23">
        <f>BM13+'21.05'!BN13</f>
        <v>927</v>
      </c>
      <c r="BO13" s="36"/>
      <c r="BP13" s="37">
        <v>0</v>
      </c>
      <c r="BQ13" s="23">
        <f>BP13+'21.05'!BQ13</f>
        <v>13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1"/>
        <v>115</v>
      </c>
      <c r="D14" s="42">
        <f t="shared" si="2"/>
        <v>2470</v>
      </c>
      <c r="E14" s="43">
        <v>304</v>
      </c>
      <c r="F14" s="22">
        <v>103</v>
      </c>
      <c r="G14" s="23">
        <f>F14+'21.05'!G14</f>
        <v>2105</v>
      </c>
      <c r="H14" s="44">
        <v>5</v>
      </c>
      <c r="I14" s="45">
        <v>0</v>
      </c>
      <c r="J14" s="23">
        <f>I14+'21.05'!J14</f>
        <v>0</v>
      </c>
      <c r="K14" s="44">
        <v>34</v>
      </c>
      <c r="L14" s="22">
        <v>0</v>
      </c>
      <c r="M14" s="23">
        <f>L14+'21.05'!M14</f>
        <v>0</v>
      </c>
      <c r="N14" s="44">
        <v>583</v>
      </c>
      <c r="O14" s="22">
        <v>0</v>
      </c>
      <c r="P14" s="23">
        <f>O14+'21.05'!P14</f>
        <v>0</v>
      </c>
      <c r="Q14" s="44">
        <v>254</v>
      </c>
      <c r="R14" s="22">
        <v>0</v>
      </c>
      <c r="S14" s="23">
        <f>R14+'21.05'!S14</f>
        <v>0</v>
      </c>
      <c r="T14" s="44">
        <v>196</v>
      </c>
      <c r="U14" s="22">
        <v>0</v>
      </c>
      <c r="V14" s="23">
        <f>U14+'21.05'!V14</f>
        <v>0</v>
      </c>
      <c r="W14" s="44">
        <v>30</v>
      </c>
      <c r="X14" s="22">
        <v>6</v>
      </c>
      <c r="Y14" s="23">
        <f>X14+'21.05'!Y14</f>
        <v>275</v>
      </c>
      <c r="Z14" s="44">
        <v>10</v>
      </c>
      <c r="AA14" s="22">
        <v>0</v>
      </c>
      <c r="AB14" s="23">
        <f>AA14+'21.05'!AB14</f>
        <v>0</v>
      </c>
      <c r="AC14" s="44">
        <v>2500</v>
      </c>
      <c r="AD14" s="22">
        <v>6</v>
      </c>
      <c r="AE14" s="23">
        <f>AD14+'21.05'!AE14</f>
        <v>90</v>
      </c>
      <c r="AF14" s="19">
        <f t="shared" si="3"/>
        <v>139550</v>
      </c>
      <c r="AG14" s="20">
        <f t="shared" si="4"/>
        <v>2425790</v>
      </c>
      <c r="AH14" s="24">
        <v>3950</v>
      </c>
      <c r="AI14" s="23">
        <f>AH14+'21.05'!AI14</f>
        <v>73410</v>
      </c>
      <c r="AJ14" s="24">
        <v>8700</v>
      </c>
      <c r="AK14" s="23">
        <f>AJ14+'21.05'!AK14</f>
        <v>134850</v>
      </c>
      <c r="AL14" s="22">
        <v>9400</v>
      </c>
      <c r="AM14" s="23">
        <f>AL14+'21.05'!AM14</f>
        <v>162950</v>
      </c>
      <c r="AN14" s="22">
        <v>117500</v>
      </c>
      <c r="AO14" s="23">
        <f>AN14+'21.05'!AO14</f>
        <v>2054580</v>
      </c>
      <c r="AP14" s="39" t="s">
        <v>48</v>
      </c>
      <c r="AQ14" s="19">
        <f t="shared" si="6"/>
        <v>3</v>
      </c>
      <c r="AR14" s="20">
        <f t="shared" si="7"/>
        <v>77</v>
      </c>
      <c r="AS14" s="45">
        <v>0</v>
      </c>
      <c r="AT14" s="23">
        <f>AS14+'21.05'!AT14</f>
        <v>0</v>
      </c>
      <c r="AU14" s="45">
        <v>0</v>
      </c>
      <c r="AV14" s="23">
        <f>AU14+'21.05'!AV14</f>
        <v>4</v>
      </c>
      <c r="AW14" s="45">
        <v>0</v>
      </c>
      <c r="AX14" s="23">
        <f>AW14+'21.05'!AX14</f>
        <v>4</v>
      </c>
      <c r="AY14" s="45">
        <v>0</v>
      </c>
      <c r="AZ14" s="23">
        <f>AY14+'21.05'!AZ14</f>
        <v>2</v>
      </c>
      <c r="BA14" s="45">
        <v>3</v>
      </c>
      <c r="BB14" s="23">
        <f>BA14+'21.05'!BB14</f>
        <v>67</v>
      </c>
      <c r="BC14" s="19">
        <f t="shared" si="9"/>
        <v>2215</v>
      </c>
      <c r="BD14" s="20">
        <f t="shared" si="10"/>
        <v>47935</v>
      </c>
      <c r="BE14" s="22">
        <v>3</v>
      </c>
      <c r="BF14" s="23">
        <f>BE14+'21.05'!BF14</f>
        <v>70</v>
      </c>
      <c r="BG14" s="45">
        <v>2</v>
      </c>
      <c r="BH14" s="23">
        <f>BG14+'21.05'!BH14</f>
        <v>34</v>
      </c>
      <c r="BI14" s="22">
        <v>2200</v>
      </c>
      <c r="BJ14" s="23">
        <f>BI14+'21.05'!BJ14</f>
        <v>47680</v>
      </c>
      <c r="BK14" s="22">
        <v>4</v>
      </c>
      <c r="BL14" s="23">
        <f>BK14+'21.05'!BL14</f>
        <v>101</v>
      </c>
      <c r="BM14" s="22">
        <v>6</v>
      </c>
      <c r="BN14" s="23">
        <f>BM14+'21.05'!BN14</f>
        <v>50</v>
      </c>
      <c r="BO14" s="48">
        <v>22</v>
      </c>
      <c r="BP14" s="49">
        <v>0</v>
      </c>
      <c r="BQ14" s="23">
        <f>BP14+'21.05'!BQ14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462</v>
      </c>
      <c r="D15" s="53">
        <f t="shared" si="2"/>
        <v>9689</v>
      </c>
      <c r="E15" s="54">
        <v>776</v>
      </c>
      <c r="F15" s="55">
        <v>400</v>
      </c>
      <c r="G15" s="23">
        <f>F15+'21.05'!G15</f>
        <v>7697</v>
      </c>
      <c r="H15" s="56">
        <v>9</v>
      </c>
      <c r="I15" s="57">
        <v>0</v>
      </c>
      <c r="J15" s="23">
        <f>I15+'21.05'!J15</f>
        <v>0</v>
      </c>
      <c r="K15" s="56">
        <v>6</v>
      </c>
      <c r="L15" s="55">
        <v>0</v>
      </c>
      <c r="M15" s="23">
        <f>L15+'21.05'!M15</f>
        <v>0</v>
      </c>
      <c r="N15" s="56">
        <v>1305</v>
      </c>
      <c r="O15" s="55">
        <v>0</v>
      </c>
      <c r="P15" s="23">
        <f>O15+'21.05'!P15</f>
        <v>0</v>
      </c>
      <c r="Q15" s="56">
        <v>447</v>
      </c>
      <c r="R15" s="55">
        <v>0</v>
      </c>
      <c r="S15" s="23">
        <f>R15+'21.05'!S15</f>
        <v>0</v>
      </c>
      <c r="T15" s="56">
        <v>337</v>
      </c>
      <c r="U15" s="55">
        <v>0</v>
      </c>
      <c r="V15" s="23">
        <f>U15+'21.05'!V15</f>
        <v>0</v>
      </c>
      <c r="W15" s="56">
        <v>78</v>
      </c>
      <c r="X15" s="55">
        <v>0</v>
      </c>
      <c r="Y15" s="23">
        <f>X15+'21.05'!Y15</f>
        <v>0</v>
      </c>
      <c r="Z15" s="56">
        <v>141</v>
      </c>
      <c r="AA15" s="55">
        <v>0</v>
      </c>
      <c r="AB15" s="23">
        <f>AA15+'21.05'!AB15</f>
        <v>0</v>
      </c>
      <c r="AC15" s="56">
        <v>798</v>
      </c>
      <c r="AD15" s="55">
        <v>62</v>
      </c>
      <c r="AE15" s="23">
        <f>AD15+'21.05'!AE15</f>
        <v>1992</v>
      </c>
      <c r="AF15" s="58">
        <f t="shared" si="3"/>
        <v>1700162</v>
      </c>
      <c r="AG15" s="59">
        <f t="shared" si="4"/>
        <v>47177249</v>
      </c>
      <c r="AH15" s="60">
        <v>788</v>
      </c>
      <c r="AI15" s="23">
        <f>AH15+'21.05'!AI15</f>
        <v>18552</v>
      </c>
      <c r="AJ15" s="60">
        <v>2702</v>
      </c>
      <c r="AK15" s="23">
        <f>AJ15+'21.05'!AK15</f>
        <v>62623</v>
      </c>
      <c r="AL15" s="55">
        <v>849836</v>
      </c>
      <c r="AM15" s="23">
        <f>AL15+'21.05'!AM15</f>
        <v>27899537</v>
      </c>
      <c r="AN15" s="55">
        <v>846836</v>
      </c>
      <c r="AO15" s="23">
        <f>AN15+'21.05'!AO15</f>
        <v>19196537</v>
      </c>
      <c r="AP15" s="50" t="s">
        <v>49</v>
      </c>
      <c r="AQ15" s="58">
        <f t="shared" si="6"/>
        <v>1</v>
      </c>
      <c r="AR15" s="59">
        <f t="shared" si="7"/>
        <v>55</v>
      </c>
      <c r="AS15" s="57">
        <v>0</v>
      </c>
      <c r="AT15" s="23">
        <f>AS15+'21.05'!AT15</f>
        <v>2</v>
      </c>
      <c r="AU15" s="57">
        <v>0</v>
      </c>
      <c r="AV15" s="23">
        <f>AU15+'21.05'!AV15</f>
        <v>5</v>
      </c>
      <c r="AW15" s="57">
        <v>0</v>
      </c>
      <c r="AX15" s="23">
        <f>AW15+'21.05'!AX15</f>
        <v>5</v>
      </c>
      <c r="AY15" s="57">
        <v>0</v>
      </c>
      <c r="AZ15" s="23">
        <f>AY15+'21.05'!AZ15</f>
        <v>1</v>
      </c>
      <c r="BA15" s="57">
        <v>1</v>
      </c>
      <c r="BB15" s="23">
        <f>BA15+'21.05'!BB15</f>
        <v>42</v>
      </c>
      <c r="BC15" s="58">
        <f t="shared" si="9"/>
        <v>1278</v>
      </c>
      <c r="BD15" s="59">
        <f t="shared" si="10"/>
        <v>33014</v>
      </c>
      <c r="BE15" s="55">
        <v>75</v>
      </c>
      <c r="BF15" s="23">
        <f>BE15+'21.05'!BF15</f>
        <v>1690</v>
      </c>
      <c r="BG15" s="57">
        <v>1</v>
      </c>
      <c r="BH15" s="23">
        <f>BG15+'21.05'!BH15</f>
        <v>28</v>
      </c>
      <c r="BI15" s="55">
        <v>603</v>
      </c>
      <c r="BJ15" s="23">
        <f>BI15+'21.05'!BJ15</f>
        <v>15741</v>
      </c>
      <c r="BK15" s="55">
        <v>585</v>
      </c>
      <c r="BL15" s="23">
        <f>BK15+'21.05'!BL15</f>
        <v>15207</v>
      </c>
      <c r="BM15" s="55">
        <v>14</v>
      </c>
      <c r="BN15" s="23">
        <f>BM15+'21.05'!BN15</f>
        <v>348</v>
      </c>
      <c r="BO15" s="36">
        <v>6274</v>
      </c>
      <c r="BP15" s="37">
        <v>0</v>
      </c>
      <c r="BQ15" s="23">
        <f>BP15+'21.05'!BQ15</f>
        <v>14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145</v>
      </c>
      <c r="D16" s="31">
        <f t="shared" si="2"/>
        <v>3023</v>
      </c>
      <c r="E16" s="32">
        <v>310</v>
      </c>
      <c r="F16" s="22">
        <v>48</v>
      </c>
      <c r="G16" s="23">
        <f>F16+'21.05'!G16</f>
        <v>1043</v>
      </c>
      <c r="H16" s="33">
        <v>5</v>
      </c>
      <c r="I16" s="34">
        <v>0</v>
      </c>
      <c r="J16" s="23">
        <f>I16+'21.05'!J16</f>
        <v>0</v>
      </c>
      <c r="K16" s="33">
        <v>3</v>
      </c>
      <c r="L16" s="22">
        <v>0</v>
      </c>
      <c r="M16" s="23">
        <f>L16+'21.05'!M16</f>
        <v>0</v>
      </c>
      <c r="N16" s="33">
        <v>384</v>
      </c>
      <c r="O16" s="22">
        <v>0</v>
      </c>
      <c r="P16" s="23">
        <f>O16+'21.05'!P16</f>
        <v>0</v>
      </c>
      <c r="Q16" s="33">
        <v>245</v>
      </c>
      <c r="R16" s="22">
        <v>0</v>
      </c>
      <c r="S16" s="23">
        <f>R16+'21.05'!S16</f>
        <v>0</v>
      </c>
      <c r="T16" s="33">
        <v>397</v>
      </c>
      <c r="U16" s="22">
        <v>0</v>
      </c>
      <c r="V16" s="23">
        <f>U16+'21.05'!V16</f>
        <v>0</v>
      </c>
      <c r="W16" s="33">
        <v>24</v>
      </c>
      <c r="X16" s="22">
        <v>45</v>
      </c>
      <c r="Y16" s="23">
        <f>X16+'21.05'!Y16</f>
        <v>1059</v>
      </c>
      <c r="Z16" s="33">
        <v>18</v>
      </c>
      <c r="AA16" s="22">
        <v>0</v>
      </c>
      <c r="AB16" s="23">
        <f>AA16+'21.05'!AB16</f>
        <v>0</v>
      </c>
      <c r="AC16" s="33">
        <v>18515</v>
      </c>
      <c r="AD16" s="22">
        <v>52</v>
      </c>
      <c r="AE16" s="23">
        <f>AD16+'21.05'!AE16</f>
        <v>921</v>
      </c>
      <c r="AF16" s="19">
        <f t="shared" si="3"/>
        <v>59135</v>
      </c>
      <c r="AG16" s="20">
        <f t="shared" si="4"/>
        <v>1310936</v>
      </c>
      <c r="AH16" s="24">
        <v>174</v>
      </c>
      <c r="AI16" s="23">
        <f>AH16+'21.05'!AI16</f>
        <v>3526</v>
      </c>
      <c r="AJ16" s="24">
        <v>1652</v>
      </c>
      <c r="AK16" s="23">
        <f>AJ16+'21.05'!AK16</f>
        <v>29901</v>
      </c>
      <c r="AL16" s="22">
        <v>1672</v>
      </c>
      <c r="AM16" s="23">
        <f>AL16+'21.05'!AM16</f>
        <v>34007</v>
      </c>
      <c r="AN16" s="22">
        <v>55637</v>
      </c>
      <c r="AO16" s="23">
        <f>AN16+'21.05'!AO16</f>
        <v>1243502</v>
      </c>
      <c r="AP16" s="28" t="s">
        <v>51</v>
      </c>
      <c r="AQ16" s="19">
        <f t="shared" si="6"/>
        <v>84</v>
      </c>
      <c r="AR16" s="20">
        <f t="shared" si="7"/>
        <v>1696</v>
      </c>
      <c r="AS16" s="34">
        <v>0</v>
      </c>
      <c r="AT16" s="23">
        <f>AS16+'21.05'!AT16</f>
        <v>3</v>
      </c>
      <c r="AU16" s="34">
        <v>0</v>
      </c>
      <c r="AV16" s="23">
        <f>AU16+'21.05'!AV16</f>
        <v>0</v>
      </c>
      <c r="AW16" s="34">
        <v>0</v>
      </c>
      <c r="AX16" s="23">
        <f>AW16+'21.05'!AX16</f>
        <v>0</v>
      </c>
      <c r="AY16" s="34">
        <v>0</v>
      </c>
      <c r="AZ16" s="23">
        <f>AY16+'21.05'!AZ16</f>
        <v>0</v>
      </c>
      <c r="BA16" s="34">
        <v>84</v>
      </c>
      <c r="BB16" s="23">
        <f>BA16+'21.05'!BB16</f>
        <v>1693</v>
      </c>
      <c r="BC16" s="19">
        <f t="shared" si="9"/>
        <v>1476</v>
      </c>
      <c r="BD16" s="20">
        <f t="shared" si="10"/>
        <v>29786</v>
      </c>
      <c r="BE16" s="22">
        <v>84</v>
      </c>
      <c r="BF16" s="23">
        <f>BE16+'21.05'!BF16</f>
        <v>1602</v>
      </c>
      <c r="BG16" s="34">
        <v>0</v>
      </c>
      <c r="BH16" s="23">
        <f>BG16+'21.05'!BH16</f>
        <v>0</v>
      </c>
      <c r="BI16" s="22">
        <v>1342</v>
      </c>
      <c r="BJ16" s="23">
        <f>BI16+'21.05'!BJ16</f>
        <v>27101</v>
      </c>
      <c r="BK16" s="22">
        <v>42</v>
      </c>
      <c r="BL16" s="23">
        <f>BK16+'21.05'!BL16</f>
        <v>944</v>
      </c>
      <c r="BM16" s="22">
        <v>8</v>
      </c>
      <c r="BN16" s="23">
        <f>BM16+'21.05'!BN16</f>
        <v>139</v>
      </c>
      <c r="BO16" s="36">
        <v>2546</v>
      </c>
      <c r="BP16" s="37">
        <v>0</v>
      </c>
      <c r="BQ16" s="23">
        <f>BP16+'21.05'!BQ16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163</v>
      </c>
      <c r="D17" s="31">
        <f t="shared" si="2"/>
        <v>3677</v>
      </c>
      <c r="E17" s="32">
        <v>754</v>
      </c>
      <c r="F17" s="22">
        <v>140</v>
      </c>
      <c r="G17" s="23">
        <f>F17+'21.05'!G17</f>
        <v>3135</v>
      </c>
      <c r="H17" s="33">
        <v>9</v>
      </c>
      <c r="I17" s="34">
        <v>0</v>
      </c>
      <c r="J17" s="23">
        <f>I17+'21.05'!J17</f>
        <v>0</v>
      </c>
      <c r="K17" s="33">
        <v>5</v>
      </c>
      <c r="L17" s="22">
        <v>0</v>
      </c>
      <c r="M17" s="23">
        <f>L17+'21.05'!M17</f>
        <v>0</v>
      </c>
      <c r="N17" s="33">
        <v>768</v>
      </c>
      <c r="O17" s="22">
        <v>0</v>
      </c>
      <c r="P17" s="23">
        <f>O17+'21.05'!P17</f>
        <v>0</v>
      </c>
      <c r="Q17" s="33">
        <v>624</v>
      </c>
      <c r="R17" s="22">
        <v>0</v>
      </c>
      <c r="S17" s="23">
        <f>R17+'21.05'!S17</f>
        <v>0</v>
      </c>
      <c r="T17" s="33">
        <v>742</v>
      </c>
      <c r="U17" s="22">
        <v>0</v>
      </c>
      <c r="V17" s="23">
        <f>U17+'21.05'!V17</f>
        <v>0</v>
      </c>
      <c r="W17" s="33">
        <v>54</v>
      </c>
      <c r="X17" s="22">
        <v>10</v>
      </c>
      <c r="Y17" s="23">
        <f>X17+'21.05'!Y17</f>
        <v>288</v>
      </c>
      <c r="Z17" s="33">
        <v>66</v>
      </c>
      <c r="AA17" s="22">
        <v>0</v>
      </c>
      <c r="AB17" s="23">
        <f>AA17+'21.05'!AB17</f>
        <v>0</v>
      </c>
      <c r="AC17" s="33">
        <v>2580</v>
      </c>
      <c r="AD17" s="22">
        <v>13</v>
      </c>
      <c r="AE17" s="23">
        <f>AD17+'21.05'!AE17</f>
        <v>254</v>
      </c>
      <c r="AF17" s="19">
        <f t="shared" si="3"/>
        <v>99800</v>
      </c>
      <c r="AG17" s="20">
        <f t="shared" si="4"/>
        <v>2201900</v>
      </c>
      <c r="AH17" s="24">
        <v>9100</v>
      </c>
      <c r="AI17" s="23">
        <f>AH17+'21.05'!AI17</f>
        <v>141600</v>
      </c>
      <c r="AJ17" s="24">
        <v>10400</v>
      </c>
      <c r="AK17" s="23">
        <f>AJ17+'21.05'!AK17</f>
        <v>221900</v>
      </c>
      <c r="AL17" s="22">
        <v>17900</v>
      </c>
      <c r="AM17" s="23">
        <f>AL17+'21.05'!AM17</f>
        <v>467600</v>
      </c>
      <c r="AN17" s="22">
        <v>62400</v>
      </c>
      <c r="AO17" s="23">
        <f>AN17+'21.05'!AO17</f>
        <v>1370800</v>
      </c>
      <c r="AP17" s="28" t="s">
        <v>52</v>
      </c>
      <c r="AQ17" s="19">
        <f t="shared" si="6"/>
        <v>24</v>
      </c>
      <c r="AR17" s="20">
        <f t="shared" si="7"/>
        <v>419</v>
      </c>
      <c r="AS17" s="34">
        <v>0</v>
      </c>
      <c r="AT17" s="23">
        <f>AS17+'21.05'!AT17</f>
        <v>19</v>
      </c>
      <c r="AU17" s="34">
        <v>2</v>
      </c>
      <c r="AV17" s="23">
        <f>AU17+'21.05'!AV17</f>
        <v>39</v>
      </c>
      <c r="AW17" s="34">
        <v>0</v>
      </c>
      <c r="AX17" s="23">
        <f>AW17+'21.05'!AX17</f>
        <v>0</v>
      </c>
      <c r="AY17" s="34">
        <v>0</v>
      </c>
      <c r="AZ17" s="23">
        <f>AY17+'21.05'!AZ17</f>
        <v>0</v>
      </c>
      <c r="BA17" s="34">
        <v>22</v>
      </c>
      <c r="BB17" s="23">
        <f>BA17+'21.05'!BB17</f>
        <v>361</v>
      </c>
      <c r="BC17" s="19">
        <f t="shared" si="9"/>
        <v>3557</v>
      </c>
      <c r="BD17" s="20">
        <f t="shared" si="10"/>
        <v>62752</v>
      </c>
      <c r="BE17" s="22">
        <v>41</v>
      </c>
      <c r="BF17" s="23">
        <f>BE17+'21.05'!BF17</f>
        <v>780</v>
      </c>
      <c r="BG17" s="34">
        <v>1</v>
      </c>
      <c r="BH17" s="23">
        <f>BG17+'21.05'!BH17</f>
        <v>25</v>
      </c>
      <c r="BI17" s="22">
        <v>3200</v>
      </c>
      <c r="BJ17" s="23">
        <f>BI17+'21.05'!BJ17</f>
        <v>56300</v>
      </c>
      <c r="BK17" s="22">
        <v>315</v>
      </c>
      <c r="BL17" s="23">
        <f>BK17+'21.05'!BL17</f>
        <v>5450</v>
      </c>
      <c r="BM17" s="22"/>
      <c r="BN17" s="23">
        <f>BM17+'21.05'!BN17</f>
        <v>197</v>
      </c>
      <c r="BO17" s="36">
        <v>8022</v>
      </c>
      <c r="BP17" s="37">
        <v>2</v>
      </c>
      <c r="BQ17" s="23">
        <f>BP17+'21.05'!BQ17</f>
        <v>70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215</v>
      </c>
      <c r="D18" s="20">
        <f t="shared" si="2"/>
        <v>5641</v>
      </c>
      <c r="E18" s="21">
        <v>1063</v>
      </c>
      <c r="F18" s="22">
        <v>124</v>
      </c>
      <c r="G18" s="23">
        <f>F18+'21.05'!G18</f>
        <v>3468</v>
      </c>
      <c r="H18" s="21">
        <v>19</v>
      </c>
      <c r="I18" s="22">
        <v>0</v>
      </c>
      <c r="J18" s="23">
        <f>I18+'21.05'!J18</f>
        <v>0</v>
      </c>
      <c r="K18" s="21">
        <v>8</v>
      </c>
      <c r="L18" s="22">
        <v>0</v>
      </c>
      <c r="M18" s="23">
        <f>L18+'21.05'!M18</f>
        <v>0</v>
      </c>
      <c r="N18" s="21">
        <v>1331</v>
      </c>
      <c r="O18" s="22">
        <v>0</v>
      </c>
      <c r="P18" s="23">
        <f>O18+'21.05'!P18</f>
        <v>0</v>
      </c>
      <c r="Q18" s="21">
        <v>777</v>
      </c>
      <c r="R18" s="22">
        <v>0</v>
      </c>
      <c r="S18" s="23">
        <f>R18+'21.05'!S18</f>
        <v>0</v>
      </c>
      <c r="T18" s="21">
        <v>318</v>
      </c>
      <c r="U18" s="22">
        <v>0</v>
      </c>
      <c r="V18" s="23">
        <f>U18+'21.05'!V18</f>
        <v>81</v>
      </c>
      <c r="W18" s="21">
        <v>60</v>
      </c>
      <c r="X18" s="22">
        <v>91</v>
      </c>
      <c r="Y18" s="23">
        <f>X18+'21.05'!Y18</f>
        <v>2092</v>
      </c>
      <c r="Z18" s="21">
        <v>72</v>
      </c>
      <c r="AA18" s="22">
        <v>0</v>
      </c>
      <c r="AB18" s="23">
        <f>AA18+'21.05'!AB18</f>
        <v>0</v>
      </c>
      <c r="AC18" s="21">
        <v>143</v>
      </c>
      <c r="AD18" s="22">
        <v>0</v>
      </c>
      <c r="AE18" s="23">
        <f>AD18+'21.05'!AE18</f>
        <v>0</v>
      </c>
      <c r="AF18" s="19">
        <f t="shared" si="3"/>
        <v>121566</v>
      </c>
      <c r="AG18" s="20">
        <f t="shared" si="4"/>
        <v>3002538</v>
      </c>
      <c r="AH18" s="24">
        <v>231</v>
      </c>
      <c r="AI18" s="23">
        <f>AH18+'21.05'!AI18</f>
        <v>5059</v>
      </c>
      <c r="AJ18" s="24">
        <v>1611</v>
      </c>
      <c r="AK18" s="23">
        <f>AJ18+'21.05'!AK18</f>
        <v>45227</v>
      </c>
      <c r="AL18" s="22">
        <v>1733</v>
      </c>
      <c r="AM18" s="23">
        <f>AL18+'21.05'!AM18</f>
        <v>52229</v>
      </c>
      <c r="AN18" s="22">
        <v>117991</v>
      </c>
      <c r="AO18" s="23">
        <f>AN18+'21.05'!AO18</f>
        <v>2900023</v>
      </c>
      <c r="AP18" s="17" t="s">
        <v>53</v>
      </c>
      <c r="AQ18" s="19">
        <f t="shared" si="6"/>
        <v>3</v>
      </c>
      <c r="AR18" s="20">
        <f t="shared" si="7"/>
        <v>44</v>
      </c>
      <c r="AS18" s="22">
        <v>1</v>
      </c>
      <c r="AT18" s="23">
        <f>AS18+'21.05'!AT18</f>
        <v>10</v>
      </c>
      <c r="AU18" s="22">
        <v>0</v>
      </c>
      <c r="AV18" s="23">
        <f>AU18+'21.05'!AV18</f>
        <v>0</v>
      </c>
      <c r="AW18" s="22">
        <v>0</v>
      </c>
      <c r="AX18" s="23">
        <f>AW18+'21.05'!AX18</f>
        <v>0</v>
      </c>
      <c r="AY18" s="22">
        <v>0</v>
      </c>
      <c r="AZ18" s="23">
        <f>AY18+'21.05'!AZ18</f>
        <v>0</v>
      </c>
      <c r="BA18" s="22">
        <v>2</v>
      </c>
      <c r="BB18" s="23">
        <f>BA18+'21.05'!BB18</f>
        <v>34</v>
      </c>
      <c r="BC18" s="19">
        <f t="shared" si="9"/>
        <v>1001</v>
      </c>
      <c r="BD18" s="20">
        <f t="shared" si="10"/>
        <v>14893</v>
      </c>
      <c r="BE18" s="22">
        <v>7</v>
      </c>
      <c r="BF18" s="23">
        <f>BE18+'21.05'!BF18</f>
        <v>37</v>
      </c>
      <c r="BG18" s="22">
        <v>0</v>
      </c>
      <c r="BH18" s="23">
        <f>BG18+'21.05'!BH18</f>
        <v>388</v>
      </c>
      <c r="BI18" s="22">
        <v>715</v>
      </c>
      <c r="BJ18" s="23">
        <f>BI18+'21.05'!BJ18</f>
        <v>11794</v>
      </c>
      <c r="BK18" s="22">
        <v>251</v>
      </c>
      <c r="BL18" s="23">
        <f>BK18+'21.05'!BL18</f>
        <v>2344</v>
      </c>
      <c r="BM18" s="22">
        <v>28</v>
      </c>
      <c r="BN18" s="23">
        <f>BM18+'21.05'!BN18</f>
        <v>330</v>
      </c>
      <c r="BO18" s="36">
        <v>442</v>
      </c>
      <c r="BP18" s="37">
        <v>0</v>
      </c>
      <c r="BQ18" s="23">
        <f>BP18+'21.05'!BQ18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36</v>
      </c>
      <c r="D19" s="31">
        <f t="shared" si="2"/>
        <v>778</v>
      </c>
      <c r="E19" s="33">
        <v>221</v>
      </c>
      <c r="F19" s="22">
        <v>5</v>
      </c>
      <c r="G19" s="23">
        <f>F19+'21.05'!G19</f>
        <v>145</v>
      </c>
      <c r="H19" s="33">
        <v>5</v>
      </c>
      <c r="I19" s="34">
        <v>0</v>
      </c>
      <c r="J19" s="23">
        <f>I19+'21.05'!J19</f>
        <v>0</v>
      </c>
      <c r="K19" s="33">
        <v>4</v>
      </c>
      <c r="L19" s="22">
        <v>0</v>
      </c>
      <c r="M19" s="23">
        <f>L19+'21.05'!M19</f>
        <v>0</v>
      </c>
      <c r="N19" s="33">
        <v>313</v>
      </c>
      <c r="O19" s="22">
        <v>17</v>
      </c>
      <c r="P19" s="23">
        <f>O19+'21.05'!P19</f>
        <v>227</v>
      </c>
      <c r="Q19" s="33">
        <v>203</v>
      </c>
      <c r="R19" s="22">
        <v>0</v>
      </c>
      <c r="S19" s="23">
        <f>R19+'21.05'!S19</f>
        <v>0</v>
      </c>
      <c r="T19" s="33">
        <v>241</v>
      </c>
      <c r="U19" s="22">
        <v>0</v>
      </c>
      <c r="V19" s="23">
        <f>U19+'21.05'!V19</f>
        <v>0</v>
      </c>
      <c r="W19" s="33">
        <v>14</v>
      </c>
      <c r="X19" s="22">
        <v>14</v>
      </c>
      <c r="Y19" s="23">
        <f>X19+'21.05'!Y19</f>
        <v>343</v>
      </c>
      <c r="Z19" s="33">
        <v>7</v>
      </c>
      <c r="AA19" s="22">
        <v>0</v>
      </c>
      <c r="AB19" s="23">
        <f>AA19+'21.05'!AB19</f>
        <v>0</v>
      </c>
      <c r="AC19" s="33">
        <v>32</v>
      </c>
      <c r="AD19" s="22">
        <v>0</v>
      </c>
      <c r="AE19" s="23">
        <f>AD19+'21.05'!AE19</f>
        <v>63</v>
      </c>
      <c r="AF19" s="19">
        <f t="shared" si="3"/>
        <v>2640</v>
      </c>
      <c r="AG19" s="20">
        <f t="shared" si="4"/>
        <v>70470</v>
      </c>
      <c r="AH19" s="24">
        <v>415</v>
      </c>
      <c r="AI19" s="23">
        <f>AH19+'21.05'!AI19</f>
        <v>11290</v>
      </c>
      <c r="AJ19" s="24">
        <v>415</v>
      </c>
      <c r="AK19" s="23">
        <f>AJ19+'21.05'!AK19</f>
        <v>11540</v>
      </c>
      <c r="AL19" s="22">
        <v>905</v>
      </c>
      <c r="AM19" s="23">
        <f>AL19+'21.05'!AM19</f>
        <v>23820</v>
      </c>
      <c r="AN19" s="22">
        <v>905</v>
      </c>
      <c r="AO19" s="23">
        <f>AN19+'21.05'!AO19</f>
        <v>23820</v>
      </c>
      <c r="AP19" s="28" t="s">
        <v>54</v>
      </c>
      <c r="AQ19" s="19">
        <f t="shared" si="6"/>
        <v>0</v>
      </c>
      <c r="AR19" s="20">
        <f t="shared" si="7"/>
        <v>6</v>
      </c>
      <c r="AS19" s="34">
        <v>0</v>
      </c>
      <c r="AT19" s="23">
        <f>AS19+'21.05'!AT19</f>
        <v>0</v>
      </c>
      <c r="AU19" s="34">
        <v>0</v>
      </c>
      <c r="AV19" s="23">
        <f>AU19+'21.05'!AV19</f>
        <v>5</v>
      </c>
      <c r="AW19" s="34">
        <v>0</v>
      </c>
      <c r="AX19" s="23">
        <f>AW19+'21.05'!AX19</f>
        <v>1</v>
      </c>
      <c r="AY19" s="34">
        <v>0</v>
      </c>
      <c r="AZ19" s="23">
        <f>AY19+'21.05'!AZ19</f>
        <v>0</v>
      </c>
      <c r="BA19" s="34">
        <v>0</v>
      </c>
      <c r="BB19" s="23">
        <f>BA19+'21.05'!BB19</f>
        <v>0</v>
      </c>
      <c r="BC19" s="19">
        <f t="shared" si="9"/>
        <v>829</v>
      </c>
      <c r="BD19" s="20">
        <f t="shared" si="10"/>
        <v>23359</v>
      </c>
      <c r="BE19" s="22">
        <v>13</v>
      </c>
      <c r="BF19" s="23">
        <f>BE19+'21.05'!BF19</f>
        <v>301</v>
      </c>
      <c r="BG19" s="34">
        <v>0</v>
      </c>
      <c r="BH19" s="23">
        <f>BG19+'21.05'!BH19</f>
        <v>9</v>
      </c>
      <c r="BI19" s="22">
        <v>750</v>
      </c>
      <c r="BJ19" s="23">
        <f>BI19+'21.05'!BJ19</f>
        <v>20300</v>
      </c>
      <c r="BK19" s="22">
        <v>60</v>
      </c>
      <c r="BL19" s="23">
        <f>BK19+'21.05'!BL19</f>
        <v>2620</v>
      </c>
      <c r="BM19" s="22">
        <v>6</v>
      </c>
      <c r="BN19" s="23">
        <f>BM19+'21.05'!BN19</f>
        <v>129</v>
      </c>
      <c r="BO19" s="36">
        <v>2898</v>
      </c>
      <c r="BP19" s="37">
        <v>0</v>
      </c>
      <c r="BQ19" s="23">
        <f>BP19+'21.05'!BQ19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229</v>
      </c>
      <c r="D20" s="31">
        <f t="shared" si="2"/>
        <v>5344</v>
      </c>
      <c r="E20" s="32">
        <v>723</v>
      </c>
      <c r="F20" s="22">
        <v>80</v>
      </c>
      <c r="G20" s="23">
        <f>F20+'21.05'!G20</f>
        <v>2654</v>
      </c>
      <c r="H20" s="33">
        <v>5</v>
      </c>
      <c r="I20" s="34">
        <v>1</v>
      </c>
      <c r="J20" s="23">
        <f>I20+'21.05'!J20</f>
        <v>22</v>
      </c>
      <c r="K20" s="33">
        <v>3</v>
      </c>
      <c r="L20" s="22">
        <v>0</v>
      </c>
      <c r="M20" s="23">
        <f>L20+'21.05'!M20</f>
        <v>0</v>
      </c>
      <c r="N20" s="33">
        <v>975</v>
      </c>
      <c r="O20" s="22">
        <v>63</v>
      </c>
      <c r="P20" s="23">
        <f>O20+'21.05'!P20</f>
        <v>1277</v>
      </c>
      <c r="Q20" s="61">
        <v>1862</v>
      </c>
      <c r="R20" s="22">
        <v>1</v>
      </c>
      <c r="S20" s="23">
        <f>R20+'21.05'!S20</f>
        <v>24</v>
      </c>
      <c r="T20" s="33">
        <v>35</v>
      </c>
      <c r="U20" s="22">
        <v>1</v>
      </c>
      <c r="V20" s="23">
        <f>U20+'21.05'!V20</f>
        <v>22</v>
      </c>
      <c r="W20" s="33">
        <v>64</v>
      </c>
      <c r="X20" s="22">
        <v>1</v>
      </c>
      <c r="Y20" s="23">
        <f>X20+'21.05'!Y20</f>
        <v>24</v>
      </c>
      <c r="Z20" s="33">
        <v>15</v>
      </c>
      <c r="AA20" s="22">
        <v>1</v>
      </c>
      <c r="AB20" s="23">
        <f>AA20+'21.05'!AB20</f>
        <v>27</v>
      </c>
      <c r="AC20" s="33">
        <v>1546</v>
      </c>
      <c r="AD20" s="22">
        <v>81</v>
      </c>
      <c r="AE20" s="23">
        <f>AD20+'21.05'!AE20</f>
        <v>1294</v>
      </c>
      <c r="AF20" s="19">
        <f t="shared" si="3"/>
        <v>17280</v>
      </c>
      <c r="AG20" s="20">
        <f t="shared" si="4"/>
        <v>411104</v>
      </c>
      <c r="AH20" s="24">
        <v>7840</v>
      </c>
      <c r="AI20" s="23">
        <f>AH20+'21.05'!AI20</f>
        <v>187884</v>
      </c>
      <c r="AJ20" s="24">
        <v>8440</v>
      </c>
      <c r="AK20" s="23">
        <f>AJ20+'21.05'!AK20</f>
        <v>204510</v>
      </c>
      <c r="AL20" s="22">
        <v>500</v>
      </c>
      <c r="AM20" s="23">
        <f>AL20+'21.05'!AM20</f>
        <v>10400</v>
      </c>
      <c r="AN20" s="22">
        <v>500</v>
      </c>
      <c r="AO20" s="23">
        <f>AN20+'21.05'!AO20</f>
        <v>8310</v>
      </c>
      <c r="AP20" s="28" t="s">
        <v>55</v>
      </c>
      <c r="AQ20" s="19">
        <f t="shared" si="6"/>
        <v>33</v>
      </c>
      <c r="AR20" s="20">
        <f t="shared" si="7"/>
        <v>3258</v>
      </c>
      <c r="AS20" s="34">
        <v>1</v>
      </c>
      <c r="AT20" s="23">
        <f>AS20+'21.05'!AT20</f>
        <v>22</v>
      </c>
      <c r="AU20" s="34">
        <v>0</v>
      </c>
      <c r="AV20" s="23">
        <f>AU20+'21.05'!AV20</f>
        <v>0</v>
      </c>
      <c r="AW20" s="34">
        <v>0</v>
      </c>
      <c r="AX20" s="23">
        <f>AW20+'21.05'!AX20</f>
        <v>0</v>
      </c>
      <c r="AY20" s="34">
        <v>0</v>
      </c>
      <c r="AZ20" s="23">
        <f>AY20+'21.05'!AZ20</f>
        <v>0</v>
      </c>
      <c r="BA20" s="34">
        <v>32</v>
      </c>
      <c r="BB20" s="23">
        <f>BA20+'21.05'!BB20</f>
        <v>3236</v>
      </c>
      <c r="BC20" s="19">
        <f t="shared" si="9"/>
        <v>3673</v>
      </c>
      <c r="BD20" s="20">
        <f t="shared" si="10"/>
        <v>76518</v>
      </c>
      <c r="BE20" s="22">
        <v>2</v>
      </c>
      <c r="BF20" s="23">
        <f>BE20+'21.05'!BF20</f>
        <v>44</v>
      </c>
      <c r="BG20" s="34">
        <v>0</v>
      </c>
      <c r="BH20" s="23">
        <f>BG20+'21.05'!BH20</f>
        <v>0</v>
      </c>
      <c r="BI20" s="22">
        <v>1370</v>
      </c>
      <c r="BJ20" s="23">
        <f>BI20+'21.05'!BJ20</f>
        <v>37588</v>
      </c>
      <c r="BK20" s="22">
        <v>2300</v>
      </c>
      <c r="BL20" s="23">
        <f>BK20+'21.05'!BL20</f>
        <v>38865</v>
      </c>
      <c r="BM20" s="22">
        <v>1</v>
      </c>
      <c r="BN20" s="23">
        <f>BM20+'21.05'!BN20</f>
        <v>21</v>
      </c>
      <c r="BO20" s="36">
        <v>5854</v>
      </c>
      <c r="BP20" s="37">
        <v>0</v>
      </c>
      <c r="BQ20" s="23">
        <f>BP20+'21.05'!BQ20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354</v>
      </c>
      <c r="D21" s="31">
        <f t="shared" si="2"/>
        <v>4671</v>
      </c>
      <c r="E21" s="32">
        <v>1017</v>
      </c>
      <c r="F21" s="22">
        <v>140</v>
      </c>
      <c r="G21" s="23">
        <f>F21+'21.05'!G21</f>
        <v>3285</v>
      </c>
      <c r="H21" s="33">
        <v>8</v>
      </c>
      <c r="I21" s="34">
        <v>2</v>
      </c>
      <c r="J21" s="23">
        <f>I21+'21.05'!J21</f>
        <v>133</v>
      </c>
      <c r="K21" s="33">
        <v>4</v>
      </c>
      <c r="L21" s="22">
        <v>0</v>
      </c>
      <c r="M21" s="23">
        <f>L21+'21.05'!M21</f>
        <v>20</v>
      </c>
      <c r="N21" s="33">
        <v>963</v>
      </c>
      <c r="O21" s="22">
        <v>2</v>
      </c>
      <c r="P21" s="23">
        <f>O21+'21.05'!P21</f>
        <v>57</v>
      </c>
      <c r="Q21" s="33">
        <v>912</v>
      </c>
      <c r="R21" s="22">
        <v>0</v>
      </c>
      <c r="S21" s="23">
        <f>R21+'21.05'!S21</f>
        <v>0</v>
      </c>
      <c r="T21" s="33">
        <v>199</v>
      </c>
      <c r="U21" s="22">
        <v>0</v>
      </c>
      <c r="V21" s="23">
        <f>U21+'21.05'!V21</f>
        <v>98</v>
      </c>
      <c r="W21" s="33">
        <v>101</v>
      </c>
      <c r="X21" s="22">
        <v>10</v>
      </c>
      <c r="Y21" s="23">
        <f>X21+'21.05'!Y21</f>
        <v>259</v>
      </c>
      <c r="Z21" s="33">
        <v>42</v>
      </c>
      <c r="AA21" s="22">
        <v>0</v>
      </c>
      <c r="AB21" s="23">
        <f>AA21+'21.05'!AB21</f>
        <v>2</v>
      </c>
      <c r="AC21" s="33">
        <v>20</v>
      </c>
      <c r="AD21" s="22">
        <v>200</v>
      </c>
      <c r="AE21" s="23">
        <f>AD21+'21.05'!AE21</f>
        <v>817</v>
      </c>
      <c r="AF21" s="19">
        <f t="shared" si="3"/>
        <v>1300000</v>
      </c>
      <c r="AG21" s="20">
        <f t="shared" si="4"/>
        <v>24184480</v>
      </c>
      <c r="AH21" s="24">
        <v>1000</v>
      </c>
      <c r="AI21" s="23">
        <f>AH21+'21.05'!AI21</f>
        <v>25150</v>
      </c>
      <c r="AJ21" s="24">
        <v>299000</v>
      </c>
      <c r="AK21" s="23">
        <f>AJ21+'21.05'!AK21</f>
        <v>3724000</v>
      </c>
      <c r="AL21" s="22">
        <v>5000</v>
      </c>
      <c r="AM21" s="23">
        <f>AL21+'21.05'!AM21</f>
        <v>54630</v>
      </c>
      <c r="AN21" s="22">
        <v>995000</v>
      </c>
      <c r="AO21" s="23">
        <f>AN21+'21.05'!AO21</f>
        <v>20380700</v>
      </c>
      <c r="AP21" s="28" t="s">
        <v>58</v>
      </c>
      <c r="AQ21" s="19">
        <f t="shared" si="6"/>
        <v>4</v>
      </c>
      <c r="AR21" s="20">
        <f t="shared" si="7"/>
        <v>106</v>
      </c>
      <c r="AS21" s="34">
        <v>0</v>
      </c>
      <c r="AT21" s="23">
        <f>AS21+'21.05'!AT21</f>
        <v>3</v>
      </c>
      <c r="AU21" s="34">
        <v>0</v>
      </c>
      <c r="AV21" s="23">
        <f>AU21+'21.05'!AV21</f>
        <v>28</v>
      </c>
      <c r="AW21" s="34">
        <v>0</v>
      </c>
      <c r="AX21" s="23">
        <f>AW21+'21.05'!AX21</f>
        <v>1</v>
      </c>
      <c r="AY21" s="34">
        <v>0</v>
      </c>
      <c r="AZ21" s="23">
        <f>AY21+'21.05'!AZ21</f>
        <v>0</v>
      </c>
      <c r="BA21" s="34">
        <v>4</v>
      </c>
      <c r="BB21" s="23">
        <f>BA21+'21.05'!BB21</f>
        <v>74</v>
      </c>
      <c r="BC21" s="19">
        <f t="shared" si="9"/>
        <v>1080</v>
      </c>
      <c r="BD21" s="20">
        <f t="shared" si="10"/>
        <v>35846</v>
      </c>
      <c r="BE21" s="22">
        <v>70</v>
      </c>
      <c r="BF21" s="23">
        <f>BE21+'21.05'!BF21</f>
        <v>1104</v>
      </c>
      <c r="BG21" s="34">
        <v>0</v>
      </c>
      <c r="BH21" s="23">
        <f>BG21+'21.05'!BH21</f>
        <v>0</v>
      </c>
      <c r="BI21" s="22">
        <v>1000</v>
      </c>
      <c r="BJ21" s="23">
        <f>BI21+'21.05'!BJ21</f>
        <v>34550</v>
      </c>
      <c r="BK21" s="22">
        <v>0</v>
      </c>
      <c r="BL21" s="23">
        <f>BK21+'21.05'!BL21</f>
        <v>0</v>
      </c>
      <c r="BM21" s="22">
        <v>10</v>
      </c>
      <c r="BN21" s="23">
        <f>BM21+'21.05'!BN21</f>
        <v>192</v>
      </c>
      <c r="BO21" s="36">
        <v>68</v>
      </c>
      <c r="BP21" s="37">
        <v>1</v>
      </c>
      <c r="BQ21" s="23">
        <f>BP21+'21.05'!BQ21</f>
        <v>32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1"/>
        <v>2191</v>
      </c>
      <c r="D22" s="31">
        <f t="shared" si="2"/>
        <v>46573</v>
      </c>
      <c r="E22" s="32">
        <v>509</v>
      </c>
      <c r="F22" s="22">
        <v>411</v>
      </c>
      <c r="G22" s="23">
        <f>F22+'21.05'!G22</f>
        <v>7779</v>
      </c>
      <c r="H22" s="33">
        <v>8</v>
      </c>
      <c r="I22" s="34">
        <v>0</v>
      </c>
      <c r="J22" s="23">
        <f>I22+'21.05'!J22</f>
        <v>23</v>
      </c>
      <c r="K22" s="33">
        <v>21</v>
      </c>
      <c r="L22" s="22">
        <v>0</v>
      </c>
      <c r="M22" s="23">
        <f>L22+'21.05'!M22</f>
        <v>0</v>
      </c>
      <c r="N22" s="33">
        <v>560</v>
      </c>
      <c r="O22" s="22">
        <v>60</v>
      </c>
      <c r="P22" s="23">
        <f>O22+'21.05'!P22</f>
        <v>1172</v>
      </c>
      <c r="Q22" s="33">
        <v>375</v>
      </c>
      <c r="R22" s="22">
        <v>0</v>
      </c>
      <c r="S22" s="23">
        <f>R22+'21.05'!S22</f>
        <v>0</v>
      </c>
      <c r="T22" s="33">
        <v>165</v>
      </c>
      <c r="U22" s="22">
        <v>0</v>
      </c>
      <c r="V22" s="23">
        <f>U22+'21.05'!V22</f>
        <v>483</v>
      </c>
      <c r="W22" s="33">
        <v>28</v>
      </c>
      <c r="X22" s="22">
        <v>114</v>
      </c>
      <c r="Y22" s="23">
        <f>X22+'21.05'!Y22</f>
        <v>1827</v>
      </c>
      <c r="Z22" s="33">
        <v>9</v>
      </c>
      <c r="AA22" s="22">
        <v>0</v>
      </c>
      <c r="AB22" s="23">
        <f>AA22+'21.05'!AB22</f>
        <v>0</v>
      </c>
      <c r="AC22" s="33">
        <v>112</v>
      </c>
      <c r="AD22" s="22">
        <v>1606</v>
      </c>
      <c r="AE22" s="23">
        <f>AD22+'21.05'!AE22</f>
        <v>35289</v>
      </c>
      <c r="AF22" s="19">
        <f t="shared" si="3"/>
        <v>420765</v>
      </c>
      <c r="AG22" s="20">
        <f t="shared" si="4"/>
        <v>8896717</v>
      </c>
      <c r="AH22" s="24">
        <v>1433</v>
      </c>
      <c r="AI22" s="23">
        <f>AH22+'21.05'!AI22</f>
        <v>49847</v>
      </c>
      <c r="AJ22" s="24">
        <v>7631</v>
      </c>
      <c r="AK22" s="23">
        <f>AJ22+'21.05'!AK22</f>
        <v>144271</v>
      </c>
      <c r="AL22" s="22">
        <v>13226</v>
      </c>
      <c r="AM22" s="23">
        <f>AL22+'21.05'!AM22</f>
        <v>236387</v>
      </c>
      <c r="AN22" s="22">
        <v>398475</v>
      </c>
      <c r="AO22" s="23">
        <f>AN22+'21.05'!AO22</f>
        <v>8466212</v>
      </c>
      <c r="AP22" s="28" t="s">
        <v>59</v>
      </c>
      <c r="AQ22" s="19">
        <f t="shared" si="6"/>
        <v>486</v>
      </c>
      <c r="AR22" s="20">
        <f t="shared" si="7"/>
        <v>35298</v>
      </c>
      <c r="AS22" s="34">
        <v>1</v>
      </c>
      <c r="AT22" s="23">
        <f>AS22+'21.05'!AT22</f>
        <v>8</v>
      </c>
      <c r="AU22" s="34">
        <v>1</v>
      </c>
      <c r="AV22" s="23">
        <f>AU22+'21.05'!AV22</f>
        <v>7</v>
      </c>
      <c r="AW22" s="34">
        <v>0</v>
      </c>
      <c r="AX22" s="23">
        <f>AW22+'21.05'!AX22</f>
        <v>2</v>
      </c>
      <c r="AY22" s="34">
        <v>0</v>
      </c>
      <c r="AZ22" s="23">
        <f>AY22+'21.05'!AZ22</f>
        <v>1</v>
      </c>
      <c r="BA22" s="34">
        <v>484</v>
      </c>
      <c r="BB22" s="23">
        <f>BA22+'21.05'!BB22</f>
        <v>35280</v>
      </c>
      <c r="BC22" s="19">
        <f t="shared" si="9"/>
        <v>6490</v>
      </c>
      <c r="BD22" s="20">
        <f t="shared" si="10"/>
        <v>149502</v>
      </c>
      <c r="BE22" s="22">
        <v>11</v>
      </c>
      <c r="BF22" s="23">
        <f>BE22+'21.05'!BF22</f>
        <v>125</v>
      </c>
      <c r="BG22" s="34">
        <v>61</v>
      </c>
      <c r="BH22" s="23">
        <f>BG22+'21.05'!BH22</f>
        <v>1328</v>
      </c>
      <c r="BI22" s="22">
        <v>3504</v>
      </c>
      <c r="BJ22" s="23">
        <f>BI22+'21.05'!BJ22</f>
        <v>97621</v>
      </c>
      <c r="BK22" s="22">
        <v>2846</v>
      </c>
      <c r="BL22" s="23">
        <f>BK22+'21.05'!BL22</f>
        <v>49200</v>
      </c>
      <c r="BM22" s="22">
        <v>68</v>
      </c>
      <c r="BN22" s="23">
        <f>BM22+'21.05'!BN22</f>
        <v>1228</v>
      </c>
      <c r="BO22" s="36">
        <v>26</v>
      </c>
      <c r="BP22" s="37">
        <v>1</v>
      </c>
      <c r="BQ22" s="23">
        <f>BP22+'21.05'!BQ22</f>
        <v>1714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1"/>
        <v>4192</v>
      </c>
      <c r="D23" s="65">
        <f t="shared" si="2"/>
        <v>90529</v>
      </c>
      <c r="E23" s="66">
        <f>+E18+E19+E22+E17+E16+E15+E14+E13+E12+E11+E10+E9+E8</f>
        <v>7282</v>
      </c>
      <c r="F23" s="67">
        <f t="shared" ref="F23:J23" si="12">SUM(F8:F22)</f>
        <v>1520</v>
      </c>
      <c r="G23" s="68">
        <f t="shared" si="12"/>
        <v>33250</v>
      </c>
      <c r="H23" s="66">
        <f>+H18+H19+H22+H17+H16+H15+H14+H13+H12+H11+H10+H9+H8</f>
        <v>271</v>
      </c>
      <c r="I23" s="67">
        <f t="shared" si="12"/>
        <v>8</v>
      </c>
      <c r="J23" s="68">
        <f t="shared" si="12"/>
        <v>297</v>
      </c>
      <c r="K23" s="66">
        <f>+K18+K19+K22+K17+K16+K15+K14+K13+K12+K11+K10+K9+K8</f>
        <v>163</v>
      </c>
      <c r="L23" s="67">
        <f t="shared" ref="L23:P23" si="13">SUM(L8:L22)</f>
        <v>0</v>
      </c>
      <c r="M23" s="68">
        <f t="shared" si="13"/>
        <v>39</v>
      </c>
      <c r="N23" s="66">
        <f>+N18+N19+N22+N17+N16+N15+N14+N13+N12+N11+N10+N9+N8</f>
        <v>8607</v>
      </c>
      <c r="O23" s="67">
        <f t="shared" si="13"/>
        <v>160</v>
      </c>
      <c r="P23" s="68">
        <f t="shared" si="13"/>
        <v>3352</v>
      </c>
      <c r="Q23" s="66">
        <f>+Q18+Q19+Q22+Q17+Q16+Q15+Q14+Q13+Q12+Q11+Q10+Q9+Q8</f>
        <v>7474</v>
      </c>
      <c r="R23" s="67">
        <f t="shared" ref="R23:V23" si="14">SUM(R8:R22)</f>
        <v>1</v>
      </c>
      <c r="S23" s="68">
        <f t="shared" si="14"/>
        <v>163</v>
      </c>
      <c r="T23" s="66">
        <f>+T18+T19+T22+T17+T16+T15+T14+T13+T12+T11+T10+T9+T8</f>
        <v>4115</v>
      </c>
      <c r="U23" s="67">
        <f t="shared" si="14"/>
        <v>1</v>
      </c>
      <c r="V23" s="68">
        <f t="shared" si="14"/>
        <v>787</v>
      </c>
      <c r="W23" s="66">
        <f>+W18+W19+W22+W17+W16+W15+W14+W13+W12+W11+W10+W9+W8</f>
        <v>604</v>
      </c>
      <c r="X23" s="67">
        <f t="shared" ref="X23:AB23" si="15">SUM(X8:X22)</f>
        <v>441</v>
      </c>
      <c r="Y23" s="68">
        <f t="shared" si="15"/>
        <v>9138</v>
      </c>
      <c r="Z23" s="66">
        <f>+Z18+Z19+Z22+Z17+Z16+Z15+Z14+Z13+Z12+Z11+Z10+Z9+Z8</f>
        <v>1629</v>
      </c>
      <c r="AA23" s="67">
        <f t="shared" si="15"/>
        <v>1</v>
      </c>
      <c r="AB23" s="68">
        <f t="shared" si="15"/>
        <v>68</v>
      </c>
      <c r="AC23" s="66">
        <f>+AC18+AC19+AC22+AC17+AC16+AC15+AC14+AC13+AC12+AC11+AC10+AC9+AC8</f>
        <v>64846</v>
      </c>
      <c r="AD23" s="67">
        <f t="shared" ref="AD23:AO23" si="16">SUM(AD8:AD22)</f>
        <v>2060</v>
      </c>
      <c r="AE23" s="68">
        <f t="shared" si="16"/>
        <v>43435</v>
      </c>
      <c r="AF23" s="64">
        <f t="shared" si="16"/>
        <v>4274263</v>
      </c>
      <c r="AG23" s="64">
        <f t="shared" si="16"/>
        <v>98658513</v>
      </c>
      <c r="AH23" s="67">
        <f t="shared" si="16"/>
        <v>34811</v>
      </c>
      <c r="AI23" s="68">
        <f t="shared" si="16"/>
        <v>715472</v>
      </c>
      <c r="AJ23" s="67">
        <f t="shared" si="16"/>
        <v>365531</v>
      </c>
      <c r="AK23" s="68">
        <f t="shared" si="16"/>
        <v>5328686</v>
      </c>
      <c r="AL23" s="67">
        <f t="shared" si="16"/>
        <v>1161174</v>
      </c>
      <c r="AM23" s="68">
        <f t="shared" si="16"/>
        <v>30122187</v>
      </c>
      <c r="AN23" s="67">
        <f t="shared" si="16"/>
        <v>2712747</v>
      </c>
      <c r="AO23" s="68">
        <f t="shared" si="16"/>
        <v>62492168</v>
      </c>
      <c r="AP23" s="62" t="s">
        <v>12</v>
      </c>
      <c r="AQ23" s="64">
        <f t="shared" ref="AQ23:BP23" si="17">SUM(AQ8:AQ22)</f>
        <v>806</v>
      </c>
      <c r="AR23" s="64">
        <f t="shared" si="17"/>
        <v>46260</v>
      </c>
      <c r="AS23" s="67">
        <f t="shared" si="17"/>
        <v>5</v>
      </c>
      <c r="AT23" s="68">
        <f t="shared" si="17"/>
        <v>101</v>
      </c>
      <c r="AU23" s="67">
        <f t="shared" si="17"/>
        <v>4</v>
      </c>
      <c r="AV23" s="68">
        <f t="shared" si="17"/>
        <v>121</v>
      </c>
      <c r="AW23" s="67">
        <f t="shared" si="17"/>
        <v>1</v>
      </c>
      <c r="AX23" s="68">
        <f t="shared" si="17"/>
        <v>19</v>
      </c>
      <c r="AY23" s="67">
        <f t="shared" si="17"/>
        <v>0</v>
      </c>
      <c r="AZ23" s="68">
        <f t="shared" si="17"/>
        <v>4</v>
      </c>
      <c r="BA23" s="67">
        <f t="shared" si="17"/>
        <v>796</v>
      </c>
      <c r="BB23" s="68">
        <f t="shared" si="17"/>
        <v>46015</v>
      </c>
      <c r="BC23" s="64">
        <f t="shared" si="17"/>
        <v>34571</v>
      </c>
      <c r="BD23" s="64">
        <f t="shared" si="17"/>
        <v>896185</v>
      </c>
      <c r="BE23" s="67">
        <f t="shared" si="17"/>
        <v>922</v>
      </c>
      <c r="BF23" s="68">
        <f t="shared" si="17"/>
        <v>32559</v>
      </c>
      <c r="BG23" s="67">
        <f t="shared" si="17"/>
        <v>136</v>
      </c>
      <c r="BH23" s="68">
        <f t="shared" si="17"/>
        <v>2617</v>
      </c>
      <c r="BI23" s="67">
        <f t="shared" si="17"/>
        <v>26264</v>
      </c>
      <c r="BJ23" s="68">
        <f t="shared" si="17"/>
        <v>695304</v>
      </c>
      <c r="BK23" s="67">
        <f t="shared" si="17"/>
        <v>6966</v>
      </c>
      <c r="BL23" s="68">
        <f t="shared" si="17"/>
        <v>160967</v>
      </c>
      <c r="BM23" s="67">
        <f t="shared" si="17"/>
        <v>283</v>
      </c>
      <c r="BN23" s="68">
        <f t="shared" si="17"/>
        <v>4738</v>
      </c>
      <c r="BO23" s="69">
        <f t="shared" si="17"/>
        <v>37704</v>
      </c>
      <c r="BP23" s="70">
        <f t="shared" si="17"/>
        <v>11</v>
      </c>
      <c r="BQ23" s="23">
        <f>BP23+'20.04'!BP23</f>
        <v>37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7030A0"/>
  </sheetPr>
  <dimension ref="A1:BQ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77</v>
      </c>
      <c r="B9" s="29">
        <f t="shared" si="0"/>
        <v>3841</v>
      </c>
      <c r="C9" s="30">
        <f t="shared" si="1"/>
        <v>2</v>
      </c>
      <c r="D9" s="31">
        <f t="shared" si="2"/>
        <v>109</v>
      </c>
      <c r="E9" s="32">
        <v>452</v>
      </c>
      <c r="F9" s="22">
        <v>1</v>
      </c>
      <c r="G9" s="23">
        <f>F9+'22.05'!G9</f>
        <v>57</v>
      </c>
      <c r="H9" s="33">
        <v>12</v>
      </c>
      <c r="I9" s="34">
        <v>1</v>
      </c>
      <c r="J9" s="23">
        <f>I9+'22.05'!J9</f>
        <v>17</v>
      </c>
      <c r="K9" s="33">
        <v>2</v>
      </c>
      <c r="L9" s="22">
        <v>0</v>
      </c>
      <c r="M9" s="23">
        <f>L9+'22.05'!M9</f>
        <v>0</v>
      </c>
      <c r="N9" s="33">
        <v>735</v>
      </c>
      <c r="O9" s="22">
        <v>0</v>
      </c>
      <c r="P9" s="23">
        <f>O9+'22.05'!P9</f>
        <v>0</v>
      </c>
      <c r="Q9" s="33">
        <v>502</v>
      </c>
      <c r="R9" s="22">
        <v>0</v>
      </c>
      <c r="S9" s="23">
        <f>R9+'22.05'!S9</f>
        <v>0</v>
      </c>
      <c r="T9" s="33">
        <v>197</v>
      </c>
      <c r="U9" s="22">
        <v>0</v>
      </c>
      <c r="V9" s="23">
        <f>U9+'22.05'!V9</f>
        <v>0</v>
      </c>
      <c r="W9" s="33">
        <v>47</v>
      </c>
      <c r="X9" s="22">
        <v>0</v>
      </c>
      <c r="Y9" s="23">
        <f>X9+'22.05'!Y9</f>
        <v>16</v>
      </c>
      <c r="Z9" s="33">
        <v>34</v>
      </c>
      <c r="AA9" s="22">
        <v>0</v>
      </c>
      <c r="AB9" s="23">
        <f>AA9+'22.05'!AB9</f>
        <v>0</v>
      </c>
      <c r="AC9" s="33">
        <v>1860</v>
      </c>
      <c r="AD9" s="22">
        <v>0</v>
      </c>
      <c r="AE9" s="23">
        <f>AD9+'22.05'!AE9</f>
        <v>19</v>
      </c>
      <c r="AF9" s="19">
        <f t="shared" si="3"/>
        <v>7166</v>
      </c>
      <c r="AG9" s="20">
        <f t="shared" si="4"/>
        <v>194496</v>
      </c>
      <c r="AH9" s="24">
        <v>68</v>
      </c>
      <c r="AI9" s="23">
        <f>AH9+'22.05'!AI9</f>
        <v>2711</v>
      </c>
      <c r="AJ9" s="24">
        <v>298</v>
      </c>
      <c r="AK9" s="23">
        <f>AJ9+'22.05'!AK9</f>
        <v>16502</v>
      </c>
      <c r="AL9" s="22">
        <v>2550</v>
      </c>
      <c r="AM9" s="23">
        <f>AL9+'22.05'!AM9</f>
        <v>34385</v>
      </c>
      <c r="AN9" s="22">
        <v>4250</v>
      </c>
      <c r="AO9" s="23">
        <f>AN9+'22.05'!AO9</f>
        <v>140898</v>
      </c>
      <c r="AP9" s="28" t="s">
        <v>43</v>
      </c>
      <c r="AQ9" s="19">
        <f t="shared" si="6"/>
        <v>57</v>
      </c>
      <c r="AR9" s="20">
        <f t="shared" si="7"/>
        <v>2851</v>
      </c>
      <c r="AS9" s="34">
        <v>1</v>
      </c>
      <c r="AT9" s="23">
        <f>AS9+'22.05'!AT9</f>
        <v>11</v>
      </c>
      <c r="AU9" s="34">
        <v>1</v>
      </c>
      <c r="AV9" s="23">
        <f>AU9+'22.05'!AV9</f>
        <v>11</v>
      </c>
      <c r="AW9" s="34">
        <v>1</v>
      </c>
      <c r="AX9" s="23">
        <f>AW9+'22.05'!AX9</f>
        <v>6</v>
      </c>
      <c r="AY9" s="34">
        <v>0</v>
      </c>
      <c r="AZ9" s="23">
        <f>AY9+'22.05'!AZ9</f>
        <v>0</v>
      </c>
      <c r="BA9" s="34">
        <v>54</v>
      </c>
      <c r="BB9" s="23">
        <f>BA9+'22.05'!BB9</f>
        <v>2823</v>
      </c>
      <c r="BC9" s="19">
        <f t="shared" si="9"/>
        <v>402</v>
      </c>
      <c r="BD9" s="20">
        <f t="shared" si="10"/>
        <v>10258</v>
      </c>
      <c r="BE9" s="22">
        <v>1</v>
      </c>
      <c r="BF9" s="23">
        <f>BE9+'22.05'!BF9</f>
        <v>32</v>
      </c>
      <c r="BG9" s="34">
        <v>0</v>
      </c>
      <c r="BH9" s="23">
        <f>BG9+'22.05'!BH9</f>
        <v>0</v>
      </c>
      <c r="BI9" s="22">
        <v>400</v>
      </c>
      <c r="BJ9" s="23">
        <f>BI9+'22.05'!BJ9</f>
        <v>10200</v>
      </c>
      <c r="BK9" s="22">
        <v>0</v>
      </c>
      <c r="BL9" s="23">
        <f>BK9+'22.05'!BL9</f>
        <v>0</v>
      </c>
      <c r="BM9" s="22">
        <v>1</v>
      </c>
      <c r="BN9" s="23">
        <f>BM9+'22.05'!BN9</f>
        <v>26</v>
      </c>
      <c r="BO9" s="36">
        <v>14</v>
      </c>
      <c r="BP9" s="37">
        <v>0</v>
      </c>
      <c r="BQ9" s="23">
        <f>BP9+'22.05'!BQ9</f>
        <v>6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145</v>
      </c>
      <c r="D10" s="31">
        <f t="shared" si="2"/>
        <v>2702</v>
      </c>
      <c r="E10" s="32">
        <v>585</v>
      </c>
      <c r="F10" s="22">
        <v>3</v>
      </c>
      <c r="G10" s="23">
        <f>F10+'22.05'!G10</f>
        <v>295</v>
      </c>
      <c r="H10" s="33">
        <v>93</v>
      </c>
      <c r="I10" s="34">
        <v>1</v>
      </c>
      <c r="J10" s="23">
        <f>I10+'22.05'!J10</f>
        <v>38</v>
      </c>
      <c r="K10" s="33">
        <v>34</v>
      </c>
      <c r="L10" s="22">
        <v>0</v>
      </c>
      <c r="M10" s="23">
        <f>L10+'22.05'!M10</f>
        <v>19</v>
      </c>
      <c r="N10" s="33">
        <v>352</v>
      </c>
      <c r="O10" s="22">
        <v>21</v>
      </c>
      <c r="P10" s="23">
        <f>O10+'22.05'!P10</f>
        <v>235</v>
      </c>
      <c r="Q10" s="33">
        <v>549</v>
      </c>
      <c r="R10" s="22">
        <v>0</v>
      </c>
      <c r="S10" s="23">
        <f>R10+'22.05'!S10</f>
        <v>139</v>
      </c>
      <c r="T10" s="33">
        <v>198</v>
      </c>
      <c r="U10" s="22">
        <v>4</v>
      </c>
      <c r="V10" s="23">
        <f>U10+'22.05'!V10</f>
        <v>107</v>
      </c>
      <c r="W10" s="38">
        <v>55</v>
      </c>
      <c r="X10" s="22">
        <v>8</v>
      </c>
      <c r="Y10" s="23">
        <f>X10+'22.05'!Y10</f>
        <v>76</v>
      </c>
      <c r="Z10" s="38">
        <v>71</v>
      </c>
      <c r="AA10" s="22">
        <v>0</v>
      </c>
      <c r="AB10" s="23">
        <f>AA10+'22.05'!AB10</f>
        <v>39</v>
      </c>
      <c r="AC10" s="38">
        <v>1690</v>
      </c>
      <c r="AD10" s="22">
        <v>108</v>
      </c>
      <c r="AE10" s="23">
        <f>AD10+'22.05'!AE10</f>
        <v>1754</v>
      </c>
      <c r="AF10" s="19">
        <f t="shared" si="3"/>
        <v>124782</v>
      </c>
      <c r="AG10" s="20">
        <f t="shared" si="4"/>
        <v>2461949</v>
      </c>
      <c r="AH10" s="24">
        <v>921</v>
      </c>
      <c r="AI10" s="23">
        <f>AH10+'22.05'!AI10</f>
        <v>25166</v>
      </c>
      <c r="AJ10" s="24">
        <v>5031</v>
      </c>
      <c r="AK10" s="23">
        <f>AJ10+'22.05'!AK10</f>
        <v>114446</v>
      </c>
      <c r="AL10" s="22">
        <v>17076</v>
      </c>
      <c r="AM10" s="23">
        <f>AL10+'22.05'!AM10</f>
        <v>277610</v>
      </c>
      <c r="AN10" s="22">
        <v>101754</v>
      </c>
      <c r="AO10" s="23">
        <f>AN10+'22.05'!AO10</f>
        <v>2044727</v>
      </c>
      <c r="AP10" s="28" t="s">
        <v>44</v>
      </c>
      <c r="AQ10" s="19">
        <f t="shared" si="6"/>
        <v>4</v>
      </c>
      <c r="AR10" s="20">
        <f t="shared" si="7"/>
        <v>98</v>
      </c>
      <c r="AS10" s="34">
        <v>0</v>
      </c>
      <c r="AT10" s="23">
        <f>AS10+'22.05'!AT10</f>
        <v>5</v>
      </c>
      <c r="AU10" s="34">
        <v>0</v>
      </c>
      <c r="AV10" s="23">
        <f>AU10+'22.05'!AV10</f>
        <v>4</v>
      </c>
      <c r="AW10" s="34">
        <v>0</v>
      </c>
      <c r="AX10" s="23">
        <f>AW10+'22.05'!AX10</f>
        <v>0</v>
      </c>
      <c r="AY10" s="34">
        <v>0</v>
      </c>
      <c r="AZ10" s="23">
        <f>AY10+'22.05'!AZ10</f>
        <v>0</v>
      </c>
      <c r="BA10" s="34">
        <v>4</v>
      </c>
      <c r="BB10" s="23">
        <f>BA10+'22.05'!BB10</f>
        <v>89</v>
      </c>
      <c r="BC10" s="19">
        <f t="shared" si="9"/>
        <v>8490</v>
      </c>
      <c r="BD10" s="20">
        <f t="shared" si="10"/>
        <v>106824</v>
      </c>
      <c r="BE10" s="22">
        <v>548</v>
      </c>
      <c r="BF10" s="23">
        <f>BE10+'22.05'!BF10</f>
        <v>11873</v>
      </c>
      <c r="BG10" s="34">
        <v>0</v>
      </c>
      <c r="BH10" s="23">
        <f>BG10+'22.05'!BH10</f>
        <v>28</v>
      </c>
      <c r="BI10" s="22">
        <v>2735</v>
      </c>
      <c r="BJ10" s="23">
        <f>BI10+'22.05'!BJ10</f>
        <v>54826</v>
      </c>
      <c r="BK10" s="22">
        <v>5207</v>
      </c>
      <c r="BL10" s="23">
        <f>BK10+'22.05'!BL10</f>
        <v>40094</v>
      </c>
      <c r="BM10" s="22">
        <v>0</v>
      </c>
      <c r="BN10" s="23">
        <f>BM10+'22.05'!BN10</f>
        <v>3</v>
      </c>
      <c r="BO10" s="36">
        <v>32</v>
      </c>
      <c r="BP10" s="37">
        <v>0</v>
      </c>
      <c r="BQ10" s="23">
        <f>BP10+'22.05'!BQ10</f>
        <v>13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35</v>
      </c>
      <c r="D11" s="31">
        <f t="shared" si="2"/>
        <v>834</v>
      </c>
      <c r="E11" s="32">
        <v>883</v>
      </c>
      <c r="F11" s="22">
        <v>15</v>
      </c>
      <c r="G11" s="23">
        <f>F11+'22.05'!G11</f>
        <v>406</v>
      </c>
      <c r="H11" s="33">
        <v>16</v>
      </c>
      <c r="I11" s="34">
        <v>0</v>
      </c>
      <c r="J11" s="23">
        <f>I11+'22.05'!J11</f>
        <v>0</v>
      </c>
      <c r="K11" s="33">
        <v>3</v>
      </c>
      <c r="L11" s="22">
        <v>0</v>
      </c>
      <c r="M11" s="23">
        <f>L11+'22.05'!M11</f>
        <v>0</v>
      </c>
      <c r="N11" s="33">
        <v>875</v>
      </c>
      <c r="O11" s="22">
        <v>0</v>
      </c>
      <c r="P11" s="23">
        <f>O11+'22.05'!P11</f>
        <v>0</v>
      </c>
      <c r="Q11" s="33">
        <v>2424</v>
      </c>
      <c r="R11" s="22">
        <v>0</v>
      </c>
      <c r="S11" s="23">
        <f>R11+'22.05'!S11</f>
        <v>0</v>
      </c>
      <c r="T11" s="33">
        <v>69</v>
      </c>
      <c r="U11" s="22">
        <v>0</v>
      </c>
      <c r="V11" s="23">
        <f>U11+'22.05'!V11</f>
        <v>0</v>
      </c>
      <c r="W11" s="38">
        <v>133</v>
      </c>
      <c r="X11" s="22">
        <v>18</v>
      </c>
      <c r="Y11" s="23">
        <f>X11+'22.05'!Y11</f>
        <v>394</v>
      </c>
      <c r="Z11" s="38">
        <v>1116</v>
      </c>
      <c r="AA11" s="22">
        <v>0</v>
      </c>
      <c r="AB11" s="23">
        <f>AA11+'22.05'!AB11</f>
        <v>0</v>
      </c>
      <c r="AC11" s="38">
        <v>9862</v>
      </c>
      <c r="AD11" s="22">
        <v>2</v>
      </c>
      <c r="AE11" s="23">
        <f>AD11+'22.05'!AE11</f>
        <v>34</v>
      </c>
      <c r="AF11" s="19">
        <f t="shared" si="3"/>
        <v>16300</v>
      </c>
      <c r="AG11" s="20">
        <f t="shared" si="4"/>
        <v>444200</v>
      </c>
      <c r="AH11" s="24">
        <v>2000</v>
      </c>
      <c r="AI11" s="23">
        <f>AH11+'22.05'!AI11</f>
        <v>54200</v>
      </c>
      <c r="AJ11" s="24">
        <v>3500</v>
      </c>
      <c r="AK11" s="23">
        <f>AJ11+'22.05'!AK11</f>
        <v>67000</v>
      </c>
      <c r="AL11" s="22">
        <v>2800</v>
      </c>
      <c r="AM11" s="23">
        <f>AL11+'22.05'!AM11</f>
        <v>98500</v>
      </c>
      <c r="AN11" s="22">
        <v>8000</v>
      </c>
      <c r="AO11" s="23">
        <f>AN11+'22.05'!AO11</f>
        <v>224500</v>
      </c>
      <c r="AP11" s="28" t="s">
        <v>45</v>
      </c>
      <c r="AQ11" s="19">
        <f t="shared" si="6"/>
        <v>3</v>
      </c>
      <c r="AR11" s="20">
        <f t="shared" si="7"/>
        <v>58</v>
      </c>
      <c r="AS11" s="34">
        <v>0</v>
      </c>
      <c r="AT11" s="23">
        <f>AS11+'22.05'!AT11</f>
        <v>0</v>
      </c>
      <c r="AU11" s="34">
        <v>0</v>
      </c>
      <c r="AV11" s="23">
        <f>AU11+'22.05'!AV11</f>
        <v>0</v>
      </c>
      <c r="AW11" s="34">
        <v>0</v>
      </c>
      <c r="AX11" s="23">
        <f>AW11+'22.05'!AX11</f>
        <v>0</v>
      </c>
      <c r="AY11" s="34">
        <v>0</v>
      </c>
      <c r="AZ11" s="23">
        <f>AY11+'22.05'!AZ11</f>
        <v>0</v>
      </c>
      <c r="BA11" s="34">
        <v>3</v>
      </c>
      <c r="BB11" s="23">
        <f>BA11+'22.05'!BB11</f>
        <v>58</v>
      </c>
      <c r="BC11" s="19">
        <f t="shared" si="9"/>
        <v>478</v>
      </c>
      <c r="BD11" s="20">
        <f t="shared" si="10"/>
        <v>14598</v>
      </c>
      <c r="BE11" s="22">
        <v>3</v>
      </c>
      <c r="BF11" s="23">
        <f>BE11+'22.05'!BF11</f>
        <v>46</v>
      </c>
      <c r="BG11" s="34">
        <v>3</v>
      </c>
      <c r="BH11" s="23">
        <f>BG11+'22.05'!BH11</f>
        <v>70</v>
      </c>
      <c r="BI11" s="22">
        <v>455</v>
      </c>
      <c r="BJ11" s="23">
        <f>BI11+'22.05'!BJ11</f>
        <v>14093</v>
      </c>
      <c r="BK11" s="22">
        <v>12</v>
      </c>
      <c r="BL11" s="23">
        <f>BK11+'22.05'!BL11</f>
        <v>341</v>
      </c>
      <c r="BM11" s="22">
        <v>5</v>
      </c>
      <c r="BN11" s="23">
        <f>BM11+'22.05'!BN11</f>
        <v>48</v>
      </c>
      <c r="BO11" s="36">
        <v>11506</v>
      </c>
      <c r="BP11" s="37">
        <v>4</v>
      </c>
      <c r="BQ11" s="23" t="s">
        <v>78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270</v>
      </c>
      <c r="D12" s="31">
        <f t="shared" si="2"/>
        <v>5179</v>
      </c>
      <c r="E12" s="32">
        <v>909</v>
      </c>
      <c r="F12" s="22">
        <v>71</v>
      </c>
      <c r="G12" s="23">
        <f>F12+'22.05'!G12</f>
        <v>1248</v>
      </c>
      <c r="H12" s="33">
        <v>80</v>
      </c>
      <c r="I12" s="34">
        <v>5</v>
      </c>
      <c r="J12" s="23">
        <f>I12+'22.05'!J12</f>
        <v>60</v>
      </c>
      <c r="K12" s="33">
        <v>5</v>
      </c>
      <c r="L12" s="22">
        <v>0</v>
      </c>
      <c r="M12" s="23">
        <f>L12+'22.05'!M12</f>
        <v>0</v>
      </c>
      <c r="N12" s="33">
        <v>820</v>
      </c>
      <c r="O12" s="22">
        <v>24</v>
      </c>
      <c r="P12" s="23">
        <f>O12+'22.05'!P12</f>
        <v>419</v>
      </c>
      <c r="Q12" s="33">
        <v>549</v>
      </c>
      <c r="R12" s="22">
        <v>0</v>
      </c>
      <c r="S12" s="23">
        <f>R12+'22.05'!S12</f>
        <v>0</v>
      </c>
      <c r="T12" s="33">
        <v>992</v>
      </c>
      <c r="U12" s="22">
        <v>0</v>
      </c>
      <c r="V12" s="23">
        <f>U12+'22.05'!V12</f>
        <v>0</v>
      </c>
      <c r="W12" s="33">
        <v>38</v>
      </c>
      <c r="X12" s="22">
        <v>132</v>
      </c>
      <c r="Y12" s="23">
        <f>X12+'22.05'!Y12</f>
        <v>2642</v>
      </c>
      <c r="Z12" s="33">
        <v>68</v>
      </c>
      <c r="AA12" s="22">
        <v>0</v>
      </c>
      <c r="AB12" s="23">
        <f>AA12+'22.05'!AB12</f>
        <v>0</v>
      </c>
      <c r="AC12" s="33">
        <v>26703</v>
      </c>
      <c r="AD12" s="22">
        <v>38</v>
      </c>
      <c r="AE12" s="23">
        <f>AD12+'22.05'!AE12</f>
        <v>810</v>
      </c>
      <c r="AF12" s="19">
        <f t="shared" si="3"/>
        <v>4639</v>
      </c>
      <c r="AG12" s="20">
        <f t="shared" si="4"/>
        <v>352571</v>
      </c>
      <c r="AH12" s="24">
        <v>839</v>
      </c>
      <c r="AI12" s="23">
        <f>AH12+'22.05'!AI12</f>
        <v>54405</v>
      </c>
      <c r="AJ12" s="24">
        <v>886</v>
      </c>
      <c r="AK12" s="23">
        <f>AJ12+'22.05'!AK12</f>
        <v>110131</v>
      </c>
      <c r="AL12" s="22">
        <v>1457</v>
      </c>
      <c r="AM12" s="23">
        <f>AL12+'22.05'!AM12</f>
        <v>94015</v>
      </c>
      <c r="AN12" s="22">
        <v>1457</v>
      </c>
      <c r="AO12" s="23">
        <f>AN12+'22.05'!AO12</f>
        <v>94020</v>
      </c>
      <c r="AP12" s="28" t="s">
        <v>46</v>
      </c>
      <c r="AQ12" s="19">
        <f t="shared" si="6"/>
        <v>73</v>
      </c>
      <c r="AR12" s="20">
        <f t="shared" si="7"/>
        <v>1950</v>
      </c>
      <c r="AS12" s="34">
        <v>0</v>
      </c>
      <c r="AT12" s="23">
        <f>AS12+'22.05'!AT12</f>
        <v>0</v>
      </c>
      <c r="AU12" s="34">
        <v>0</v>
      </c>
      <c r="AV12" s="23">
        <f>AU12+'22.05'!AV12</f>
        <v>0</v>
      </c>
      <c r="AW12" s="34">
        <v>0</v>
      </c>
      <c r="AX12" s="23">
        <f>AW12+'22.05'!AX12</f>
        <v>0</v>
      </c>
      <c r="AY12" s="34">
        <v>0</v>
      </c>
      <c r="AZ12" s="23">
        <f>AY12+'22.05'!AZ12</f>
        <v>0</v>
      </c>
      <c r="BA12" s="34">
        <v>73</v>
      </c>
      <c r="BB12" s="23">
        <f>BA12+'22.05'!BB12</f>
        <v>1950</v>
      </c>
      <c r="BC12" s="19">
        <f t="shared" si="9"/>
        <v>2460</v>
      </c>
      <c r="BD12" s="20">
        <f t="shared" si="10"/>
        <v>64823</v>
      </c>
      <c r="BE12" s="22">
        <v>305</v>
      </c>
      <c r="BF12" s="23">
        <f>BE12+'22.05'!BF12</f>
        <v>4360</v>
      </c>
      <c r="BG12" s="34">
        <v>14</v>
      </c>
      <c r="BH12" s="23">
        <f>BG12+'22.05'!BH12</f>
        <v>216</v>
      </c>
      <c r="BI12" s="22">
        <v>1900</v>
      </c>
      <c r="BJ12" s="23">
        <f>BI12+'22.05'!BJ12</f>
        <v>52500</v>
      </c>
      <c r="BK12" s="22">
        <v>200</v>
      </c>
      <c r="BL12" s="23">
        <f>BK12+'22.05'!BL12</f>
        <v>6600</v>
      </c>
      <c r="BM12" s="22">
        <v>41</v>
      </c>
      <c r="BN12" s="23">
        <f>BM12+'22.05'!BN12</f>
        <v>1147</v>
      </c>
      <c r="BO12" s="36"/>
      <c r="BP12" s="37">
        <v>1</v>
      </c>
      <c r="BQ12" s="23">
        <f>BP12+'22.05'!BQ12</f>
        <v>41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4</v>
      </c>
      <c r="D13" s="31">
        <f t="shared" si="2"/>
        <v>295</v>
      </c>
      <c r="E13" s="32">
        <v>516</v>
      </c>
      <c r="F13" s="22">
        <v>1</v>
      </c>
      <c r="G13" s="23">
        <f>F13+'22.05'!G13</f>
        <v>24</v>
      </c>
      <c r="H13" s="33">
        <v>10</v>
      </c>
      <c r="I13" s="34">
        <v>1</v>
      </c>
      <c r="J13" s="23">
        <f>I13+'22.05'!J13</f>
        <v>12</v>
      </c>
      <c r="K13" s="33">
        <v>38</v>
      </c>
      <c r="L13" s="22">
        <v>0</v>
      </c>
      <c r="M13" s="23">
        <f>L13+'22.05'!M13</f>
        <v>0</v>
      </c>
      <c r="N13" s="33">
        <v>581</v>
      </c>
      <c r="O13" s="22">
        <v>0</v>
      </c>
      <c r="P13" s="23">
        <f>O13+'22.05'!P13</f>
        <v>10</v>
      </c>
      <c r="Q13" s="33">
        <v>525</v>
      </c>
      <c r="R13" s="22">
        <v>0</v>
      </c>
      <c r="S13" s="23">
        <f>R13+'22.05'!S13</f>
        <v>0</v>
      </c>
      <c r="T13" s="33">
        <v>263</v>
      </c>
      <c r="U13" s="22">
        <v>0</v>
      </c>
      <c r="V13" s="23">
        <f>U13+'22.05'!V13</f>
        <v>0</v>
      </c>
      <c r="W13" s="33">
        <v>43</v>
      </c>
      <c r="X13" s="22">
        <v>0</v>
      </c>
      <c r="Y13" s="23">
        <f>X13+'22.05'!Y13</f>
        <v>1</v>
      </c>
      <c r="Z13" s="33">
        <v>17</v>
      </c>
      <c r="AA13" s="22">
        <v>0</v>
      </c>
      <c r="AB13" s="23">
        <f>AA13+'22.05'!AB13</f>
        <v>0</v>
      </c>
      <c r="AC13" s="33">
        <v>51</v>
      </c>
      <c r="AD13" s="22">
        <v>2</v>
      </c>
      <c r="AE13" s="23">
        <f>AD13+'22.05'!AE13</f>
        <v>248</v>
      </c>
      <c r="AF13" s="19">
        <f t="shared" si="3"/>
        <v>364000</v>
      </c>
      <c r="AG13" s="20">
        <f t="shared" si="4"/>
        <v>6041000</v>
      </c>
      <c r="AH13" s="24">
        <v>1500</v>
      </c>
      <c r="AI13" s="23">
        <f>AH13+'22.05'!AI13</f>
        <v>68000</v>
      </c>
      <c r="AJ13" s="24">
        <v>12500</v>
      </c>
      <c r="AK13" s="23">
        <f>AJ13+'22.05'!AK13</f>
        <v>464000</v>
      </c>
      <c r="AL13" s="22">
        <v>250000</v>
      </c>
      <c r="AM13" s="23">
        <f>AL13+'22.05'!AM13</f>
        <v>950000</v>
      </c>
      <c r="AN13" s="22">
        <v>100000</v>
      </c>
      <c r="AO13" s="23">
        <f>AN13+'22.05'!AO13</f>
        <v>4559000</v>
      </c>
      <c r="AP13" s="28" t="s">
        <v>47</v>
      </c>
      <c r="AQ13" s="19">
        <f t="shared" si="6"/>
        <v>9</v>
      </c>
      <c r="AR13" s="20">
        <f t="shared" si="7"/>
        <v>490</v>
      </c>
      <c r="AS13" s="34">
        <v>1</v>
      </c>
      <c r="AT13" s="23">
        <f>AS13+'22.05'!AT13</f>
        <v>20</v>
      </c>
      <c r="AU13" s="34">
        <v>0</v>
      </c>
      <c r="AV13" s="23">
        <f>AU13+'22.05'!AV13</f>
        <v>19</v>
      </c>
      <c r="AW13" s="34">
        <v>1</v>
      </c>
      <c r="AX13" s="23">
        <f>AW13+'22.05'!AX13</f>
        <v>2</v>
      </c>
      <c r="AY13" s="34">
        <v>0</v>
      </c>
      <c r="AZ13" s="23">
        <f>AY13+'22.05'!AZ13</f>
        <v>0</v>
      </c>
      <c r="BA13" s="34">
        <v>7</v>
      </c>
      <c r="BB13" s="23">
        <f>BA13+'22.05'!BB13</f>
        <v>449</v>
      </c>
      <c r="BC13" s="19">
        <f t="shared" si="9"/>
        <v>8737</v>
      </c>
      <c r="BD13" s="20">
        <f t="shared" si="10"/>
        <v>246644</v>
      </c>
      <c r="BE13" s="22">
        <v>516</v>
      </c>
      <c r="BF13" s="23">
        <f>BE13+'22.05'!BF13</f>
        <v>11868</v>
      </c>
      <c r="BG13" s="34">
        <v>54</v>
      </c>
      <c r="BH13" s="23">
        <f>BG13+'22.05'!BH13</f>
        <v>562</v>
      </c>
      <c r="BI13" s="22">
        <v>8000</v>
      </c>
      <c r="BJ13" s="23">
        <f>BI13+'22.05'!BJ13</f>
        <v>228500</v>
      </c>
      <c r="BK13" s="22">
        <v>100</v>
      </c>
      <c r="BL13" s="23">
        <f>BK13+'22.05'!BL13</f>
        <v>4720</v>
      </c>
      <c r="BM13" s="22">
        <v>67</v>
      </c>
      <c r="BN13" s="23">
        <f>BM13+'22.05'!BN13</f>
        <v>994</v>
      </c>
      <c r="BO13" s="36"/>
      <c r="BP13" s="37">
        <v>0</v>
      </c>
      <c r="BQ13" s="23">
        <f>BP13+'22.05'!BQ13</f>
        <v>13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1"/>
        <v>102</v>
      </c>
      <c r="D14" s="42">
        <f t="shared" si="2"/>
        <v>2572</v>
      </c>
      <c r="E14" s="43">
        <v>304</v>
      </c>
      <c r="F14" s="22">
        <v>92</v>
      </c>
      <c r="G14" s="23">
        <f>F14+'22.05'!G14</f>
        <v>2197</v>
      </c>
      <c r="H14" s="44">
        <v>5</v>
      </c>
      <c r="I14" s="45">
        <v>0</v>
      </c>
      <c r="J14" s="23">
        <f>I14+'22.05'!J14</f>
        <v>0</v>
      </c>
      <c r="K14" s="44">
        <v>34</v>
      </c>
      <c r="L14" s="22">
        <v>0</v>
      </c>
      <c r="M14" s="23">
        <f>L14+'22.05'!M14</f>
        <v>0</v>
      </c>
      <c r="N14" s="44">
        <v>583</v>
      </c>
      <c r="O14" s="22">
        <v>0</v>
      </c>
      <c r="P14" s="23">
        <f>O14+'22.05'!P14</f>
        <v>0</v>
      </c>
      <c r="Q14" s="44">
        <v>254</v>
      </c>
      <c r="R14" s="22">
        <v>0</v>
      </c>
      <c r="S14" s="23">
        <f>R14+'22.05'!S14</f>
        <v>0</v>
      </c>
      <c r="T14" s="44">
        <v>196</v>
      </c>
      <c r="U14" s="22">
        <v>0</v>
      </c>
      <c r="V14" s="23">
        <f>U14+'22.05'!V14</f>
        <v>0</v>
      </c>
      <c r="W14" s="44">
        <v>30</v>
      </c>
      <c r="X14" s="22">
        <v>10</v>
      </c>
      <c r="Y14" s="23">
        <f>X14+'22.05'!Y14</f>
        <v>285</v>
      </c>
      <c r="Z14" s="44">
        <v>10</v>
      </c>
      <c r="AA14" s="22">
        <v>0</v>
      </c>
      <c r="AB14" s="23">
        <f>AA14+'22.05'!AB14</f>
        <v>0</v>
      </c>
      <c r="AC14" s="44">
        <v>2500</v>
      </c>
      <c r="AD14" s="22">
        <v>0</v>
      </c>
      <c r="AE14" s="23">
        <f>AD14+'22.05'!AE14</f>
        <v>90</v>
      </c>
      <c r="AF14" s="19">
        <f t="shared" si="3"/>
        <v>116100</v>
      </c>
      <c r="AG14" s="20">
        <f t="shared" si="4"/>
        <v>2541890</v>
      </c>
      <c r="AH14" s="24">
        <v>2400</v>
      </c>
      <c r="AI14" s="23">
        <f>AH14+'22.05'!AI14</f>
        <v>75810</v>
      </c>
      <c r="AJ14" s="24">
        <v>7100</v>
      </c>
      <c r="AK14" s="23">
        <f>AJ14+'22.05'!AK14</f>
        <v>141950</v>
      </c>
      <c r="AL14" s="22">
        <v>8200</v>
      </c>
      <c r="AM14" s="23">
        <f>AL14+'22.05'!AM14</f>
        <v>171150</v>
      </c>
      <c r="AN14" s="22">
        <v>98400</v>
      </c>
      <c r="AO14" s="23">
        <f>AN14+'22.05'!AO14</f>
        <v>2152980</v>
      </c>
      <c r="AP14" s="39" t="s">
        <v>48</v>
      </c>
      <c r="AQ14" s="19">
        <f t="shared" si="6"/>
        <v>2</v>
      </c>
      <c r="AR14" s="20">
        <f t="shared" si="7"/>
        <v>79</v>
      </c>
      <c r="AS14" s="45">
        <v>0</v>
      </c>
      <c r="AT14" s="23">
        <f>AS14+'22.05'!AT14</f>
        <v>0</v>
      </c>
      <c r="AU14" s="45">
        <v>0</v>
      </c>
      <c r="AV14" s="23">
        <f>AU14+'22.05'!AV14</f>
        <v>4</v>
      </c>
      <c r="AW14" s="45">
        <v>0</v>
      </c>
      <c r="AX14" s="23">
        <f>AW14+'22.05'!AX14</f>
        <v>4</v>
      </c>
      <c r="AY14" s="45">
        <v>0</v>
      </c>
      <c r="AZ14" s="23">
        <f>AY14+'22.05'!AZ14</f>
        <v>2</v>
      </c>
      <c r="BA14" s="45">
        <v>2</v>
      </c>
      <c r="BB14" s="23">
        <f>BA14+'22.05'!BB14</f>
        <v>69</v>
      </c>
      <c r="BC14" s="19">
        <f t="shared" si="9"/>
        <v>807</v>
      </c>
      <c r="BD14" s="20">
        <f t="shared" si="10"/>
        <v>48742</v>
      </c>
      <c r="BE14" s="22">
        <v>2</v>
      </c>
      <c r="BF14" s="23">
        <f>BE14+'22.05'!BF14</f>
        <v>72</v>
      </c>
      <c r="BG14" s="45">
        <v>1</v>
      </c>
      <c r="BH14" s="23">
        <f>BG14+'22.05'!BH14</f>
        <v>35</v>
      </c>
      <c r="BI14" s="22">
        <v>800</v>
      </c>
      <c r="BJ14" s="23">
        <f>BI14+'22.05'!BJ14</f>
        <v>48480</v>
      </c>
      <c r="BK14" s="22">
        <v>2</v>
      </c>
      <c r="BL14" s="23">
        <f>BK14+'22.05'!BL14</f>
        <v>103</v>
      </c>
      <c r="BM14" s="22">
        <v>2</v>
      </c>
      <c r="BN14" s="23">
        <f>BM14+'22.05'!BN14</f>
        <v>52</v>
      </c>
      <c r="BO14" s="48">
        <v>22</v>
      </c>
      <c r="BP14" s="49">
        <v>0</v>
      </c>
      <c r="BQ14" s="23">
        <f>BP14+'22.05'!BQ14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488</v>
      </c>
      <c r="D15" s="53">
        <f t="shared" si="2"/>
        <v>10177</v>
      </c>
      <c r="E15" s="54">
        <v>776</v>
      </c>
      <c r="F15" s="55">
        <v>421</v>
      </c>
      <c r="G15" s="23">
        <f>F15+'22.05'!G15</f>
        <v>8118</v>
      </c>
      <c r="H15" s="56">
        <v>9</v>
      </c>
      <c r="I15" s="57">
        <v>0</v>
      </c>
      <c r="J15" s="23">
        <f>I15+'22.05'!J15</f>
        <v>0</v>
      </c>
      <c r="K15" s="56">
        <v>6</v>
      </c>
      <c r="L15" s="55">
        <v>0</v>
      </c>
      <c r="M15" s="23">
        <f>L15+'22.05'!M15</f>
        <v>0</v>
      </c>
      <c r="N15" s="56">
        <v>1305</v>
      </c>
      <c r="O15" s="55">
        <v>0</v>
      </c>
      <c r="P15" s="23">
        <f>O15+'22.05'!P15</f>
        <v>0</v>
      </c>
      <c r="Q15" s="56">
        <v>447</v>
      </c>
      <c r="R15" s="55">
        <v>0</v>
      </c>
      <c r="S15" s="23">
        <f>R15+'22.05'!S15</f>
        <v>0</v>
      </c>
      <c r="T15" s="56">
        <v>337</v>
      </c>
      <c r="U15" s="55">
        <v>0</v>
      </c>
      <c r="V15" s="23">
        <f>U15+'22.05'!V15</f>
        <v>0</v>
      </c>
      <c r="W15" s="56">
        <v>78</v>
      </c>
      <c r="X15" s="55">
        <v>0</v>
      </c>
      <c r="Y15" s="23">
        <f>X15+'22.05'!Y15</f>
        <v>0</v>
      </c>
      <c r="Z15" s="56">
        <v>141</v>
      </c>
      <c r="AA15" s="55">
        <v>0</v>
      </c>
      <c r="AB15" s="23">
        <f>AA15+'22.05'!AB15</f>
        <v>0</v>
      </c>
      <c r="AC15" s="56">
        <v>798</v>
      </c>
      <c r="AD15" s="55">
        <v>67</v>
      </c>
      <c r="AE15" s="23">
        <f>AD15+'22.05'!AE15</f>
        <v>2059</v>
      </c>
      <c r="AF15" s="58">
        <f t="shared" si="3"/>
        <v>1720375</v>
      </c>
      <c r="AG15" s="59">
        <f t="shared" si="4"/>
        <v>48897624</v>
      </c>
      <c r="AH15" s="60">
        <v>821</v>
      </c>
      <c r="AI15" s="23">
        <f>AH15+'22.05'!AI15</f>
        <v>19373</v>
      </c>
      <c r="AJ15" s="60">
        <v>2782</v>
      </c>
      <c r="AK15" s="23">
        <f>AJ15+'22.05'!AK15</f>
        <v>65405</v>
      </c>
      <c r="AL15" s="55">
        <v>858386</v>
      </c>
      <c r="AM15" s="23">
        <f>AL15+'22.05'!AM15</f>
        <v>28757923</v>
      </c>
      <c r="AN15" s="55">
        <v>858386</v>
      </c>
      <c r="AO15" s="23">
        <f>AN15+'22.05'!AO15</f>
        <v>20054923</v>
      </c>
      <c r="AP15" s="50" t="s">
        <v>49</v>
      </c>
      <c r="AQ15" s="58">
        <f t="shared" si="6"/>
        <v>2</v>
      </c>
      <c r="AR15" s="59">
        <f t="shared" si="7"/>
        <v>57</v>
      </c>
      <c r="AS15" s="57">
        <v>0</v>
      </c>
      <c r="AT15" s="23">
        <f>AS15+'22.05'!AT15</f>
        <v>2</v>
      </c>
      <c r="AU15" s="57">
        <v>0</v>
      </c>
      <c r="AV15" s="23">
        <f>AU15+'22.05'!AV15</f>
        <v>5</v>
      </c>
      <c r="AW15" s="57">
        <v>0</v>
      </c>
      <c r="AX15" s="23">
        <f>AW15+'22.05'!AX15</f>
        <v>5</v>
      </c>
      <c r="AY15" s="57">
        <v>0</v>
      </c>
      <c r="AZ15" s="23">
        <f>AY15+'22.05'!AZ15</f>
        <v>1</v>
      </c>
      <c r="BA15" s="57">
        <v>2</v>
      </c>
      <c r="BB15" s="23">
        <f>BA15+'22.05'!BB15</f>
        <v>44</v>
      </c>
      <c r="BC15" s="58">
        <f t="shared" si="9"/>
        <v>1294</v>
      </c>
      <c r="BD15" s="59">
        <f t="shared" si="10"/>
        <v>34308</v>
      </c>
      <c r="BE15" s="55">
        <v>68</v>
      </c>
      <c r="BF15" s="23">
        <f>BE15+'22.05'!BF15</f>
        <v>1758</v>
      </c>
      <c r="BG15" s="57">
        <v>2</v>
      </c>
      <c r="BH15" s="23">
        <f>BG15+'22.05'!BH15</f>
        <v>30</v>
      </c>
      <c r="BI15" s="55">
        <v>615</v>
      </c>
      <c r="BJ15" s="23">
        <f>BI15+'22.05'!BJ15</f>
        <v>16356</v>
      </c>
      <c r="BK15" s="55">
        <v>591</v>
      </c>
      <c r="BL15" s="23">
        <f>BK15+'22.05'!BL15</f>
        <v>15798</v>
      </c>
      <c r="BM15" s="55">
        <v>18</v>
      </c>
      <c r="BN15" s="23">
        <f>BM15+'22.05'!BN15</f>
        <v>366</v>
      </c>
      <c r="BO15" s="36">
        <v>6274</v>
      </c>
      <c r="BP15" s="37">
        <v>0</v>
      </c>
      <c r="BQ15" s="23">
        <f>BP15+'22.05'!BQ15</f>
        <v>14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154</v>
      </c>
      <c r="D16" s="31">
        <f t="shared" si="2"/>
        <v>3177</v>
      </c>
      <c r="E16" s="32">
        <v>310</v>
      </c>
      <c r="F16" s="22">
        <v>53</v>
      </c>
      <c r="G16" s="23">
        <f>F16+'22.05'!G16</f>
        <v>1096</v>
      </c>
      <c r="H16" s="33">
        <v>5</v>
      </c>
      <c r="I16" s="34">
        <v>0</v>
      </c>
      <c r="J16" s="23">
        <f>I16+'22.05'!J16</f>
        <v>0</v>
      </c>
      <c r="K16" s="33">
        <v>3</v>
      </c>
      <c r="L16" s="22">
        <v>0</v>
      </c>
      <c r="M16" s="23">
        <f>L16+'22.05'!M16</f>
        <v>0</v>
      </c>
      <c r="N16" s="33">
        <v>384</v>
      </c>
      <c r="O16" s="22">
        <v>0</v>
      </c>
      <c r="P16" s="23">
        <f>O16+'22.05'!P16</f>
        <v>0</v>
      </c>
      <c r="Q16" s="33">
        <v>245</v>
      </c>
      <c r="R16" s="22">
        <v>0</v>
      </c>
      <c r="S16" s="23">
        <f>R16+'22.05'!S16</f>
        <v>0</v>
      </c>
      <c r="T16" s="33">
        <v>397</v>
      </c>
      <c r="U16" s="22">
        <v>0</v>
      </c>
      <c r="V16" s="23">
        <f>U16+'22.05'!V16</f>
        <v>0</v>
      </c>
      <c r="W16" s="33">
        <v>24</v>
      </c>
      <c r="X16" s="22">
        <v>49</v>
      </c>
      <c r="Y16" s="23">
        <f>X16+'22.05'!Y16</f>
        <v>1108</v>
      </c>
      <c r="Z16" s="33">
        <v>18</v>
      </c>
      <c r="AA16" s="22">
        <v>0</v>
      </c>
      <c r="AB16" s="23">
        <f>AA16+'22.05'!AB16</f>
        <v>0</v>
      </c>
      <c r="AC16" s="33">
        <v>18515</v>
      </c>
      <c r="AD16" s="22">
        <v>52</v>
      </c>
      <c r="AE16" s="23">
        <f>AD16+'22.05'!AE16</f>
        <v>973</v>
      </c>
      <c r="AF16" s="19">
        <f t="shared" si="3"/>
        <v>57832</v>
      </c>
      <c r="AG16" s="20">
        <f t="shared" si="4"/>
        <v>1368768</v>
      </c>
      <c r="AH16" s="24">
        <v>154</v>
      </c>
      <c r="AI16" s="23">
        <f>AH16+'22.05'!AI16</f>
        <v>3680</v>
      </c>
      <c r="AJ16" s="24">
        <v>1671</v>
      </c>
      <c r="AK16" s="23">
        <f>AJ16+'22.05'!AK16</f>
        <v>31572</v>
      </c>
      <c r="AL16" s="22">
        <v>1375</v>
      </c>
      <c r="AM16" s="23">
        <f>AL16+'22.05'!AM16</f>
        <v>35382</v>
      </c>
      <c r="AN16" s="22">
        <v>54632</v>
      </c>
      <c r="AO16" s="23">
        <f>AN16+'22.05'!AO16</f>
        <v>1298134</v>
      </c>
      <c r="AP16" s="28" t="s">
        <v>51</v>
      </c>
      <c r="AQ16" s="19">
        <f t="shared" si="6"/>
        <v>89</v>
      </c>
      <c r="AR16" s="20">
        <f t="shared" si="7"/>
        <v>1785</v>
      </c>
      <c r="AS16" s="34">
        <v>0</v>
      </c>
      <c r="AT16" s="23">
        <f>AS16+'22.05'!AT16</f>
        <v>3</v>
      </c>
      <c r="AU16" s="34">
        <v>0</v>
      </c>
      <c r="AV16" s="23">
        <f>AU16+'22.05'!AV16</f>
        <v>0</v>
      </c>
      <c r="AW16" s="34">
        <v>0</v>
      </c>
      <c r="AX16" s="23">
        <f>AW16+'22.05'!AX16</f>
        <v>0</v>
      </c>
      <c r="AY16" s="34">
        <v>0</v>
      </c>
      <c r="AZ16" s="23">
        <f>AY16+'22.05'!AZ16</f>
        <v>0</v>
      </c>
      <c r="BA16" s="34">
        <v>89</v>
      </c>
      <c r="BB16" s="23">
        <f>BA16+'22.05'!BB16</f>
        <v>1782</v>
      </c>
      <c r="BC16" s="19">
        <f t="shared" si="9"/>
        <v>1572</v>
      </c>
      <c r="BD16" s="20">
        <f t="shared" si="10"/>
        <v>31358</v>
      </c>
      <c r="BE16" s="22">
        <v>92</v>
      </c>
      <c r="BF16" s="23">
        <f>BE16+'22.05'!BF16</f>
        <v>1694</v>
      </c>
      <c r="BG16" s="34">
        <v>0</v>
      </c>
      <c r="BH16" s="23">
        <f>BG16+'22.05'!BH16</f>
        <v>0</v>
      </c>
      <c r="BI16" s="22">
        <v>1436</v>
      </c>
      <c r="BJ16" s="23">
        <f>BI16+'22.05'!BJ16</f>
        <v>28537</v>
      </c>
      <c r="BK16" s="22">
        <v>37</v>
      </c>
      <c r="BL16" s="23">
        <f>BK16+'22.05'!BL16</f>
        <v>981</v>
      </c>
      <c r="BM16" s="22">
        <v>7</v>
      </c>
      <c r="BN16" s="23">
        <f>BM16+'22.05'!BN16</f>
        <v>146</v>
      </c>
      <c r="BO16" s="36">
        <v>2546</v>
      </c>
      <c r="BP16" s="37">
        <v>0</v>
      </c>
      <c r="BQ16" s="23">
        <f>BP16+'22.05'!BQ16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164</v>
      </c>
      <c r="D17" s="31">
        <f t="shared" si="2"/>
        <v>3841</v>
      </c>
      <c r="E17" s="32">
        <v>754</v>
      </c>
      <c r="F17" s="22">
        <v>144</v>
      </c>
      <c r="G17" s="23">
        <f>F17+'22.05'!G17</f>
        <v>3279</v>
      </c>
      <c r="H17" s="33">
        <v>9</v>
      </c>
      <c r="I17" s="34">
        <v>0</v>
      </c>
      <c r="J17" s="23">
        <f>I17+'22.05'!J17</f>
        <v>0</v>
      </c>
      <c r="K17" s="33">
        <v>5</v>
      </c>
      <c r="L17" s="22">
        <v>0</v>
      </c>
      <c r="M17" s="23">
        <f>L17+'22.05'!M17</f>
        <v>0</v>
      </c>
      <c r="N17" s="33">
        <v>768</v>
      </c>
      <c r="O17" s="22">
        <v>0</v>
      </c>
      <c r="P17" s="23">
        <f>O17+'22.05'!P17</f>
        <v>0</v>
      </c>
      <c r="Q17" s="33">
        <v>624</v>
      </c>
      <c r="R17" s="22">
        <v>0</v>
      </c>
      <c r="S17" s="23">
        <f>R17+'22.05'!S17</f>
        <v>0</v>
      </c>
      <c r="T17" s="33">
        <v>742</v>
      </c>
      <c r="U17" s="22">
        <v>0</v>
      </c>
      <c r="V17" s="23">
        <f>U17+'22.05'!V17</f>
        <v>0</v>
      </c>
      <c r="W17" s="33">
        <v>54</v>
      </c>
      <c r="X17" s="22">
        <v>10</v>
      </c>
      <c r="Y17" s="23">
        <f>X17+'22.05'!Y17</f>
        <v>298</v>
      </c>
      <c r="Z17" s="33">
        <v>66</v>
      </c>
      <c r="AA17" s="22">
        <v>0</v>
      </c>
      <c r="AB17" s="23">
        <f>AA17+'22.05'!AB17</f>
        <v>0</v>
      </c>
      <c r="AC17" s="33">
        <v>2580</v>
      </c>
      <c r="AD17" s="22">
        <v>10</v>
      </c>
      <c r="AE17" s="23">
        <f>AD17+'22.05'!AE17</f>
        <v>264</v>
      </c>
      <c r="AF17" s="19">
        <f t="shared" si="3"/>
        <v>104000</v>
      </c>
      <c r="AG17" s="20">
        <f t="shared" si="4"/>
        <v>2305900</v>
      </c>
      <c r="AH17" s="24">
        <v>9000</v>
      </c>
      <c r="AI17" s="23">
        <f>AH17+'22.05'!AI17</f>
        <v>150600</v>
      </c>
      <c r="AJ17" s="24">
        <v>11000</v>
      </c>
      <c r="AK17" s="23">
        <f>AJ17+'22.05'!AK17</f>
        <v>232900</v>
      </c>
      <c r="AL17" s="22">
        <v>18000</v>
      </c>
      <c r="AM17" s="23">
        <f>AL17+'22.05'!AM17</f>
        <v>485600</v>
      </c>
      <c r="AN17" s="22">
        <v>66000</v>
      </c>
      <c r="AO17" s="23">
        <f>AN17+'22.05'!AO17</f>
        <v>1436800</v>
      </c>
      <c r="AP17" s="28" t="s">
        <v>52</v>
      </c>
      <c r="AQ17" s="19">
        <f t="shared" si="6"/>
        <v>24</v>
      </c>
      <c r="AR17" s="20">
        <f t="shared" si="7"/>
        <v>443</v>
      </c>
      <c r="AS17" s="34">
        <v>0</v>
      </c>
      <c r="AT17" s="23">
        <f>AS17+'22.05'!AT17</f>
        <v>19</v>
      </c>
      <c r="AU17" s="34">
        <v>4</v>
      </c>
      <c r="AV17" s="23">
        <f>AU17+'22.05'!AV17</f>
        <v>43</v>
      </c>
      <c r="AW17" s="34">
        <v>0</v>
      </c>
      <c r="AX17" s="23">
        <f>AW17+'22.05'!AX17</f>
        <v>0</v>
      </c>
      <c r="AY17" s="34">
        <v>0</v>
      </c>
      <c r="AZ17" s="23">
        <f>AY17+'22.05'!AZ17</f>
        <v>0</v>
      </c>
      <c r="BA17" s="34">
        <v>20</v>
      </c>
      <c r="BB17" s="23">
        <f>BA17+'22.05'!BB17</f>
        <v>381</v>
      </c>
      <c r="BC17" s="19">
        <f t="shared" si="9"/>
        <v>3865</v>
      </c>
      <c r="BD17" s="20">
        <f t="shared" si="10"/>
        <v>66617</v>
      </c>
      <c r="BE17" s="22">
        <v>42</v>
      </c>
      <c r="BF17" s="23">
        <f>BE17+'22.05'!BF17</f>
        <v>822</v>
      </c>
      <c r="BG17" s="34">
        <v>1</v>
      </c>
      <c r="BH17" s="23">
        <f>BG17+'22.05'!BH17</f>
        <v>26</v>
      </c>
      <c r="BI17" s="22">
        <v>3500</v>
      </c>
      <c r="BJ17" s="23">
        <f>BI17+'22.05'!BJ17</f>
        <v>59800</v>
      </c>
      <c r="BK17" s="22">
        <v>310</v>
      </c>
      <c r="BL17" s="23">
        <f>BK17+'22.05'!BL17</f>
        <v>5760</v>
      </c>
      <c r="BM17" s="22">
        <v>12</v>
      </c>
      <c r="BN17" s="23">
        <f>BM17+'22.05'!BN17</f>
        <v>209</v>
      </c>
      <c r="BO17" s="36">
        <v>8022</v>
      </c>
      <c r="BP17" s="37">
        <v>1</v>
      </c>
      <c r="BQ17" s="23">
        <f>BP17+'22.05'!BQ17</f>
        <v>71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191</v>
      </c>
      <c r="D18" s="20">
        <f t="shared" si="2"/>
        <v>5832</v>
      </c>
      <c r="E18" s="21">
        <v>1063</v>
      </c>
      <c r="F18" s="22">
        <v>113</v>
      </c>
      <c r="G18" s="23">
        <f>F18+'22.05'!G18</f>
        <v>3581</v>
      </c>
      <c r="H18" s="21">
        <v>19</v>
      </c>
      <c r="I18" s="22">
        <v>0</v>
      </c>
      <c r="J18" s="23">
        <f>I18+'22.05'!J18</f>
        <v>0</v>
      </c>
      <c r="K18" s="21">
        <v>8</v>
      </c>
      <c r="L18" s="22">
        <v>0</v>
      </c>
      <c r="M18" s="23">
        <f>L18+'22.05'!M18</f>
        <v>0</v>
      </c>
      <c r="N18" s="21">
        <v>1331</v>
      </c>
      <c r="O18" s="22">
        <v>0</v>
      </c>
      <c r="P18" s="23">
        <f>O18+'22.05'!P18</f>
        <v>0</v>
      </c>
      <c r="Q18" s="21">
        <v>777</v>
      </c>
      <c r="R18" s="22">
        <v>0</v>
      </c>
      <c r="S18" s="23">
        <f>R18+'22.05'!S18</f>
        <v>0</v>
      </c>
      <c r="T18" s="21">
        <v>318</v>
      </c>
      <c r="U18" s="22">
        <v>0</v>
      </c>
      <c r="V18" s="23">
        <f>U18+'22.05'!V18</f>
        <v>81</v>
      </c>
      <c r="W18" s="21">
        <v>60</v>
      </c>
      <c r="X18" s="22">
        <v>78</v>
      </c>
      <c r="Y18" s="23">
        <f>X18+'22.05'!Y18</f>
        <v>2170</v>
      </c>
      <c r="Z18" s="21">
        <v>72</v>
      </c>
      <c r="AA18" s="22">
        <v>0</v>
      </c>
      <c r="AB18" s="23">
        <f>AA18+'22.05'!AB18</f>
        <v>0</v>
      </c>
      <c r="AC18" s="21">
        <v>143</v>
      </c>
      <c r="AD18" s="22">
        <v>0</v>
      </c>
      <c r="AE18" s="23">
        <f>AD18+'22.05'!AE18</f>
        <v>0</v>
      </c>
      <c r="AF18" s="19">
        <f t="shared" si="3"/>
        <v>120801</v>
      </c>
      <c r="AG18" s="20">
        <f t="shared" si="4"/>
        <v>3123339</v>
      </c>
      <c r="AH18" s="24">
        <v>194</v>
      </c>
      <c r="AI18" s="23">
        <f>AH18+'22.05'!AI18</f>
        <v>5253</v>
      </c>
      <c r="AJ18" s="24">
        <v>1557</v>
      </c>
      <c r="AK18" s="23">
        <f>AJ18+'22.05'!AK18</f>
        <v>46784</v>
      </c>
      <c r="AL18" s="22">
        <v>1813</v>
      </c>
      <c r="AM18" s="23">
        <f>AL18+'22.05'!AM18</f>
        <v>54042</v>
      </c>
      <c r="AN18" s="22">
        <v>117237</v>
      </c>
      <c r="AO18" s="23">
        <f>AN18+'22.05'!AO18</f>
        <v>3017260</v>
      </c>
      <c r="AP18" s="17" t="s">
        <v>53</v>
      </c>
      <c r="AQ18" s="19">
        <f t="shared" si="6"/>
        <v>3</v>
      </c>
      <c r="AR18" s="20">
        <f t="shared" si="7"/>
        <v>47</v>
      </c>
      <c r="AS18" s="22">
        <v>1</v>
      </c>
      <c r="AT18" s="23">
        <f>AS18+'22.05'!AT18</f>
        <v>11</v>
      </c>
      <c r="AU18" s="22">
        <v>0</v>
      </c>
      <c r="AV18" s="23">
        <f>AU18+'22.05'!AV18</f>
        <v>0</v>
      </c>
      <c r="AW18" s="22">
        <v>0</v>
      </c>
      <c r="AX18" s="23">
        <f>AW18+'22.05'!AX18</f>
        <v>0</v>
      </c>
      <c r="AY18" s="22">
        <v>0</v>
      </c>
      <c r="AZ18" s="23">
        <f>AY18+'22.05'!AZ18</f>
        <v>0</v>
      </c>
      <c r="BA18" s="22">
        <v>2</v>
      </c>
      <c r="BB18" s="23">
        <f>BA18+'22.05'!BB18</f>
        <v>36</v>
      </c>
      <c r="BC18" s="19">
        <f t="shared" si="9"/>
        <v>892</v>
      </c>
      <c r="BD18" s="20">
        <f t="shared" si="10"/>
        <v>15785</v>
      </c>
      <c r="BE18" s="22">
        <v>13</v>
      </c>
      <c r="BF18" s="23">
        <f>BE18+'22.05'!BF18</f>
        <v>50</v>
      </c>
      <c r="BG18" s="22">
        <v>0</v>
      </c>
      <c r="BH18" s="23">
        <f>BG18+'22.05'!BH18</f>
        <v>388</v>
      </c>
      <c r="BI18" s="22">
        <v>641</v>
      </c>
      <c r="BJ18" s="23">
        <f>BI18+'22.05'!BJ18</f>
        <v>12435</v>
      </c>
      <c r="BK18" s="22">
        <v>213</v>
      </c>
      <c r="BL18" s="23">
        <f>BK18+'22.05'!BL18</f>
        <v>2557</v>
      </c>
      <c r="BM18" s="22">
        <v>25</v>
      </c>
      <c r="BN18" s="23">
        <f>BM18+'22.05'!BN18</f>
        <v>355</v>
      </c>
      <c r="BO18" s="36">
        <v>442</v>
      </c>
      <c r="BP18" s="37">
        <v>0</v>
      </c>
      <c r="BQ18" s="23">
        <f>BP18+'22.05'!BQ18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35</v>
      </c>
      <c r="D19" s="31">
        <f t="shared" si="2"/>
        <v>813</v>
      </c>
      <c r="E19" s="33">
        <v>221</v>
      </c>
      <c r="F19" s="22">
        <v>6</v>
      </c>
      <c r="G19" s="23">
        <f>F19+'22.05'!G19</f>
        <v>151</v>
      </c>
      <c r="H19" s="33">
        <v>5</v>
      </c>
      <c r="I19" s="34">
        <v>0</v>
      </c>
      <c r="J19" s="23">
        <f>I19+'22.05'!J19</f>
        <v>0</v>
      </c>
      <c r="K19" s="33">
        <v>4</v>
      </c>
      <c r="L19" s="22">
        <v>0</v>
      </c>
      <c r="M19" s="23">
        <f>L19+'22.05'!M19</f>
        <v>0</v>
      </c>
      <c r="N19" s="33">
        <v>313</v>
      </c>
      <c r="O19" s="22">
        <v>0</v>
      </c>
      <c r="P19" s="23">
        <f>O19+'22.05'!P19</f>
        <v>227</v>
      </c>
      <c r="Q19" s="33">
        <v>203</v>
      </c>
      <c r="R19" s="22">
        <v>0</v>
      </c>
      <c r="S19" s="23">
        <f>R19+'22.05'!S19</f>
        <v>0</v>
      </c>
      <c r="T19" s="33">
        <v>241</v>
      </c>
      <c r="U19" s="22">
        <v>0</v>
      </c>
      <c r="V19" s="23">
        <f>U19+'22.05'!V19</f>
        <v>0</v>
      </c>
      <c r="W19" s="33">
        <v>14</v>
      </c>
      <c r="X19" s="22">
        <v>18</v>
      </c>
      <c r="Y19" s="23">
        <f>X19+'22.05'!Y19</f>
        <v>361</v>
      </c>
      <c r="Z19" s="33">
        <v>7</v>
      </c>
      <c r="AA19" s="22">
        <v>0</v>
      </c>
      <c r="AB19" s="23">
        <f>AA19+'22.05'!AB19</f>
        <v>0</v>
      </c>
      <c r="AC19" s="33">
        <v>32</v>
      </c>
      <c r="AD19" s="22">
        <v>11</v>
      </c>
      <c r="AE19" s="23">
        <f>AD19+'22.05'!AE19</f>
        <v>74</v>
      </c>
      <c r="AF19" s="19">
        <f t="shared" si="3"/>
        <v>2750</v>
      </c>
      <c r="AG19" s="20">
        <f t="shared" si="4"/>
        <v>73220</v>
      </c>
      <c r="AH19" s="24">
        <v>455</v>
      </c>
      <c r="AI19" s="23">
        <f>AH19+'22.05'!AI19</f>
        <v>11745</v>
      </c>
      <c r="AJ19" s="24">
        <v>455</v>
      </c>
      <c r="AK19" s="23">
        <f>AJ19+'22.05'!AK19</f>
        <v>11995</v>
      </c>
      <c r="AL19" s="22">
        <v>920</v>
      </c>
      <c r="AM19" s="23">
        <f>AL19+'22.05'!AM19</f>
        <v>24740</v>
      </c>
      <c r="AN19" s="22">
        <v>920</v>
      </c>
      <c r="AO19" s="23">
        <f>AN19+'22.05'!AO19</f>
        <v>24740</v>
      </c>
      <c r="AP19" s="28" t="s">
        <v>54</v>
      </c>
      <c r="AQ19" s="19">
        <f t="shared" si="6"/>
        <v>0</v>
      </c>
      <c r="AR19" s="20">
        <f t="shared" si="7"/>
        <v>6</v>
      </c>
      <c r="AS19" s="34">
        <v>0</v>
      </c>
      <c r="AT19" s="23">
        <f>AS19+'22.05'!AT19</f>
        <v>0</v>
      </c>
      <c r="AU19" s="34">
        <v>0</v>
      </c>
      <c r="AV19" s="23">
        <f>AU19+'22.05'!AV19</f>
        <v>5</v>
      </c>
      <c r="AW19" s="34">
        <v>0</v>
      </c>
      <c r="AX19" s="23">
        <f>AW19+'22.05'!AX19</f>
        <v>1</v>
      </c>
      <c r="AY19" s="34">
        <v>0</v>
      </c>
      <c r="AZ19" s="23">
        <f>AY19+'22.05'!AZ19</f>
        <v>0</v>
      </c>
      <c r="BA19" s="34">
        <v>0</v>
      </c>
      <c r="BB19" s="23">
        <f>BA19+'22.05'!BB19</f>
        <v>0</v>
      </c>
      <c r="BC19" s="19">
        <f t="shared" si="9"/>
        <v>919</v>
      </c>
      <c r="BD19" s="20">
        <f t="shared" si="10"/>
        <v>24278</v>
      </c>
      <c r="BE19" s="22">
        <v>14</v>
      </c>
      <c r="BF19" s="23">
        <f>BE19+'22.05'!BF19</f>
        <v>315</v>
      </c>
      <c r="BG19" s="34">
        <v>0</v>
      </c>
      <c r="BH19" s="23">
        <f>BG19+'22.05'!BH19</f>
        <v>9</v>
      </c>
      <c r="BI19" s="22">
        <v>800</v>
      </c>
      <c r="BJ19" s="23">
        <f>BI19+'22.05'!BJ19</f>
        <v>21100</v>
      </c>
      <c r="BK19" s="22">
        <v>100</v>
      </c>
      <c r="BL19" s="23">
        <f>BK19+'22.05'!BL19</f>
        <v>2720</v>
      </c>
      <c r="BM19" s="22">
        <v>5</v>
      </c>
      <c r="BN19" s="23">
        <f>BM19+'22.05'!BN19</f>
        <v>134</v>
      </c>
      <c r="BO19" s="36">
        <v>2898</v>
      </c>
      <c r="BP19" s="37">
        <v>0</v>
      </c>
      <c r="BQ19" s="23">
        <f>BP19+'22.05'!BQ19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208</v>
      </c>
      <c r="D20" s="31">
        <f t="shared" si="2"/>
        <v>5552</v>
      </c>
      <c r="E20" s="32">
        <v>723</v>
      </c>
      <c r="F20" s="22">
        <v>74</v>
      </c>
      <c r="G20" s="23">
        <f>F20+'22.05'!G20</f>
        <v>2728</v>
      </c>
      <c r="H20" s="33">
        <v>5</v>
      </c>
      <c r="I20" s="34">
        <v>1</v>
      </c>
      <c r="J20" s="23">
        <f>I20+'22.05'!J20</f>
        <v>23</v>
      </c>
      <c r="K20" s="33">
        <v>3</v>
      </c>
      <c r="L20" s="22">
        <v>0</v>
      </c>
      <c r="M20" s="23">
        <f>L20+'22.05'!M20</f>
        <v>0</v>
      </c>
      <c r="N20" s="33">
        <v>975</v>
      </c>
      <c r="O20" s="22">
        <v>59</v>
      </c>
      <c r="P20" s="23">
        <f>O20+'22.05'!P20</f>
        <v>1336</v>
      </c>
      <c r="Q20" s="61">
        <v>1862</v>
      </c>
      <c r="R20" s="22">
        <v>1</v>
      </c>
      <c r="S20" s="23">
        <f>R20+'22.05'!S20</f>
        <v>25</v>
      </c>
      <c r="T20" s="33">
        <v>35</v>
      </c>
      <c r="U20" s="22">
        <v>1</v>
      </c>
      <c r="V20" s="23">
        <f>U20+'22.05'!V20</f>
        <v>23</v>
      </c>
      <c r="W20" s="33">
        <v>64</v>
      </c>
      <c r="X20" s="22">
        <v>1</v>
      </c>
      <c r="Y20" s="23">
        <f>X20+'22.05'!Y20</f>
        <v>25</v>
      </c>
      <c r="Z20" s="33">
        <v>15</v>
      </c>
      <c r="AA20" s="22">
        <v>1</v>
      </c>
      <c r="AB20" s="23">
        <f>AA20+'22.05'!AB20</f>
        <v>28</v>
      </c>
      <c r="AC20" s="33">
        <v>1546</v>
      </c>
      <c r="AD20" s="22">
        <v>70</v>
      </c>
      <c r="AE20" s="23">
        <f>AD20+'22.05'!AE20</f>
        <v>1364</v>
      </c>
      <c r="AF20" s="19">
        <f t="shared" si="3"/>
        <v>17090</v>
      </c>
      <c r="AG20" s="20">
        <f t="shared" si="4"/>
        <v>428194</v>
      </c>
      <c r="AH20" s="24">
        <v>6400</v>
      </c>
      <c r="AI20" s="23">
        <f>AH20+'22.05'!AI20</f>
        <v>194284</v>
      </c>
      <c r="AJ20" s="24">
        <v>9690</v>
      </c>
      <c r="AK20" s="23">
        <f>AJ20+'22.05'!AK20</f>
        <v>214200</v>
      </c>
      <c r="AL20" s="22">
        <v>450</v>
      </c>
      <c r="AM20" s="23">
        <f>AL20+'22.05'!AM20</f>
        <v>10850</v>
      </c>
      <c r="AN20" s="22">
        <v>550</v>
      </c>
      <c r="AO20" s="23">
        <f>AN20+'22.05'!AO20</f>
        <v>8860</v>
      </c>
      <c r="AP20" s="28" t="s">
        <v>55</v>
      </c>
      <c r="AQ20" s="19">
        <f t="shared" si="6"/>
        <v>33</v>
      </c>
      <c r="AR20" s="20">
        <f t="shared" si="7"/>
        <v>3291</v>
      </c>
      <c r="AS20" s="34">
        <v>1</v>
      </c>
      <c r="AT20" s="23">
        <f>AS20+'22.05'!AT20</f>
        <v>23</v>
      </c>
      <c r="AU20" s="34">
        <v>0</v>
      </c>
      <c r="AV20" s="23">
        <f>AU20+'22.05'!AV20</f>
        <v>0</v>
      </c>
      <c r="AW20" s="34">
        <v>0</v>
      </c>
      <c r="AX20" s="23">
        <f>AW20+'22.05'!AX20</f>
        <v>0</v>
      </c>
      <c r="AY20" s="34">
        <v>0</v>
      </c>
      <c r="AZ20" s="23">
        <f>AY20+'22.05'!AZ20</f>
        <v>0</v>
      </c>
      <c r="BA20" s="34">
        <v>32</v>
      </c>
      <c r="BB20" s="23">
        <f>BA20+'22.05'!BB20</f>
        <v>3268</v>
      </c>
      <c r="BC20" s="19">
        <f t="shared" si="9"/>
        <v>4104</v>
      </c>
      <c r="BD20" s="20">
        <f t="shared" si="10"/>
        <v>80622</v>
      </c>
      <c r="BE20" s="22">
        <v>2</v>
      </c>
      <c r="BF20" s="23">
        <f>BE20+'22.05'!BF20</f>
        <v>46</v>
      </c>
      <c r="BG20" s="34">
        <v>0</v>
      </c>
      <c r="BH20" s="23">
        <f>BG20+'22.05'!BH20</f>
        <v>0</v>
      </c>
      <c r="BI20" s="22">
        <v>1690</v>
      </c>
      <c r="BJ20" s="23">
        <f>BI20+'22.05'!BJ20</f>
        <v>39278</v>
      </c>
      <c r="BK20" s="22">
        <v>2380</v>
      </c>
      <c r="BL20" s="23">
        <f>BK20+'22.05'!BL20</f>
        <v>41245</v>
      </c>
      <c r="BM20" s="22">
        <v>32</v>
      </c>
      <c r="BN20" s="23">
        <f>BM20+'22.05'!BN20</f>
        <v>53</v>
      </c>
      <c r="BO20" s="36">
        <v>5854</v>
      </c>
      <c r="BP20" s="37">
        <v>0</v>
      </c>
      <c r="BQ20" s="23">
        <f>BP20+'22.05'!BQ20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174</v>
      </c>
      <c r="D21" s="31">
        <f t="shared" si="2"/>
        <v>4845</v>
      </c>
      <c r="E21" s="32">
        <v>1017</v>
      </c>
      <c r="F21" s="22">
        <v>144</v>
      </c>
      <c r="G21" s="23">
        <f>F21+'22.05'!G21</f>
        <v>3429</v>
      </c>
      <c r="H21" s="33">
        <v>8</v>
      </c>
      <c r="I21" s="34">
        <v>2</v>
      </c>
      <c r="J21" s="23">
        <f>I21+'22.05'!J21</f>
        <v>135</v>
      </c>
      <c r="K21" s="33">
        <v>4</v>
      </c>
      <c r="L21" s="22">
        <v>1</v>
      </c>
      <c r="M21" s="23">
        <f>L21+'22.05'!M21</f>
        <v>21</v>
      </c>
      <c r="N21" s="33">
        <v>963</v>
      </c>
      <c r="O21" s="22">
        <v>0</v>
      </c>
      <c r="P21" s="23">
        <f>O21+'22.05'!P21</f>
        <v>57</v>
      </c>
      <c r="Q21" s="33">
        <v>912</v>
      </c>
      <c r="R21" s="22">
        <v>0</v>
      </c>
      <c r="S21" s="23">
        <f>R21+'22.05'!S21</f>
        <v>0</v>
      </c>
      <c r="T21" s="33">
        <v>199</v>
      </c>
      <c r="U21" s="22">
        <v>0</v>
      </c>
      <c r="V21" s="23">
        <f>U21+'22.05'!V21</f>
        <v>98</v>
      </c>
      <c r="W21" s="33">
        <v>101</v>
      </c>
      <c r="X21" s="22">
        <v>15</v>
      </c>
      <c r="Y21" s="23">
        <f>X21+'22.05'!Y21</f>
        <v>274</v>
      </c>
      <c r="Z21" s="33">
        <v>42</v>
      </c>
      <c r="AA21" s="22">
        <v>0</v>
      </c>
      <c r="AB21" s="23">
        <f>AA21+'22.05'!AB21</f>
        <v>2</v>
      </c>
      <c r="AC21" s="33">
        <v>20</v>
      </c>
      <c r="AD21" s="22">
        <v>12</v>
      </c>
      <c r="AE21" s="23">
        <f>AD21+'22.05'!AE21</f>
        <v>829</v>
      </c>
      <c r="AF21" s="19">
        <f t="shared" si="3"/>
        <v>1070960</v>
      </c>
      <c r="AG21" s="20">
        <f t="shared" si="4"/>
        <v>25255440</v>
      </c>
      <c r="AH21" s="24">
        <v>960</v>
      </c>
      <c r="AI21" s="23">
        <f>AH21+'22.05'!AI21</f>
        <v>26110</v>
      </c>
      <c r="AJ21" s="24">
        <v>270000</v>
      </c>
      <c r="AK21" s="23">
        <f>AJ21+'22.05'!AK21</f>
        <v>3994000</v>
      </c>
      <c r="AL21" s="22">
        <v>6000</v>
      </c>
      <c r="AM21" s="23">
        <f>AL21+'22.05'!AM21</f>
        <v>60630</v>
      </c>
      <c r="AN21" s="22">
        <v>794000</v>
      </c>
      <c r="AO21" s="23">
        <f>AN21+'22.05'!AO21</f>
        <v>21174700</v>
      </c>
      <c r="AP21" s="28" t="s">
        <v>58</v>
      </c>
      <c r="AQ21" s="19">
        <f t="shared" si="6"/>
        <v>5</v>
      </c>
      <c r="AR21" s="20">
        <f t="shared" si="7"/>
        <v>111</v>
      </c>
      <c r="AS21" s="34">
        <v>0</v>
      </c>
      <c r="AT21" s="23">
        <f>AS21+'22.05'!AT21</f>
        <v>3</v>
      </c>
      <c r="AU21" s="34">
        <v>1</v>
      </c>
      <c r="AV21" s="23">
        <f>AU21+'22.05'!AV21</f>
        <v>29</v>
      </c>
      <c r="AW21" s="34">
        <v>0</v>
      </c>
      <c r="AX21" s="23">
        <f>AW21+'22.05'!AX21</f>
        <v>1</v>
      </c>
      <c r="AY21" s="34">
        <v>0</v>
      </c>
      <c r="AZ21" s="23">
        <f>AY21+'22.05'!AZ21</f>
        <v>0</v>
      </c>
      <c r="BA21" s="34">
        <v>4</v>
      </c>
      <c r="BB21" s="23">
        <f>BA21+'22.05'!BB21</f>
        <v>78</v>
      </c>
      <c r="BC21" s="19">
        <f t="shared" si="9"/>
        <v>1080</v>
      </c>
      <c r="BD21" s="20">
        <f t="shared" si="10"/>
        <v>36926</v>
      </c>
      <c r="BE21" s="22">
        <v>70</v>
      </c>
      <c r="BF21" s="23">
        <f>BE21+'22.05'!BF21</f>
        <v>1174</v>
      </c>
      <c r="BG21" s="34">
        <v>0</v>
      </c>
      <c r="BH21" s="23">
        <f>BG21+'22.05'!BH21</f>
        <v>0</v>
      </c>
      <c r="BI21" s="22">
        <v>1000</v>
      </c>
      <c r="BJ21" s="23">
        <f>BI21+'22.05'!BJ21</f>
        <v>35550</v>
      </c>
      <c r="BK21" s="22">
        <v>0</v>
      </c>
      <c r="BL21" s="23">
        <f>BK21+'22.05'!BL21</f>
        <v>0</v>
      </c>
      <c r="BM21" s="22">
        <v>10</v>
      </c>
      <c r="BN21" s="23">
        <f>BM21+'22.05'!BN21</f>
        <v>202</v>
      </c>
      <c r="BO21" s="36">
        <v>68</v>
      </c>
      <c r="BP21" s="37">
        <v>0</v>
      </c>
      <c r="BQ21" s="23">
        <f>BP21+'22.05'!BQ21</f>
        <v>32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1"/>
        <v>1177</v>
      </c>
      <c r="D22" s="31">
        <f t="shared" si="2"/>
        <v>47750</v>
      </c>
      <c r="E22" s="32">
        <v>509</v>
      </c>
      <c r="F22" s="22">
        <v>41</v>
      </c>
      <c r="G22" s="23">
        <f>F22+'22.05'!G22</f>
        <v>7820</v>
      </c>
      <c r="H22" s="33">
        <v>8</v>
      </c>
      <c r="I22" s="34">
        <v>0</v>
      </c>
      <c r="J22" s="23">
        <f>I22+'22.05'!J22</f>
        <v>23</v>
      </c>
      <c r="K22" s="33">
        <v>21</v>
      </c>
      <c r="L22" s="22">
        <v>0</v>
      </c>
      <c r="M22" s="23">
        <f>L22+'22.05'!M22</f>
        <v>0</v>
      </c>
      <c r="N22" s="33">
        <v>560</v>
      </c>
      <c r="O22" s="22">
        <v>41</v>
      </c>
      <c r="P22" s="23">
        <f>O22+'22.05'!P22</f>
        <v>1213</v>
      </c>
      <c r="Q22" s="33">
        <v>375</v>
      </c>
      <c r="R22" s="22">
        <v>0</v>
      </c>
      <c r="S22" s="23">
        <f>R22+'22.05'!S22</f>
        <v>0</v>
      </c>
      <c r="T22" s="33">
        <v>165</v>
      </c>
      <c r="U22" s="22">
        <v>41</v>
      </c>
      <c r="V22" s="23">
        <f>U22+'22.05'!V22</f>
        <v>524</v>
      </c>
      <c r="W22" s="33">
        <v>28</v>
      </c>
      <c r="X22" s="22">
        <v>96</v>
      </c>
      <c r="Y22" s="23">
        <f>X22+'22.05'!Y22</f>
        <v>1923</v>
      </c>
      <c r="Z22" s="33">
        <v>9</v>
      </c>
      <c r="AA22" s="22">
        <v>0</v>
      </c>
      <c r="AB22" s="23">
        <f>AA22+'22.05'!AB22</f>
        <v>0</v>
      </c>
      <c r="AC22" s="33">
        <v>112</v>
      </c>
      <c r="AD22" s="22">
        <v>958</v>
      </c>
      <c r="AE22" s="23">
        <f>AD22+'22.05'!AE22</f>
        <v>36247</v>
      </c>
      <c r="AF22" s="19">
        <f t="shared" si="3"/>
        <v>421763</v>
      </c>
      <c r="AG22" s="20">
        <f t="shared" si="4"/>
        <v>9318480</v>
      </c>
      <c r="AH22" s="24">
        <v>1235</v>
      </c>
      <c r="AI22" s="23">
        <f>AH22+'22.05'!AI22</f>
        <v>51082</v>
      </c>
      <c r="AJ22" s="24">
        <v>8093</v>
      </c>
      <c r="AK22" s="23">
        <f>AJ22+'22.05'!AK22</f>
        <v>152364</v>
      </c>
      <c r="AL22" s="22">
        <v>14700</v>
      </c>
      <c r="AM22" s="23">
        <f>AL22+'22.05'!AM22</f>
        <v>251087</v>
      </c>
      <c r="AN22" s="22">
        <v>397735</v>
      </c>
      <c r="AO22" s="23">
        <f>AN22+'22.05'!AO22</f>
        <v>8863947</v>
      </c>
      <c r="AP22" s="28" t="s">
        <v>59</v>
      </c>
      <c r="AQ22" s="19">
        <f t="shared" si="6"/>
        <v>495</v>
      </c>
      <c r="AR22" s="20">
        <f t="shared" si="7"/>
        <v>35793</v>
      </c>
      <c r="AS22" s="34">
        <v>1</v>
      </c>
      <c r="AT22" s="23">
        <f>AS22+'22.05'!AT22</f>
        <v>9</v>
      </c>
      <c r="AU22" s="34">
        <v>1</v>
      </c>
      <c r="AV22" s="23">
        <f>AU22+'22.05'!AV22</f>
        <v>8</v>
      </c>
      <c r="AW22" s="34">
        <v>0</v>
      </c>
      <c r="AX22" s="23">
        <f>AW22+'22.05'!AX22</f>
        <v>2</v>
      </c>
      <c r="AY22" s="34">
        <v>0</v>
      </c>
      <c r="AZ22" s="23">
        <f>AY22+'22.05'!AZ22</f>
        <v>1</v>
      </c>
      <c r="BA22" s="34">
        <v>493</v>
      </c>
      <c r="BB22" s="23">
        <f>BA22+'22.05'!BB22</f>
        <v>35773</v>
      </c>
      <c r="BC22" s="19">
        <f t="shared" si="9"/>
        <v>7314</v>
      </c>
      <c r="BD22" s="20">
        <f t="shared" si="10"/>
        <v>156816</v>
      </c>
      <c r="BE22" s="22">
        <v>10</v>
      </c>
      <c r="BF22" s="23">
        <f>BE22+'22.05'!BF22</f>
        <v>135</v>
      </c>
      <c r="BG22" s="34">
        <v>75</v>
      </c>
      <c r="BH22" s="23">
        <f>BG22+'22.05'!BH22</f>
        <v>1403</v>
      </c>
      <c r="BI22" s="22">
        <v>3344</v>
      </c>
      <c r="BJ22" s="23">
        <f>BI22+'22.05'!BJ22</f>
        <v>100965</v>
      </c>
      <c r="BK22" s="22">
        <v>3821</v>
      </c>
      <c r="BL22" s="23">
        <f>BK22+'22.05'!BL22</f>
        <v>53021</v>
      </c>
      <c r="BM22" s="22">
        <v>64</v>
      </c>
      <c r="BN22" s="23">
        <f>BM22+'22.05'!BN22</f>
        <v>1292</v>
      </c>
      <c r="BO22" s="36">
        <v>26</v>
      </c>
      <c r="BP22" s="37">
        <v>2</v>
      </c>
      <c r="BQ22" s="23">
        <f>BP22+'22.05'!BQ22</f>
        <v>1716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1"/>
        <v>3149</v>
      </c>
      <c r="D23" s="65">
        <f t="shared" si="2"/>
        <v>93678</v>
      </c>
      <c r="E23" s="66">
        <f>+E18+E19+E22+E17+E16+E15+E14+E13+E12+E11+E10+E9+E8</f>
        <v>7282</v>
      </c>
      <c r="F23" s="67">
        <f t="shared" ref="F23:J23" si="12">SUM(F8:F22)</f>
        <v>1179</v>
      </c>
      <c r="G23" s="68">
        <f t="shared" si="12"/>
        <v>34429</v>
      </c>
      <c r="H23" s="66">
        <f>+H18+H19+H22+H17+H16+H15+H14+H13+H12+H11+H10+H9+H8</f>
        <v>271</v>
      </c>
      <c r="I23" s="67">
        <f t="shared" si="12"/>
        <v>11</v>
      </c>
      <c r="J23" s="68">
        <f t="shared" si="12"/>
        <v>308</v>
      </c>
      <c r="K23" s="66">
        <f>+K18+K19+K22+K17+K16+K15+K14+K13+K12+K11+K10+K9+K8</f>
        <v>163</v>
      </c>
      <c r="L23" s="67">
        <f t="shared" ref="L23:P23" si="13">SUM(L8:L22)</f>
        <v>1</v>
      </c>
      <c r="M23" s="68">
        <f t="shared" si="13"/>
        <v>40</v>
      </c>
      <c r="N23" s="66">
        <f>+N18+N19+N22+N17+N16+N15+N14+N13+N12+N11+N10+N9+N8</f>
        <v>8607</v>
      </c>
      <c r="O23" s="67">
        <f t="shared" si="13"/>
        <v>145</v>
      </c>
      <c r="P23" s="68">
        <f t="shared" si="13"/>
        <v>3497</v>
      </c>
      <c r="Q23" s="66">
        <f>+Q18+Q19+Q22+Q17+Q16+Q15+Q14+Q13+Q12+Q11+Q10+Q9+Q8</f>
        <v>7474</v>
      </c>
      <c r="R23" s="67">
        <f t="shared" ref="R23:V23" si="14">SUM(R8:R22)</f>
        <v>1</v>
      </c>
      <c r="S23" s="68">
        <f t="shared" si="14"/>
        <v>164</v>
      </c>
      <c r="T23" s="66">
        <f>+T18+T19+T22+T17+T16+T15+T14+T13+T12+T11+T10+T9+T8</f>
        <v>4115</v>
      </c>
      <c r="U23" s="67">
        <f t="shared" si="14"/>
        <v>46</v>
      </c>
      <c r="V23" s="68">
        <f t="shared" si="14"/>
        <v>833</v>
      </c>
      <c r="W23" s="66">
        <f>+W18+W19+W22+W17+W16+W15+W14+W13+W12+W11+W10+W9+W8</f>
        <v>604</v>
      </c>
      <c r="X23" s="67">
        <f t="shared" ref="X23:AB23" si="15">SUM(X8:X22)</f>
        <v>435</v>
      </c>
      <c r="Y23" s="68">
        <f t="shared" si="15"/>
        <v>9573</v>
      </c>
      <c r="Z23" s="66">
        <f>+Z18+Z19+Z22+Z17+Z16+Z15+Z14+Z13+Z12+Z11+Z10+Z9+Z8</f>
        <v>1629</v>
      </c>
      <c r="AA23" s="67">
        <f t="shared" si="15"/>
        <v>1</v>
      </c>
      <c r="AB23" s="68">
        <f t="shared" si="15"/>
        <v>69</v>
      </c>
      <c r="AC23" s="66">
        <f>+AC18+AC19+AC22+AC17+AC16+AC15+AC14+AC13+AC12+AC11+AC10+AC9+AC8</f>
        <v>64846</v>
      </c>
      <c r="AD23" s="67">
        <f t="shared" ref="AD23:AO23" si="16">SUM(AD8:AD22)</f>
        <v>1330</v>
      </c>
      <c r="AE23" s="68">
        <f t="shared" si="16"/>
        <v>44765</v>
      </c>
      <c r="AF23" s="64">
        <f t="shared" si="16"/>
        <v>4148558</v>
      </c>
      <c r="AG23" s="64">
        <f t="shared" si="16"/>
        <v>102807071</v>
      </c>
      <c r="AH23" s="67">
        <f t="shared" si="16"/>
        <v>26947</v>
      </c>
      <c r="AI23" s="68">
        <f t="shared" si="16"/>
        <v>742419</v>
      </c>
      <c r="AJ23" s="67">
        <f t="shared" si="16"/>
        <v>334563</v>
      </c>
      <c r="AK23" s="68">
        <f t="shared" si="16"/>
        <v>5663249</v>
      </c>
      <c r="AL23" s="67">
        <f t="shared" si="16"/>
        <v>1183727</v>
      </c>
      <c r="AM23" s="68">
        <f t="shared" si="16"/>
        <v>31305914</v>
      </c>
      <c r="AN23" s="67">
        <f t="shared" si="16"/>
        <v>2603321</v>
      </c>
      <c r="AO23" s="68">
        <f t="shared" si="16"/>
        <v>65095489</v>
      </c>
      <c r="AP23" s="62" t="s">
        <v>12</v>
      </c>
      <c r="AQ23" s="64">
        <f t="shared" ref="AQ23:BP23" si="17">SUM(AQ8:AQ22)</f>
        <v>799</v>
      </c>
      <c r="AR23" s="64">
        <f t="shared" si="17"/>
        <v>47059</v>
      </c>
      <c r="AS23" s="67">
        <f t="shared" si="17"/>
        <v>5</v>
      </c>
      <c r="AT23" s="68">
        <f t="shared" si="17"/>
        <v>106</v>
      </c>
      <c r="AU23" s="67">
        <f t="shared" si="17"/>
        <v>7</v>
      </c>
      <c r="AV23" s="68">
        <f t="shared" si="17"/>
        <v>128</v>
      </c>
      <c r="AW23" s="67">
        <f t="shared" si="17"/>
        <v>2</v>
      </c>
      <c r="AX23" s="68">
        <f t="shared" si="17"/>
        <v>21</v>
      </c>
      <c r="AY23" s="67">
        <f t="shared" si="17"/>
        <v>0</v>
      </c>
      <c r="AZ23" s="68">
        <f t="shared" si="17"/>
        <v>4</v>
      </c>
      <c r="BA23" s="67">
        <f t="shared" si="17"/>
        <v>785</v>
      </c>
      <c r="BB23" s="68">
        <f t="shared" si="17"/>
        <v>46800</v>
      </c>
      <c r="BC23" s="64">
        <f t="shared" si="17"/>
        <v>42414</v>
      </c>
      <c r="BD23" s="64">
        <f t="shared" si="17"/>
        <v>938599</v>
      </c>
      <c r="BE23" s="67">
        <f t="shared" si="17"/>
        <v>1686</v>
      </c>
      <c r="BF23" s="68">
        <f t="shared" si="17"/>
        <v>34245</v>
      </c>
      <c r="BG23" s="67">
        <f t="shared" si="17"/>
        <v>150</v>
      </c>
      <c r="BH23" s="68">
        <f t="shared" si="17"/>
        <v>2767</v>
      </c>
      <c r="BI23" s="67">
        <f t="shared" si="17"/>
        <v>27316</v>
      </c>
      <c r="BJ23" s="68">
        <f t="shared" si="17"/>
        <v>722620</v>
      </c>
      <c r="BK23" s="67">
        <f t="shared" si="17"/>
        <v>12973</v>
      </c>
      <c r="BL23" s="68">
        <f t="shared" si="17"/>
        <v>173940</v>
      </c>
      <c r="BM23" s="67">
        <f t="shared" si="17"/>
        <v>289</v>
      </c>
      <c r="BN23" s="68">
        <f t="shared" si="17"/>
        <v>5027</v>
      </c>
      <c r="BO23" s="69">
        <f t="shared" si="17"/>
        <v>37704</v>
      </c>
      <c r="BP23" s="70">
        <f t="shared" si="17"/>
        <v>8</v>
      </c>
      <c r="BQ23" s="23">
        <f>BP23+'20.04'!BP23</f>
        <v>34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030A0"/>
  </sheetPr>
  <dimension ref="A1:BQ23"/>
  <sheetViews>
    <sheetView zoomScale="85" zoomScaleNormal="85" workbookViewId="0">
      <pane xSplit="4" ySplit="8" topLeftCell="AP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62" max="62" width="9.28515625"/>
    <col min="64" max="64" width="9.28515625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B23" si="0">E8+H8+K8+N8+Q8+T8+W8+Z8+AC8</f>
        <v>0</v>
      </c>
      <c r="C8" s="19">
        <f t="shared" ref="C8:C23" si="1">F8+I8+L8+O8+R8+U8+X8+AA8+AD8</f>
        <v>0</v>
      </c>
      <c r="D8" s="20">
        <f t="shared" ref="D8:D23" si="2">G8+J8+M8+P8+S8+V8+Y8+AB8+AE8</f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F22" si="3">AH8+AJ8+AL8+AN8</f>
        <v>0</v>
      </c>
      <c r="AG8" s="20">
        <f t="shared" ref="AG8:AG22" si="4">AI8+AK8+AM8+AO8</f>
        <v>0</v>
      </c>
      <c r="AH8" s="24"/>
      <c r="AI8" s="23">
        <f t="shared" ref="AI8:AM8" si="5">AH8</f>
        <v>0</v>
      </c>
      <c r="AJ8" s="24"/>
      <c r="AK8" s="23">
        <f t="shared" si="5"/>
        <v>0</v>
      </c>
      <c r="AL8" s="22"/>
      <c r="AM8" s="23">
        <f t="shared" si="5"/>
        <v>0</v>
      </c>
      <c r="AN8" s="22"/>
      <c r="AO8" s="23">
        <f>AN8</f>
        <v>0</v>
      </c>
      <c r="AP8" s="17" t="s">
        <v>42</v>
      </c>
      <c r="AQ8" s="19">
        <f t="shared" ref="AQ8:AQ22" si="6">AS8+AU8+AW8+AY8+BA8</f>
        <v>0</v>
      </c>
      <c r="AR8" s="20">
        <f t="shared" ref="AR8:AR22" si="7">AT8+AV8+AX8+AZ8+BB8</f>
        <v>0</v>
      </c>
      <c r="AS8" s="22"/>
      <c r="AT8" s="23">
        <f t="shared" ref="AT8:AX8" si="8">AS8</f>
        <v>0</v>
      </c>
      <c r="AU8" s="22"/>
      <c r="AV8" s="23">
        <f t="shared" si="8"/>
        <v>0</v>
      </c>
      <c r="AW8" s="22"/>
      <c r="AX8" s="23">
        <f t="shared" si="8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C22" si="9">BE8+BG8+BI8+BK8+BM8</f>
        <v>0</v>
      </c>
      <c r="BD8" s="20">
        <f t="shared" ref="BD8:BD22" si="10">BF8+BH8+BJ8+BL8+BN8</f>
        <v>0</v>
      </c>
      <c r="BE8" s="22"/>
      <c r="BF8" s="23">
        <f t="shared" ref="BF8:BJ8" si="11">BE8</f>
        <v>0</v>
      </c>
      <c r="BG8" s="22"/>
      <c r="BH8" s="23">
        <f t="shared" si="11"/>
        <v>0</v>
      </c>
      <c r="BI8" s="22"/>
      <c r="BJ8" s="23">
        <f t="shared" si="11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1"/>
        <v>6</v>
      </c>
      <c r="D9" s="31">
        <f t="shared" si="2"/>
        <v>115</v>
      </c>
      <c r="E9" s="32">
        <v>452</v>
      </c>
      <c r="F9" s="22">
        <v>5</v>
      </c>
      <c r="G9" s="23">
        <f>F9+'23.05'!G9</f>
        <v>62</v>
      </c>
      <c r="H9" s="33">
        <v>12</v>
      </c>
      <c r="I9" s="34">
        <v>1</v>
      </c>
      <c r="J9" s="23">
        <f>I9+'23.05'!J9</f>
        <v>18</v>
      </c>
      <c r="K9" s="33">
        <v>2</v>
      </c>
      <c r="L9" s="22">
        <v>0</v>
      </c>
      <c r="M9" s="23">
        <f>L9+'23.05'!M9</f>
        <v>0</v>
      </c>
      <c r="N9" s="33">
        <v>735</v>
      </c>
      <c r="O9" s="22">
        <v>0</v>
      </c>
      <c r="P9" s="23">
        <f>O9+'23.05'!P9</f>
        <v>0</v>
      </c>
      <c r="Q9" s="33">
        <v>502</v>
      </c>
      <c r="R9" s="22">
        <v>0</v>
      </c>
      <c r="S9" s="23">
        <f>R9+'23.05'!S9</f>
        <v>0</v>
      </c>
      <c r="T9" s="33">
        <v>197</v>
      </c>
      <c r="U9" s="22">
        <v>0</v>
      </c>
      <c r="V9" s="23">
        <f>U9+'23.05'!V9</f>
        <v>0</v>
      </c>
      <c r="W9" s="33">
        <v>47</v>
      </c>
      <c r="X9" s="22">
        <v>0</v>
      </c>
      <c r="Y9" s="23">
        <f>X9+'23.05'!Y9</f>
        <v>16</v>
      </c>
      <c r="Z9" s="33">
        <v>34</v>
      </c>
      <c r="AA9" s="22">
        <v>0</v>
      </c>
      <c r="AB9" s="23">
        <f>AA9+'23.05'!AB9</f>
        <v>0</v>
      </c>
      <c r="AC9" s="33">
        <v>1860</v>
      </c>
      <c r="AD9" s="22">
        <v>0</v>
      </c>
      <c r="AE9" s="23">
        <f>AD9+'23.05'!AE9</f>
        <v>19</v>
      </c>
      <c r="AF9" s="19">
        <f t="shared" si="3"/>
        <v>7820</v>
      </c>
      <c r="AG9" s="20">
        <f t="shared" si="4"/>
        <v>202316</v>
      </c>
      <c r="AH9" s="24">
        <v>110</v>
      </c>
      <c r="AI9" s="23">
        <f>AH9+'23.05'!AI9</f>
        <v>2821</v>
      </c>
      <c r="AJ9" s="24">
        <v>690</v>
      </c>
      <c r="AK9" s="23">
        <f>AJ9+'23.05'!AK9</f>
        <v>17192</v>
      </c>
      <c r="AL9" s="22">
        <v>900</v>
      </c>
      <c r="AM9" s="23">
        <f>AL9+'23.05'!AM9</f>
        <v>35285</v>
      </c>
      <c r="AN9" s="22">
        <v>6120</v>
      </c>
      <c r="AO9" s="23">
        <f>AN9+'23.05'!AO9</f>
        <v>147018</v>
      </c>
      <c r="AP9" s="28" t="s">
        <v>43</v>
      </c>
      <c r="AQ9" s="19">
        <f t="shared" si="6"/>
        <v>106</v>
      </c>
      <c r="AR9" s="20">
        <f t="shared" si="7"/>
        <v>2957</v>
      </c>
      <c r="AS9" s="34">
        <v>0</v>
      </c>
      <c r="AT9" s="23">
        <f>AS9+'23.05'!AT9</f>
        <v>11</v>
      </c>
      <c r="AU9" s="34">
        <v>0</v>
      </c>
      <c r="AV9" s="23">
        <f>AU9+'23.05'!AV9</f>
        <v>11</v>
      </c>
      <c r="AW9" s="34">
        <v>1</v>
      </c>
      <c r="AX9" s="23">
        <f>AW9+'23.05'!AX9</f>
        <v>7</v>
      </c>
      <c r="AY9" s="34">
        <v>0</v>
      </c>
      <c r="AZ9" s="23">
        <f>AY9+'23.05'!AZ9</f>
        <v>0</v>
      </c>
      <c r="BA9" s="34">
        <v>105</v>
      </c>
      <c r="BB9" s="23">
        <f>BA9+'23.05'!BB9</f>
        <v>2928</v>
      </c>
      <c r="BC9" s="19">
        <f t="shared" si="9"/>
        <v>161</v>
      </c>
      <c r="BD9" s="20">
        <f t="shared" si="10"/>
        <v>10419</v>
      </c>
      <c r="BE9" s="22">
        <v>1</v>
      </c>
      <c r="BF9" s="23">
        <f>BE9+'23.05'!BF9</f>
        <v>33</v>
      </c>
      <c r="BG9" s="34">
        <v>0</v>
      </c>
      <c r="BH9" s="23">
        <f>BG9+'23.05'!BH9</f>
        <v>0</v>
      </c>
      <c r="BI9" s="22">
        <v>160</v>
      </c>
      <c r="BJ9" s="23">
        <f>BI9+'23.05'!BJ9</f>
        <v>10360</v>
      </c>
      <c r="BK9" s="22">
        <v>0</v>
      </c>
      <c r="BL9" s="23">
        <f>BK9+'23.05'!BL9</f>
        <v>0</v>
      </c>
      <c r="BM9" s="22">
        <v>0</v>
      </c>
      <c r="BN9" s="23">
        <f>BM9+'23.05'!BN9</f>
        <v>26</v>
      </c>
      <c r="BO9" s="36">
        <v>14</v>
      </c>
      <c r="BP9" s="37">
        <v>1</v>
      </c>
      <c r="BQ9" s="23">
        <f>BP9+'23.05'!BQ9</f>
        <v>7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1"/>
        <v>138</v>
      </c>
      <c r="D10" s="31">
        <f t="shared" si="2"/>
        <v>2840</v>
      </c>
      <c r="E10" s="32">
        <v>585</v>
      </c>
      <c r="F10" s="22">
        <v>2</v>
      </c>
      <c r="G10" s="23">
        <f>F10+'23.05'!G10</f>
        <v>297</v>
      </c>
      <c r="H10" s="33">
        <v>93</v>
      </c>
      <c r="I10" s="34">
        <v>0</v>
      </c>
      <c r="J10" s="23">
        <f>I10+'23.05'!J10</f>
        <v>38</v>
      </c>
      <c r="K10" s="33">
        <v>34</v>
      </c>
      <c r="L10" s="22">
        <v>0</v>
      </c>
      <c r="M10" s="23">
        <f>L10+'23.05'!M10</f>
        <v>19</v>
      </c>
      <c r="N10" s="33">
        <v>352</v>
      </c>
      <c r="O10" s="22">
        <v>0</v>
      </c>
      <c r="P10" s="23">
        <f>O10+'23.05'!P10</f>
        <v>235</v>
      </c>
      <c r="Q10" s="33">
        <v>549</v>
      </c>
      <c r="R10" s="22">
        <v>0</v>
      </c>
      <c r="S10" s="23">
        <f>R10+'23.05'!S10</f>
        <v>139</v>
      </c>
      <c r="T10" s="33">
        <v>198</v>
      </c>
      <c r="U10" s="22">
        <v>0</v>
      </c>
      <c r="V10" s="23">
        <f>U10+'23.05'!V10</f>
        <v>107</v>
      </c>
      <c r="W10" s="38">
        <v>55</v>
      </c>
      <c r="X10" s="22">
        <v>11</v>
      </c>
      <c r="Y10" s="23">
        <f>X10+'23.05'!Y10</f>
        <v>87</v>
      </c>
      <c r="Z10" s="38">
        <v>71</v>
      </c>
      <c r="AA10" s="22">
        <v>0</v>
      </c>
      <c r="AB10" s="23">
        <f>AA10+'23.05'!AB10</f>
        <v>39</v>
      </c>
      <c r="AC10" s="38">
        <v>1690</v>
      </c>
      <c r="AD10" s="22">
        <v>125</v>
      </c>
      <c r="AE10" s="23">
        <f>AD10+'23.05'!AE10</f>
        <v>1879</v>
      </c>
      <c r="AF10" s="19">
        <f t="shared" si="3"/>
        <v>126041</v>
      </c>
      <c r="AG10" s="20">
        <f t="shared" si="4"/>
        <v>2587990</v>
      </c>
      <c r="AH10" s="24">
        <v>688</v>
      </c>
      <c r="AI10" s="23">
        <f>AH10+'23.05'!AI10</f>
        <v>25854</v>
      </c>
      <c r="AJ10" s="24">
        <v>4179</v>
      </c>
      <c r="AK10" s="23">
        <f>AJ10+'23.05'!AK10</f>
        <v>118625</v>
      </c>
      <c r="AL10" s="22">
        <v>17581</v>
      </c>
      <c r="AM10" s="23">
        <f>AL10+'23.05'!AM10</f>
        <v>295191</v>
      </c>
      <c r="AN10" s="22">
        <v>103593</v>
      </c>
      <c r="AO10" s="23">
        <f>AN10+'23.05'!AO10</f>
        <v>2148320</v>
      </c>
      <c r="AP10" s="28" t="s">
        <v>44</v>
      </c>
      <c r="AQ10" s="19">
        <f t="shared" si="6"/>
        <v>1</v>
      </c>
      <c r="AR10" s="20">
        <f t="shared" si="7"/>
        <v>99</v>
      </c>
      <c r="AS10" s="34">
        <v>0</v>
      </c>
      <c r="AT10" s="23">
        <f>AS10+'23.05'!AT10</f>
        <v>5</v>
      </c>
      <c r="AU10" s="34">
        <v>0</v>
      </c>
      <c r="AV10" s="23">
        <f>AU10+'23.05'!AV10</f>
        <v>4</v>
      </c>
      <c r="AW10" s="34">
        <v>0</v>
      </c>
      <c r="AX10" s="23">
        <f>AW10+'23.05'!AX10</f>
        <v>0</v>
      </c>
      <c r="AY10" s="34">
        <v>0</v>
      </c>
      <c r="AZ10" s="23">
        <f>AY10+'23.05'!AZ10</f>
        <v>0</v>
      </c>
      <c r="BA10" s="34">
        <v>1</v>
      </c>
      <c r="BB10" s="23">
        <f>BA10+'23.05'!BB10</f>
        <v>90</v>
      </c>
      <c r="BC10" s="19">
        <f t="shared" si="9"/>
        <v>4590</v>
      </c>
      <c r="BD10" s="20">
        <f t="shared" si="10"/>
        <v>111414</v>
      </c>
      <c r="BE10" s="22">
        <v>568</v>
      </c>
      <c r="BF10" s="23">
        <f>BE10+'23.05'!BF10</f>
        <v>12441</v>
      </c>
      <c r="BG10" s="34">
        <v>0</v>
      </c>
      <c r="BH10" s="23">
        <f>BG10+'23.05'!BH10</f>
        <v>28</v>
      </c>
      <c r="BI10" s="22">
        <v>2457</v>
      </c>
      <c r="BJ10" s="23">
        <f>BI10+'23.05'!BJ10</f>
        <v>57283</v>
      </c>
      <c r="BK10" s="22">
        <v>1565</v>
      </c>
      <c r="BL10" s="23">
        <f>BK10+'23.05'!BL10</f>
        <v>41659</v>
      </c>
      <c r="BM10" s="22">
        <v>0</v>
      </c>
      <c r="BN10" s="23">
        <f>BM10+'23.05'!BN10</f>
        <v>3</v>
      </c>
      <c r="BO10" s="36">
        <v>32</v>
      </c>
      <c r="BP10" s="37">
        <v>0</v>
      </c>
      <c r="BQ10" s="23">
        <f>BP10+'23.05'!BQ10</f>
        <v>13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1"/>
        <v>42</v>
      </c>
      <c r="D11" s="31">
        <f t="shared" si="2"/>
        <v>876</v>
      </c>
      <c r="E11" s="32">
        <v>883</v>
      </c>
      <c r="F11" s="22">
        <v>18</v>
      </c>
      <c r="G11" s="23">
        <f>F11+'23.05'!G11</f>
        <v>424</v>
      </c>
      <c r="H11" s="33">
        <v>16</v>
      </c>
      <c r="I11" s="34">
        <v>0</v>
      </c>
      <c r="J11" s="23">
        <f>I11+'23.05'!J11</f>
        <v>0</v>
      </c>
      <c r="K11" s="33">
        <v>3</v>
      </c>
      <c r="L11" s="22">
        <v>0</v>
      </c>
      <c r="M11" s="23">
        <f>L11+'23.05'!M11</f>
        <v>0</v>
      </c>
      <c r="N11" s="33">
        <v>875</v>
      </c>
      <c r="O11" s="22">
        <v>0</v>
      </c>
      <c r="P11" s="23">
        <f>O11+'23.05'!P11</f>
        <v>0</v>
      </c>
      <c r="Q11" s="33">
        <v>2424</v>
      </c>
      <c r="R11" s="22">
        <v>0</v>
      </c>
      <c r="S11" s="23">
        <f>R11+'23.05'!S11</f>
        <v>0</v>
      </c>
      <c r="T11" s="33">
        <v>69</v>
      </c>
      <c r="U11" s="22">
        <v>0</v>
      </c>
      <c r="V11" s="23">
        <f>U11+'23.05'!V11</f>
        <v>0</v>
      </c>
      <c r="W11" s="38">
        <v>133</v>
      </c>
      <c r="X11" s="22">
        <v>21</v>
      </c>
      <c r="Y11" s="23">
        <f>X11+'23.05'!Y11</f>
        <v>415</v>
      </c>
      <c r="Z11" s="38">
        <v>1116</v>
      </c>
      <c r="AA11" s="22">
        <v>0</v>
      </c>
      <c r="AB11" s="23">
        <f>AA11+'23.05'!AB11</f>
        <v>0</v>
      </c>
      <c r="AC11" s="38">
        <v>9862</v>
      </c>
      <c r="AD11" s="22">
        <v>3</v>
      </c>
      <c r="AE11" s="23">
        <f>AD11+'23.05'!AE11</f>
        <v>37</v>
      </c>
      <c r="AF11" s="19">
        <f t="shared" si="3"/>
        <v>16000</v>
      </c>
      <c r="AG11" s="20">
        <f t="shared" si="4"/>
        <v>460200</v>
      </c>
      <c r="AH11" s="24">
        <v>1900</v>
      </c>
      <c r="AI11" s="23">
        <f>AH11+'23.05'!AI11</f>
        <v>56100</v>
      </c>
      <c r="AJ11" s="24">
        <v>3900</v>
      </c>
      <c r="AK11" s="23">
        <f>AJ11+'23.05'!AK11</f>
        <v>70900</v>
      </c>
      <c r="AL11" s="22">
        <v>2000</v>
      </c>
      <c r="AM11" s="23">
        <f>AL11+'23.05'!AM11</f>
        <v>100500</v>
      </c>
      <c r="AN11" s="22">
        <v>8200</v>
      </c>
      <c r="AO11" s="23">
        <f>AN11+'23.05'!AO11</f>
        <v>232700</v>
      </c>
      <c r="AP11" s="28" t="s">
        <v>45</v>
      </c>
      <c r="AQ11" s="19">
        <f t="shared" si="6"/>
        <v>4</v>
      </c>
      <c r="AR11" s="20">
        <f t="shared" si="7"/>
        <v>62</v>
      </c>
      <c r="AS11" s="34">
        <v>0</v>
      </c>
      <c r="AT11" s="23">
        <f>AS11+'23.05'!AT11</f>
        <v>0</v>
      </c>
      <c r="AU11" s="34">
        <v>0</v>
      </c>
      <c r="AV11" s="23">
        <f>AU11+'23.05'!AV11</f>
        <v>0</v>
      </c>
      <c r="AW11" s="34">
        <v>0</v>
      </c>
      <c r="AX11" s="23">
        <f>AW11+'23.05'!AX11</f>
        <v>0</v>
      </c>
      <c r="AY11" s="34">
        <v>0</v>
      </c>
      <c r="AZ11" s="23">
        <f>AY11+'23.05'!AZ11</f>
        <v>0</v>
      </c>
      <c r="BA11" s="34">
        <v>4</v>
      </c>
      <c r="BB11" s="23">
        <f>BA11+'23.05'!BB11</f>
        <v>62</v>
      </c>
      <c r="BC11" s="19">
        <f t="shared" si="9"/>
        <v>486</v>
      </c>
      <c r="BD11" s="20">
        <f t="shared" si="10"/>
        <v>15084</v>
      </c>
      <c r="BE11" s="22">
        <v>2</v>
      </c>
      <c r="BF11" s="23">
        <f>BE11+'23.05'!BF11</f>
        <v>48</v>
      </c>
      <c r="BG11" s="34">
        <v>2</v>
      </c>
      <c r="BH11" s="23">
        <f>BG11+'23.05'!BH11</f>
        <v>72</v>
      </c>
      <c r="BI11" s="22">
        <v>470</v>
      </c>
      <c r="BJ11" s="23">
        <f>BI11+'23.05'!BJ11</f>
        <v>14563</v>
      </c>
      <c r="BK11" s="22">
        <v>10</v>
      </c>
      <c r="BL11" s="23">
        <f>BK11+'23.05'!BL11</f>
        <v>351</v>
      </c>
      <c r="BM11" s="22">
        <v>2</v>
      </c>
      <c r="BN11" s="23">
        <f>BM11+'23.05'!BN11</f>
        <v>50</v>
      </c>
      <c r="BO11" s="36">
        <v>11506</v>
      </c>
      <c r="BP11" s="37">
        <v>4</v>
      </c>
      <c r="BQ11" s="23" t="e">
        <f>BP11+'23.05'!BQ11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1"/>
        <v>213</v>
      </c>
      <c r="D12" s="31">
        <f t="shared" si="2"/>
        <v>5392</v>
      </c>
      <c r="E12" s="32">
        <v>909</v>
      </c>
      <c r="F12" s="22">
        <v>45</v>
      </c>
      <c r="G12" s="23">
        <f>F12+'23.05'!G12</f>
        <v>1293</v>
      </c>
      <c r="H12" s="33">
        <v>80</v>
      </c>
      <c r="I12" s="34">
        <v>2</v>
      </c>
      <c r="J12" s="23">
        <f>I12+'23.05'!J12</f>
        <v>62</v>
      </c>
      <c r="K12" s="33">
        <v>5</v>
      </c>
      <c r="L12" s="22">
        <v>0</v>
      </c>
      <c r="M12" s="23">
        <f>L12+'23.05'!M12</f>
        <v>0</v>
      </c>
      <c r="N12" s="33">
        <v>820</v>
      </c>
      <c r="O12" s="22">
        <v>25</v>
      </c>
      <c r="P12" s="23">
        <f>O12+'23.05'!P12</f>
        <v>444</v>
      </c>
      <c r="Q12" s="33">
        <v>549</v>
      </c>
      <c r="R12" s="22">
        <v>0</v>
      </c>
      <c r="S12" s="23">
        <f>R12+'23.05'!S12</f>
        <v>0</v>
      </c>
      <c r="T12" s="33">
        <v>992</v>
      </c>
      <c r="U12" s="22">
        <v>0</v>
      </c>
      <c r="V12" s="23">
        <f>U12+'23.05'!V12</f>
        <v>0</v>
      </c>
      <c r="W12" s="33">
        <v>38</v>
      </c>
      <c r="X12" s="22">
        <v>114</v>
      </c>
      <c r="Y12" s="23">
        <f>X12+'23.05'!Y12</f>
        <v>2756</v>
      </c>
      <c r="Z12" s="33">
        <v>68</v>
      </c>
      <c r="AA12" s="22">
        <v>0</v>
      </c>
      <c r="AB12" s="23">
        <f>AA12+'23.05'!AB12</f>
        <v>0</v>
      </c>
      <c r="AC12" s="33">
        <v>26703</v>
      </c>
      <c r="AD12" s="22">
        <v>27</v>
      </c>
      <c r="AE12" s="23">
        <f>AD12+'23.05'!AE12</f>
        <v>837</v>
      </c>
      <c r="AF12" s="19">
        <f t="shared" si="3"/>
        <v>35700</v>
      </c>
      <c r="AG12" s="20">
        <f t="shared" si="4"/>
        <v>388271</v>
      </c>
      <c r="AH12" s="24">
        <v>6300</v>
      </c>
      <c r="AI12" s="23">
        <f>AH12+'23.05'!AI12</f>
        <v>60705</v>
      </c>
      <c r="AJ12" s="24">
        <v>10900</v>
      </c>
      <c r="AK12" s="23">
        <f>AJ12+'23.05'!AK12</f>
        <v>121031</v>
      </c>
      <c r="AL12" s="22">
        <v>9250</v>
      </c>
      <c r="AM12" s="23">
        <f>AL12+'23.05'!AM12</f>
        <v>103265</v>
      </c>
      <c r="AN12" s="22">
        <v>9250</v>
      </c>
      <c r="AO12" s="23">
        <f>AN12+'23.05'!AO12</f>
        <v>103270</v>
      </c>
      <c r="AP12" s="28" t="s">
        <v>46</v>
      </c>
      <c r="AQ12" s="19">
        <f t="shared" si="6"/>
        <v>111</v>
      </c>
      <c r="AR12" s="20">
        <f t="shared" si="7"/>
        <v>2061</v>
      </c>
      <c r="AS12" s="34">
        <v>0</v>
      </c>
      <c r="AT12" s="23">
        <f>AS12+'23.05'!AT12</f>
        <v>0</v>
      </c>
      <c r="AU12" s="34">
        <v>0</v>
      </c>
      <c r="AV12" s="23">
        <f>AU12+'23.05'!AV12</f>
        <v>0</v>
      </c>
      <c r="AW12" s="34">
        <v>0</v>
      </c>
      <c r="AX12" s="23">
        <f>AW12+'23.05'!AX12</f>
        <v>0</v>
      </c>
      <c r="AY12" s="34">
        <v>0</v>
      </c>
      <c r="AZ12" s="23">
        <f>AY12+'23.05'!AZ12</f>
        <v>0</v>
      </c>
      <c r="BA12" s="34">
        <v>111</v>
      </c>
      <c r="BB12" s="23">
        <f>BA12+'23.05'!BB12</f>
        <v>2061</v>
      </c>
      <c r="BC12" s="19">
        <f t="shared" si="9"/>
        <v>2762</v>
      </c>
      <c r="BD12" s="20">
        <f t="shared" si="10"/>
        <v>67585</v>
      </c>
      <c r="BE12" s="22">
        <v>95</v>
      </c>
      <c r="BF12" s="23">
        <f>BE12+'23.05'!BF12</f>
        <v>4455</v>
      </c>
      <c r="BG12" s="34">
        <v>6</v>
      </c>
      <c r="BH12" s="23">
        <f>BG12+'23.05'!BH12</f>
        <v>222</v>
      </c>
      <c r="BI12" s="22">
        <v>2200</v>
      </c>
      <c r="BJ12" s="23">
        <f>BI12+'23.05'!BJ12</f>
        <v>54700</v>
      </c>
      <c r="BK12" s="22">
        <v>400</v>
      </c>
      <c r="BL12" s="23">
        <f>BK12+'23.05'!BL12</f>
        <v>7000</v>
      </c>
      <c r="BM12" s="22">
        <v>61</v>
      </c>
      <c r="BN12" s="23">
        <f>BM12+'23.05'!BN12</f>
        <v>1208</v>
      </c>
      <c r="BO12" s="36"/>
      <c r="BP12" s="37">
        <v>2</v>
      </c>
      <c r="BQ12" s="23">
        <f>BP12+'23.05'!BQ12</f>
        <v>43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1"/>
        <v>5</v>
      </c>
      <c r="D13" s="31">
        <f t="shared" si="2"/>
        <v>300</v>
      </c>
      <c r="E13" s="32">
        <v>516</v>
      </c>
      <c r="F13" s="22">
        <v>2</v>
      </c>
      <c r="G13" s="23">
        <f>F13+'23.05'!G13</f>
        <v>26</v>
      </c>
      <c r="H13" s="33">
        <v>10</v>
      </c>
      <c r="I13" s="34">
        <v>1</v>
      </c>
      <c r="J13" s="23">
        <f>I13+'23.05'!J13</f>
        <v>13</v>
      </c>
      <c r="K13" s="33">
        <v>38</v>
      </c>
      <c r="L13" s="22">
        <v>0</v>
      </c>
      <c r="M13" s="23">
        <f>L13+'23.05'!M13</f>
        <v>0</v>
      </c>
      <c r="N13" s="33">
        <v>581</v>
      </c>
      <c r="O13" s="22">
        <v>0</v>
      </c>
      <c r="P13" s="23">
        <f>O13+'23.05'!P13</f>
        <v>10</v>
      </c>
      <c r="Q13" s="33">
        <v>525</v>
      </c>
      <c r="R13" s="22">
        <v>0</v>
      </c>
      <c r="S13" s="23">
        <f>R13+'23.05'!S13</f>
        <v>0</v>
      </c>
      <c r="T13" s="33">
        <v>263</v>
      </c>
      <c r="U13" s="22">
        <v>0</v>
      </c>
      <c r="V13" s="23">
        <f>U13+'23.05'!V13</f>
        <v>0</v>
      </c>
      <c r="W13" s="33">
        <v>43</v>
      </c>
      <c r="X13" s="22">
        <v>0</v>
      </c>
      <c r="Y13" s="23">
        <f>X13+'23.05'!Y13</f>
        <v>1</v>
      </c>
      <c r="Z13" s="33">
        <v>17</v>
      </c>
      <c r="AA13" s="22">
        <v>0</v>
      </c>
      <c r="AB13" s="23">
        <f>AA13+'23.05'!AB13</f>
        <v>0</v>
      </c>
      <c r="AC13" s="33">
        <v>51</v>
      </c>
      <c r="AD13" s="22">
        <v>2</v>
      </c>
      <c r="AE13" s="23">
        <f>AD13+'23.05'!AE13</f>
        <v>250</v>
      </c>
      <c r="AF13" s="19">
        <f t="shared" si="3"/>
        <v>363000</v>
      </c>
      <c r="AG13" s="20">
        <f t="shared" si="4"/>
        <v>6404000</v>
      </c>
      <c r="AH13" s="24">
        <v>1500</v>
      </c>
      <c r="AI13" s="23">
        <f>AH13+'23.05'!AI13</f>
        <v>69500</v>
      </c>
      <c r="AJ13" s="24">
        <v>11500</v>
      </c>
      <c r="AK13" s="23">
        <f>AJ13+'23.05'!AK13</f>
        <v>475500</v>
      </c>
      <c r="AL13" s="22">
        <v>250000</v>
      </c>
      <c r="AM13" s="23">
        <f>AL13+'23.05'!AM13</f>
        <v>1200000</v>
      </c>
      <c r="AN13" s="22">
        <v>100000</v>
      </c>
      <c r="AO13" s="23">
        <f>AN13+'23.05'!AO13</f>
        <v>4659000</v>
      </c>
      <c r="AP13" s="28" t="s">
        <v>47</v>
      </c>
      <c r="AQ13" s="19">
        <f t="shared" si="6"/>
        <v>9</v>
      </c>
      <c r="AR13" s="20">
        <f t="shared" si="7"/>
        <v>499</v>
      </c>
      <c r="AS13" s="34">
        <v>1</v>
      </c>
      <c r="AT13" s="23">
        <f>AS13+'23.05'!AT13</f>
        <v>21</v>
      </c>
      <c r="AU13" s="34">
        <v>0</v>
      </c>
      <c r="AV13" s="23">
        <f>AU13+'23.05'!AV13</f>
        <v>19</v>
      </c>
      <c r="AW13" s="34">
        <v>1</v>
      </c>
      <c r="AX13" s="23">
        <f>AW13+'23.05'!AX13</f>
        <v>3</v>
      </c>
      <c r="AY13" s="34">
        <v>0</v>
      </c>
      <c r="AZ13" s="23">
        <f>AY13+'23.05'!AZ13</f>
        <v>0</v>
      </c>
      <c r="BA13" s="34">
        <v>7</v>
      </c>
      <c r="BB13" s="23">
        <f>BA13+'23.05'!BB13</f>
        <v>456</v>
      </c>
      <c r="BC13" s="19">
        <f t="shared" si="9"/>
        <v>8737</v>
      </c>
      <c r="BD13" s="20">
        <f t="shared" si="10"/>
        <v>255381</v>
      </c>
      <c r="BE13" s="22">
        <v>516</v>
      </c>
      <c r="BF13" s="23">
        <f>BE13+'23.05'!BF13</f>
        <v>12384</v>
      </c>
      <c r="BG13" s="34">
        <v>54</v>
      </c>
      <c r="BH13" s="23">
        <f>BG13+'23.05'!BH13</f>
        <v>616</v>
      </c>
      <c r="BI13" s="22">
        <v>8000</v>
      </c>
      <c r="BJ13" s="23">
        <f>BI13+'23.05'!BJ13</f>
        <v>236500</v>
      </c>
      <c r="BK13" s="22">
        <v>100</v>
      </c>
      <c r="BL13" s="23">
        <f>BK13+'23.05'!BL13</f>
        <v>4820</v>
      </c>
      <c r="BM13" s="22">
        <v>67</v>
      </c>
      <c r="BN13" s="23">
        <f>BM13+'23.05'!BN13</f>
        <v>1061</v>
      </c>
      <c r="BO13" s="36"/>
      <c r="BP13" s="37">
        <v>0</v>
      </c>
      <c r="BQ13" s="23">
        <f>BP13+'23.05'!BQ13</f>
        <v>13</v>
      </c>
    </row>
    <row r="14" spans="1:69" ht="27.75" customHeight="1">
      <c r="A14" s="39" t="s">
        <v>48</v>
      </c>
      <c r="B14" s="40">
        <f t="shared" si="0"/>
        <v>3916</v>
      </c>
      <c r="C14" s="41">
        <f t="shared" si="1"/>
        <v>101</v>
      </c>
      <c r="D14" s="42">
        <f t="shared" si="2"/>
        <v>2673</v>
      </c>
      <c r="E14" s="43">
        <v>304</v>
      </c>
      <c r="F14" s="22">
        <v>97</v>
      </c>
      <c r="G14" s="23">
        <f>F14+'23.05'!G14</f>
        <v>2294</v>
      </c>
      <c r="H14" s="44">
        <v>5</v>
      </c>
      <c r="I14" s="45">
        <v>0</v>
      </c>
      <c r="J14" s="23">
        <f>I14+'23.05'!J14</f>
        <v>0</v>
      </c>
      <c r="K14" s="44">
        <v>34</v>
      </c>
      <c r="L14" s="22">
        <v>0</v>
      </c>
      <c r="M14" s="23">
        <f>L14+'23.05'!M14</f>
        <v>0</v>
      </c>
      <c r="N14" s="44">
        <v>583</v>
      </c>
      <c r="O14" s="22">
        <v>0</v>
      </c>
      <c r="P14" s="23">
        <f>O14+'23.05'!P14</f>
        <v>0</v>
      </c>
      <c r="Q14" s="44">
        <v>254</v>
      </c>
      <c r="R14" s="22">
        <v>0</v>
      </c>
      <c r="S14" s="23">
        <f>R14+'23.05'!S14</f>
        <v>0</v>
      </c>
      <c r="T14" s="44">
        <v>196</v>
      </c>
      <c r="U14" s="22">
        <v>0</v>
      </c>
      <c r="V14" s="23">
        <f>U14+'23.05'!V14</f>
        <v>0</v>
      </c>
      <c r="W14" s="44">
        <v>30</v>
      </c>
      <c r="X14" s="22">
        <v>4</v>
      </c>
      <c r="Y14" s="23">
        <f>X14+'23.05'!Y14</f>
        <v>289</v>
      </c>
      <c r="Z14" s="44">
        <v>10</v>
      </c>
      <c r="AA14" s="22">
        <v>0</v>
      </c>
      <c r="AB14" s="23">
        <f>AA14+'23.05'!AB14</f>
        <v>0</v>
      </c>
      <c r="AC14" s="44">
        <v>2500</v>
      </c>
      <c r="AD14" s="22">
        <v>0</v>
      </c>
      <c r="AE14" s="23">
        <f>AD14+'23.05'!AE14</f>
        <v>90</v>
      </c>
      <c r="AF14" s="19">
        <f t="shared" si="3"/>
        <v>129400</v>
      </c>
      <c r="AG14" s="20">
        <f t="shared" si="4"/>
        <v>2671290</v>
      </c>
      <c r="AH14" s="24">
        <v>2400</v>
      </c>
      <c r="AI14" s="23">
        <f>AH14+'23.05'!AI14</f>
        <v>78210</v>
      </c>
      <c r="AJ14" s="24">
        <v>7200</v>
      </c>
      <c r="AK14" s="23">
        <f>AJ14+'23.05'!AK14</f>
        <v>149150</v>
      </c>
      <c r="AL14" s="22">
        <v>7100</v>
      </c>
      <c r="AM14" s="23">
        <f>AL14+'23.05'!AM14</f>
        <v>178250</v>
      </c>
      <c r="AN14" s="22">
        <v>112700</v>
      </c>
      <c r="AO14" s="23">
        <f>AN14+'23.05'!AO14</f>
        <v>2265680</v>
      </c>
      <c r="AP14" s="39" t="s">
        <v>48</v>
      </c>
      <c r="AQ14" s="19">
        <f t="shared" si="6"/>
        <v>2</v>
      </c>
      <c r="AR14" s="20">
        <f t="shared" si="7"/>
        <v>81</v>
      </c>
      <c r="AS14" s="45">
        <v>0</v>
      </c>
      <c r="AT14" s="23">
        <f>AS14+'23.05'!AT14</f>
        <v>0</v>
      </c>
      <c r="AU14" s="45">
        <v>0</v>
      </c>
      <c r="AV14" s="23">
        <f>AU14+'23.05'!AV14</f>
        <v>4</v>
      </c>
      <c r="AW14" s="45">
        <v>0</v>
      </c>
      <c r="AX14" s="23">
        <f>AW14+'23.05'!AX14</f>
        <v>4</v>
      </c>
      <c r="AY14" s="45">
        <v>0</v>
      </c>
      <c r="AZ14" s="23">
        <f>AY14+'23.05'!AZ14</f>
        <v>2</v>
      </c>
      <c r="BA14" s="45">
        <v>2</v>
      </c>
      <c r="BB14" s="23">
        <f>BA14+'23.05'!BB14</f>
        <v>71</v>
      </c>
      <c r="BC14" s="19">
        <f t="shared" si="9"/>
        <v>1409</v>
      </c>
      <c r="BD14" s="20">
        <f t="shared" si="10"/>
        <v>50151</v>
      </c>
      <c r="BE14" s="22">
        <v>2</v>
      </c>
      <c r="BF14" s="23">
        <f>BE14+'23.05'!BF14</f>
        <v>74</v>
      </c>
      <c r="BG14" s="45">
        <v>1</v>
      </c>
      <c r="BH14" s="23">
        <f>BG14+'23.05'!BH14</f>
        <v>36</v>
      </c>
      <c r="BI14" s="22">
        <v>1400</v>
      </c>
      <c r="BJ14" s="23">
        <f>BI14+'23.05'!BJ14</f>
        <v>49880</v>
      </c>
      <c r="BK14" s="22">
        <v>4</v>
      </c>
      <c r="BL14" s="23">
        <f>BK14+'23.05'!BL14</f>
        <v>107</v>
      </c>
      <c r="BM14" s="22">
        <v>2</v>
      </c>
      <c r="BN14" s="23">
        <f>BM14+'23.05'!BN14</f>
        <v>54</v>
      </c>
      <c r="BO14" s="48">
        <v>22</v>
      </c>
      <c r="BP14" s="49">
        <v>0</v>
      </c>
      <c r="BQ14" s="23">
        <f>BP14+'23.05'!BQ14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1"/>
        <v>531</v>
      </c>
      <c r="D15" s="53">
        <f t="shared" si="2"/>
        <v>10708</v>
      </c>
      <c r="E15" s="54">
        <v>776</v>
      </c>
      <c r="F15" s="55">
        <v>436</v>
      </c>
      <c r="G15" s="23">
        <f>F15+'23.05'!G15</f>
        <v>8554</v>
      </c>
      <c r="H15" s="56">
        <v>9</v>
      </c>
      <c r="I15" s="57">
        <v>0</v>
      </c>
      <c r="J15" s="23">
        <f>I15+'23.05'!J15</f>
        <v>0</v>
      </c>
      <c r="K15" s="56">
        <v>6</v>
      </c>
      <c r="L15" s="55">
        <v>0</v>
      </c>
      <c r="M15" s="23">
        <f>L15+'23.05'!M15</f>
        <v>0</v>
      </c>
      <c r="N15" s="56">
        <v>1305</v>
      </c>
      <c r="O15" s="55">
        <v>0</v>
      </c>
      <c r="P15" s="23">
        <f>O15+'23.05'!P15</f>
        <v>0</v>
      </c>
      <c r="Q15" s="56">
        <v>447</v>
      </c>
      <c r="R15" s="55">
        <v>0</v>
      </c>
      <c r="S15" s="23">
        <f>R15+'23.05'!S15</f>
        <v>0</v>
      </c>
      <c r="T15" s="56">
        <v>337</v>
      </c>
      <c r="U15" s="55">
        <v>0</v>
      </c>
      <c r="V15" s="23">
        <f>U15+'23.05'!V15</f>
        <v>0</v>
      </c>
      <c r="W15" s="56">
        <v>78</v>
      </c>
      <c r="X15" s="55">
        <v>0</v>
      </c>
      <c r="Y15" s="23">
        <f>X15+'23.05'!Y15</f>
        <v>0</v>
      </c>
      <c r="Z15" s="56">
        <v>141</v>
      </c>
      <c r="AA15" s="55">
        <v>0</v>
      </c>
      <c r="AB15" s="23">
        <f>AA15+'23.05'!AB15</f>
        <v>0</v>
      </c>
      <c r="AC15" s="56">
        <v>798</v>
      </c>
      <c r="AD15" s="55">
        <v>95</v>
      </c>
      <c r="AE15" s="23">
        <f>AD15+'23.05'!AE15</f>
        <v>2154</v>
      </c>
      <c r="AF15" s="58">
        <f t="shared" si="3"/>
        <v>1920729</v>
      </c>
      <c r="AG15" s="59">
        <f t="shared" si="4"/>
        <v>50818353</v>
      </c>
      <c r="AH15" s="60">
        <v>905</v>
      </c>
      <c r="AI15" s="23">
        <f>AH15+'23.05'!AI15</f>
        <v>20278</v>
      </c>
      <c r="AJ15" s="60">
        <v>2852</v>
      </c>
      <c r="AK15" s="23">
        <f>AJ15+'23.05'!AK15</f>
        <v>68257</v>
      </c>
      <c r="AL15" s="55">
        <v>958486</v>
      </c>
      <c r="AM15" s="23">
        <f>AL15+'23.05'!AM15</f>
        <v>29716409</v>
      </c>
      <c r="AN15" s="55">
        <v>958486</v>
      </c>
      <c r="AO15" s="23">
        <f>AN15+'23.05'!AO15</f>
        <v>21013409</v>
      </c>
      <c r="AP15" s="50" t="s">
        <v>49</v>
      </c>
      <c r="AQ15" s="58">
        <f t="shared" si="6"/>
        <v>2</v>
      </c>
      <c r="AR15" s="59">
        <f t="shared" si="7"/>
        <v>59</v>
      </c>
      <c r="AS15" s="57">
        <v>0</v>
      </c>
      <c r="AT15" s="23">
        <f>AS15+'23.05'!AT15</f>
        <v>2</v>
      </c>
      <c r="AU15" s="57">
        <v>0</v>
      </c>
      <c r="AV15" s="23">
        <f>AU15+'23.05'!AV15</f>
        <v>5</v>
      </c>
      <c r="AW15" s="57">
        <v>0</v>
      </c>
      <c r="AX15" s="23">
        <f>AW15+'23.05'!AX15</f>
        <v>5</v>
      </c>
      <c r="AY15" s="57">
        <v>0</v>
      </c>
      <c r="AZ15" s="23">
        <f>AY15+'23.05'!AZ15</f>
        <v>1</v>
      </c>
      <c r="BA15" s="57">
        <v>2</v>
      </c>
      <c r="BB15" s="23">
        <f>BA15+'23.05'!BB15</f>
        <v>46</v>
      </c>
      <c r="BC15" s="58">
        <f t="shared" si="9"/>
        <v>1414</v>
      </c>
      <c r="BD15" s="59">
        <f t="shared" si="10"/>
        <v>35722</v>
      </c>
      <c r="BE15" s="55">
        <v>77</v>
      </c>
      <c r="BF15" s="23">
        <f>BE15+'23.05'!BF15</f>
        <v>1835</v>
      </c>
      <c r="BG15" s="57">
        <v>3</v>
      </c>
      <c r="BH15" s="23">
        <f>BG15+'23.05'!BH15</f>
        <v>33</v>
      </c>
      <c r="BI15" s="55">
        <v>679</v>
      </c>
      <c r="BJ15" s="23">
        <f>BI15+'23.05'!BJ15</f>
        <v>17035</v>
      </c>
      <c r="BK15" s="55">
        <v>636</v>
      </c>
      <c r="BL15" s="23">
        <f>BK15+'23.05'!BL15</f>
        <v>16434</v>
      </c>
      <c r="BM15" s="55">
        <v>19</v>
      </c>
      <c r="BN15" s="23">
        <f>BM15+'23.05'!BN15</f>
        <v>385</v>
      </c>
      <c r="BO15" s="36">
        <v>6274</v>
      </c>
      <c r="BP15" s="37">
        <v>0</v>
      </c>
      <c r="BQ15" s="23">
        <f>BP15+'23.05'!BQ15</f>
        <v>14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1"/>
        <v>145</v>
      </c>
      <c r="D16" s="31">
        <f t="shared" si="2"/>
        <v>3322</v>
      </c>
      <c r="E16" s="32">
        <v>310</v>
      </c>
      <c r="F16" s="22">
        <v>49</v>
      </c>
      <c r="G16" s="23">
        <f>F16+'23.05'!G16</f>
        <v>1145</v>
      </c>
      <c r="H16" s="33">
        <v>5</v>
      </c>
      <c r="I16" s="34">
        <v>0</v>
      </c>
      <c r="J16" s="23">
        <f>I16+'23.05'!J16</f>
        <v>0</v>
      </c>
      <c r="K16" s="33">
        <v>3</v>
      </c>
      <c r="L16" s="22">
        <v>0</v>
      </c>
      <c r="M16" s="23">
        <f>L16+'23.05'!M16</f>
        <v>0</v>
      </c>
      <c r="N16" s="33">
        <v>384</v>
      </c>
      <c r="O16" s="22">
        <v>0</v>
      </c>
      <c r="P16" s="23">
        <f>O16+'23.05'!P16</f>
        <v>0</v>
      </c>
      <c r="Q16" s="33">
        <v>245</v>
      </c>
      <c r="R16" s="22">
        <v>0</v>
      </c>
      <c r="S16" s="23">
        <f>R16+'23.05'!S16</f>
        <v>0</v>
      </c>
      <c r="T16" s="33">
        <v>397</v>
      </c>
      <c r="U16" s="22">
        <v>0</v>
      </c>
      <c r="V16" s="23">
        <f>U16+'23.05'!V16</f>
        <v>0</v>
      </c>
      <c r="W16" s="33">
        <v>24</v>
      </c>
      <c r="X16" s="22">
        <v>45</v>
      </c>
      <c r="Y16" s="23">
        <f>X16+'23.05'!Y16</f>
        <v>1153</v>
      </c>
      <c r="Z16" s="33">
        <v>18</v>
      </c>
      <c r="AA16" s="22">
        <v>0</v>
      </c>
      <c r="AB16" s="23">
        <f>AA16+'23.05'!AB16</f>
        <v>0</v>
      </c>
      <c r="AC16" s="33">
        <v>18515</v>
      </c>
      <c r="AD16" s="22">
        <v>51</v>
      </c>
      <c r="AE16" s="23">
        <f>AD16+'23.05'!AE16</f>
        <v>1024</v>
      </c>
      <c r="AF16" s="19">
        <f t="shared" si="3"/>
        <v>55487</v>
      </c>
      <c r="AG16" s="20">
        <f t="shared" si="4"/>
        <v>1424255</v>
      </c>
      <c r="AH16" s="24">
        <v>128</v>
      </c>
      <c r="AI16" s="23">
        <f>AH16+'23.05'!AI16</f>
        <v>3808</v>
      </c>
      <c r="AJ16" s="24">
        <v>1359</v>
      </c>
      <c r="AK16" s="23">
        <f>AJ16+'23.05'!AK16</f>
        <v>32931</v>
      </c>
      <c r="AL16" s="22">
        <v>1438</v>
      </c>
      <c r="AM16" s="23">
        <f>AL16+'23.05'!AM16</f>
        <v>36820</v>
      </c>
      <c r="AN16" s="22">
        <v>52562</v>
      </c>
      <c r="AO16" s="23">
        <f>AN16+'23.05'!AO16</f>
        <v>1350696</v>
      </c>
      <c r="AP16" s="28" t="s">
        <v>51</v>
      </c>
      <c r="AQ16" s="19">
        <f t="shared" si="6"/>
        <v>86</v>
      </c>
      <c r="AR16" s="20">
        <f t="shared" si="7"/>
        <v>1871</v>
      </c>
      <c r="AS16" s="34">
        <v>0</v>
      </c>
      <c r="AT16" s="23">
        <f>AS16+'23.05'!AT16</f>
        <v>3</v>
      </c>
      <c r="AU16" s="34">
        <v>0</v>
      </c>
      <c r="AV16" s="23">
        <f>AU16+'23.05'!AV16</f>
        <v>0</v>
      </c>
      <c r="AW16" s="34">
        <v>0</v>
      </c>
      <c r="AX16" s="23">
        <f>AW16+'23.05'!AX16</f>
        <v>0</v>
      </c>
      <c r="AY16" s="34">
        <v>0</v>
      </c>
      <c r="AZ16" s="23">
        <f>AY16+'23.05'!AZ16</f>
        <v>0</v>
      </c>
      <c r="BA16" s="34">
        <v>86</v>
      </c>
      <c r="BB16" s="23">
        <f>BA16+'23.05'!BB16</f>
        <v>1868</v>
      </c>
      <c r="BC16" s="19">
        <f t="shared" si="9"/>
        <v>1280</v>
      </c>
      <c r="BD16" s="20">
        <f t="shared" si="10"/>
        <v>32638</v>
      </c>
      <c r="BE16" s="22">
        <v>74</v>
      </c>
      <c r="BF16" s="23">
        <f>BE16+'23.05'!BF16</f>
        <v>1768</v>
      </c>
      <c r="BG16" s="34">
        <v>0</v>
      </c>
      <c r="BH16" s="23">
        <f>BG16+'23.05'!BH16</f>
        <v>0</v>
      </c>
      <c r="BI16" s="22">
        <v>1163</v>
      </c>
      <c r="BJ16" s="23">
        <f>BI16+'23.05'!BJ16</f>
        <v>29700</v>
      </c>
      <c r="BK16" s="22">
        <v>35</v>
      </c>
      <c r="BL16" s="23">
        <f>BK16+'23.05'!BL16</f>
        <v>1016</v>
      </c>
      <c r="BM16" s="22">
        <v>8</v>
      </c>
      <c r="BN16" s="23">
        <f>BM16+'23.05'!BN16</f>
        <v>154</v>
      </c>
      <c r="BO16" s="36">
        <v>2546</v>
      </c>
      <c r="BP16" s="37">
        <v>0</v>
      </c>
      <c r="BQ16" s="23">
        <f>BP16+'23.05'!BQ16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1"/>
        <v>170</v>
      </c>
      <c r="D17" s="31">
        <f t="shared" si="2"/>
        <v>4011</v>
      </c>
      <c r="E17" s="32">
        <v>754</v>
      </c>
      <c r="F17" s="22">
        <v>148</v>
      </c>
      <c r="G17" s="23">
        <f>F17+'23.05'!G17</f>
        <v>3427</v>
      </c>
      <c r="H17" s="33">
        <v>9</v>
      </c>
      <c r="I17" s="34">
        <v>0</v>
      </c>
      <c r="J17" s="23">
        <f>I17+'23.05'!J17</f>
        <v>0</v>
      </c>
      <c r="K17" s="33">
        <v>5</v>
      </c>
      <c r="L17" s="22">
        <v>0</v>
      </c>
      <c r="M17" s="23">
        <f>L17+'23.05'!M17</f>
        <v>0</v>
      </c>
      <c r="N17" s="33">
        <v>768</v>
      </c>
      <c r="O17" s="22">
        <v>0</v>
      </c>
      <c r="P17" s="23">
        <f>O17+'23.05'!P17</f>
        <v>0</v>
      </c>
      <c r="Q17" s="33">
        <v>624</v>
      </c>
      <c r="R17" s="22">
        <v>0</v>
      </c>
      <c r="S17" s="23">
        <f>R17+'23.05'!S17</f>
        <v>0</v>
      </c>
      <c r="T17" s="33">
        <v>742</v>
      </c>
      <c r="U17" s="22">
        <v>0</v>
      </c>
      <c r="V17" s="23">
        <f>U17+'23.05'!V17</f>
        <v>0</v>
      </c>
      <c r="W17" s="33">
        <v>54</v>
      </c>
      <c r="X17" s="22">
        <v>11</v>
      </c>
      <c r="Y17" s="23">
        <f>X17+'23.05'!Y17</f>
        <v>309</v>
      </c>
      <c r="Z17" s="33">
        <v>66</v>
      </c>
      <c r="AA17" s="22">
        <v>0</v>
      </c>
      <c r="AB17" s="23">
        <f>AA17+'23.05'!AB17</f>
        <v>0</v>
      </c>
      <c r="AC17" s="33">
        <v>2580</v>
      </c>
      <c r="AD17" s="22">
        <v>11</v>
      </c>
      <c r="AE17" s="23">
        <f>AD17+'23.05'!AE17</f>
        <v>275</v>
      </c>
      <c r="AF17" s="19">
        <f t="shared" si="3"/>
        <v>110000</v>
      </c>
      <c r="AG17" s="20">
        <f t="shared" si="4"/>
        <v>2415900</v>
      </c>
      <c r="AH17" s="24">
        <v>11000</v>
      </c>
      <c r="AI17" s="23">
        <f>AH17+'23.05'!AI17</f>
        <v>161600</v>
      </c>
      <c r="AJ17" s="24">
        <v>12500</v>
      </c>
      <c r="AK17" s="23">
        <f>AJ17+'23.05'!AK17</f>
        <v>245400</v>
      </c>
      <c r="AL17" s="22">
        <v>20500</v>
      </c>
      <c r="AM17" s="23">
        <f>AL17+'23.05'!AM17</f>
        <v>506100</v>
      </c>
      <c r="AN17" s="22">
        <v>66000</v>
      </c>
      <c r="AO17" s="23">
        <f>AN17+'23.05'!AO17</f>
        <v>1502800</v>
      </c>
      <c r="AP17" s="28" t="s">
        <v>52</v>
      </c>
      <c r="AQ17" s="19">
        <f t="shared" si="6"/>
        <v>28</v>
      </c>
      <c r="AR17" s="20">
        <f t="shared" si="7"/>
        <v>471</v>
      </c>
      <c r="AS17" s="34">
        <v>0</v>
      </c>
      <c r="AT17" s="23">
        <f>AS17+'23.05'!AT17</f>
        <v>19</v>
      </c>
      <c r="AU17" s="34">
        <v>4</v>
      </c>
      <c r="AV17" s="23">
        <f>AU17+'23.05'!AV17</f>
        <v>47</v>
      </c>
      <c r="AW17" s="34">
        <v>0</v>
      </c>
      <c r="AX17" s="23">
        <f>AW17+'23.05'!AX17</f>
        <v>0</v>
      </c>
      <c r="AY17" s="34">
        <v>0</v>
      </c>
      <c r="AZ17" s="23">
        <f>AY17+'23.05'!AZ17</f>
        <v>0</v>
      </c>
      <c r="BA17" s="34">
        <v>24</v>
      </c>
      <c r="BB17" s="23">
        <f>BA17+'23.05'!BB17</f>
        <v>405</v>
      </c>
      <c r="BC17" s="19">
        <f t="shared" si="9"/>
        <v>4657</v>
      </c>
      <c r="BD17" s="20">
        <f t="shared" si="10"/>
        <v>71274</v>
      </c>
      <c r="BE17" s="22">
        <v>43</v>
      </c>
      <c r="BF17" s="23">
        <f>BE17+'23.05'!BF17</f>
        <v>865</v>
      </c>
      <c r="BG17" s="34">
        <v>2</v>
      </c>
      <c r="BH17" s="23">
        <f>BG17+'23.05'!BH17</f>
        <v>28</v>
      </c>
      <c r="BI17" s="22">
        <v>4200</v>
      </c>
      <c r="BJ17" s="23">
        <f>BI17+'23.05'!BJ17</f>
        <v>64000</v>
      </c>
      <c r="BK17" s="22">
        <v>400</v>
      </c>
      <c r="BL17" s="23">
        <f>BK17+'23.05'!BL17</f>
        <v>6160</v>
      </c>
      <c r="BM17" s="22">
        <v>12</v>
      </c>
      <c r="BN17" s="23">
        <f>BM17+'23.05'!BN17</f>
        <v>221</v>
      </c>
      <c r="BO17" s="36">
        <v>8022</v>
      </c>
      <c r="BP17" s="37">
        <v>2</v>
      </c>
      <c r="BQ17" s="23">
        <f>BP17+'23.05'!BQ17</f>
        <v>73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1"/>
        <v>173</v>
      </c>
      <c r="D18" s="20">
        <f t="shared" si="2"/>
        <v>6005</v>
      </c>
      <c r="E18" s="21">
        <v>1063</v>
      </c>
      <c r="F18" s="22">
        <v>98</v>
      </c>
      <c r="G18" s="23">
        <f>F18+'23.05'!G18</f>
        <v>3679</v>
      </c>
      <c r="H18" s="21">
        <v>19</v>
      </c>
      <c r="I18" s="22">
        <v>0</v>
      </c>
      <c r="J18" s="23">
        <f>I18+'23.05'!J18</f>
        <v>0</v>
      </c>
      <c r="K18" s="21">
        <v>8</v>
      </c>
      <c r="L18" s="22">
        <v>0</v>
      </c>
      <c r="M18" s="23">
        <f>L18+'23.05'!M18</f>
        <v>0</v>
      </c>
      <c r="N18" s="21">
        <v>1331</v>
      </c>
      <c r="O18" s="22">
        <v>0</v>
      </c>
      <c r="P18" s="23">
        <f>O18+'23.05'!P18</f>
        <v>0</v>
      </c>
      <c r="Q18" s="21">
        <v>777</v>
      </c>
      <c r="R18" s="22">
        <v>0</v>
      </c>
      <c r="S18" s="23">
        <f>R18+'23.05'!S18</f>
        <v>0</v>
      </c>
      <c r="T18" s="21">
        <v>318</v>
      </c>
      <c r="U18" s="22">
        <v>0</v>
      </c>
      <c r="V18" s="23">
        <f>U18+'23.05'!V18</f>
        <v>81</v>
      </c>
      <c r="W18" s="21">
        <v>60</v>
      </c>
      <c r="X18" s="22">
        <v>75</v>
      </c>
      <c r="Y18" s="23">
        <f>X18+'23.05'!Y18</f>
        <v>2245</v>
      </c>
      <c r="Z18" s="21">
        <v>72</v>
      </c>
      <c r="AA18" s="22">
        <v>0</v>
      </c>
      <c r="AB18" s="23">
        <f>AA18+'23.05'!AB18</f>
        <v>0</v>
      </c>
      <c r="AC18" s="21">
        <v>143</v>
      </c>
      <c r="AD18" s="22">
        <v>0</v>
      </c>
      <c r="AE18" s="23">
        <f>AD18+'23.05'!AE18</f>
        <v>0</v>
      </c>
      <c r="AF18" s="19">
        <f t="shared" si="3"/>
        <v>119784</v>
      </c>
      <c r="AG18" s="20">
        <f t="shared" si="4"/>
        <v>3243123</v>
      </c>
      <c r="AH18" s="24">
        <v>148</v>
      </c>
      <c r="AI18" s="23">
        <f>AH18+'23.05'!AI18</f>
        <v>5401</v>
      </c>
      <c r="AJ18" s="24">
        <v>1414</v>
      </c>
      <c r="AK18" s="23">
        <f>AJ18+'23.05'!AK18</f>
        <v>48198</v>
      </c>
      <c r="AL18" s="22">
        <v>1534</v>
      </c>
      <c r="AM18" s="23">
        <f>AL18+'23.05'!AM18</f>
        <v>55576</v>
      </c>
      <c r="AN18" s="22">
        <v>116688</v>
      </c>
      <c r="AO18" s="23">
        <f>AN18+'23.05'!AO18</f>
        <v>3133948</v>
      </c>
      <c r="AP18" s="17" t="s">
        <v>53</v>
      </c>
      <c r="AQ18" s="19">
        <f t="shared" si="6"/>
        <v>2</v>
      </c>
      <c r="AR18" s="20">
        <f t="shared" si="7"/>
        <v>49</v>
      </c>
      <c r="AS18" s="22">
        <v>1</v>
      </c>
      <c r="AT18" s="23">
        <f>AS18+'23.05'!AT18</f>
        <v>12</v>
      </c>
      <c r="AU18" s="22">
        <v>0</v>
      </c>
      <c r="AV18" s="23">
        <f>AU18+'23.05'!AV18</f>
        <v>0</v>
      </c>
      <c r="AW18" s="22">
        <v>0</v>
      </c>
      <c r="AX18" s="23">
        <f>AW18+'23.05'!AX18</f>
        <v>0</v>
      </c>
      <c r="AY18" s="22">
        <v>0</v>
      </c>
      <c r="AZ18" s="23">
        <f>AY18+'23.05'!AZ18</f>
        <v>0</v>
      </c>
      <c r="BA18" s="22">
        <v>1</v>
      </c>
      <c r="BB18" s="23">
        <f>BA18+'23.05'!BB18</f>
        <v>37</v>
      </c>
      <c r="BC18" s="19">
        <f t="shared" si="9"/>
        <v>755</v>
      </c>
      <c r="BD18" s="20">
        <f t="shared" si="10"/>
        <v>16540</v>
      </c>
      <c r="BE18" s="22">
        <v>11</v>
      </c>
      <c r="BF18" s="23">
        <f>BE18+'23.05'!BF18</f>
        <v>61</v>
      </c>
      <c r="BG18" s="22">
        <v>0</v>
      </c>
      <c r="BH18" s="23">
        <f>BG18+'23.05'!BH18</f>
        <v>388</v>
      </c>
      <c r="BI18" s="22">
        <v>483</v>
      </c>
      <c r="BJ18" s="23">
        <f>BI18+'23.05'!BJ18</f>
        <v>12918</v>
      </c>
      <c r="BK18" s="22">
        <v>235</v>
      </c>
      <c r="BL18" s="23">
        <f>BK18+'23.05'!BL18</f>
        <v>2792</v>
      </c>
      <c r="BM18" s="22">
        <v>26</v>
      </c>
      <c r="BN18" s="23">
        <f>BM18+'23.05'!BN18</f>
        <v>381</v>
      </c>
      <c r="BO18" s="36">
        <v>442</v>
      </c>
      <c r="BP18" s="37">
        <v>0</v>
      </c>
      <c r="BQ18" s="23">
        <f>BP18+'23.05'!BQ18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1"/>
        <v>37</v>
      </c>
      <c r="D19" s="31">
        <f t="shared" si="2"/>
        <v>850</v>
      </c>
      <c r="E19" s="33">
        <v>221</v>
      </c>
      <c r="F19" s="22">
        <v>4</v>
      </c>
      <c r="G19" s="23">
        <f>F19+'23.05'!G19</f>
        <v>155</v>
      </c>
      <c r="H19" s="33">
        <v>5</v>
      </c>
      <c r="I19" s="34">
        <v>0</v>
      </c>
      <c r="J19" s="23">
        <f>I19+'23.05'!J19</f>
        <v>0</v>
      </c>
      <c r="K19" s="33">
        <v>4</v>
      </c>
      <c r="L19" s="22">
        <v>0</v>
      </c>
      <c r="M19" s="23">
        <f>L19+'23.05'!M19</f>
        <v>0</v>
      </c>
      <c r="N19" s="33">
        <v>313</v>
      </c>
      <c r="O19" s="22">
        <v>0</v>
      </c>
      <c r="P19" s="23">
        <f>O19+'23.05'!P19</f>
        <v>227</v>
      </c>
      <c r="Q19" s="33">
        <v>203</v>
      </c>
      <c r="R19" s="22">
        <v>0</v>
      </c>
      <c r="S19" s="23">
        <f>R19+'23.05'!S19</f>
        <v>0</v>
      </c>
      <c r="T19" s="33">
        <v>241</v>
      </c>
      <c r="U19" s="22">
        <v>0</v>
      </c>
      <c r="V19" s="23">
        <f>U19+'23.05'!V19</f>
        <v>0</v>
      </c>
      <c r="W19" s="33">
        <v>14</v>
      </c>
      <c r="X19" s="22">
        <v>19</v>
      </c>
      <c r="Y19" s="23">
        <f>X19+'23.05'!Y19</f>
        <v>380</v>
      </c>
      <c r="Z19" s="33">
        <v>7</v>
      </c>
      <c r="AA19" s="22">
        <v>0</v>
      </c>
      <c r="AB19" s="23">
        <f>AA19+'23.05'!AB19</f>
        <v>0</v>
      </c>
      <c r="AC19" s="33">
        <v>32</v>
      </c>
      <c r="AD19" s="22">
        <v>14</v>
      </c>
      <c r="AE19" s="23">
        <f>AD19+'23.05'!AE19</f>
        <v>88</v>
      </c>
      <c r="AF19" s="19">
        <f t="shared" si="3"/>
        <v>2880</v>
      </c>
      <c r="AG19" s="20">
        <f t="shared" si="4"/>
        <v>76100</v>
      </c>
      <c r="AH19" s="24">
        <v>575</v>
      </c>
      <c r="AI19" s="23">
        <f>AH19+'23.05'!AI19</f>
        <v>12320</v>
      </c>
      <c r="AJ19" s="24">
        <v>575</v>
      </c>
      <c r="AK19" s="23">
        <f>AJ19+'23.05'!AK19</f>
        <v>12570</v>
      </c>
      <c r="AL19" s="22">
        <v>865</v>
      </c>
      <c r="AM19" s="23">
        <f>AL19+'23.05'!AM19</f>
        <v>25605</v>
      </c>
      <c r="AN19" s="22">
        <v>865</v>
      </c>
      <c r="AO19" s="23">
        <f>AN19+'23.05'!AO19</f>
        <v>25605</v>
      </c>
      <c r="AP19" s="28" t="s">
        <v>54</v>
      </c>
      <c r="AQ19" s="19">
        <f t="shared" si="6"/>
        <v>0</v>
      </c>
      <c r="AR19" s="20">
        <f t="shared" si="7"/>
        <v>6</v>
      </c>
      <c r="AS19" s="34">
        <v>0</v>
      </c>
      <c r="AT19" s="23">
        <f>AS19+'23.05'!AT19</f>
        <v>0</v>
      </c>
      <c r="AU19" s="34">
        <v>0</v>
      </c>
      <c r="AV19" s="23">
        <f>AU19+'23.05'!AV19</f>
        <v>5</v>
      </c>
      <c r="AW19" s="34">
        <v>0</v>
      </c>
      <c r="AX19" s="23">
        <f>AW19+'23.05'!AX19</f>
        <v>1</v>
      </c>
      <c r="AY19" s="34">
        <v>0</v>
      </c>
      <c r="AZ19" s="23">
        <f>AY19+'23.05'!AZ19</f>
        <v>0</v>
      </c>
      <c r="BA19" s="34">
        <v>0</v>
      </c>
      <c r="BB19" s="23">
        <f>BA19+'23.05'!BB19</f>
        <v>0</v>
      </c>
      <c r="BC19" s="19">
        <f t="shared" si="9"/>
        <v>1069</v>
      </c>
      <c r="BD19" s="20">
        <f t="shared" si="10"/>
        <v>25347</v>
      </c>
      <c r="BE19" s="22">
        <v>13</v>
      </c>
      <c r="BF19" s="23">
        <f>BE19+'23.05'!BF19</f>
        <v>328</v>
      </c>
      <c r="BG19" s="34">
        <v>0</v>
      </c>
      <c r="BH19" s="23">
        <f>BG19+'23.05'!BH19</f>
        <v>9</v>
      </c>
      <c r="BI19" s="22">
        <v>1000</v>
      </c>
      <c r="BJ19" s="23">
        <f>BI19+'23.05'!BJ19</f>
        <v>22100</v>
      </c>
      <c r="BK19" s="22">
        <v>50</v>
      </c>
      <c r="BL19" s="23">
        <f>BK19+'23.05'!BL19</f>
        <v>2770</v>
      </c>
      <c r="BM19" s="22">
        <v>6</v>
      </c>
      <c r="BN19" s="23">
        <f>BM19+'23.05'!BN19</f>
        <v>140</v>
      </c>
      <c r="BO19" s="36">
        <v>2898</v>
      </c>
      <c r="BP19" s="37">
        <v>0</v>
      </c>
      <c r="BQ19" s="23">
        <f>BP19+'23.05'!BQ19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1"/>
        <v>217</v>
      </c>
      <c r="D20" s="31">
        <f t="shared" si="2"/>
        <v>5769</v>
      </c>
      <c r="E20" s="32">
        <v>723</v>
      </c>
      <c r="F20" s="22">
        <v>78</v>
      </c>
      <c r="G20" s="23">
        <f>F20+'23.05'!G20</f>
        <v>2806</v>
      </c>
      <c r="H20" s="33">
        <v>5</v>
      </c>
      <c r="I20" s="34">
        <v>1</v>
      </c>
      <c r="J20" s="23">
        <f>I20+'23.05'!J20</f>
        <v>24</v>
      </c>
      <c r="K20" s="33">
        <v>3</v>
      </c>
      <c r="L20" s="22">
        <v>0</v>
      </c>
      <c r="M20" s="23">
        <f>L20+'23.05'!M20</f>
        <v>0</v>
      </c>
      <c r="N20" s="33">
        <v>975</v>
      </c>
      <c r="O20" s="22">
        <v>62</v>
      </c>
      <c r="P20" s="23">
        <f>O20+'23.05'!P20</f>
        <v>1398</v>
      </c>
      <c r="Q20" s="61">
        <v>1862</v>
      </c>
      <c r="R20" s="22">
        <v>1</v>
      </c>
      <c r="S20" s="23">
        <f>R20+'23.05'!S20</f>
        <v>26</v>
      </c>
      <c r="T20" s="33">
        <v>35</v>
      </c>
      <c r="U20" s="22">
        <v>1</v>
      </c>
      <c r="V20" s="23">
        <f>U20+'23.05'!V20</f>
        <v>24</v>
      </c>
      <c r="W20" s="33">
        <v>64</v>
      </c>
      <c r="X20" s="22">
        <v>1</v>
      </c>
      <c r="Y20" s="23">
        <f>X20+'23.05'!Y20</f>
        <v>26</v>
      </c>
      <c r="Z20" s="33">
        <v>15</v>
      </c>
      <c r="AA20" s="22">
        <v>1</v>
      </c>
      <c r="AB20" s="23">
        <f>AA20+'23.05'!AB20</f>
        <v>29</v>
      </c>
      <c r="AC20" s="33">
        <v>1546</v>
      </c>
      <c r="AD20" s="22">
        <v>72</v>
      </c>
      <c r="AE20" s="23">
        <f>AD20+'23.05'!AE20</f>
        <v>1436</v>
      </c>
      <c r="AF20" s="19">
        <f t="shared" si="3"/>
        <v>17670</v>
      </c>
      <c r="AG20" s="20">
        <f t="shared" si="4"/>
        <v>445864</v>
      </c>
      <c r="AH20" s="24">
        <v>8200</v>
      </c>
      <c r="AI20" s="23">
        <f>AH20+'23.05'!AI20</f>
        <v>202484</v>
      </c>
      <c r="AJ20" s="24">
        <v>8470</v>
      </c>
      <c r="AK20" s="23">
        <f>AJ20+'23.05'!AK20</f>
        <v>222670</v>
      </c>
      <c r="AL20" s="22">
        <v>500</v>
      </c>
      <c r="AM20" s="23">
        <f>AL20+'23.05'!AM20</f>
        <v>11350</v>
      </c>
      <c r="AN20" s="22">
        <v>500</v>
      </c>
      <c r="AO20" s="23">
        <f>AN20+'23.05'!AO20</f>
        <v>9360</v>
      </c>
      <c r="AP20" s="28" t="s">
        <v>55</v>
      </c>
      <c r="AQ20" s="19">
        <f t="shared" si="6"/>
        <v>33</v>
      </c>
      <c r="AR20" s="20">
        <f t="shared" si="7"/>
        <v>3324</v>
      </c>
      <c r="AS20" s="34">
        <v>1</v>
      </c>
      <c r="AT20" s="23">
        <f>AS20+'23.05'!AT20</f>
        <v>24</v>
      </c>
      <c r="AU20" s="34">
        <v>0</v>
      </c>
      <c r="AV20" s="23">
        <f>AU20+'23.05'!AV20</f>
        <v>0</v>
      </c>
      <c r="AW20" s="34">
        <v>0</v>
      </c>
      <c r="AX20" s="23">
        <f>AW20+'23.05'!AX20</f>
        <v>0</v>
      </c>
      <c r="AY20" s="34">
        <v>0</v>
      </c>
      <c r="AZ20" s="23">
        <f>AY20+'23.05'!AZ20</f>
        <v>0</v>
      </c>
      <c r="BA20" s="34">
        <v>32</v>
      </c>
      <c r="BB20" s="23">
        <f>BA20+'23.05'!BB20</f>
        <v>3300</v>
      </c>
      <c r="BC20" s="19">
        <f t="shared" si="9"/>
        <v>2948</v>
      </c>
      <c r="BD20" s="20">
        <f t="shared" si="10"/>
        <v>83570</v>
      </c>
      <c r="BE20" s="22">
        <v>2</v>
      </c>
      <c r="BF20" s="23">
        <f>BE20+'23.05'!BF20</f>
        <v>48</v>
      </c>
      <c r="BG20" s="34">
        <v>0</v>
      </c>
      <c r="BH20" s="23">
        <f>BG20+'23.05'!BH20</f>
        <v>0</v>
      </c>
      <c r="BI20" s="22">
        <v>1370</v>
      </c>
      <c r="BJ20" s="23">
        <f>BI20+'23.05'!BJ20</f>
        <v>40648</v>
      </c>
      <c r="BK20" s="22">
        <v>1575</v>
      </c>
      <c r="BL20" s="23">
        <f>BK20+'23.05'!BL20</f>
        <v>42820</v>
      </c>
      <c r="BM20" s="22">
        <v>1</v>
      </c>
      <c r="BN20" s="23">
        <f>BM20+'23.05'!BN20</f>
        <v>54</v>
      </c>
      <c r="BO20" s="36">
        <v>5854</v>
      </c>
      <c r="BP20" s="37">
        <v>0</v>
      </c>
      <c r="BQ20" s="23">
        <f>BP20+'23.05'!BQ20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1"/>
        <v>175</v>
      </c>
      <c r="D21" s="31">
        <f t="shared" si="2"/>
        <v>5020</v>
      </c>
      <c r="E21" s="32">
        <v>1017</v>
      </c>
      <c r="F21" s="22">
        <v>140</v>
      </c>
      <c r="G21" s="23">
        <f>F21+'23.05'!G21</f>
        <v>3569</v>
      </c>
      <c r="H21" s="33">
        <v>8</v>
      </c>
      <c r="I21" s="34">
        <v>0</v>
      </c>
      <c r="J21" s="23">
        <f>I21+'23.05'!J21</f>
        <v>135</v>
      </c>
      <c r="K21" s="33">
        <v>4</v>
      </c>
      <c r="L21" s="22">
        <v>0</v>
      </c>
      <c r="M21" s="23">
        <f>L21+'23.05'!M21</f>
        <v>21</v>
      </c>
      <c r="N21" s="33">
        <v>963</v>
      </c>
      <c r="O21" s="22">
        <v>0</v>
      </c>
      <c r="P21" s="23">
        <f>O21+'23.05'!P21</f>
        <v>57</v>
      </c>
      <c r="Q21" s="33">
        <v>912</v>
      </c>
      <c r="R21" s="22">
        <v>0</v>
      </c>
      <c r="S21" s="23">
        <f>R21+'23.05'!S21</f>
        <v>0</v>
      </c>
      <c r="T21" s="33">
        <v>199</v>
      </c>
      <c r="U21" s="22">
        <v>0</v>
      </c>
      <c r="V21" s="23">
        <f>U21+'23.05'!V21</f>
        <v>98</v>
      </c>
      <c r="W21" s="33">
        <v>101</v>
      </c>
      <c r="X21" s="22">
        <v>20</v>
      </c>
      <c r="Y21" s="23">
        <f>X21+'23.05'!Y21</f>
        <v>294</v>
      </c>
      <c r="Z21" s="33">
        <v>42</v>
      </c>
      <c r="AA21" s="22">
        <v>0</v>
      </c>
      <c r="AB21" s="23">
        <f>AA21+'23.05'!AB21</f>
        <v>2</v>
      </c>
      <c r="AC21" s="33">
        <v>20</v>
      </c>
      <c r="AD21" s="22">
        <v>15</v>
      </c>
      <c r="AE21" s="23">
        <f>AD21+'23.05'!AE21</f>
        <v>844</v>
      </c>
      <c r="AF21" s="19">
        <f t="shared" si="3"/>
        <v>1300000</v>
      </c>
      <c r="AG21" s="20">
        <f t="shared" si="4"/>
        <v>26555440</v>
      </c>
      <c r="AH21" s="24">
        <v>1000</v>
      </c>
      <c r="AI21" s="23">
        <f>AH21+'23.05'!AI21</f>
        <v>27110</v>
      </c>
      <c r="AJ21" s="24">
        <v>299000</v>
      </c>
      <c r="AK21" s="23">
        <f>AJ21+'23.05'!AK21</f>
        <v>4293000</v>
      </c>
      <c r="AL21" s="22">
        <v>5000</v>
      </c>
      <c r="AM21" s="23">
        <f>AL21+'23.05'!AM21</f>
        <v>65630</v>
      </c>
      <c r="AN21" s="22">
        <v>995000</v>
      </c>
      <c r="AO21" s="23">
        <f>AN21+'23.05'!AO21</f>
        <v>22169700</v>
      </c>
      <c r="AP21" s="28" t="s">
        <v>58</v>
      </c>
      <c r="AQ21" s="19">
        <f t="shared" si="6"/>
        <v>4</v>
      </c>
      <c r="AR21" s="20">
        <f t="shared" si="7"/>
        <v>115</v>
      </c>
      <c r="AS21" s="34">
        <v>0</v>
      </c>
      <c r="AT21" s="23">
        <f>AS21+'23.05'!AT21</f>
        <v>3</v>
      </c>
      <c r="AU21" s="34">
        <v>0</v>
      </c>
      <c r="AV21" s="23">
        <f>AU21+'23.05'!AV21</f>
        <v>29</v>
      </c>
      <c r="AW21" s="34">
        <v>0</v>
      </c>
      <c r="AX21" s="23">
        <f>AW21+'23.05'!AX21</f>
        <v>1</v>
      </c>
      <c r="AY21" s="34">
        <v>0</v>
      </c>
      <c r="AZ21" s="23">
        <f>AY21+'23.05'!AZ21</f>
        <v>0</v>
      </c>
      <c r="BA21" s="34">
        <v>4</v>
      </c>
      <c r="BB21" s="23">
        <f>BA21+'23.05'!BB21</f>
        <v>82</v>
      </c>
      <c r="BC21" s="19">
        <f t="shared" si="9"/>
        <v>1080</v>
      </c>
      <c r="BD21" s="20">
        <f t="shared" si="10"/>
        <v>38006</v>
      </c>
      <c r="BE21" s="22">
        <v>70</v>
      </c>
      <c r="BF21" s="23">
        <f>BE21+'23.05'!BF21</f>
        <v>1244</v>
      </c>
      <c r="BG21" s="34">
        <v>0</v>
      </c>
      <c r="BH21" s="23">
        <f>BG21+'23.05'!BH21</f>
        <v>0</v>
      </c>
      <c r="BI21" s="22">
        <v>1000</v>
      </c>
      <c r="BJ21" s="23">
        <f>BI21+'23.05'!BJ21</f>
        <v>36550</v>
      </c>
      <c r="BK21" s="22">
        <v>0</v>
      </c>
      <c r="BL21" s="23">
        <f>BK21+'23.05'!BL21</f>
        <v>0</v>
      </c>
      <c r="BM21" s="22">
        <v>10</v>
      </c>
      <c r="BN21" s="23">
        <f>BM21+'23.05'!BN21</f>
        <v>212</v>
      </c>
      <c r="BO21" s="36">
        <v>68</v>
      </c>
      <c r="BP21" s="37">
        <v>0</v>
      </c>
      <c r="BQ21" s="23">
        <f>BP21+'23.05'!BQ21</f>
        <v>32</v>
      </c>
    </row>
    <row r="22" spans="1:69" ht="27.75" customHeight="1">
      <c r="A22" s="28" t="s">
        <v>59</v>
      </c>
      <c r="B22" s="29">
        <f t="shared" si="0"/>
        <v>1787</v>
      </c>
      <c r="C22" s="30">
        <f t="shared" si="1"/>
        <v>2031</v>
      </c>
      <c r="D22" s="31">
        <f t="shared" si="2"/>
        <v>49781</v>
      </c>
      <c r="E22" s="32">
        <v>509</v>
      </c>
      <c r="F22" s="22">
        <v>419</v>
      </c>
      <c r="G22" s="23">
        <f>F22+'23.05'!G22</f>
        <v>8239</v>
      </c>
      <c r="H22" s="33">
        <v>8</v>
      </c>
      <c r="I22" s="34">
        <v>1</v>
      </c>
      <c r="J22" s="23">
        <f>I22+'23.05'!J22</f>
        <v>24</v>
      </c>
      <c r="K22" s="33">
        <v>21</v>
      </c>
      <c r="L22" s="22">
        <v>0</v>
      </c>
      <c r="M22" s="23">
        <f>L22+'23.05'!M22</f>
        <v>0</v>
      </c>
      <c r="N22" s="33">
        <v>560</v>
      </c>
      <c r="O22" s="22">
        <v>0</v>
      </c>
      <c r="P22" s="23">
        <f>O22+'23.05'!P22</f>
        <v>1213</v>
      </c>
      <c r="Q22" s="33">
        <v>375</v>
      </c>
      <c r="R22" s="22">
        <v>0</v>
      </c>
      <c r="S22" s="23">
        <f>R22+'23.05'!S22</f>
        <v>0</v>
      </c>
      <c r="T22" s="33">
        <v>165</v>
      </c>
      <c r="U22" s="22">
        <v>20</v>
      </c>
      <c r="V22" s="23">
        <f>U22+'23.05'!V22</f>
        <v>544</v>
      </c>
      <c r="W22" s="33">
        <v>28</v>
      </c>
      <c r="X22" s="22">
        <v>50</v>
      </c>
      <c r="Y22" s="23">
        <f>X22+'23.05'!Y22</f>
        <v>1973</v>
      </c>
      <c r="Z22" s="33">
        <v>9</v>
      </c>
      <c r="AA22" s="22">
        <v>0</v>
      </c>
      <c r="AB22" s="23">
        <f>AA22+'23.05'!AB22</f>
        <v>0</v>
      </c>
      <c r="AC22" s="33">
        <v>112</v>
      </c>
      <c r="AD22" s="22">
        <v>1541</v>
      </c>
      <c r="AE22" s="23">
        <f>AD22+'23.05'!AE22</f>
        <v>37788</v>
      </c>
      <c r="AF22" s="19">
        <f t="shared" si="3"/>
        <v>430701</v>
      </c>
      <c r="AG22" s="20">
        <f t="shared" si="4"/>
        <v>9749181</v>
      </c>
      <c r="AH22" s="24">
        <v>1020</v>
      </c>
      <c r="AI22" s="23">
        <f>AH22+'23.05'!AI22</f>
        <v>52102</v>
      </c>
      <c r="AJ22" s="24">
        <v>8246</v>
      </c>
      <c r="AK22" s="23">
        <f>AJ22+'23.05'!AK22</f>
        <v>160610</v>
      </c>
      <c r="AL22" s="22">
        <v>14127</v>
      </c>
      <c r="AM22" s="23">
        <f>AL22+'23.05'!AM22</f>
        <v>265214</v>
      </c>
      <c r="AN22" s="22">
        <v>407308</v>
      </c>
      <c r="AO22" s="23">
        <f>AN22+'23.05'!AO22</f>
        <v>9271255</v>
      </c>
      <c r="AP22" s="28" t="s">
        <v>59</v>
      </c>
      <c r="AQ22" s="19">
        <f t="shared" si="6"/>
        <v>1407</v>
      </c>
      <c r="AR22" s="20">
        <f t="shared" si="7"/>
        <v>37200</v>
      </c>
      <c r="AS22" s="34">
        <v>2</v>
      </c>
      <c r="AT22" s="23">
        <f>AS22+'23.05'!AT22</f>
        <v>11</v>
      </c>
      <c r="AU22" s="34">
        <v>1</v>
      </c>
      <c r="AV22" s="23">
        <f>AU22+'23.05'!AV22</f>
        <v>9</v>
      </c>
      <c r="AW22" s="34">
        <v>0</v>
      </c>
      <c r="AX22" s="23">
        <f>AW22+'23.05'!AX22</f>
        <v>2</v>
      </c>
      <c r="AY22" s="34">
        <v>0</v>
      </c>
      <c r="AZ22" s="23">
        <f>AY22+'23.05'!AZ22</f>
        <v>1</v>
      </c>
      <c r="BA22" s="34">
        <v>1404</v>
      </c>
      <c r="BB22" s="23">
        <f>BA22+'23.05'!BB22</f>
        <v>37177</v>
      </c>
      <c r="BC22" s="19">
        <f t="shared" si="9"/>
        <v>6296</v>
      </c>
      <c r="BD22" s="20">
        <f t="shared" si="10"/>
        <v>163112</v>
      </c>
      <c r="BE22" s="22">
        <v>8</v>
      </c>
      <c r="BF22" s="23">
        <f>BE22+'23.05'!BF22</f>
        <v>143</v>
      </c>
      <c r="BG22" s="34">
        <v>69</v>
      </c>
      <c r="BH22" s="23">
        <f>BG22+'23.05'!BH22</f>
        <v>1472</v>
      </c>
      <c r="BI22" s="22">
        <v>4305</v>
      </c>
      <c r="BJ22" s="23">
        <f>BI22+'23.05'!BJ22</f>
        <v>105270</v>
      </c>
      <c r="BK22" s="22">
        <v>1841</v>
      </c>
      <c r="BL22" s="23">
        <f>BK22+'23.05'!BL22</f>
        <v>54862</v>
      </c>
      <c r="BM22" s="22">
        <v>73</v>
      </c>
      <c r="BN22" s="23">
        <f>BM22+'23.05'!BN22</f>
        <v>1365</v>
      </c>
      <c r="BO22" s="36">
        <v>26</v>
      </c>
      <c r="BP22" s="37">
        <v>1</v>
      </c>
      <c r="BQ22" s="23">
        <f>BP22+'23.05'!BQ22</f>
        <v>1717</v>
      </c>
    </row>
    <row r="23" spans="1:69" ht="27.75" customHeight="1">
      <c r="A23" s="62" t="s">
        <v>12</v>
      </c>
      <c r="B23" s="63">
        <f t="shared" si="0"/>
        <v>94991</v>
      </c>
      <c r="C23" s="64">
        <f t="shared" si="1"/>
        <v>3984</v>
      </c>
      <c r="D23" s="65">
        <f t="shared" si="2"/>
        <v>97662</v>
      </c>
      <c r="E23" s="66">
        <f>+E18+E19+E22+E17+E16+E15+E14+E13+E12+E11+E10+E9+E8</f>
        <v>7282</v>
      </c>
      <c r="F23" s="67">
        <f t="shared" ref="F23:J23" si="12">SUM(F8:F22)</f>
        <v>1541</v>
      </c>
      <c r="G23" s="68">
        <f t="shared" si="12"/>
        <v>35970</v>
      </c>
      <c r="H23" s="66">
        <f>+H18+H19+H22+H17+H16+H15+H14+H13+H12+H11+H10+H9+H8</f>
        <v>271</v>
      </c>
      <c r="I23" s="67">
        <f t="shared" si="12"/>
        <v>6</v>
      </c>
      <c r="J23" s="68">
        <f t="shared" si="12"/>
        <v>314</v>
      </c>
      <c r="K23" s="66">
        <f>+K18+K19+K22+K17+K16+K15+K14+K13+K12+K11+K10+K9+K8</f>
        <v>163</v>
      </c>
      <c r="L23" s="67">
        <f t="shared" ref="L23:P23" si="13">SUM(L8:L22)</f>
        <v>0</v>
      </c>
      <c r="M23" s="68">
        <f t="shared" si="13"/>
        <v>40</v>
      </c>
      <c r="N23" s="66">
        <f>+N18+N19+N22+N17+N16+N15+N14+N13+N12+N11+N10+N9+N8</f>
        <v>8607</v>
      </c>
      <c r="O23" s="67">
        <f t="shared" si="13"/>
        <v>87</v>
      </c>
      <c r="P23" s="68">
        <f t="shared" si="13"/>
        <v>3584</v>
      </c>
      <c r="Q23" s="66">
        <f>+Q18+Q19+Q22+Q17+Q16+Q15+Q14+Q13+Q12+Q11+Q10+Q9+Q8</f>
        <v>7474</v>
      </c>
      <c r="R23" s="67">
        <f t="shared" ref="R23:V23" si="14">SUM(R8:R22)</f>
        <v>1</v>
      </c>
      <c r="S23" s="68">
        <f t="shared" si="14"/>
        <v>165</v>
      </c>
      <c r="T23" s="66">
        <f>+T18+T19+T22+T17+T16+T15+T14+T13+T12+T11+T10+T9+T8</f>
        <v>4115</v>
      </c>
      <c r="U23" s="67">
        <f t="shared" si="14"/>
        <v>21</v>
      </c>
      <c r="V23" s="68">
        <f t="shared" si="14"/>
        <v>854</v>
      </c>
      <c r="W23" s="66">
        <f>+W18+W19+W22+W17+W16+W15+W14+W13+W12+W11+W10+W9+W8</f>
        <v>604</v>
      </c>
      <c r="X23" s="67">
        <f t="shared" ref="X23:AB23" si="15">SUM(X8:X22)</f>
        <v>371</v>
      </c>
      <c r="Y23" s="68">
        <f t="shared" si="15"/>
        <v>9944</v>
      </c>
      <c r="Z23" s="66">
        <f>+Z18+Z19+Z22+Z17+Z16+Z15+Z14+Z13+Z12+Z11+Z10+Z9+Z8</f>
        <v>1629</v>
      </c>
      <c r="AA23" s="67">
        <f t="shared" si="15"/>
        <v>1</v>
      </c>
      <c r="AB23" s="68">
        <f t="shared" si="15"/>
        <v>70</v>
      </c>
      <c r="AC23" s="66">
        <f>+AC18+AC19+AC22+AC17+AC16+AC15+AC14+AC13+AC12+AC11+AC10+AC9+AC8</f>
        <v>64846</v>
      </c>
      <c r="AD23" s="67">
        <f t="shared" ref="AD23:AO23" si="16">SUM(AD8:AD22)</f>
        <v>1956</v>
      </c>
      <c r="AE23" s="68">
        <f t="shared" si="16"/>
        <v>46721</v>
      </c>
      <c r="AF23" s="64">
        <f t="shared" si="16"/>
        <v>4635212</v>
      </c>
      <c r="AG23" s="64">
        <f t="shared" si="16"/>
        <v>107442283</v>
      </c>
      <c r="AH23" s="67">
        <f t="shared" si="16"/>
        <v>35874</v>
      </c>
      <c r="AI23" s="68">
        <f t="shared" si="16"/>
        <v>778293</v>
      </c>
      <c r="AJ23" s="67">
        <f t="shared" si="16"/>
        <v>372785</v>
      </c>
      <c r="AK23" s="68">
        <f t="shared" si="16"/>
        <v>6036034</v>
      </c>
      <c r="AL23" s="67">
        <f t="shared" si="16"/>
        <v>1289281</v>
      </c>
      <c r="AM23" s="68">
        <f t="shared" si="16"/>
        <v>32595195</v>
      </c>
      <c r="AN23" s="67">
        <f t="shared" si="16"/>
        <v>2937272</v>
      </c>
      <c r="AO23" s="68">
        <f t="shared" si="16"/>
        <v>68032761</v>
      </c>
      <c r="AP23" s="62" t="s">
        <v>12</v>
      </c>
      <c r="AQ23" s="64">
        <f t="shared" ref="AQ23:BP23" si="17">SUM(AQ8:AQ22)</f>
        <v>1795</v>
      </c>
      <c r="AR23" s="64">
        <f t="shared" si="17"/>
        <v>48854</v>
      </c>
      <c r="AS23" s="67">
        <f t="shared" si="17"/>
        <v>5</v>
      </c>
      <c r="AT23" s="68">
        <f t="shared" si="17"/>
        <v>111</v>
      </c>
      <c r="AU23" s="67">
        <f t="shared" si="17"/>
        <v>5</v>
      </c>
      <c r="AV23" s="68">
        <f t="shared" si="17"/>
        <v>133</v>
      </c>
      <c r="AW23" s="67">
        <f t="shared" si="17"/>
        <v>2</v>
      </c>
      <c r="AX23" s="68">
        <f t="shared" si="17"/>
        <v>23</v>
      </c>
      <c r="AY23" s="67">
        <f t="shared" si="17"/>
        <v>0</v>
      </c>
      <c r="AZ23" s="68">
        <f t="shared" si="17"/>
        <v>4</v>
      </c>
      <c r="BA23" s="67">
        <f t="shared" si="17"/>
        <v>1783</v>
      </c>
      <c r="BB23" s="68">
        <f t="shared" si="17"/>
        <v>48583</v>
      </c>
      <c r="BC23" s="64">
        <f t="shared" si="17"/>
        <v>37644</v>
      </c>
      <c r="BD23" s="64">
        <f t="shared" si="17"/>
        <v>976243</v>
      </c>
      <c r="BE23" s="67">
        <f t="shared" si="17"/>
        <v>1482</v>
      </c>
      <c r="BF23" s="68">
        <f t="shared" si="17"/>
        <v>35727</v>
      </c>
      <c r="BG23" s="67">
        <f t="shared" si="17"/>
        <v>137</v>
      </c>
      <c r="BH23" s="68">
        <f t="shared" si="17"/>
        <v>2904</v>
      </c>
      <c r="BI23" s="67">
        <f t="shared" si="17"/>
        <v>28887</v>
      </c>
      <c r="BJ23" s="68">
        <f t="shared" si="17"/>
        <v>751507</v>
      </c>
      <c r="BK23" s="67">
        <f t="shared" si="17"/>
        <v>6851</v>
      </c>
      <c r="BL23" s="68">
        <f t="shared" si="17"/>
        <v>180791</v>
      </c>
      <c r="BM23" s="67">
        <f t="shared" si="17"/>
        <v>287</v>
      </c>
      <c r="BN23" s="68">
        <f t="shared" si="17"/>
        <v>5314</v>
      </c>
      <c r="BO23" s="69">
        <f t="shared" si="17"/>
        <v>37704</v>
      </c>
      <c r="BP23" s="70">
        <f t="shared" si="17"/>
        <v>10</v>
      </c>
      <c r="BQ23" s="23">
        <f>BP23+'20.04'!BP23</f>
        <v>36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30A0"/>
  </sheetPr>
  <dimension ref="A1:BQ23"/>
  <sheetViews>
    <sheetView zoomScale="85" zoomScaleNormal="85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6</v>
      </c>
      <c r="D9" s="31">
        <f t="shared" si="0"/>
        <v>121</v>
      </c>
      <c r="E9" s="32">
        <v>452</v>
      </c>
      <c r="F9" s="22">
        <v>1</v>
      </c>
      <c r="G9" s="23">
        <f>F9+'24.05'!G9</f>
        <v>63</v>
      </c>
      <c r="H9" s="33">
        <v>12</v>
      </c>
      <c r="I9" s="34">
        <v>0</v>
      </c>
      <c r="J9" s="23">
        <f>I9+'24.05'!J9</f>
        <v>18</v>
      </c>
      <c r="K9" s="33">
        <v>2</v>
      </c>
      <c r="L9" s="22">
        <v>0</v>
      </c>
      <c r="M9" s="23">
        <f>L9+'24.05'!M9</f>
        <v>0</v>
      </c>
      <c r="N9" s="33">
        <v>735</v>
      </c>
      <c r="O9" s="22">
        <v>0</v>
      </c>
      <c r="P9" s="23">
        <f>O9+'24.05'!P9</f>
        <v>0</v>
      </c>
      <c r="Q9" s="33">
        <v>502</v>
      </c>
      <c r="R9" s="22">
        <v>0</v>
      </c>
      <c r="S9" s="23">
        <f>R9+'24.05'!S9</f>
        <v>0</v>
      </c>
      <c r="T9" s="33">
        <v>197</v>
      </c>
      <c r="U9" s="22">
        <v>0</v>
      </c>
      <c r="V9" s="23">
        <f>U9+'24.05'!V9</f>
        <v>0</v>
      </c>
      <c r="W9" s="33">
        <v>47</v>
      </c>
      <c r="X9" s="22">
        <v>5</v>
      </c>
      <c r="Y9" s="23">
        <f>X9+'24.05'!Y9</f>
        <v>21</v>
      </c>
      <c r="Z9" s="33">
        <v>34</v>
      </c>
      <c r="AA9" s="22">
        <v>0</v>
      </c>
      <c r="AB9" s="23">
        <f>AA9+'24.05'!AB9</f>
        <v>0</v>
      </c>
      <c r="AC9" s="33">
        <v>1860</v>
      </c>
      <c r="AD9" s="22">
        <v>0</v>
      </c>
      <c r="AE9" s="23">
        <f>AD9+'24.05'!AE9</f>
        <v>19</v>
      </c>
      <c r="AF9" s="19">
        <f t="shared" si="1"/>
        <v>10300</v>
      </c>
      <c r="AG9" s="20">
        <f t="shared" si="1"/>
        <v>212616</v>
      </c>
      <c r="AH9" s="24">
        <v>50</v>
      </c>
      <c r="AI9" s="23">
        <f>AH9+'24.05'!AI9</f>
        <v>2871</v>
      </c>
      <c r="AJ9" s="24">
        <v>1900</v>
      </c>
      <c r="AK9" s="23">
        <f>AJ9+'24.05'!AK9</f>
        <v>19092</v>
      </c>
      <c r="AL9" s="22">
        <v>300</v>
      </c>
      <c r="AM9" s="23">
        <f>AL9+'24.05'!AM9</f>
        <v>35585</v>
      </c>
      <c r="AN9" s="22">
        <v>8050</v>
      </c>
      <c r="AO9" s="23">
        <f>AN9+'24.05'!AO9</f>
        <v>155068</v>
      </c>
      <c r="AP9" s="28" t="s">
        <v>43</v>
      </c>
      <c r="AQ9" s="19">
        <f t="shared" si="3"/>
        <v>113</v>
      </c>
      <c r="AR9" s="20">
        <f t="shared" si="3"/>
        <v>3070</v>
      </c>
      <c r="AS9" s="34">
        <v>0</v>
      </c>
      <c r="AT9" s="23">
        <f>AS9+'24.05'!AT9</f>
        <v>11</v>
      </c>
      <c r="AU9" s="34">
        <v>1</v>
      </c>
      <c r="AV9" s="23">
        <f>AU9+'24.05'!AV9</f>
        <v>12</v>
      </c>
      <c r="AW9" s="34">
        <v>0</v>
      </c>
      <c r="AX9" s="23">
        <f>AW9+'24.05'!AX9</f>
        <v>7</v>
      </c>
      <c r="AY9" s="34">
        <v>0</v>
      </c>
      <c r="AZ9" s="23">
        <f>AY9+'24.05'!AZ9</f>
        <v>0</v>
      </c>
      <c r="BA9" s="34">
        <v>112</v>
      </c>
      <c r="BB9" s="23">
        <f>BA9+'24.05'!BB9</f>
        <v>3040</v>
      </c>
      <c r="BC9" s="19">
        <f t="shared" si="5"/>
        <v>804</v>
      </c>
      <c r="BD9" s="20">
        <f t="shared" si="5"/>
        <v>11223</v>
      </c>
      <c r="BE9" s="22">
        <v>1</v>
      </c>
      <c r="BF9" s="23">
        <f>BE9+'24.05'!BF9</f>
        <v>34</v>
      </c>
      <c r="BG9" s="34">
        <v>0</v>
      </c>
      <c r="BH9" s="23">
        <f>BG9+'24.05'!BH9</f>
        <v>0</v>
      </c>
      <c r="BI9" s="22">
        <v>800</v>
      </c>
      <c r="BJ9" s="23">
        <f>BI9+'24.05'!BJ9</f>
        <v>11160</v>
      </c>
      <c r="BK9" s="22">
        <v>0</v>
      </c>
      <c r="BL9" s="23">
        <f>BK9+'24.05'!BL9</f>
        <v>0</v>
      </c>
      <c r="BM9" s="22">
        <v>3</v>
      </c>
      <c r="BN9" s="23">
        <f>BM9+'24.05'!BN9</f>
        <v>29</v>
      </c>
      <c r="BO9" s="36">
        <v>14</v>
      </c>
      <c r="BP9" s="37">
        <v>0</v>
      </c>
      <c r="BQ9" s="23">
        <f>BP9+'24.05'!BQ9</f>
        <v>7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95</v>
      </c>
      <c r="D10" s="31">
        <f t="shared" si="0"/>
        <v>2935</v>
      </c>
      <c r="E10" s="32">
        <v>585</v>
      </c>
      <c r="F10" s="22">
        <v>9</v>
      </c>
      <c r="G10" s="23">
        <f>F10+'24.05'!G10</f>
        <v>306</v>
      </c>
      <c r="H10" s="33">
        <v>93</v>
      </c>
      <c r="I10" s="34">
        <v>2</v>
      </c>
      <c r="J10" s="23">
        <f>I10+'24.05'!J10</f>
        <v>40</v>
      </c>
      <c r="K10" s="33">
        <v>34</v>
      </c>
      <c r="L10" s="22">
        <v>0</v>
      </c>
      <c r="M10" s="23">
        <f>L10+'24.05'!M10</f>
        <v>19</v>
      </c>
      <c r="N10" s="33">
        <v>352</v>
      </c>
      <c r="O10" s="22">
        <v>18</v>
      </c>
      <c r="P10" s="23">
        <f>O10+'24.05'!P10</f>
        <v>253</v>
      </c>
      <c r="Q10" s="33">
        <v>549</v>
      </c>
      <c r="R10" s="22">
        <v>9</v>
      </c>
      <c r="S10" s="23">
        <f>R10+'24.05'!S10</f>
        <v>148</v>
      </c>
      <c r="T10" s="33">
        <v>198</v>
      </c>
      <c r="U10" s="22">
        <v>8</v>
      </c>
      <c r="V10" s="23">
        <f>U10+'24.05'!V10</f>
        <v>115</v>
      </c>
      <c r="W10" s="38">
        <v>55</v>
      </c>
      <c r="X10" s="22">
        <v>0</v>
      </c>
      <c r="Y10" s="23">
        <f>X10+'24.05'!Y10</f>
        <v>87</v>
      </c>
      <c r="Z10" s="38">
        <v>71</v>
      </c>
      <c r="AA10" s="22">
        <v>0</v>
      </c>
      <c r="AB10" s="23">
        <f>AA10+'24.05'!AB10</f>
        <v>39</v>
      </c>
      <c r="AC10" s="38">
        <v>1690</v>
      </c>
      <c r="AD10" s="22">
        <v>49</v>
      </c>
      <c r="AE10" s="23">
        <f>AD10+'24.05'!AE10</f>
        <v>1928</v>
      </c>
      <c r="AF10" s="19">
        <f t="shared" si="1"/>
        <v>113070</v>
      </c>
      <c r="AG10" s="20">
        <f t="shared" si="1"/>
        <v>2701060</v>
      </c>
      <c r="AH10" s="24">
        <v>2911</v>
      </c>
      <c r="AI10" s="23">
        <f>AH10+'24.05'!AI10</f>
        <v>28765</v>
      </c>
      <c r="AJ10" s="24">
        <v>4633</v>
      </c>
      <c r="AK10" s="23">
        <f>AJ10+'24.05'!AK10</f>
        <v>123258</v>
      </c>
      <c r="AL10" s="22">
        <v>11354</v>
      </c>
      <c r="AM10" s="23">
        <f>AL10+'24.05'!AM10</f>
        <v>306545</v>
      </c>
      <c r="AN10" s="22">
        <v>94172</v>
      </c>
      <c r="AO10" s="23">
        <f>AN10+'24.05'!AO10</f>
        <v>2242492</v>
      </c>
      <c r="AP10" s="28" t="s">
        <v>44</v>
      </c>
      <c r="AQ10" s="19">
        <f t="shared" si="3"/>
        <v>0</v>
      </c>
      <c r="AR10" s="20">
        <f t="shared" si="3"/>
        <v>99</v>
      </c>
      <c r="AS10" s="34">
        <v>0</v>
      </c>
      <c r="AT10" s="23">
        <f>AS10+'24.05'!AT10</f>
        <v>5</v>
      </c>
      <c r="AU10" s="34">
        <v>0</v>
      </c>
      <c r="AV10" s="23">
        <f>AU10+'24.05'!AV10</f>
        <v>4</v>
      </c>
      <c r="AW10" s="34">
        <v>0</v>
      </c>
      <c r="AX10" s="23">
        <f>AW10+'24.05'!AX10</f>
        <v>0</v>
      </c>
      <c r="AY10" s="34">
        <v>0</v>
      </c>
      <c r="AZ10" s="23">
        <f>AY10+'24.05'!AZ10</f>
        <v>0</v>
      </c>
      <c r="BA10" s="34">
        <v>0</v>
      </c>
      <c r="BB10" s="23">
        <f>BA10+'24.05'!BB10</f>
        <v>90</v>
      </c>
      <c r="BC10" s="19">
        <f t="shared" si="5"/>
        <v>5772</v>
      </c>
      <c r="BD10" s="20">
        <f t="shared" si="5"/>
        <v>117186</v>
      </c>
      <c r="BE10" s="22">
        <v>492</v>
      </c>
      <c r="BF10" s="23">
        <f>BE10+'24.05'!BF10</f>
        <v>12933</v>
      </c>
      <c r="BG10" s="34">
        <v>1</v>
      </c>
      <c r="BH10" s="23">
        <f>BG10+'24.05'!BH10</f>
        <v>29</v>
      </c>
      <c r="BI10" s="22">
        <v>4381</v>
      </c>
      <c r="BJ10" s="23">
        <f>BI10+'24.05'!BJ10</f>
        <v>61664</v>
      </c>
      <c r="BK10" s="22">
        <v>898</v>
      </c>
      <c r="BL10" s="23">
        <f>BK10+'24.05'!BL10</f>
        <v>42557</v>
      </c>
      <c r="BM10" s="22">
        <v>0</v>
      </c>
      <c r="BN10" s="23">
        <f>BM10+'24.05'!BN10</f>
        <v>3</v>
      </c>
      <c r="BO10" s="36">
        <v>32</v>
      </c>
      <c r="BP10" s="37">
        <v>2</v>
      </c>
      <c r="BQ10" s="23">
        <f>BP10+'24.05'!BQ10</f>
        <v>15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40</v>
      </c>
      <c r="D11" s="31">
        <f t="shared" si="0"/>
        <v>916</v>
      </c>
      <c r="E11" s="32">
        <v>883</v>
      </c>
      <c r="F11" s="22">
        <v>19</v>
      </c>
      <c r="G11" s="23">
        <f>F11+'24.05'!G11</f>
        <v>443</v>
      </c>
      <c r="H11" s="33">
        <v>16</v>
      </c>
      <c r="I11" s="34">
        <v>0</v>
      </c>
      <c r="J11" s="23">
        <f>I11+'24.05'!J11</f>
        <v>0</v>
      </c>
      <c r="K11" s="33">
        <v>3</v>
      </c>
      <c r="L11" s="22">
        <v>0</v>
      </c>
      <c r="M11" s="23">
        <f>L11+'24.05'!M11</f>
        <v>0</v>
      </c>
      <c r="N11" s="33">
        <v>875</v>
      </c>
      <c r="O11" s="22">
        <v>0</v>
      </c>
      <c r="P11" s="23">
        <f>O11+'24.05'!P11</f>
        <v>0</v>
      </c>
      <c r="Q11" s="33">
        <v>2424</v>
      </c>
      <c r="R11" s="22">
        <v>0</v>
      </c>
      <c r="S11" s="23">
        <f>R11+'24.05'!S11</f>
        <v>0</v>
      </c>
      <c r="T11" s="33">
        <v>69</v>
      </c>
      <c r="U11" s="22">
        <v>0</v>
      </c>
      <c r="V11" s="23">
        <f>U11+'24.05'!V11</f>
        <v>0</v>
      </c>
      <c r="W11" s="38">
        <v>133</v>
      </c>
      <c r="X11" s="22">
        <v>20</v>
      </c>
      <c r="Y11" s="23">
        <f>X11+'24.05'!Y11</f>
        <v>435</v>
      </c>
      <c r="Z11" s="38">
        <v>1116</v>
      </c>
      <c r="AA11" s="22">
        <v>0</v>
      </c>
      <c r="AB11" s="23">
        <f>AA11+'24.05'!AB11</f>
        <v>0</v>
      </c>
      <c r="AC11" s="38">
        <v>9862</v>
      </c>
      <c r="AD11" s="22">
        <v>1</v>
      </c>
      <c r="AE11" s="23">
        <f>AD11+'24.05'!AE11</f>
        <v>38</v>
      </c>
      <c r="AF11" s="19">
        <f t="shared" si="1"/>
        <v>17200</v>
      </c>
      <c r="AG11" s="20">
        <f t="shared" si="1"/>
        <v>477400</v>
      </c>
      <c r="AH11" s="24">
        <v>2400</v>
      </c>
      <c r="AI11" s="23">
        <f>AH11+'24.05'!AI11</f>
        <v>58500</v>
      </c>
      <c r="AJ11" s="24">
        <v>3000</v>
      </c>
      <c r="AK11" s="23">
        <f>AJ11+'24.05'!AK11</f>
        <v>73900</v>
      </c>
      <c r="AL11" s="22">
        <v>3300</v>
      </c>
      <c r="AM11" s="23">
        <f>AL11+'24.05'!AM11</f>
        <v>103800</v>
      </c>
      <c r="AN11" s="22">
        <v>8500</v>
      </c>
      <c r="AO11" s="23">
        <f>AN11+'24.05'!AO11</f>
        <v>241200</v>
      </c>
      <c r="AP11" s="28" t="s">
        <v>45</v>
      </c>
      <c r="AQ11" s="19">
        <f t="shared" si="3"/>
        <v>2</v>
      </c>
      <c r="AR11" s="20">
        <f t="shared" si="3"/>
        <v>64</v>
      </c>
      <c r="AS11" s="34">
        <v>0</v>
      </c>
      <c r="AT11" s="23">
        <f>AS11+'24.05'!AT11</f>
        <v>0</v>
      </c>
      <c r="AU11" s="34">
        <v>0</v>
      </c>
      <c r="AV11" s="23">
        <f>AU11+'24.05'!AV11</f>
        <v>0</v>
      </c>
      <c r="AW11" s="34">
        <v>0</v>
      </c>
      <c r="AX11" s="23">
        <f>AW11+'24.05'!AX11</f>
        <v>0</v>
      </c>
      <c r="AY11" s="34">
        <v>0</v>
      </c>
      <c r="AZ11" s="23">
        <f>AY11+'24.05'!AZ11</f>
        <v>0</v>
      </c>
      <c r="BA11" s="34">
        <v>2</v>
      </c>
      <c r="BB11" s="23">
        <f>BA11+'24.05'!BB11</f>
        <v>64</v>
      </c>
      <c r="BC11" s="19">
        <f t="shared" si="5"/>
        <v>452</v>
      </c>
      <c r="BD11" s="20">
        <f t="shared" si="5"/>
        <v>15536</v>
      </c>
      <c r="BE11" s="22">
        <v>3</v>
      </c>
      <c r="BF11" s="23">
        <f>BE11+'24.05'!BF11</f>
        <v>51</v>
      </c>
      <c r="BG11" s="34">
        <v>1</v>
      </c>
      <c r="BH11" s="23">
        <f>BG11+'24.05'!BH11</f>
        <v>73</v>
      </c>
      <c r="BI11" s="22">
        <v>435</v>
      </c>
      <c r="BJ11" s="23">
        <f>BI11+'24.05'!BJ11</f>
        <v>14998</v>
      </c>
      <c r="BK11" s="22">
        <v>12</v>
      </c>
      <c r="BL11" s="23">
        <f>BK11+'24.05'!BL11</f>
        <v>363</v>
      </c>
      <c r="BM11" s="22">
        <v>1</v>
      </c>
      <c r="BN11" s="23">
        <f>BM11+'24.05'!BN11</f>
        <v>51</v>
      </c>
      <c r="BO11" s="36">
        <v>11506</v>
      </c>
      <c r="BP11" s="37">
        <v>4</v>
      </c>
      <c r="BQ11" s="23" t="e">
        <f>BP11+'24.05'!BQ11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233</v>
      </c>
      <c r="D12" s="31">
        <f t="shared" si="0"/>
        <v>5625</v>
      </c>
      <c r="E12" s="32">
        <v>909</v>
      </c>
      <c r="F12" s="22">
        <v>52</v>
      </c>
      <c r="G12" s="23">
        <f>F12+'24.05'!G12</f>
        <v>1345</v>
      </c>
      <c r="H12" s="33">
        <v>80</v>
      </c>
      <c r="I12" s="34">
        <v>4</v>
      </c>
      <c r="J12" s="23">
        <f>I12+'24.05'!J12</f>
        <v>66</v>
      </c>
      <c r="K12" s="33">
        <v>5</v>
      </c>
      <c r="L12" s="22">
        <v>0</v>
      </c>
      <c r="M12" s="23">
        <f>L12+'24.05'!M12</f>
        <v>0</v>
      </c>
      <c r="N12" s="33">
        <v>820</v>
      </c>
      <c r="O12" s="22">
        <v>31</v>
      </c>
      <c r="P12" s="23">
        <f>O12+'24.05'!P12</f>
        <v>475</v>
      </c>
      <c r="Q12" s="33">
        <v>549</v>
      </c>
      <c r="R12" s="22">
        <v>0</v>
      </c>
      <c r="S12" s="23">
        <f>R12+'24.05'!S12</f>
        <v>0</v>
      </c>
      <c r="T12" s="33">
        <v>992</v>
      </c>
      <c r="U12" s="22">
        <v>0</v>
      </c>
      <c r="V12" s="23">
        <f>U12+'24.05'!V12</f>
        <v>0</v>
      </c>
      <c r="W12" s="33">
        <v>38</v>
      </c>
      <c r="X12" s="22">
        <v>116</v>
      </c>
      <c r="Y12" s="23">
        <f>X12+'24.05'!Y12</f>
        <v>2872</v>
      </c>
      <c r="Z12" s="33">
        <v>68</v>
      </c>
      <c r="AA12" s="22">
        <v>0</v>
      </c>
      <c r="AB12" s="23">
        <f>AA12+'24.05'!AB12</f>
        <v>0</v>
      </c>
      <c r="AC12" s="33">
        <v>26703</v>
      </c>
      <c r="AD12" s="22">
        <v>30</v>
      </c>
      <c r="AE12" s="23">
        <f>AD12+'24.05'!AE12</f>
        <v>867</v>
      </c>
      <c r="AF12" s="19">
        <f t="shared" si="1"/>
        <v>3130</v>
      </c>
      <c r="AG12" s="20">
        <f t="shared" si="1"/>
        <v>391401</v>
      </c>
      <c r="AH12" s="24">
        <v>1001</v>
      </c>
      <c r="AI12" s="23">
        <f>AH12+'24.05'!AI12</f>
        <v>61706</v>
      </c>
      <c r="AJ12" s="24">
        <v>809</v>
      </c>
      <c r="AK12" s="23">
        <f>AJ12+'24.05'!AK12</f>
        <v>121840</v>
      </c>
      <c r="AL12" s="22">
        <v>660</v>
      </c>
      <c r="AM12" s="23">
        <f>AL12+'24.05'!AM12</f>
        <v>103925</v>
      </c>
      <c r="AN12" s="22">
        <v>660</v>
      </c>
      <c r="AO12" s="23">
        <f>AN12+'24.05'!AO12</f>
        <v>103930</v>
      </c>
      <c r="AP12" s="28" t="s">
        <v>46</v>
      </c>
      <c r="AQ12" s="19">
        <f t="shared" si="3"/>
        <v>85</v>
      </c>
      <c r="AR12" s="20">
        <f t="shared" si="3"/>
        <v>2146</v>
      </c>
      <c r="AS12" s="34">
        <v>0</v>
      </c>
      <c r="AT12" s="23">
        <f>AS12+'24.05'!AT12</f>
        <v>0</v>
      </c>
      <c r="AU12" s="34">
        <v>0</v>
      </c>
      <c r="AV12" s="23">
        <f>AU12+'24.05'!AV12</f>
        <v>0</v>
      </c>
      <c r="AW12" s="34">
        <v>0</v>
      </c>
      <c r="AX12" s="23">
        <f>AW12+'24.05'!AX12</f>
        <v>0</v>
      </c>
      <c r="AY12" s="34">
        <v>0</v>
      </c>
      <c r="AZ12" s="23">
        <f>AY12+'24.05'!AZ12</f>
        <v>0</v>
      </c>
      <c r="BA12" s="34">
        <v>85</v>
      </c>
      <c r="BB12" s="23">
        <f>BA12+'24.05'!BB12</f>
        <v>2146</v>
      </c>
      <c r="BC12" s="19">
        <f t="shared" si="5"/>
        <v>2433</v>
      </c>
      <c r="BD12" s="20">
        <f t="shared" si="5"/>
        <v>70018</v>
      </c>
      <c r="BE12" s="22">
        <v>120</v>
      </c>
      <c r="BF12" s="23">
        <f>BE12+'24.05'!BF12</f>
        <v>4575</v>
      </c>
      <c r="BG12" s="34">
        <v>12</v>
      </c>
      <c r="BH12" s="23">
        <f>BG12+'24.05'!BH12</f>
        <v>234</v>
      </c>
      <c r="BI12" s="22">
        <v>2000</v>
      </c>
      <c r="BJ12" s="23">
        <f>BI12+'24.05'!BJ12</f>
        <v>56700</v>
      </c>
      <c r="BK12" s="22">
        <v>250</v>
      </c>
      <c r="BL12" s="23">
        <f>BK12+'24.05'!BL12</f>
        <v>7250</v>
      </c>
      <c r="BM12" s="22">
        <v>51</v>
      </c>
      <c r="BN12" s="23">
        <f>BM12+'24.05'!BN12</f>
        <v>1259</v>
      </c>
      <c r="BO12" s="36"/>
      <c r="BP12" s="37">
        <v>2</v>
      </c>
      <c r="BQ12" s="23">
        <f>BP12+'24.05'!BQ12</f>
        <v>45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304</v>
      </c>
      <c r="E13" s="32">
        <v>516</v>
      </c>
      <c r="F13" s="22">
        <v>1</v>
      </c>
      <c r="G13" s="23">
        <f>F13+'24.05'!G13</f>
        <v>27</v>
      </c>
      <c r="H13" s="33">
        <v>10</v>
      </c>
      <c r="I13" s="34">
        <v>0</v>
      </c>
      <c r="J13" s="23">
        <f>I13+'24.05'!J13</f>
        <v>13</v>
      </c>
      <c r="K13" s="33">
        <v>38</v>
      </c>
      <c r="L13" s="22">
        <v>0</v>
      </c>
      <c r="M13" s="23">
        <f>L13+'24.05'!M13</f>
        <v>0</v>
      </c>
      <c r="N13" s="33">
        <v>581</v>
      </c>
      <c r="O13" s="22">
        <v>1</v>
      </c>
      <c r="P13" s="23">
        <f>O13+'24.05'!P13</f>
        <v>11</v>
      </c>
      <c r="Q13" s="33">
        <v>525</v>
      </c>
      <c r="R13" s="22">
        <v>0</v>
      </c>
      <c r="S13" s="23">
        <f>R13+'24.05'!S13</f>
        <v>0</v>
      </c>
      <c r="T13" s="33">
        <v>263</v>
      </c>
      <c r="U13" s="22">
        <v>0</v>
      </c>
      <c r="V13" s="23">
        <f>U13+'24.05'!V13</f>
        <v>0</v>
      </c>
      <c r="W13" s="33">
        <v>43</v>
      </c>
      <c r="X13" s="22">
        <v>0</v>
      </c>
      <c r="Y13" s="23">
        <f>X13+'24.05'!Y13</f>
        <v>1</v>
      </c>
      <c r="Z13" s="33">
        <v>17</v>
      </c>
      <c r="AA13" s="22">
        <v>0</v>
      </c>
      <c r="AB13" s="23">
        <f>AA13+'24.05'!AB13</f>
        <v>0</v>
      </c>
      <c r="AC13" s="33">
        <v>51</v>
      </c>
      <c r="AD13" s="22">
        <v>2</v>
      </c>
      <c r="AE13" s="23">
        <f>AD13+'24.05'!AE13</f>
        <v>252</v>
      </c>
      <c r="AF13" s="19">
        <f t="shared" si="1"/>
        <v>240000</v>
      </c>
      <c r="AG13" s="20">
        <f t="shared" si="1"/>
        <v>6644000</v>
      </c>
      <c r="AH13" s="24">
        <v>1000</v>
      </c>
      <c r="AI13" s="23">
        <f>AH13+'24.05'!AI13</f>
        <v>70500</v>
      </c>
      <c r="AJ13" s="24">
        <v>19000</v>
      </c>
      <c r="AK13" s="23">
        <f>AJ13+'24.05'!AK13</f>
        <v>494500</v>
      </c>
      <c r="AL13" s="22">
        <v>20000</v>
      </c>
      <c r="AM13" s="23">
        <f>AL13+'24.05'!AM13</f>
        <v>1220000</v>
      </c>
      <c r="AN13" s="22">
        <v>200000</v>
      </c>
      <c r="AO13" s="23">
        <f>AN13+'24.05'!AO13</f>
        <v>4859000</v>
      </c>
      <c r="AP13" s="28" t="s">
        <v>47</v>
      </c>
      <c r="AQ13" s="19">
        <f t="shared" si="3"/>
        <v>15</v>
      </c>
      <c r="AR13" s="20">
        <f t="shared" si="3"/>
        <v>514</v>
      </c>
      <c r="AS13" s="34">
        <v>1</v>
      </c>
      <c r="AT13" s="23">
        <f>AS13+'24.05'!AT13</f>
        <v>22</v>
      </c>
      <c r="AU13" s="34">
        <v>1</v>
      </c>
      <c r="AV13" s="23">
        <f>AU13+'24.05'!AV13</f>
        <v>20</v>
      </c>
      <c r="AW13" s="34">
        <v>0</v>
      </c>
      <c r="AX13" s="23">
        <f>AW13+'24.05'!AX13</f>
        <v>3</v>
      </c>
      <c r="AY13" s="34">
        <v>0</v>
      </c>
      <c r="AZ13" s="23">
        <f>AY13+'24.05'!AZ13</f>
        <v>0</v>
      </c>
      <c r="BA13" s="34">
        <v>13</v>
      </c>
      <c r="BB13" s="23">
        <f>BA13+'24.05'!BB13</f>
        <v>469</v>
      </c>
      <c r="BC13" s="19">
        <f t="shared" si="5"/>
        <v>6033</v>
      </c>
      <c r="BD13" s="20">
        <f t="shared" si="5"/>
        <v>261414</v>
      </c>
      <c r="BE13" s="22">
        <v>516</v>
      </c>
      <c r="BF13" s="23">
        <f>BE13+'24.05'!BF13</f>
        <v>12900</v>
      </c>
      <c r="BG13" s="34">
        <v>250</v>
      </c>
      <c r="BH13" s="23">
        <f>BG13+'24.05'!BH13</f>
        <v>866</v>
      </c>
      <c r="BI13" s="22">
        <v>5000</v>
      </c>
      <c r="BJ13" s="23">
        <f>BI13+'24.05'!BJ13</f>
        <v>241500</v>
      </c>
      <c r="BK13" s="22">
        <v>200</v>
      </c>
      <c r="BL13" s="23">
        <f>BK13+'24.05'!BL13</f>
        <v>5020</v>
      </c>
      <c r="BM13" s="22">
        <v>67</v>
      </c>
      <c r="BN13" s="23">
        <f>BM13+'24.05'!BN13</f>
        <v>1128</v>
      </c>
      <c r="BO13" s="36"/>
      <c r="BP13" s="37">
        <v>1</v>
      </c>
      <c r="BQ13" s="23">
        <f>BP13+'24.05'!BQ13</f>
        <v>14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101</v>
      </c>
      <c r="D14" s="42">
        <f t="shared" si="0"/>
        <v>2774</v>
      </c>
      <c r="E14" s="43">
        <v>304</v>
      </c>
      <c r="F14" s="22">
        <v>93</v>
      </c>
      <c r="G14" s="23">
        <f>F14+'24.05'!G14</f>
        <v>2387</v>
      </c>
      <c r="H14" s="44">
        <v>5</v>
      </c>
      <c r="I14" s="45">
        <v>0</v>
      </c>
      <c r="J14" s="23">
        <f>I14+'24.05'!J14</f>
        <v>0</v>
      </c>
      <c r="K14" s="44">
        <v>34</v>
      </c>
      <c r="L14" s="22">
        <v>0</v>
      </c>
      <c r="M14" s="23">
        <f>L14+'24.05'!M14</f>
        <v>0</v>
      </c>
      <c r="N14" s="44">
        <v>583</v>
      </c>
      <c r="O14" s="22">
        <v>0</v>
      </c>
      <c r="P14" s="23">
        <f>O14+'24.05'!P14</f>
        <v>0</v>
      </c>
      <c r="Q14" s="44">
        <v>254</v>
      </c>
      <c r="R14" s="22">
        <v>0</v>
      </c>
      <c r="S14" s="23">
        <f>R14+'24.05'!S14</f>
        <v>0</v>
      </c>
      <c r="T14" s="44">
        <v>196</v>
      </c>
      <c r="U14" s="22">
        <v>0</v>
      </c>
      <c r="V14" s="23">
        <f>U14+'24.05'!V14</f>
        <v>0</v>
      </c>
      <c r="W14" s="44">
        <v>30</v>
      </c>
      <c r="X14" s="22">
        <v>8</v>
      </c>
      <c r="Y14" s="23">
        <f>X14+'24.05'!Y14</f>
        <v>297</v>
      </c>
      <c r="Z14" s="44">
        <v>10</v>
      </c>
      <c r="AA14" s="22">
        <v>0</v>
      </c>
      <c r="AB14" s="23">
        <f>AA14+'24.05'!AB14</f>
        <v>0</v>
      </c>
      <c r="AC14" s="44">
        <v>2500</v>
      </c>
      <c r="AD14" s="22">
        <v>0</v>
      </c>
      <c r="AE14" s="23">
        <f>AD14+'24.05'!AE14</f>
        <v>90</v>
      </c>
      <c r="AF14" s="19">
        <f t="shared" si="1"/>
        <v>135800</v>
      </c>
      <c r="AG14" s="20">
        <f t="shared" si="1"/>
        <v>2807090</v>
      </c>
      <c r="AH14" s="24">
        <v>3600</v>
      </c>
      <c r="AI14" s="23">
        <f>AH14+'24.05'!AI14</f>
        <v>81810</v>
      </c>
      <c r="AJ14" s="24">
        <v>8500</v>
      </c>
      <c r="AK14" s="23">
        <f>AJ14+'24.05'!AK14</f>
        <v>157650</v>
      </c>
      <c r="AL14" s="22">
        <v>8800</v>
      </c>
      <c r="AM14" s="23">
        <f>AL14+'24.05'!AM14</f>
        <v>187050</v>
      </c>
      <c r="AN14" s="22">
        <v>114900</v>
      </c>
      <c r="AO14" s="23">
        <f>AN14+'24.05'!AO14</f>
        <v>2380580</v>
      </c>
      <c r="AP14" s="39" t="s">
        <v>48</v>
      </c>
      <c r="AQ14" s="19">
        <f t="shared" si="3"/>
        <v>4</v>
      </c>
      <c r="AR14" s="20">
        <f t="shared" si="3"/>
        <v>85</v>
      </c>
      <c r="AS14" s="45">
        <v>0</v>
      </c>
      <c r="AT14" s="23">
        <f>AS14+'24.05'!AT14</f>
        <v>0</v>
      </c>
      <c r="AU14" s="45">
        <v>0</v>
      </c>
      <c r="AV14" s="23">
        <f>AU14+'24.05'!AV14</f>
        <v>4</v>
      </c>
      <c r="AW14" s="45">
        <v>0</v>
      </c>
      <c r="AX14" s="23">
        <f>AW14+'24.05'!AX14</f>
        <v>4</v>
      </c>
      <c r="AY14" s="45">
        <v>0</v>
      </c>
      <c r="AZ14" s="23">
        <f>AY14+'24.05'!AZ14</f>
        <v>2</v>
      </c>
      <c r="BA14" s="45">
        <v>4</v>
      </c>
      <c r="BB14" s="23">
        <f>BA14+'24.05'!BB14</f>
        <v>75</v>
      </c>
      <c r="BC14" s="19">
        <f t="shared" si="5"/>
        <v>1114</v>
      </c>
      <c r="BD14" s="20">
        <f t="shared" si="5"/>
        <v>51265</v>
      </c>
      <c r="BE14" s="22">
        <v>4</v>
      </c>
      <c r="BF14" s="23">
        <f>BE14+'24.05'!BF14</f>
        <v>78</v>
      </c>
      <c r="BG14" s="45">
        <v>2</v>
      </c>
      <c r="BH14" s="23">
        <f>BG14+'24.05'!BH14</f>
        <v>38</v>
      </c>
      <c r="BI14" s="22">
        <v>1100</v>
      </c>
      <c r="BJ14" s="23">
        <f>BI14+'24.05'!BJ14</f>
        <v>50980</v>
      </c>
      <c r="BK14" s="22">
        <v>6</v>
      </c>
      <c r="BL14" s="23">
        <f>BK14+'24.05'!BL14</f>
        <v>113</v>
      </c>
      <c r="BM14" s="22">
        <v>2</v>
      </c>
      <c r="BN14" s="23">
        <f>BM14+'24.05'!BN14</f>
        <v>56</v>
      </c>
      <c r="BO14" s="48">
        <v>22</v>
      </c>
      <c r="BP14" s="49">
        <v>0</v>
      </c>
      <c r="BQ14" s="23">
        <f>BP14+'24.05'!BQ14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515</v>
      </c>
      <c r="D15" s="53">
        <f t="shared" si="0"/>
        <v>11223</v>
      </c>
      <c r="E15" s="54">
        <v>776</v>
      </c>
      <c r="F15" s="55">
        <v>413</v>
      </c>
      <c r="G15" s="23">
        <f>F15+'24.05'!G15</f>
        <v>8967</v>
      </c>
      <c r="H15" s="56">
        <v>9</v>
      </c>
      <c r="I15" s="57">
        <v>0</v>
      </c>
      <c r="J15" s="23">
        <f>I15+'24.05'!J15</f>
        <v>0</v>
      </c>
      <c r="K15" s="56">
        <v>6</v>
      </c>
      <c r="L15" s="55">
        <v>0</v>
      </c>
      <c r="M15" s="23">
        <f>L15+'24.05'!M15</f>
        <v>0</v>
      </c>
      <c r="N15" s="56">
        <v>1305</v>
      </c>
      <c r="O15" s="55">
        <v>0</v>
      </c>
      <c r="P15" s="23">
        <f>O15+'24.05'!P15</f>
        <v>0</v>
      </c>
      <c r="Q15" s="56">
        <v>447</v>
      </c>
      <c r="R15" s="55">
        <v>0</v>
      </c>
      <c r="S15" s="23">
        <f>R15+'24.05'!S15</f>
        <v>0</v>
      </c>
      <c r="T15" s="56">
        <v>337</v>
      </c>
      <c r="U15" s="55">
        <v>0</v>
      </c>
      <c r="V15" s="23">
        <f>U15+'24.05'!V15</f>
        <v>0</v>
      </c>
      <c r="W15" s="56">
        <v>78</v>
      </c>
      <c r="X15" s="55">
        <v>0</v>
      </c>
      <c r="Y15" s="23">
        <f>X15+'24.05'!Y15</f>
        <v>0</v>
      </c>
      <c r="Z15" s="56">
        <v>141</v>
      </c>
      <c r="AA15" s="55">
        <v>0</v>
      </c>
      <c r="AB15" s="23">
        <f>AA15+'24.05'!AB15</f>
        <v>0</v>
      </c>
      <c r="AC15" s="56">
        <v>798</v>
      </c>
      <c r="AD15" s="55">
        <v>102</v>
      </c>
      <c r="AE15" s="23">
        <f>AD15+'24.05'!AE15</f>
        <v>2256</v>
      </c>
      <c r="AF15" s="58">
        <f t="shared" si="1"/>
        <v>1891416</v>
      </c>
      <c r="AG15" s="59">
        <f t="shared" si="1"/>
        <v>52709769</v>
      </c>
      <c r="AH15" s="60">
        <v>845</v>
      </c>
      <c r="AI15" s="23">
        <f>AH15+'24.05'!AI15</f>
        <v>21123</v>
      </c>
      <c r="AJ15" s="60">
        <v>2782</v>
      </c>
      <c r="AK15" s="23">
        <f>AJ15+'24.05'!AK15</f>
        <v>71039</v>
      </c>
      <c r="AL15" s="55">
        <v>943895</v>
      </c>
      <c r="AM15" s="23">
        <f>AL15+'24.05'!AM15</f>
        <v>30660304</v>
      </c>
      <c r="AN15" s="55">
        <v>943894</v>
      </c>
      <c r="AO15" s="23">
        <f>AN15+'24.05'!AO15</f>
        <v>21957303</v>
      </c>
      <c r="AP15" s="50" t="s">
        <v>49</v>
      </c>
      <c r="AQ15" s="58">
        <f t="shared" si="3"/>
        <v>4</v>
      </c>
      <c r="AR15" s="59">
        <f t="shared" si="3"/>
        <v>63</v>
      </c>
      <c r="AS15" s="57">
        <v>0</v>
      </c>
      <c r="AT15" s="23">
        <f>AS15+'24.05'!AT15</f>
        <v>2</v>
      </c>
      <c r="AU15" s="57">
        <v>1</v>
      </c>
      <c r="AV15" s="23">
        <f>AU15+'24.05'!AV15</f>
        <v>6</v>
      </c>
      <c r="AW15" s="57">
        <v>0</v>
      </c>
      <c r="AX15" s="23">
        <f>AW15+'24.05'!AX15</f>
        <v>5</v>
      </c>
      <c r="AY15" s="57">
        <v>0</v>
      </c>
      <c r="AZ15" s="23">
        <f>AY15+'24.05'!AZ15</f>
        <v>1</v>
      </c>
      <c r="BA15" s="57">
        <v>3</v>
      </c>
      <c r="BB15" s="23">
        <f>BA15+'24.05'!BB15</f>
        <v>49</v>
      </c>
      <c r="BC15" s="58">
        <f t="shared" si="5"/>
        <v>1520</v>
      </c>
      <c r="BD15" s="59">
        <f t="shared" si="5"/>
        <v>37242</v>
      </c>
      <c r="BE15" s="55">
        <v>83</v>
      </c>
      <c r="BF15" s="23">
        <f>BE15+'24.05'!BF15</f>
        <v>1918</v>
      </c>
      <c r="BG15" s="57">
        <v>1</v>
      </c>
      <c r="BH15" s="23">
        <f>BG15+'24.05'!BH15</f>
        <v>34</v>
      </c>
      <c r="BI15" s="55">
        <v>711</v>
      </c>
      <c r="BJ15" s="23">
        <f>BI15+'24.05'!BJ15</f>
        <v>17746</v>
      </c>
      <c r="BK15" s="55">
        <v>710</v>
      </c>
      <c r="BL15" s="23">
        <f>BK15+'24.05'!BL15</f>
        <v>17144</v>
      </c>
      <c r="BM15" s="55">
        <v>15</v>
      </c>
      <c r="BN15" s="23">
        <f>BM15+'24.05'!BN15</f>
        <v>400</v>
      </c>
      <c r="BO15" s="36">
        <v>6274</v>
      </c>
      <c r="BP15" s="37">
        <v>0</v>
      </c>
      <c r="BQ15" s="23">
        <f>BP15+'24.05'!BQ15</f>
        <v>14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3455</v>
      </c>
      <c r="E16" s="32">
        <v>310</v>
      </c>
      <c r="F16" s="22">
        <v>46</v>
      </c>
      <c r="G16" s="23">
        <f>F16+'24.05'!G16</f>
        <v>1191</v>
      </c>
      <c r="H16" s="33">
        <v>5</v>
      </c>
      <c r="I16" s="34">
        <v>0</v>
      </c>
      <c r="J16" s="23">
        <f>I16+'24.05'!J16</f>
        <v>0</v>
      </c>
      <c r="K16" s="33">
        <v>3</v>
      </c>
      <c r="L16" s="22">
        <v>0</v>
      </c>
      <c r="M16" s="23">
        <f>L16+'24.05'!M16</f>
        <v>0</v>
      </c>
      <c r="N16" s="33">
        <v>384</v>
      </c>
      <c r="O16" s="22">
        <v>0</v>
      </c>
      <c r="P16" s="23">
        <f>O16+'24.05'!P16</f>
        <v>0</v>
      </c>
      <c r="Q16" s="33">
        <v>245</v>
      </c>
      <c r="R16" s="22">
        <v>0</v>
      </c>
      <c r="S16" s="23">
        <f>R16+'24.05'!S16</f>
        <v>0</v>
      </c>
      <c r="T16" s="33">
        <v>397</v>
      </c>
      <c r="U16" s="22">
        <v>0</v>
      </c>
      <c r="V16" s="23">
        <f>U16+'24.05'!V16</f>
        <v>0</v>
      </c>
      <c r="W16" s="33">
        <v>24</v>
      </c>
      <c r="X16" s="22">
        <v>49</v>
      </c>
      <c r="Y16" s="23">
        <f>X16+'24.05'!Y16</f>
        <v>1202</v>
      </c>
      <c r="Z16" s="33">
        <v>18</v>
      </c>
      <c r="AA16" s="22">
        <v>0</v>
      </c>
      <c r="AB16" s="23">
        <f>AA16+'24.05'!AB16</f>
        <v>0</v>
      </c>
      <c r="AC16" s="33">
        <v>18515</v>
      </c>
      <c r="AD16" s="22">
        <v>38</v>
      </c>
      <c r="AE16" s="23">
        <f>AD16+'24.05'!AE16</f>
        <v>1062</v>
      </c>
      <c r="AF16" s="19">
        <f t="shared" si="1"/>
        <v>58990</v>
      </c>
      <c r="AG16" s="20">
        <f t="shared" si="1"/>
        <v>1483245</v>
      </c>
      <c r="AH16" s="24">
        <v>167</v>
      </c>
      <c r="AI16" s="23">
        <f>AH16+'24.05'!AI16</f>
        <v>3975</v>
      </c>
      <c r="AJ16" s="24">
        <v>1514</v>
      </c>
      <c r="AK16" s="23">
        <f>AJ16+'24.05'!AK16</f>
        <v>34445</v>
      </c>
      <c r="AL16" s="22">
        <v>1672</v>
      </c>
      <c r="AM16" s="23">
        <f>AL16+'24.05'!AM16</f>
        <v>38492</v>
      </c>
      <c r="AN16" s="22">
        <v>55637</v>
      </c>
      <c r="AO16" s="23">
        <f>AN16+'24.05'!AO16</f>
        <v>1406333</v>
      </c>
      <c r="AP16" s="28" t="s">
        <v>51</v>
      </c>
      <c r="AQ16" s="19">
        <f t="shared" si="3"/>
        <v>88</v>
      </c>
      <c r="AR16" s="20">
        <f t="shared" si="3"/>
        <v>1959</v>
      </c>
      <c r="AS16" s="34">
        <v>0</v>
      </c>
      <c r="AT16" s="23">
        <f>AS16+'24.05'!AT16</f>
        <v>3</v>
      </c>
      <c r="AU16" s="34">
        <v>0</v>
      </c>
      <c r="AV16" s="23">
        <f>AU16+'24.05'!AV16</f>
        <v>0</v>
      </c>
      <c r="AW16" s="34">
        <v>0</v>
      </c>
      <c r="AX16" s="23">
        <f>AW16+'24.05'!AX16</f>
        <v>0</v>
      </c>
      <c r="AY16" s="34">
        <v>0</v>
      </c>
      <c r="AZ16" s="23">
        <f>AY16+'24.05'!AZ16</f>
        <v>0</v>
      </c>
      <c r="BA16" s="34">
        <v>88</v>
      </c>
      <c r="BB16" s="23">
        <f>BA16+'24.05'!BB16</f>
        <v>1956</v>
      </c>
      <c r="BC16" s="19">
        <f t="shared" si="5"/>
        <v>1361</v>
      </c>
      <c r="BD16" s="20">
        <f t="shared" si="5"/>
        <v>33999</v>
      </c>
      <c r="BE16" s="22">
        <v>81</v>
      </c>
      <c r="BF16" s="23">
        <f>BE16+'24.05'!BF16</f>
        <v>1849</v>
      </c>
      <c r="BG16" s="34">
        <v>0</v>
      </c>
      <c r="BH16" s="23">
        <f>BG16+'24.05'!BH16</f>
        <v>0</v>
      </c>
      <c r="BI16" s="22">
        <v>1234</v>
      </c>
      <c r="BJ16" s="23">
        <f>BI16+'24.05'!BJ16</f>
        <v>30934</v>
      </c>
      <c r="BK16" s="22">
        <v>39</v>
      </c>
      <c r="BL16" s="23">
        <f>BK16+'24.05'!BL16</f>
        <v>1055</v>
      </c>
      <c r="BM16" s="22">
        <v>7</v>
      </c>
      <c r="BN16" s="23">
        <f>BM16+'24.05'!BN16</f>
        <v>161</v>
      </c>
      <c r="BO16" s="36">
        <v>2546</v>
      </c>
      <c r="BP16" s="37">
        <v>0</v>
      </c>
      <c r="BQ16" s="23">
        <f>BP16+'24.05'!BQ16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178</v>
      </c>
      <c r="D17" s="31">
        <f t="shared" si="0"/>
        <v>4189</v>
      </c>
      <c r="E17" s="32">
        <v>754</v>
      </c>
      <c r="F17" s="22">
        <v>148</v>
      </c>
      <c r="G17" s="23">
        <f>F17+'24.05'!G17</f>
        <v>3575</v>
      </c>
      <c r="H17" s="33">
        <v>9</v>
      </c>
      <c r="I17" s="34">
        <v>0</v>
      </c>
      <c r="J17" s="23">
        <f>I17+'24.05'!J17</f>
        <v>0</v>
      </c>
      <c r="K17" s="33">
        <v>5</v>
      </c>
      <c r="L17" s="22">
        <v>0</v>
      </c>
      <c r="M17" s="23">
        <f>L17+'24.05'!M17</f>
        <v>0</v>
      </c>
      <c r="N17" s="33">
        <v>768</v>
      </c>
      <c r="O17" s="22">
        <v>0</v>
      </c>
      <c r="P17" s="23">
        <f>O17+'24.05'!P17</f>
        <v>0</v>
      </c>
      <c r="Q17" s="33">
        <v>624</v>
      </c>
      <c r="R17" s="22">
        <v>0</v>
      </c>
      <c r="S17" s="23">
        <f>R17+'24.05'!S17</f>
        <v>0</v>
      </c>
      <c r="T17" s="33">
        <v>742</v>
      </c>
      <c r="U17" s="22">
        <v>0</v>
      </c>
      <c r="V17" s="23">
        <f>U17+'24.05'!V17</f>
        <v>0</v>
      </c>
      <c r="W17" s="33">
        <v>54</v>
      </c>
      <c r="X17" s="22">
        <v>10</v>
      </c>
      <c r="Y17" s="23">
        <f>X17+'24.05'!Y17</f>
        <v>319</v>
      </c>
      <c r="Z17" s="33">
        <v>66</v>
      </c>
      <c r="AA17" s="22">
        <v>10</v>
      </c>
      <c r="AB17" s="23">
        <f>AA17+'24.05'!AB17</f>
        <v>10</v>
      </c>
      <c r="AC17" s="33">
        <v>2580</v>
      </c>
      <c r="AD17" s="22">
        <v>10</v>
      </c>
      <c r="AE17" s="23">
        <f>AD17+'24.05'!AE17</f>
        <v>285</v>
      </c>
      <c r="AF17" s="19">
        <f t="shared" si="1"/>
        <v>107500</v>
      </c>
      <c r="AG17" s="20">
        <f t="shared" si="1"/>
        <v>2523400</v>
      </c>
      <c r="AH17" s="24">
        <v>10000</v>
      </c>
      <c r="AI17" s="23">
        <f>AH17+'24.05'!AI17</f>
        <v>171600</v>
      </c>
      <c r="AJ17" s="24">
        <v>13000</v>
      </c>
      <c r="AK17" s="23">
        <f>AJ17+'24.05'!AK17</f>
        <v>258400</v>
      </c>
      <c r="AL17" s="22">
        <v>22500</v>
      </c>
      <c r="AM17" s="23">
        <f>AL17+'24.05'!AM17</f>
        <v>528600</v>
      </c>
      <c r="AN17" s="22">
        <v>62000</v>
      </c>
      <c r="AO17" s="23">
        <f>AN17+'24.05'!AO17</f>
        <v>1564800</v>
      </c>
      <c r="AP17" s="28" t="s">
        <v>52</v>
      </c>
      <c r="AQ17" s="19">
        <f t="shared" si="3"/>
        <v>25</v>
      </c>
      <c r="AR17" s="20">
        <f t="shared" si="3"/>
        <v>496</v>
      </c>
      <c r="AS17" s="34">
        <v>0</v>
      </c>
      <c r="AT17" s="23">
        <f>AS17+'24.05'!AT17</f>
        <v>19</v>
      </c>
      <c r="AU17" s="34">
        <v>3</v>
      </c>
      <c r="AV17" s="23">
        <f>AU17+'24.05'!AV17</f>
        <v>50</v>
      </c>
      <c r="AW17" s="34">
        <v>0</v>
      </c>
      <c r="AX17" s="23">
        <f>AW17+'24.05'!AX17</f>
        <v>0</v>
      </c>
      <c r="AY17" s="34">
        <v>0</v>
      </c>
      <c r="AZ17" s="23">
        <f>AY17+'24.05'!AZ17</f>
        <v>0</v>
      </c>
      <c r="BA17" s="34">
        <v>22</v>
      </c>
      <c r="BB17" s="23">
        <f>BA17+'24.05'!BB17</f>
        <v>427</v>
      </c>
      <c r="BC17" s="19">
        <f t="shared" si="5"/>
        <v>4423</v>
      </c>
      <c r="BD17" s="20">
        <f t="shared" si="5"/>
        <v>75697</v>
      </c>
      <c r="BE17" s="22">
        <v>41</v>
      </c>
      <c r="BF17" s="23">
        <f>BE17+'24.05'!BF17</f>
        <v>906</v>
      </c>
      <c r="BG17" s="34">
        <v>1</v>
      </c>
      <c r="BH17" s="23">
        <f>BG17+'24.05'!BH17</f>
        <v>29</v>
      </c>
      <c r="BI17" s="22">
        <v>4000</v>
      </c>
      <c r="BJ17" s="23">
        <f>BI17+'24.05'!BJ17</f>
        <v>68000</v>
      </c>
      <c r="BK17" s="22">
        <v>370</v>
      </c>
      <c r="BL17" s="23">
        <f>BK17+'24.05'!BL17</f>
        <v>6530</v>
      </c>
      <c r="BM17" s="22">
        <v>11</v>
      </c>
      <c r="BN17" s="23">
        <f>BM17+'24.05'!BN17</f>
        <v>232</v>
      </c>
      <c r="BO17" s="36">
        <v>8022</v>
      </c>
      <c r="BP17" s="37">
        <v>1</v>
      </c>
      <c r="BQ17" s="23">
        <f>BP17+'24.05'!BQ17</f>
        <v>74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311</v>
      </c>
      <c r="D18" s="20">
        <f t="shared" si="0"/>
        <v>6316</v>
      </c>
      <c r="E18" s="21">
        <v>1063</v>
      </c>
      <c r="F18" s="22">
        <v>164</v>
      </c>
      <c r="G18" s="23">
        <f>F18+'24.05'!G18</f>
        <v>3843</v>
      </c>
      <c r="H18" s="21">
        <v>19</v>
      </c>
      <c r="I18" s="22">
        <v>0</v>
      </c>
      <c r="J18" s="23">
        <f>I18+'24.05'!J18</f>
        <v>0</v>
      </c>
      <c r="K18" s="21">
        <v>8</v>
      </c>
      <c r="L18" s="22">
        <v>0</v>
      </c>
      <c r="M18" s="23">
        <f>L18+'24.05'!M18</f>
        <v>0</v>
      </c>
      <c r="N18" s="21">
        <v>1331</v>
      </c>
      <c r="O18" s="22">
        <v>0</v>
      </c>
      <c r="P18" s="23">
        <f>O18+'24.05'!P18</f>
        <v>0</v>
      </c>
      <c r="Q18" s="21">
        <v>777</v>
      </c>
      <c r="R18" s="22">
        <v>0</v>
      </c>
      <c r="S18" s="23">
        <f>R18+'24.05'!S18</f>
        <v>0</v>
      </c>
      <c r="T18" s="21">
        <v>318</v>
      </c>
      <c r="U18" s="22">
        <v>0</v>
      </c>
      <c r="V18" s="23">
        <f>U18+'24.05'!V18</f>
        <v>81</v>
      </c>
      <c r="W18" s="21">
        <v>60</v>
      </c>
      <c r="X18" s="22">
        <v>147</v>
      </c>
      <c r="Y18" s="23">
        <f>X18+'24.05'!Y18</f>
        <v>2392</v>
      </c>
      <c r="Z18" s="21">
        <v>72</v>
      </c>
      <c r="AA18" s="22">
        <v>0</v>
      </c>
      <c r="AB18" s="23">
        <f>AA18+'24.05'!AB18</f>
        <v>0</v>
      </c>
      <c r="AC18" s="21">
        <v>143</v>
      </c>
      <c r="AD18" s="22">
        <v>0</v>
      </c>
      <c r="AE18" s="23">
        <f>AD18+'24.05'!AE18</f>
        <v>0</v>
      </c>
      <c r="AF18" s="19">
        <f t="shared" si="1"/>
        <v>121832</v>
      </c>
      <c r="AG18" s="20">
        <f t="shared" si="1"/>
        <v>3364955</v>
      </c>
      <c r="AH18" s="24">
        <v>251</v>
      </c>
      <c r="AI18" s="23">
        <f>AH18+'24.05'!AI18</f>
        <v>5652</v>
      </c>
      <c r="AJ18" s="24">
        <v>1926</v>
      </c>
      <c r="AK18" s="23">
        <f>AJ18+'24.05'!AK18</f>
        <v>50124</v>
      </c>
      <c r="AL18" s="22">
        <v>1664</v>
      </c>
      <c r="AM18" s="23">
        <f>AL18+'24.05'!AM18</f>
        <v>57240</v>
      </c>
      <c r="AN18" s="22">
        <v>117991</v>
      </c>
      <c r="AO18" s="23">
        <f>AN18+'24.05'!AO18</f>
        <v>3251939</v>
      </c>
      <c r="AP18" s="17" t="s">
        <v>53</v>
      </c>
      <c r="AQ18" s="19">
        <f t="shared" si="3"/>
        <v>4</v>
      </c>
      <c r="AR18" s="20">
        <f t="shared" si="3"/>
        <v>53</v>
      </c>
      <c r="AS18" s="22">
        <v>1</v>
      </c>
      <c r="AT18" s="23">
        <f>AS18+'24.05'!AT18</f>
        <v>13</v>
      </c>
      <c r="AU18" s="22">
        <v>0</v>
      </c>
      <c r="AV18" s="23">
        <f>AU18+'24.05'!AV18</f>
        <v>0</v>
      </c>
      <c r="AW18" s="22">
        <v>0</v>
      </c>
      <c r="AX18" s="23">
        <f>AW18+'24.05'!AX18</f>
        <v>0</v>
      </c>
      <c r="AY18" s="22">
        <v>0</v>
      </c>
      <c r="AZ18" s="23">
        <f>AY18+'24.05'!AZ18</f>
        <v>0</v>
      </c>
      <c r="BA18" s="22">
        <v>3</v>
      </c>
      <c r="BB18" s="23">
        <f>BA18+'24.05'!BB18</f>
        <v>40</v>
      </c>
      <c r="BC18" s="19">
        <f t="shared" si="5"/>
        <v>1262</v>
      </c>
      <c r="BD18" s="20">
        <f t="shared" si="5"/>
        <v>17802</v>
      </c>
      <c r="BE18" s="22">
        <v>18</v>
      </c>
      <c r="BF18" s="23">
        <f>BE18+'24.05'!BF18</f>
        <v>79</v>
      </c>
      <c r="BG18" s="22">
        <v>0</v>
      </c>
      <c r="BH18" s="23">
        <f>BG18+'24.05'!BH18</f>
        <v>388</v>
      </c>
      <c r="BI18" s="22">
        <v>788</v>
      </c>
      <c r="BJ18" s="23">
        <f>BI18+'24.05'!BJ18</f>
        <v>13706</v>
      </c>
      <c r="BK18" s="22">
        <v>428</v>
      </c>
      <c r="BL18" s="23">
        <f>BK18+'24.05'!BL18</f>
        <v>3220</v>
      </c>
      <c r="BM18" s="22">
        <v>28</v>
      </c>
      <c r="BN18" s="23">
        <f>BM18+'24.05'!BN18</f>
        <v>409</v>
      </c>
      <c r="BO18" s="36">
        <v>442</v>
      </c>
      <c r="BP18" s="37">
        <v>0</v>
      </c>
      <c r="BQ18" s="23">
        <f>BP18+'24.05'!BQ18</f>
        <v>36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28</v>
      </c>
      <c r="D19" s="31">
        <f t="shared" si="0"/>
        <v>878</v>
      </c>
      <c r="E19" s="33">
        <v>221</v>
      </c>
      <c r="F19" s="22">
        <v>5</v>
      </c>
      <c r="G19" s="23">
        <f>F19+'24.05'!G19</f>
        <v>160</v>
      </c>
      <c r="H19" s="33">
        <v>5</v>
      </c>
      <c r="I19" s="34">
        <v>0</v>
      </c>
      <c r="J19" s="23">
        <f>I19+'24.05'!J19</f>
        <v>0</v>
      </c>
      <c r="K19" s="33">
        <v>4</v>
      </c>
      <c r="L19" s="22">
        <v>0</v>
      </c>
      <c r="M19" s="23">
        <f>L19+'24.05'!M19</f>
        <v>0</v>
      </c>
      <c r="N19" s="33">
        <v>313</v>
      </c>
      <c r="O19" s="22">
        <v>0</v>
      </c>
      <c r="P19" s="23">
        <f>O19+'24.05'!P19</f>
        <v>227</v>
      </c>
      <c r="Q19" s="33">
        <v>203</v>
      </c>
      <c r="R19" s="22">
        <v>0</v>
      </c>
      <c r="S19" s="23">
        <f>R19+'24.05'!S19</f>
        <v>0</v>
      </c>
      <c r="T19" s="33">
        <v>241</v>
      </c>
      <c r="U19" s="22">
        <v>0</v>
      </c>
      <c r="V19" s="23">
        <f>U19+'24.05'!V19</f>
        <v>0</v>
      </c>
      <c r="W19" s="33">
        <v>14</v>
      </c>
      <c r="X19" s="22">
        <v>23</v>
      </c>
      <c r="Y19" s="23">
        <f>X19+'24.05'!Y19</f>
        <v>403</v>
      </c>
      <c r="Z19" s="33">
        <v>7</v>
      </c>
      <c r="AA19" s="22">
        <v>0</v>
      </c>
      <c r="AB19" s="23">
        <f>AA19+'24.05'!AB19</f>
        <v>0</v>
      </c>
      <c r="AC19" s="33">
        <v>32</v>
      </c>
      <c r="AD19" s="22">
        <v>0</v>
      </c>
      <c r="AE19" s="23">
        <f>AD19+'24.05'!AE19</f>
        <v>88</v>
      </c>
      <c r="AF19" s="19">
        <f t="shared" si="1"/>
        <v>1960</v>
      </c>
      <c r="AG19" s="20">
        <f t="shared" si="1"/>
        <v>78060</v>
      </c>
      <c r="AH19" s="24">
        <v>440</v>
      </c>
      <c r="AI19" s="23">
        <f>AH19+'24.05'!AI19</f>
        <v>12760</v>
      </c>
      <c r="AJ19" s="24">
        <v>440</v>
      </c>
      <c r="AK19" s="23">
        <f>AJ19+'24.05'!AK19</f>
        <v>13010</v>
      </c>
      <c r="AL19" s="22">
        <v>540</v>
      </c>
      <c r="AM19" s="23">
        <f>AL19+'24.05'!AM19</f>
        <v>26145</v>
      </c>
      <c r="AN19" s="22">
        <v>540</v>
      </c>
      <c r="AO19" s="23">
        <f>AN19+'24.05'!AO19</f>
        <v>26145</v>
      </c>
      <c r="AP19" s="28" t="s">
        <v>54</v>
      </c>
      <c r="AQ19" s="19">
        <f t="shared" si="3"/>
        <v>0</v>
      </c>
      <c r="AR19" s="20">
        <f t="shared" si="3"/>
        <v>6</v>
      </c>
      <c r="AS19" s="34">
        <v>0</v>
      </c>
      <c r="AT19" s="23">
        <f>AS19+'24.05'!AT19</f>
        <v>0</v>
      </c>
      <c r="AU19" s="34">
        <v>0</v>
      </c>
      <c r="AV19" s="23">
        <f>AU19+'24.05'!AV19</f>
        <v>5</v>
      </c>
      <c r="AW19" s="34">
        <v>0</v>
      </c>
      <c r="AX19" s="23">
        <f>AW19+'24.05'!AX19</f>
        <v>1</v>
      </c>
      <c r="AY19" s="34">
        <v>0</v>
      </c>
      <c r="AZ19" s="23">
        <f>AY19+'24.05'!AZ19</f>
        <v>0</v>
      </c>
      <c r="BA19" s="34">
        <v>0</v>
      </c>
      <c r="BB19" s="23">
        <f>BA19+'24.05'!BB19</f>
        <v>0</v>
      </c>
      <c r="BC19" s="19">
        <f t="shared" si="5"/>
        <v>869</v>
      </c>
      <c r="BD19" s="20">
        <f t="shared" si="5"/>
        <v>26216</v>
      </c>
      <c r="BE19" s="22">
        <v>12</v>
      </c>
      <c r="BF19" s="23">
        <f>BE19+'24.05'!BF19</f>
        <v>340</v>
      </c>
      <c r="BG19" s="34">
        <v>0</v>
      </c>
      <c r="BH19" s="23">
        <f>BG19+'24.05'!BH19</f>
        <v>9</v>
      </c>
      <c r="BI19" s="22">
        <v>700</v>
      </c>
      <c r="BJ19" s="23">
        <f>BI19+'24.05'!BJ19</f>
        <v>22800</v>
      </c>
      <c r="BK19" s="22">
        <v>150</v>
      </c>
      <c r="BL19" s="23">
        <f>BK19+'24.05'!BL19</f>
        <v>2920</v>
      </c>
      <c r="BM19" s="22">
        <v>7</v>
      </c>
      <c r="BN19" s="23">
        <f>BM19+'24.05'!BN19</f>
        <v>147</v>
      </c>
      <c r="BO19" s="36">
        <v>2898</v>
      </c>
      <c r="BP19" s="37">
        <v>0</v>
      </c>
      <c r="BQ19" s="23">
        <f>BP19+'24.05'!BQ19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236</v>
      </c>
      <c r="D20" s="31">
        <f t="shared" si="0"/>
        <v>6005</v>
      </c>
      <c r="E20" s="32">
        <v>723</v>
      </c>
      <c r="F20" s="22">
        <v>73</v>
      </c>
      <c r="G20" s="23">
        <f>F20+'24.05'!G20</f>
        <v>2879</v>
      </c>
      <c r="H20" s="33">
        <v>5</v>
      </c>
      <c r="I20" s="34">
        <v>1</v>
      </c>
      <c r="J20" s="23">
        <f>I20+'24.05'!J20</f>
        <v>25</v>
      </c>
      <c r="K20" s="33">
        <v>3</v>
      </c>
      <c r="L20" s="22">
        <v>0</v>
      </c>
      <c r="M20" s="23">
        <f>L20+'24.05'!M20</f>
        <v>0</v>
      </c>
      <c r="N20" s="33">
        <v>975</v>
      </c>
      <c r="O20" s="22">
        <v>78</v>
      </c>
      <c r="P20" s="23">
        <f>O20+'24.05'!P20</f>
        <v>1476</v>
      </c>
      <c r="Q20" s="61">
        <v>1862</v>
      </c>
      <c r="R20" s="22">
        <v>1</v>
      </c>
      <c r="S20" s="23">
        <f>R20+'24.05'!S20</f>
        <v>27</v>
      </c>
      <c r="T20" s="33">
        <v>35</v>
      </c>
      <c r="U20" s="22">
        <v>1</v>
      </c>
      <c r="V20" s="23">
        <f>U20+'24.05'!V20</f>
        <v>25</v>
      </c>
      <c r="W20" s="33">
        <v>64</v>
      </c>
      <c r="X20" s="22">
        <v>1</v>
      </c>
      <c r="Y20" s="23">
        <f>X20+'24.05'!Y20</f>
        <v>27</v>
      </c>
      <c r="Z20" s="33">
        <v>15</v>
      </c>
      <c r="AA20" s="22">
        <v>1</v>
      </c>
      <c r="AB20" s="23">
        <f>AA20+'24.05'!AB20</f>
        <v>30</v>
      </c>
      <c r="AC20" s="33">
        <v>1546</v>
      </c>
      <c r="AD20" s="22">
        <v>80</v>
      </c>
      <c r="AE20" s="23">
        <f>AD20+'24.05'!AE20</f>
        <v>1516</v>
      </c>
      <c r="AF20" s="19">
        <f t="shared" si="1"/>
        <v>14170</v>
      </c>
      <c r="AG20" s="20">
        <f t="shared" si="1"/>
        <v>460034</v>
      </c>
      <c r="AH20" s="24">
        <v>6130</v>
      </c>
      <c r="AI20" s="23">
        <f>AH20+'24.05'!AI20</f>
        <v>208614</v>
      </c>
      <c r="AJ20" s="24">
        <v>7240</v>
      </c>
      <c r="AK20" s="23">
        <f>AJ20+'24.05'!AK20</f>
        <v>229910</v>
      </c>
      <c r="AL20" s="22">
        <v>400</v>
      </c>
      <c r="AM20" s="23">
        <f>AL20+'24.05'!AM20</f>
        <v>11750</v>
      </c>
      <c r="AN20" s="22">
        <v>400</v>
      </c>
      <c r="AO20" s="23">
        <f>AN20+'24.05'!AO20</f>
        <v>9760</v>
      </c>
      <c r="AP20" s="28" t="s">
        <v>55</v>
      </c>
      <c r="AQ20" s="19">
        <f t="shared" si="3"/>
        <v>49</v>
      </c>
      <c r="AR20" s="20">
        <f t="shared" si="3"/>
        <v>3373</v>
      </c>
      <c r="AS20" s="34">
        <v>1</v>
      </c>
      <c r="AT20" s="23">
        <f>AS20+'24.05'!AT20</f>
        <v>25</v>
      </c>
      <c r="AU20" s="34">
        <v>0</v>
      </c>
      <c r="AV20" s="23">
        <f>AU20+'24.05'!AV20</f>
        <v>0</v>
      </c>
      <c r="AW20" s="34">
        <v>0</v>
      </c>
      <c r="AX20" s="23">
        <f>AW20+'24.05'!AX20</f>
        <v>0</v>
      </c>
      <c r="AY20" s="34">
        <v>0</v>
      </c>
      <c r="AZ20" s="23">
        <f>AY20+'24.05'!AZ20</f>
        <v>0</v>
      </c>
      <c r="BA20" s="34">
        <v>48</v>
      </c>
      <c r="BB20" s="23">
        <f>BA20+'24.05'!BB20</f>
        <v>3348</v>
      </c>
      <c r="BC20" s="19">
        <f t="shared" si="5"/>
        <v>3533</v>
      </c>
      <c r="BD20" s="20">
        <f t="shared" si="5"/>
        <v>87103</v>
      </c>
      <c r="BE20" s="22">
        <v>2</v>
      </c>
      <c r="BF20" s="23">
        <f>BE20+'24.05'!BF20</f>
        <v>50</v>
      </c>
      <c r="BG20" s="34">
        <v>0</v>
      </c>
      <c r="BH20" s="23">
        <f>BG20+'24.05'!BH20</f>
        <v>0</v>
      </c>
      <c r="BI20" s="22">
        <v>2075</v>
      </c>
      <c r="BJ20" s="23">
        <f>BI20+'24.05'!BJ20</f>
        <v>42723</v>
      </c>
      <c r="BK20" s="22">
        <v>1455</v>
      </c>
      <c r="BL20" s="23">
        <f>BK20+'24.05'!BL20</f>
        <v>44275</v>
      </c>
      <c r="BM20" s="22">
        <v>1</v>
      </c>
      <c r="BN20" s="23">
        <f>BM20+'24.05'!BN20</f>
        <v>55</v>
      </c>
      <c r="BO20" s="36">
        <v>5854</v>
      </c>
      <c r="BP20" s="37">
        <v>0</v>
      </c>
      <c r="BQ20" s="23">
        <f>BP20+'24.05'!BQ20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172</v>
      </c>
      <c r="D21" s="31">
        <f t="shared" si="0"/>
        <v>5192</v>
      </c>
      <c r="E21" s="32">
        <v>1017</v>
      </c>
      <c r="F21" s="22">
        <v>150</v>
      </c>
      <c r="G21" s="23">
        <f>F21+'24.05'!G21</f>
        <v>3719</v>
      </c>
      <c r="H21" s="33">
        <v>8</v>
      </c>
      <c r="I21" s="34">
        <v>2</v>
      </c>
      <c r="J21" s="23">
        <f>I21+'24.05'!J21</f>
        <v>137</v>
      </c>
      <c r="K21" s="33">
        <v>4</v>
      </c>
      <c r="L21" s="22">
        <v>0</v>
      </c>
      <c r="M21" s="23">
        <f>L21+'24.05'!M21</f>
        <v>21</v>
      </c>
      <c r="N21" s="33">
        <v>963</v>
      </c>
      <c r="O21" s="22">
        <v>0</v>
      </c>
      <c r="P21" s="23">
        <f>O21+'24.05'!P21</f>
        <v>57</v>
      </c>
      <c r="Q21" s="33">
        <v>912</v>
      </c>
      <c r="R21" s="22">
        <v>0</v>
      </c>
      <c r="S21" s="23">
        <f>R21+'24.05'!S21</f>
        <v>0</v>
      </c>
      <c r="T21" s="33">
        <v>199</v>
      </c>
      <c r="U21" s="22">
        <v>2</v>
      </c>
      <c r="V21" s="23">
        <f>U21+'24.05'!V21</f>
        <v>100</v>
      </c>
      <c r="W21" s="33">
        <v>101</v>
      </c>
      <c r="X21" s="22">
        <v>10</v>
      </c>
      <c r="Y21" s="23">
        <f>X21+'24.05'!Y21</f>
        <v>304</v>
      </c>
      <c r="Z21" s="33">
        <v>42</v>
      </c>
      <c r="AA21" s="22">
        <v>0</v>
      </c>
      <c r="AB21" s="23">
        <f>AA21+'24.05'!AB21</f>
        <v>2</v>
      </c>
      <c r="AC21" s="33">
        <v>20</v>
      </c>
      <c r="AD21" s="22">
        <v>8</v>
      </c>
      <c r="AE21" s="23">
        <f>AD21+'24.05'!AE21</f>
        <v>852</v>
      </c>
      <c r="AF21" s="19">
        <f t="shared" si="1"/>
        <v>1270000</v>
      </c>
      <c r="AG21" s="20">
        <f t="shared" si="1"/>
        <v>27825440</v>
      </c>
      <c r="AH21" s="24">
        <v>3000</v>
      </c>
      <c r="AI21" s="23">
        <f>AH21+'24.05'!AI21</f>
        <v>30110</v>
      </c>
      <c r="AJ21" s="24">
        <v>267000</v>
      </c>
      <c r="AK21" s="23">
        <f>AJ21+'24.05'!AK21</f>
        <v>4560000</v>
      </c>
      <c r="AL21" s="22">
        <v>8000</v>
      </c>
      <c r="AM21" s="23">
        <f>AL21+'24.05'!AM21</f>
        <v>73630</v>
      </c>
      <c r="AN21" s="22">
        <v>992000</v>
      </c>
      <c r="AO21" s="23">
        <f>AN21+'24.05'!AO21</f>
        <v>23161700</v>
      </c>
      <c r="AP21" s="28" t="s">
        <v>58</v>
      </c>
      <c r="AQ21" s="19">
        <f t="shared" si="3"/>
        <v>4</v>
      </c>
      <c r="AR21" s="20">
        <f t="shared" si="3"/>
        <v>119</v>
      </c>
      <c r="AS21" s="34">
        <v>0</v>
      </c>
      <c r="AT21" s="23">
        <f>AS21+'24.05'!AT21</f>
        <v>3</v>
      </c>
      <c r="AU21" s="34">
        <v>0</v>
      </c>
      <c r="AV21" s="23">
        <f>AU21+'24.05'!AV21</f>
        <v>29</v>
      </c>
      <c r="AW21" s="34">
        <v>0</v>
      </c>
      <c r="AX21" s="23">
        <f>AW21+'24.05'!AX21</f>
        <v>1</v>
      </c>
      <c r="AY21" s="34">
        <v>0</v>
      </c>
      <c r="AZ21" s="23">
        <f>AY21+'24.05'!AZ21</f>
        <v>0</v>
      </c>
      <c r="BA21" s="34">
        <v>4</v>
      </c>
      <c r="BB21" s="23">
        <f>BA21+'24.05'!BB21</f>
        <v>86</v>
      </c>
      <c r="BC21" s="19">
        <f t="shared" si="5"/>
        <v>1080</v>
      </c>
      <c r="BD21" s="20">
        <f t="shared" si="5"/>
        <v>39086</v>
      </c>
      <c r="BE21" s="22">
        <v>70</v>
      </c>
      <c r="BF21" s="23">
        <f>BE21+'24.05'!BF21</f>
        <v>1314</v>
      </c>
      <c r="BG21" s="34">
        <v>0</v>
      </c>
      <c r="BH21" s="23">
        <f>BG21+'24.05'!BH21</f>
        <v>0</v>
      </c>
      <c r="BI21" s="22">
        <v>1000</v>
      </c>
      <c r="BJ21" s="23">
        <f>BI21+'24.05'!BJ21</f>
        <v>37550</v>
      </c>
      <c r="BK21" s="22">
        <v>0</v>
      </c>
      <c r="BL21" s="23">
        <f>BK21+'24.05'!BL21</f>
        <v>0</v>
      </c>
      <c r="BM21" s="22">
        <v>10</v>
      </c>
      <c r="BN21" s="23">
        <f>BM21+'24.05'!BN21</f>
        <v>222</v>
      </c>
      <c r="BO21" s="36">
        <v>68</v>
      </c>
      <c r="BP21" s="37">
        <v>0</v>
      </c>
      <c r="BQ21" s="23">
        <f>BP21+'24.05'!BQ21</f>
        <v>32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2326</v>
      </c>
      <c r="D22" s="31">
        <f t="shared" si="0"/>
        <v>52107</v>
      </c>
      <c r="E22" s="32">
        <v>509</v>
      </c>
      <c r="F22" s="22">
        <v>407</v>
      </c>
      <c r="G22" s="23">
        <f>F22+'24.05'!G22</f>
        <v>8646</v>
      </c>
      <c r="H22" s="33">
        <v>8</v>
      </c>
      <c r="I22" s="34">
        <v>0</v>
      </c>
      <c r="J22" s="23">
        <f>I22+'24.05'!J22</f>
        <v>24</v>
      </c>
      <c r="K22" s="33">
        <v>21</v>
      </c>
      <c r="L22" s="22">
        <v>0</v>
      </c>
      <c r="M22" s="23">
        <f>L22+'24.05'!M22</f>
        <v>0</v>
      </c>
      <c r="N22" s="33">
        <v>560</v>
      </c>
      <c r="O22" s="22">
        <v>100</v>
      </c>
      <c r="P22" s="23">
        <f>O22+'24.05'!P22</f>
        <v>1313</v>
      </c>
      <c r="Q22" s="33">
        <v>375</v>
      </c>
      <c r="R22" s="22">
        <v>0</v>
      </c>
      <c r="S22" s="23">
        <f>R22+'24.05'!S22</f>
        <v>0</v>
      </c>
      <c r="T22" s="33">
        <v>165</v>
      </c>
      <c r="U22" s="22">
        <v>34</v>
      </c>
      <c r="V22" s="23">
        <f>U22+'24.05'!V22</f>
        <v>578</v>
      </c>
      <c r="W22" s="33">
        <v>28</v>
      </c>
      <c r="X22" s="22">
        <v>89</v>
      </c>
      <c r="Y22" s="23">
        <f>X22+'24.05'!Y22</f>
        <v>2062</v>
      </c>
      <c r="Z22" s="33">
        <v>9</v>
      </c>
      <c r="AA22" s="22">
        <v>0</v>
      </c>
      <c r="AB22" s="23">
        <f>AA22+'24.05'!AB22</f>
        <v>0</v>
      </c>
      <c r="AC22" s="33">
        <v>112</v>
      </c>
      <c r="AD22" s="22">
        <v>1696</v>
      </c>
      <c r="AE22" s="23">
        <f>AD22+'24.05'!AE22</f>
        <v>39484</v>
      </c>
      <c r="AF22" s="19">
        <f t="shared" si="1"/>
        <v>483802</v>
      </c>
      <c r="AG22" s="20">
        <f t="shared" si="1"/>
        <v>10232983</v>
      </c>
      <c r="AH22" s="24">
        <v>1905</v>
      </c>
      <c r="AI22" s="23">
        <f>AH22+'24.05'!AI22</f>
        <v>54007</v>
      </c>
      <c r="AJ22" s="24">
        <v>9543</v>
      </c>
      <c r="AK22" s="23">
        <f>AJ22+'24.05'!AK22</f>
        <v>170153</v>
      </c>
      <c r="AL22" s="22">
        <v>17798</v>
      </c>
      <c r="AM22" s="23">
        <f>AL22+'24.05'!AM22</f>
        <v>283012</v>
      </c>
      <c r="AN22" s="22">
        <v>454556</v>
      </c>
      <c r="AO22" s="23">
        <f>AN22+'24.05'!AO22</f>
        <v>9725811</v>
      </c>
      <c r="AP22" s="28" t="s">
        <v>59</v>
      </c>
      <c r="AQ22" s="19">
        <f t="shared" si="3"/>
        <v>938</v>
      </c>
      <c r="AR22" s="20">
        <f t="shared" si="3"/>
        <v>38138</v>
      </c>
      <c r="AS22" s="34">
        <v>1</v>
      </c>
      <c r="AT22" s="23">
        <f>AS22+'24.05'!AT22</f>
        <v>12</v>
      </c>
      <c r="AU22" s="34">
        <v>1</v>
      </c>
      <c r="AV22" s="23">
        <f>AU22+'24.05'!AV22</f>
        <v>10</v>
      </c>
      <c r="AW22" s="34">
        <v>0</v>
      </c>
      <c r="AX22" s="23">
        <f>AW22+'24.05'!AX22</f>
        <v>2</v>
      </c>
      <c r="AY22" s="34">
        <v>0</v>
      </c>
      <c r="AZ22" s="23">
        <f>AY22+'24.05'!AZ22</f>
        <v>1</v>
      </c>
      <c r="BA22" s="34">
        <v>936</v>
      </c>
      <c r="BB22" s="23">
        <f>BA22+'24.05'!BB22</f>
        <v>38113</v>
      </c>
      <c r="BC22" s="19">
        <f t="shared" si="5"/>
        <v>6802</v>
      </c>
      <c r="BD22" s="20">
        <f t="shared" si="5"/>
        <v>169914</v>
      </c>
      <c r="BE22" s="22">
        <v>5</v>
      </c>
      <c r="BF22" s="23">
        <f>BE22+'24.05'!BF22</f>
        <v>148</v>
      </c>
      <c r="BG22" s="34">
        <v>71</v>
      </c>
      <c r="BH22" s="23">
        <f>BG22+'24.05'!BH22</f>
        <v>1543</v>
      </c>
      <c r="BI22" s="22">
        <v>3007</v>
      </c>
      <c r="BJ22" s="23">
        <f>BI22+'24.05'!BJ22</f>
        <v>108277</v>
      </c>
      <c r="BK22" s="22">
        <v>3652</v>
      </c>
      <c r="BL22" s="23">
        <f>BK22+'24.05'!BL22</f>
        <v>58514</v>
      </c>
      <c r="BM22" s="22">
        <v>67</v>
      </c>
      <c r="BN22" s="23">
        <f>BM22+'24.05'!BN22</f>
        <v>1432</v>
      </c>
      <c r="BO22" s="36">
        <v>26</v>
      </c>
      <c r="BP22" s="37">
        <v>3</v>
      </c>
      <c r="BQ22" s="23">
        <f>BP22+'24.05'!BQ22</f>
        <v>1720</v>
      </c>
    </row>
    <row r="23" spans="1:69" ht="27.75" customHeight="1" thickBot="1">
      <c r="A23" s="62" t="s">
        <v>12</v>
      </c>
      <c r="B23" s="63">
        <f t="shared" si="0"/>
        <v>94991</v>
      </c>
      <c r="C23" s="64">
        <f t="shared" si="0"/>
        <v>4378</v>
      </c>
      <c r="D23" s="65">
        <f t="shared" si="0"/>
        <v>102040</v>
      </c>
      <c r="E23" s="66">
        <f>+E18+E19+E22+E17+E16+E15+E14+E13+E12+E11+E10+E9+E8</f>
        <v>7282</v>
      </c>
      <c r="F23" s="67">
        <f t="shared" ref="F23:J23" si="7">SUM(F8:F22)</f>
        <v>1581</v>
      </c>
      <c r="G23" s="68">
        <f t="shared" si="7"/>
        <v>37551</v>
      </c>
      <c r="H23" s="66">
        <f>+H18+H19+H22+H17+H16+H15+H14+H13+H12+H11+H10+H9+H8</f>
        <v>271</v>
      </c>
      <c r="I23" s="67">
        <f t="shared" si="7"/>
        <v>9</v>
      </c>
      <c r="J23" s="68">
        <f t="shared" si="7"/>
        <v>323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228</v>
      </c>
      <c r="P23" s="68">
        <f t="shared" si="8"/>
        <v>3812</v>
      </c>
      <c r="Q23" s="66">
        <f>+Q18+Q19+Q22+Q17+Q16+Q15+Q14+Q13+Q12+Q11+Q10+Q9+Q8</f>
        <v>7474</v>
      </c>
      <c r="R23" s="67">
        <f t="shared" ref="R23:V23" si="9">SUM(R8:R22)</f>
        <v>10</v>
      </c>
      <c r="S23" s="68">
        <f t="shared" si="9"/>
        <v>175</v>
      </c>
      <c r="T23" s="66">
        <f>+T18+T19+T22+T17+T16+T15+T14+T13+T12+T11+T10+T9+T8</f>
        <v>4115</v>
      </c>
      <c r="U23" s="67">
        <f t="shared" si="9"/>
        <v>45</v>
      </c>
      <c r="V23" s="68">
        <f t="shared" si="9"/>
        <v>899</v>
      </c>
      <c r="W23" s="66">
        <f>+W18+W19+W22+W17+W16+W15+W14+W13+W12+W11+W10+W9+W8</f>
        <v>604</v>
      </c>
      <c r="X23" s="67">
        <f t="shared" ref="X23:AB23" si="10">SUM(X8:X22)</f>
        <v>478</v>
      </c>
      <c r="Y23" s="68">
        <f t="shared" si="10"/>
        <v>10422</v>
      </c>
      <c r="Z23" s="66">
        <f>+Z18+Z19+Z22+Z17+Z16+Z15+Z14+Z13+Z12+Z11+Z10+Z9+Z8</f>
        <v>1629</v>
      </c>
      <c r="AA23" s="67">
        <f t="shared" si="10"/>
        <v>11</v>
      </c>
      <c r="AB23" s="68">
        <f t="shared" si="10"/>
        <v>81</v>
      </c>
      <c r="AC23" s="66">
        <f>+AC18+AC19+AC22+AC17+AC16+AC15+AC14+AC13+AC12+AC11+AC10+AC9+AC8</f>
        <v>64846</v>
      </c>
      <c r="AD23" s="67">
        <f t="shared" ref="AD23:AO23" si="11">SUM(AD8:AD22)</f>
        <v>2016</v>
      </c>
      <c r="AE23" s="68">
        <f t="shared" si="11"/>
        <v>48737</v>
      </c>
      <c r="AF23" s="64">
        <f t="shared" si="11"/>
        <v>4469170</v>
      </c>
      <c r="AG23" s="64">
        <f t="shared" si="11"/>
        <v>111911453</v>
      </c>
      <c r="AH23" s="67">
        <f t="shared" si="11"/>
        <v>33700</v>
      </c>
      <c r="AI23" s="68">
        <f t="shared" si="11"/>
        <v>811993</v>
      </c>
      <c r="AJ23" s="67">
        <f t="shared" si="11"/>
        <v>341287</v>
      </c>
      <c r="AK23" s="68">
        <f t="shared" si="11"/>
        <v>6377321</v>
      </c>
      <c r="AL23" s="67">
        <f t="shared" si="11"/>
        <v>1040883</v>
      </c>
      <c r="AM23" s="68">
        <f t="shared" si="11"/>
        <v>33636078</v>
      </c>
      <c r="AN23" s="67">
        <f t="shared" si="11"/>
        <v>3053300</v>
      </c>
      <c r="AO23" s="68">
        <f t="shared" si="11"/>
        <v>71086061</v>
      </c>
      <c r="AP23" s="62" t="s">
        <v>12</v>
      </c>
      <c r="AQ23" s="64">
        <f t="shared" ref="AQ23:BP23" si="12">SUM(AQ8:AQ22)</f>
        <v>1331</v>
      </c>
      <c r="AR23" s="64">
        <f t="shared" si="12"/>
        <v>50185</v>
      </c>
      <c r="AS23" s="67">
        <f t="shared" si="12"/>
        <v>4</v>
      </c>
      <c r="AT23" s="68">
        <f t="shared" si="12"/>
        <v>115</v>
      </c>
      <c r="AU23" s="67">
        <f t="shared" si="12"/>
        <v>7</v>
      </c>
      <c r="AV23" s="68">
        <f t="shared" si="12"/>
        <v>140</v>
      </c>
      <c r="AW23" s="67">
        <f t="shared" si="12"/>
        <v>0</v>
      </c>
      <c r="AX23" s="68">
        <f t="shared" si="12"/>
        <v>23</v>
      </c>
      <c r="AY23" s="67">
        <f t="shared" si="12"/>
        <v>0</v>
      </c>
      <c r="AZ23" s="68">
        <f t="shared" si="12"/>
        <v>4</v>
      </c>
      <c r="BA23" s="67">
        <f t="shared" si="12"/>
        <v>1320</v>
      </c>
      <c r="BB23" s="68">
        <f t="shared" si="12"/>
        <v>49903</v>
      </c>
      <c r="BC23" s="64">
        <f t="shared" si="12"/>
        <v>37458</v>
      </c>
      <c r="BD23" s="64">
        <f t="shared" si="12"/>
        <v>1013701</v>
      </c>
      <c r="BE23" s="67">
        <f t="shared" si="12"/>
        <v>1448</v>
      </c>
      <c r="BF23" s="68">
        <f t="shared" si="12"/>
        <v>37175</v>
      </c>
      <c r="BG23" s="67">
        <f t="shared" si="12"/>
        <v>339</v>
      </c>
      <c r="BH23" s="68">
        <f t="shared" si="12"/>
        <v>3243</v>
      </c>
      <c r="BI23" s="67">
        <f t="shared" si="12"/>
        <v>27231</v>
      </c>
      <c r="BJ23" s="68">
        <f t="shared" si="12"/>
        <v>778738</v>
      </c>
      <c r="BK23" s="67">
        <f t="shared" si="12"/>
        <v>8170</v>
      </c>
      <c r="BL23" s="68">
        <f t="shared" si="12"/>
        <v>188961</v>
      </c>
      <c r="BM23" s="67">
        <f t="shared" si="12"/>
        <v>270</v>
      </c>
      <c r="BN23" s="68">
        <f t="shared" si="12"/>
        <v>5584</v>
      </c>
      <c r="BO23" s="69">
        <f t="shared" si="12"/>
        <v>37704</v>
      </c>
      <c r="BP23" s="70">
        <f t="shared" si="12"/>
        <v>13</v>
      </c>
      <c r="BQ23" s="23">
        <f>BP23+'20.04'!BP23</f>
        <v>39</v>
      </c>
    </row>
  </sheetData>
  <mergeCells count="44">
    <mergeCell ref="BM6:BN6"/>
    <mergeCell ref="BO6:BQ6"/>
    <mergeCell ref="BA6:BB6"/>
    <mergeCell ref="BC6:BD6"/>
    <mergeCell ref="BE6:BF6"/>
    <mergeCell ref="BG6:BH6"/>
    <mergeCell ref="BI6:BJ6"/>
    <mergeCell ref="BK6:BL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A1:AO1"/>
    <mergeCell ref="AP1:BQ1"/>
    <mergeCell ref="A2:AO2"/>
    <mergeCell ref="AP2:BQ2"/>
    <mergeCell ref="A3:AO3"/>
    <mergeCell ref="AP3:BQ3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7030A0"/>
  </sheetPr>
  <dimension ref="A1:BQ23"/>
  <sheetViews>
    <sheetView zoomScale="94" zoomScaleNormal="94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O20" sqref="O20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125</v>
      </c>
      <c r="E9" s="32">
        <v>452</v>
      </c>
      <c r="F9" s="22">
        <v>2</v>
      </c>
      <c r="G9" s="23">
        <f>F9+'25.05'!G9</f>
        <v>65</v>
      </c>
      <c r="H9" s="33">
        <v>12</v>
      </c>
      <c r="I9" s="34">
        <v>1</v>
      </c>
      <c r="J9" s="23">
        <f>I9+'25.05'!J9</f>
        <v>19</v>
      </c>
      <c r="K9" s="33">
        <v>2</v>
      </c>
      <c r="L9" s="22">
        <v>0</v>
      </c>
      <c r="M9" s="23">
        <f>L9+'25.05'!M9</f>
        <v>0</v>
      </c>
      <c r="N9" s="33">
        <v>735</v>
      </c>
      <c r="O9" s="22">
        <v>0</v>
      </c>
      <c r="P9" s="23">
        <f>O9+'25.05'!P9</f>
        <v>0</v>
      </c>
      <c r="Q9" s="33">
        <v>502</v>
      </c>
      <c r="R9" s="22">
        <v>0</v>
      </c>
      <c r="S9" s="23">
        <f>R9+'25.05'!S9</f>
        <v>0</v>
      </c>
      <c r="T9" s="33">
        <v>197</v>
      </c>
      <c r="U9" s="22">
        <v>0</v>
      </c>
      <c r="V9" s="23">
        <f>U9+'25.05'!V9</f>
        <v>0</v>
      </c>
      <c r="W9" s="33">
        <v>47</v>
      </c>
      <c r="X9" s="22">
        <v>1</v>
      </c>
      <c r="Y9" s="23">
        <f>X9+'25.05'!Y9</f>
        <v>22</v>
      </c>
      <c r="Z9" s="33">
        <v>34</v>
      </c>
      <c r="AA9" s="22">
        <v>0</v>
      </c>
      <c r="AB9" s="23">
        <f>AA9+'25.05'!AB9</f>
        <v>0</v>
      </c>
      <c r="AC9" s="33">
        <v>1860</v>
      </c>
      <c r="AD9" s="22">
        <v>0</v>
      </c>
      <c r="AE9" s="23">
        <f>AD9+'25.05'!AE9</f>
        <v>19</v>
      </c>
      <c r="AF9" s="19">
        <f t="shared" si="1"/>
        <v>7100</v>
      </c>
      <c r="AG9" s="20">
        <f t="shared" si="1"/>
        <v>219716</v>
      </c>
      <c r="AH9" s="24">
        <v>130</v>
      </c>
      <c r="AI9" s="23">
        <f>AH9+'25.05'!AI9</f>
        <v>3001</v>
      </c>
      <c r="AJ9" s="24">
        <v>370</v>
      </c>
      <c r="AK9" s="23">
        <f>AJ9+'25.05'!AK9</f>
        <v>19462</v>
      </c>
      <c r="AL9" s="22">
        <v>800</v>
      </c>
      <c r="AM9" s="23">
        <f>AL9+'25.05'!AM9</f>
        <v>36385</v>
      </c>
      <c r="AN9" s="22">
        <v>5800</v>
      </c>
      <c r="AO9" s="23">
        <f>AN9+'25.05'!AO9</f>
        <v>160868</v>
      </c>
      <c r="AP9" s="28" t="s">
        <v>43</v>
      </c>
      <c r="AQ9" s="19">
        <f t="shared" si="3"/>
        <v>56</v>
      </c>
      <c r="AR9" s="20">
        <f t="shared" si="3"/>
        <v>3126</v>
      </c>
      <c r="AS9" s="34">
        <v>1</v>
      </c>
      <c r="AT9" s="23">
        <f>AS9+'25.05'!AT9</f>
        <v>12</v>
      </c>
      <c r="AU9" s="34">
        <v>0</v>
      </c>
      <c r="AV9" s="23">
        <f>AU9+'25.05'!AV9</f>
        <v>12</v>
      </c>
      <c r="AW9" s="34">
        <v>0</v>
      </c>
      <c r="AX9" s="23">
        <f>AW9+'25.05'!AX9</f>
        <v>7</v>
      </c>
      <c r="AY9" s="34">
        <v>0</v>
      </c>
      <c r="AZ9" s="23">
        <f>AY9+'25.05'!AZ9</f>
        <v>0</v>
      </c>
      <c r="BA9" s="34">
        <v>55</v>
      </c>
      <c r="BB9" s="23">
        <f>BA9+'25.05'!BB9</f>
        <v>3095</v>
      </c>
      <c r="BC9" s="19">
        <f t="shared" si="5"/>
        <v>106</v>
      </c>
      <c r="BD9" s="20">
        <f t="shared" si="5"/>
        <v>11329</v>
      </c>
      <c r="BE9" s="22">
        <v>1</v>
      </c>
      <c r="BF9" s="23">
        <f>BE9+'25.05'!BF9</f>
        <v>35</v>
      </c>
      <c r="BG9" s="34">
        <v>0</v>
      </c>
      <c r="BH9" s="23">
        <f>BG9+'25.05'!BH9</f>
        <v>0</v>
      </c>
      <c r="BI9" s="22">
        <v>100</v>
      </c>
      <c r="BJ9" s="23">
        <f>BI9+'25.05'!BJ9</f>
        <v>11260</v>
      </c>
      <c r="BK9" s="22">
        <v>0</v>
      </c>
      <c r="BL9" s="23">
        <f>BK9+'25.05'!BL9</f>
        <v>0</v>
      </c>
      <c r="BM9" s="22">
        <v>5</v>
      </c>
      <c r="BN9" s="23">
        <f>BM9+'25.05'!BN9</f>
        <v>34</v>
      </c>
      <c r="BO9" s="36">
        <v>14</v>
      </c>
      <c r="BP9" s="37">
        <v>0</v>
      </c>
      <c r="BQ9" s="23">
        <f>BP9+'25.05'!BQ9</f>
        <v>7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93</v>
      </c>
      <c r="D10" s="31">
        <f t="shared" si="0"/>
        <v>3028</v>
      </c>
      <c r="E10" s="32">
        <v>585</v>
      </c>
      <c r="F10" s="22">
        <v>7</v>
      </c>
      <c r="G10" s="23">
        <f>F10+'25.05'!G10</f>
        <v>313</v>
      </c>
      <c r="H10" s="33">
        <v>93</v>
      </c>
      <c r="I10" s="34">
        <v>2</v>
      </c>
      <c r="J10" s="23">
        <f>I10+'25.05'!J10</f>
        <v>42</v>
      </c>
      <c r="K10" s="33">
        <v>34</v>
      </c>
      <c r="L10" s="22">
        <v>0</v>
      </c>
      <c r="M10" s="23">
        <f>L10+'25.05'!M10</f>
        <v>19</v>
      </c>
      <c r="N10" s="33">
        <v>352</v>
      </c>
      <c r="O10" s="22">
        <v>14</v>
      </c>
      <c r="P10" s="23">
        <f>O10+'25.05'!P10</f>
        <v>267</v>
      </c>
      <c r="Q10" s="33">
        <v>549</v>
      </c>
      <c r="R10" s="22">
        <v>3</v>
      </c>
      <c r="S10" s="23">
        <f>R10+'25.05'!S10</f>
        <v>151</v>
      </c>
      <c r="T10" s="33">
        <v>198</v>
      </c>
      <c r="U10" s="22">
        <v>8</v>
      </c>
      <c r="V10" s="23">
        <f>U10+'25.05'!V10</f>
        <v>123</v>
      </c>
      <c r="W10" s="38">
        <v>55</v>
      </c>
      <c r="X10" s="22">
        <v>0</v>
      </c>
      <c r="Y10" s="23">
        <f>X10+'25.05'!Y10</f>
        <v>87</v>
      </c>
      <c r="Z10" s="38">
        <v>71</v>
      </c>
      <c r="AA10" s="22">
        <v>2</v>
      </c>
      <c r="AB10" s="23">
        <f>AA10+'25.05'!AB10</f>
        <v>41</v>
      </c>
      <c r="AC10" s="38">
        <v>1690</v>
      </c>
      <c r="AD10" s="22">
        <v>57</v>
      </c>
      <c r="AE10" s="23">
        <f>AD10+'25.05'!AE10</f>
        <v>1985</v>
      </c>
      <c r="AF10" s="19">
        <f t="shared" si="1"/>
        <v>100158</v>
      </c>
      <c r="AG10" s="20">
        <f t="shared" si="1"/>
        <v>2801218</v>
      </c>
      <c r="AH10" s="24">
        <v>561</v>
      </c>
      <c r="AI10" s="23">
        <f>AH10+'25.05'!AI10</f>
        <v>29326</v>
      </c>
      <c r="AJ10" s="24">
        <v>3050</v>
      </c>
      <c r="AK10" s="23">
        <f>AJ10+'25.05'!AK10</f>
        <v>126308</v>
      </c>
      <c r="AL10" s="22">
        <v>10651</v>
      </c>
      <c r="AM10" s="23">
        <f>AL10+'25.05'!AM10</f>
        <v>317196</v>
      </c>
      <c r="AN10" s="22">
        <v>85896</v>
      </c>
      <c r="AO10" s="23">
        <f>AN10+'25.05'!AO10</f>
        <v>2328388</v>
      </c>
      <c r="AP10" s="28" t="s">
        <v>44</v>
      </c>
      <c r="AQ10" s="19">
        <f t="shared" si="3"/>
        <v>2</v>
      </c>
      <c r="AR10" s="20">
        <f t="shared" si="3"/>
        <v>101</v>
      </c>
      <c r="AS10" s="34">
        <v>0</v>
      </c>
      <c r="AT10" s="23">
        <f>AS10+'25.05'!AT10</f>
        <v>5</v>
      </c>
      <c r="AU10" s="34">
        <v>0</v>
      </c>
      <c r="AV10" s="23">
        <f>AU10+'25.05'!AV10</f>
        <v>4</v>
      </c>
      <c r="AW10" s="34">
        <v>0</v>
      </c>
      <c r="AX10" s="23">
        <f>AW10+'25.05'!AX10</f>
        <v>0</v>
      </c>
      <c r="AY10" s="34">
        <v>1</v>
      </c>
      <c r="AZ10" s="23">
        <f>AY10+'25.05'!AZ10</f>
        <v>1</v>
      </c>
      <c r="BA10" s="34">
        <v>1</v>
      </c>
      <c r="BB10" s="23">
        <f>BA10+'25.05'!BB10</f>
        <v>91</v>
      </c>
      <c r="BC10" s="19">
        <f t="shared" si="5"/>
        <v>2800</v>
      </c>
      <c r="BD10" s="20">
        <f t="shared" si="5"/>
        <v>119986</v>
      </c>
      <c r="BE10" s="22">
        <v>430</v>
      </c>
      <c r="BF10" s="23">
        <f>BE10+'25.05'!BF10</f>
        <v>13363</v>
      </c>
      <c r="BG10" s="34">
        <v>1</v>
      </c>
      <c r="BH10" s="23">
        <f>BG10+'25.05'!BH10</f>
        <v>30</v>
      </c>
      <c r="BI10" s="22">
        <v>2040</v>
      </c>
      <c r="BJ10" s="23">
        <f>BI10+'25.05'!BJ10</f>
        <v>63704</v>
      </c>
      <c r="BK10" s="22">
        <v>329</v>
      </c>
      <c r="BL10" s="23">
        <f>BK10+'25.05'!BL10</f>
        <v>42886</v>
      </c>
      <c r="BM10" s="22">
        <v>0</v>
      </c>
      <c r="BN10" s="23">
        <f>BM10+'25.05'!BN10</f>
        <v>3</v>
      </c>
      <c r="BO10" s="36">
        <v>32</v>
      </c>
      <c r="BP10" s="37">
        <v>1</v>
      </c>
      <c r="BQ10" s="23">
        <f>BP10+'25.05'!BQ10</f>
        <v>16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38</v>
      </c>
      <c r="D11" s="31">
        <f t="shared" si="0"/>
        <v>954</v>
      </c>
      <c r="E11" s="32">
        <v>883</v>
      </c>
      <c r="F11" s="22">
        <v>17</v>
      </c>
      <c r="G11" s="23">
        <f>F11+'25.05'!G11</f>
        <v>460</v>
      </c>
      <c r="H11" s="33">
        <v>16</v>
      </c>
      <c r="I11" s="34">
        <v>0</v>
      </c>
      <c r="J11" s="23">
        <f>I11+'25.05'!J11</f>
        <v>0</v>
      </c>
      <c r="K11" s="33">
        <v>3</v>
      </c>
      <c r="L11" s="22">
        <v>0</v>
      </c>
      <c r="M11" s="23">
        <f>L11+'25.05'!M11</f>
        <v>0</v>
      </c>
      <c r="N11" s="33">
        <v>875</v>
      </c>
      <c r="O11" s="22">
        <v>0</v>
      </c>
      <c r="P11" s="23">
        <f>O11+'25.05'!P11</f>
        <v>0</v>
      </c>
      <c r="Q11" s="33">
        <v>2424</v>
      </c>
      <c r="R11" s="22">
        <v>0</v>
      </c>
      <c r="S11" s="23">
        <f>R11+'25.05'!S11</f>
        <v>0</v>
      </c>
      <c r="T11" s="33">
        <v>69</v>
      </c>
      <c r="U11" s="22">
        <v>0</v>
      </c>
      <c r="V11" s="23">
        <f>U11+'25.05'!V11</f>
        <v>0</v>
      </c>
      <c r="W11" s="38">
        <v>133</v>
      </c>
      <c r="X11" s="22">
        <v>18</v>
      </c>
      <c r="Y11" s="23">
        <f>X11+'25.05'!Y11</f>
        <v>453</v>
      </c>
      <c r="Z11" s="38">
        <v>1116</v>
      </c>
      <c r="AA11" s="22">
        <v>0</v>
      </c>
      <c r="AB11" s="23">
        <f>AA11+'25.05'!AB11</f>
        <v>0</v>
      </c>
      <c r="AC11" s="38">
        <v>9862</v>
      </c>
      <c r="AD11" s="22">
        <v>3</v>
      </c>
      <c r="AE11" s="23">
        <f>AD11+'25.05'!AE11</f>
        <v>41</v>
      </c>
      <c r="AF11" s="19">
        <f t="shared" si="1"/>
        <v>17200</v>
      </c>
      <c r="AG11" s="20">
        <f t="shared" si="1"/>
        <v>494600</v>
      </c>
      <c r="AH11" s="24">
        <v>2400</v>
      </c>
      <c r="AI11" s="23">
        <f>AH11+'25.05'!AI11</f>
        <v>60900</v>
      </c>
      <c r="AJ11" s="24">
        <v>3500</v>
      </c>
      <c r="AK11" s="23">
        <f>AJ11+'25.05'!AK11</f>
        <v>77400</v>
      </c>
      <c r="AL11" s="22">
        <v>3300</v>
      </c>
      <c r="AM11" s="23">
        <f>AL11+'25.05'!AM11</f>
        <v>107100</v>
      </c>
      <c r="AN11" s="22">
        <v>8000</v>
      </c>
      <c r="AO11" s="23">
        <f>AN11+'25.05'!AO11</f>
        <v>249200</v>
      </c>
      <c r="AP11" s="28" t="s">
        <v>45</v>
      </c>
      <c r="AQ11" s="19">
        <f t="shared" si="3"/>
        <v>3</v>
      </c>
      <c r="AR11" s="20">
        <f t="shared" si="3"/>
        <v>67</v>
      </c>
      <c r="AS11" s="34">
        <v>0</v>
      </c>
      <c r="AT11" s="23">
        <f>AS11+'25.05'!AT11</f>
        <v>0</v>
      </c>
      <c r="AU11" s="34">
        <v>0</v>
      </c>
      <c r="AV11" s="23">
        <f>AU11+'25.05'!AV11</f>
        <v>0</v>
      </c>
      <c r="AW11" s="34">
        <v>0</v>
      </c>
      <c r="AX11" s="23">
        <f>AW11+'25.05'!AX11</f>
        <v>0</v>
      </c>
      <c r="AY11" s="34">
        <v>0</v>
      </c>
      <c r="AZ11" s="23">
        <f>AY11+'25.05'!AZ11</f>
        <v>0</v>
      </c>
      <c r="BA11" s="34">
        <v>3</v>
      </c>
      <c r="BB11" s="23">
        <f>BA11+'25.05'!BB11</f>
        <v>67</v>
      </c>
      <c r="BC11" s="19">
        <f t="shared" si="5"/>
        <v>478</v>
      </c>
      <c r="BD11" s="20">
        <f t="shared" si="5"/>
        <v>16014</v>
      </c>
      <c r="BE11" s="22">
        <v>4</v>
      </c>
      <c r="BF11" s="23">
        <f>BE11+'25.05'!BF11</f>
        <v>55</v>
      </c>
      <c r="BG11" s="34">
        <v>2</v>
      </c>
      <c r="BH11" s="23">
        <f>BG11+'25.05'!BH11</f>
        <v>75</v>
      </c>
      <c r="BI11" s="22">
        <v>459</v>
      </c>
      <c r="BJ11" s="23">
        <f>BI11+'25.05'!BJ11</f>
        <v>15457</v>
      </c>
      <c r="BK11" s="22">
        <v>11</v>
      </c>
      <c r="BL11" s="23">
        <f>BK11+'25.05'!BL11</f>
        <v>374</v>
      </c>
      <c r="BM11" s="22">
        <v>2</v>
      </c>
      <c r="BN11" s="23">
        <f>BM11+'25.05'!BN11</f>
        <v>53</v>
      </c>
      <c r="BO11" s="36">
        <v>11506</v>
      </c>
      <c r="BP11" s="37">
        <v>3</v>
      </c>
      <c r="BQ11" s="23" t="e">
        <f>BP11+'25.05'!BQ11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270</v>
      </c>
      <c r="D12" s="31">
        <f t="shared" si="0"/>
        <v>5895</v>
      </c>
      <c r="E12" s="32">
        <v>909</v>
      </c>
      <c r="F12" s="22">
        <v>71</v>
      </c>
      <c r="G12" s="23">
        <f>F12+'25.05'!G12</f>
        <v>1416</v>
      </c>
      <c r="H12" s="33">
        <v>80</v>
      </c>
      <c r="I12" s="34">
        <v>5</v>
      </c>
      <c r="J12" s="23">
        <f>I12+'25.05'!J12</f>
        <v>71</v>
      </c>
      <c r="K12" s="33">
        <v>5</v>
      </c>
      <c r="L12" s="22">
        <v>0</v>
      </c>
      <c r="M12" s="23">
        <f>L12+'25.05'!M12</f>
        <v>0</v>
      </c>
      <c r="N12" s="33">
        <v>820</v>
      </c>
      <c r="O12" s="22">
        <v>24</v>
      </c>
      <c r="P12" s="23">
        <f>O12+'25.05'!P12</f>
        <v>499</v>
      </c>
      <c r="Q12" s="33">
        <v>549</v>
      </c>
      <c r="R12" s="22">
        <v>0</v>
      </c>
      <c r="S12" s="23">
        <f>R12+'25.05'!S12</f>
        <v>0</v>
      </c>
      <c r="T12" s="33">
        <v>992</v>
      </c>
      <c r="U12" s="22">
        <v>0</v>
      </c>
      <c r="V12" s="23">
        <f>U12+'25.05'!V12</f>
        <v>0</v>
      </c>
      <c r="W12" s="33">
        <v>38</v>
      </c>
      <c r="X12" s="22">
        <v>132</v>
      </c>
      <c r="Y12" s="23">
        <f>X12+'25.05'!Y12</f>
        <v>3004</v>
      </c>
      <c r="Z12" s="33">
        <v>68</v>
      </c>
      <c r="AA12" s="22">
        <v>0</v>
      </c>
      <c r="AB12" s="23">
        <f>AA12+'25.05'!AB12</f>
        <v>0</v>
      </c>
      <c r="AC12" s="33">
        <v>26703</v>
      </c>
      <c r="AD12" s="22">
        <v>38</v>
      </c>
      <c r="AE12" s="23">
        <f>AD12+'25.05'!AE12</f>
        <v>905</v>
      </c>
      <c r="AF12" s="19">
        <f t="shared" si="1"/>
        <v>4639</v>
      </c>
      <c r="AG12" s="20">
        <f t="shared" si="1"/>
        <v>396040</v>
      </c>
      <c r="AH12" s="24">
        <v>839</v>
      </c>
      <c r="AI12" s="23">
        <f>AH12+'25.05'!AI12</f>
        <v>62545</v>
      </c>
      <c r="AJ12" s="24">
        <v>886</v>
      </c>
      <c r="AK12" s="23">
        <f>AJ12+'25.05'!AK12</f>
        <v>122726</v>
      </c>
      <c r="AL12" s="22">
        <v>1457</v>
      </c>
      <c r="AM12" s="23">
        <f>AL12+'25.05'!AM12</f>
        <v>105382</v>
      </c>
      <c r="AN12" s="22">
        <v>1457</v>
      </c>
      <c r="AO12" s="23">
        <f>AN12+'25.05'!AO12</f>
        <v>105387</v>
      </c>
      <c r="AP12" s="28" t="s">
        <v>46</v>
      </c>
      <c r="AQ12" s="19">
        <f t="shared" si="3"/>
        <v>73</v>
      </c>
      <c r="AR12" s="20">
        <f t="shared" si="3"/>
        <v>2219</v>
      </c>
      <c r="AS12" s="34">
        <v>0</v>
      </c>
      <c r="AT12" s="23">
        <f>AS12+'25.05'!AT12</f>
        <v>0</v>
      </c>
      <c r="AU12" s="34">
        <v>0</v>
      </c>
      <c r="AV12" s="23">
        <f>AU12+'25.05'!AV12</f>
        <v>0</v>
      </c>
      <c r="AW12" s="34">
        <v>0</v>
      </c>
      <c r="AX12" s="23">
        <f>AW12+'25.05'!AX12</f>
        <v>0</v>
      </c>
      <c r="AY12" s="34">
        <v>0</v>
      </c>
      <c r="AZ12" s="23">
        <f>AY12+'25.05'!AZ12</f>
        <v>0</v>
      </c>
      <c r="BA12" s="34">
        <v>73</v>
      </c>
      <c r="BB12" s="23">
        <f>BA12+'25.05'!BB12</f>
        <v>2219</v>
      </c>
      <c r="BC12" s="19">
        <f t="shared" si="5"/>
        <v>2460</v>
      </c>
      <c r="BD12" s="20">
        <f t="shared" si="5"/>
        <v>72478</v>
      </c>
      <c r="BE12" s="22">
        <v>305</v>
      </c>
      <c r="BF12" s="23">
        <f>BE12+'25.05'!BF12</f>
        <v>4880</v>
      </c>
      <c r="BG12" s="34">
        <v>14</v>
      </c>
      <c r="BH12" s="23">
        <f>BG12+'25.05'!BH12</f>
        <v>248</v>
      </c>
      <c r="BI12" s="22">
        <v>1900</v>
      </c>
      <c r="BJ12" s="23">
        <f>BI12+'25.05'!BJ12</f>
        <v>58600</v>
      </c>
      <c r="BK12" s="22">
        <v>200</v>
      </c>
      <c r="BL12" s="23">
        <f>BK12+'25.05'!BL12</f>
        <v>7450</v>
      </c>
      <c r="BM12" s="22">
        <v>41</v>
      </c>
      <c r="BN12" s="23">
        <f>BM12+'25.05'!BN12</f>
        <v>1300</v>
      </c>
      <c r="BO12" s="36"/>
      <c r="BP12" s="37">
        <v>1</v>
      </c>
      <c r="BQ12" s="23">
        <f>BP12+'25.05'!BQ12</f>
        <v>46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308</v>
      </c>
      <c r="E13" s="32">
        <v>516</v>
      </c>
      <c r="F13" s="22">
        <v>1</v>
      </c>
      <c r="G13" s="23">
        <f>F13+'25.05'!G13</f>
        <v>28</v>
      </c>
      <c r="H13" s="33">
        <v>10</v>
      </c>
      <c r="I13" s="34">
        <v>1</v>
      </c>
      <c r="J13" s="23">
        <f>I13+'25.05'!J13</f>
        <v>14</v>
      </c>
      <c r="K13" s="33">
        <v>38</v>
      </c>
      <c r="L13" s="22">
        <v>0</v>
      </c>
      <c r="M13" s="23">
        <f>L13+'25.05'!M13</f>
        <v>0</v>
      </c>
      <c r="N13" s="33">
        <v>581</v>
      </c>
      <c r="O13" s="22">
        <v>0</v>
      </c>
      <c r="P13" s="23">
        <f>O13+'25.05'!P13</f>
        <v>11</v>
      </c>
      <c r="Q13" s="33">
        <v>525</v>
      </c>
      <c r="R13" s="22">
        <v>0</v>
      </c>
      <c r="S13" s="23">
        <f>R13+'25.05'!S13</f>
        <v>0</v>
      </c>
      <c r="T13" s="33">
        <v>263</v>
      </c>
      <c r="U13" s="22">
        <v>0</v>
      </c>
      <c r="V13" s="23">
        <f>U13+'25.05'!V13</f>
        <v>0</v>
      </c>
      <c r="W13" s="33">
        <v>43</v>
      </c>
      <c r="X13" s="22">
        <v>0</v>
      </c>
      <c r="Y13" s="23">
        <f>X13+'25.05'!Y13</f>
        <v>1</v>
      </c>
      <c r="Z13" s="33">
        <v>17</v>
      </c>
      <c r="AA13" s="22">
        <v>0</v>
      </c>
      <c r="AB13" s="23">
        <f>AA13+'25.05'!AB13</f>
        <v>0</v>
      </c>
      <c r="AC13" s="33">
        <v>51</v>
      </c>
      <c r="AD13" s="22">
        <v>2</v>
      </c>
      <c r="AE13" s="23">
        <f>AD13+'25.05'!AE13</f>
        <v>254</v>
      </c>
      <c r="AF13" s="19">
        <f t="shared" si="1"/>
        <v>235000</v>
      </c>
      <c r="AG13" s="20">
        <f t="shared" si="1"/>
        <v>6879000</v>
      </c>
      <c r="AH13" s="24">
        <v>2000</v>
      </c>
      <c r="AI13" s="23">
        <f>AH13+'25.05'!AI13</f>
        <v>72500</v>
      </c>
      <c r="AJ13" s="24">
        <v>13000</v>
      </c>
      <c r="AK13" s="23">
        <f>AJ13+'25.05'!AK13</f>
        <v>507500</v>
      </c>
      <c r="AL13" s="22">
        <v>20000</v>
      </c>
      <c r="AM13" s="23">
        <f>AL13+'25.05'!AM13</f>
        <v>1240000</v>
      </c>
      <c r="AN13" s="22">
        <v>200000</v>
      </c>
      <c r="AO13" s="23">
        <f>AN13+'25.05'!AO13</f>
        <v>5059000</v>
      </c>
      <c r="AP13" s="28" t="s">
        <v>47</v>
      </c>
      <c r="AQ13" s="19">
        <f t="shared" si="3"/>
        <v>6</v>
      </c>
      <c r="AR13" s="20">
        <f t="shared" si="3"/>
        <v>520</v>
      </c>
      <c r="AS13" s="34">
        <v>1</v>
      </c>
      <c r="AT13" s="23">
        <f>AS13+'25.05'!AT13</f>
        <v>23</v>
      </c>
      <c r="AU13" s="34">
        <v>1</v>
      </c>
      <c r="AV13" s="23">
        <f>AU13+'25.05'!AV13</f>
        <v>21</v>
      </c>
      <c r="AW13" s="34">
        <v>0</v>
      </c>
      <c r="AX13" s="23">
        <f>AW13+'25.05'!AX13</f>
        <v>3</v>
      </c>
      <c r="AY13" s="34">
        <v>0</v>
      </c>
      <c r="AZ13" s="23">
        <f>AY13+'25.05'!AZ13</f>
        <v>0</v>
      </c>
      <c r="BA13" s="34">
        <v>4</v>
      </c>
      <c r="BB13" s="23">
        <f>BA13+'25.05'!BB13</f>
        <v>473</v>
      </c>
      <c r="BC13" s="19">
        <f t="shared" si="5"/>
        <v>7757</v>
      </c>
      <c r="BD13" s="20">
        <f t="shared" si="5"/>
        <v>269171</v>
      </c>
      <c r="BE13" s="22">
        <v>516</v>
      </c>
      <c r="BF13" s="23">
        <f>BE13+'25.05'!BF13</f>
        <v>13416</v>
      </c>
      <c r="BG13" s="34">
        <v>31</v>
      </c>
      <c r="BH13" s="23">
        <f>BG13+'25.05'!BH13</f>
        <v>897</v>
      </c>
      <c r="BI13" s="22">
        <v>7000</v>
      </c>
      <c r="BJ13" s="23">
        <f>BI13+'25.05'!BJ13</f>
        <v>248500</v>
      </c>
      <c r="BK13" s="22">
        <v>200</v>
      </c>
      <c r="BL13" s="23">
        <f>BK13+'25.05'!BL13</f>
        <v>5220</v>
      </c>
      <c r="BM13" s="22">
        <v>10</v>
      </c>
      <c r="BN13" s="23">
        <f>BM13+'25.05'!BN13</f>
        <v>1138</v>
      </c>
      <c r="BO13" s="36"/>
      <c r="BP13" s="37">
        <v>1</v>
      </c>
      <c r="BQ13" s="23">
        <f>BP13+'25.05'!BQ13</f>
        <v>15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121</v>
      </c>
      <c r="D14" s="42">
        <f t="shared" si="0"/>
        <v>2895</v>
      </c>
      <c r="E14" s="43">
        <v>304</v>
      </c>
      <c r="F14" s="22">
        <v>102</v>
      </c>
      <c r="G14" s="23">
        <f>F14+'25.05'!G14</f>
        <v>2489</v>
      </c>
      <c r="H14" s="44">
        <v>5</v>
      </c>
      <c r="I14" s="45">
        <v>0</v>
      </c>
      <c r="J14" s="23">
        <f>I14+'25.05'!J14</f>
        <v>0</v>
      </c>
      <c r="K14" s="44">
        <v>34</v>
      </c>
      <c r="L14" s="22">
        <v>0</v>
      </c>
      <c r="M14" s="23">
        <f>L14+'25.05'!M14</f>
        <v>0</v>
      </c>
      <c r="N14" s="44">
        <v>583</v>
      </c>
      <c r="O14" s="22">
        <v>0</v>
      </c>
      <c r="P14" s="23">
        <f>O14+'25.05'!P14</f>
        <v>0</v>
      </c>
      <c r="Q14" s="44">
        <v>254</v>
      </c>
      <c r="R14" s="22">
        <v>0</v>
      </c>
      <c r="S14" s="23">
        <f>R14+'25.05'!S14</f>
        <v>0</v>
      </c>
      <c r="T14" s="44">
        <v>196</v>
      </c>
      <c r="U14" s="22">
        <v>0</v>
      </c>
      <c r="V14" s="23">
        <f>U14+'25.05'!V14</f>
        <v>0</v>
      </c>
      <c r="W14" s="44">
        <v>30</v>
      </c>
      <c r="X14" s="22">
        <v>11</v>
      </c>
      <c r="Y14" s="23">
        <f>X14+'25.05'!Y14</f>
        <v>308</v>
      </c>
      <c r="Z14" s="44">
        <v>10</v>
      </c>
      <c r="AA14" s="22">
        <v>0</v>
      </c>
      <c r="AB14" s="23">
        <f>AA14+'25.05'!AB14</f>
        <v>0</v>
      </c>
      <c r="AC14" s="44">
        <v>2500</v>
      </c>
      <c r="AD14" s="22">
        <v>8</v>
      </c>
      <c r="AE14" s="23">
        <f>AD14+'25.05'!AE14</f>
        <v>98</v>
      </c>
      <c r="AF14" s="19">
        <f t="shared" si="1"/>
        <v>127250</v>
      </c>
      <c r="AG14" s="20">
        <f t="shared" si="1"/>
        <v>2934340</v>
      </c>
      <c r="AH14" s="24">
        <v>2050</v>
      </c>
      <c r="AI14" s="23">
        <f>AH14+'25.05'!AI14</f>
        <v>83860</v>
      </c>
      <c r="AJ14" s="24">
        <v>8600</v>
      </c>
      <c r="AK14" s="23">
        <f>AJ14+'25.05'!AK14</f>
        <v>166250</v>
      </c>
      <c r="AL14" s="22">
        <v>8200</v>
      </c>
      <c r="AM14" s="23">
        <f>AL14+'25.05'!AM14</f>
        <v>195250</v>
      </c>
      <c r="AN14" s="22">
        <v>108400</v>
      </c>
      <c r="AO14" s="23">
        <f>AN14+'25.05'!AO14</f>
        <v>2488980</v>
      </c>
      <c r="AP14" s="39" t="s">
        <v>48</v>
      </c>
      <c r="AQ14" s="19">
        <f t="shared" si="3"/>
        <v>2</v>
      </c>
      <c r="AR14" s="20">
        <f t="shared" si="3"/>
        <v>87</v>
      </c>
      <c r="AS14" s="45">
        <v>0</v>
      </c>
      <c r="AT14" s="23">
        <f>AS14+'25.05'!AT14</f>
        <v>0</v>
      </c>
      <c r="AU14" s="45">
        <v>0</v>
      </c>
      <c r="AV14" s="23">
        <f>AU14+'25.05'!AV14</f>
        <v>4</v>
      </c>
      <c r="AW14" s="45">
        <v>0</v>
      </c>
      <c r="AX14" s="23">
        <f>AW14+'25.05'!AX14</f>
        <v>4</v>
      </c>
      <c r="AY14" s="45">
        <v>0</v>
      </c>
      <c r="AZ14" s="23">
        <f>AY14+'25.05'!AZ14</f>
        <v>2</v>
      </c>
      <c r="BA14" s="45">
        <v>2</v>
      </c>
      <c r="BB14" s="23">
        <f>BA14+'25.05'!BB14</f>
        <v>77</v>
      </c>
      <c r="BC14" s="19">
        <f t="shared" si="5"/>
        <v>1514</v>
      </c>
      <c r="BD14" s="20">
        <f t="shared" si="5"/>
        <v>52779</v>
      </c>
      <c r="BE14" s="22">
        <v>2</v>
      </c>
      <c r="BF14" s="23">
        <f>BE14+'25.05'!BF14</f>
        <v>80</v>
      </c>
      <c r="BG14" s="45">
        <v>4</v>
      </c>
      <c r="BH14" s="23">
        <f>BG14+'25.05'!BH14</f>
        <v>42</v>
      </c>
      <c r="BI14" s="22">
        <v>1500</v>
      </c>
      <c r="BJ14" s="23">
        <f>BI14+'25.05'!BJ14</f>
        <v>52480</v>
      </c>
      <c r="BK14" s="22">
        <v>4</v>
      </c>
      <c r="BL14" s="23">
        <f>BK14+'25.05'!BL14</f>
        <v>117</v>
      </c>
      <c r="BM14" s="22">
        <v>4</v>
      </c>
      <c r="BN14" s="23">
        <f>BM14+'25.05'!BN14</f>
        <v>60</v>
      </c>
      <c r="BO14" s="48">
        <v>22</v>
      </c>
      <c r="BP14" s="49">
        <v>0</v>
      </c>
      <c r="BQ14" s="23">
        <f>BP14+'25.05'!BQ14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491</v>
      </c>
      <c r="D15" s="53">
        <f t="shared" si="0"/>
        <v>11714</v>
      </c>
      <c r="E15" s="54">
        <v>776</v>
      </c>
      <c r="F15" s="55">
        <v>394</v>
      </c>
      <c r="G15" s="23">
        <f>F15+'25.05'!G15</f>
        <v>9361</v>
      </c>
      <c r="H15" s="56">
        <v>9</v>
      </c>
      <c r="I15" s="57">
        <v>0</v>
      </c>
      <c r="J15" s="23">
        <f>I15+'25.05'!J15</f>
        <v>0</v>
      </c>
      <c r="K15" s="56">
        <v>6</v>
      </c>
      <c r="L15" s="55">
        <v>0</v>
      </c>
      <c r="M15" s="23">
        <f>L15+'25.05'!M15</f>
        <v>0</v>
      </c>
      <c r="N15" s="56">
        <v>1305</v>
      </c>
      <c r="O15" s="55">
        <v>0</v>
      </c>
      <c r="P15" s="23">
        <f>O15+'25.05'!P15</f>
        <v>0</v>
      </c>
      <c r="Q15" s="56">
        <v>447</v>
      </c>
      <c r="R15" s="55">
        <v>0</v>
      </c>
      <c r="S15" s="23">
        <f>R15+'25.05'!S15</f>
        <v>0</v>
      </c>
      <c r="T15" s="56">
        <v>337</v>
      </c>
      <c r="U15" s="55">
        <v>0</v>
      </c>
      <c r="V15" s="23">
        <f>U15+'25.05'!V15</f>
        <v>0</v>
      </c>
      <c r="W15" s="56">
        <v>78</v>
      </c>
      <c r="X15" s="55">
        <v>0</v>
      </c>
      <c r="Y15" s="23">
        <f>X15+'25.05'!Y15</f>
        <v>0</v>
      </c>
      <c r="Z15" s="56">
        <v>141</v>
      </c>
      <c r="AA15" s="55">
        <v>0</v>
      </c>
      <c r="AB15" s="23">
        <f>AA15+'25.05'!AB15</f>
        <v>0</v>
      </c>
      <c r="AC15" s="56">
        <v>798</v>
      </c>
      <c r="AD15" s="55">
        <v>97</v>
      </c>
      <c r="AE15" s="23">
        <f>AD15+'25.05'!AE15</f>
        <v>2353</v>
      </c>
      <c r="AF15" s="58">
        <f t="shared" si="1"/>
        <v>1800520</v>
      </c>
      <c r="AG15" s="59">
        <f t="shared" si="1"/>
        <v>54510289</v>
      </c>
      <c r="AH15" s="60">
        <v>864</v>
      </c>
      <c r="AI15" s="23">
        <f>AH15+'25.05'!AI15</f>
        <v>21987</v>
      </c>
      <c r="AJ15" s="60">
        <v>2759</v>
      </c>
      <c r="AK15" s="23">
        <f>AJ15+'25.05'!AK15</f>
        <v>73798</v>
      </c>
      <c r="AL15" s="55">
        <v>898448</v>
      </c>
      <c r="AM15" s="23">
        <f>AL15+'25.05'!AM15</f>
        <v>31558752</v>
      </c>
      <c r="AN15" s="55">
        <v>898449</v>
      </c>
      <c r="AO15" s="23">
        <f>AN15+'25.05'!AO15</f>
        <v>22855752</v>
      </c>
      <c r="AP15" s="50" t="s">
        <v>49</v>
      </c>
      <c r="AQ15" s="58">
        <f t="shared" si="3"/>
        <v>3</v>
      </c>
      <c r="AR15" s="59">
        <f t="shared" si="3"/>
        <v>66</v>
      </c>
      <c r="AS15" s="57">
        <v>0</v>
      </c>
      <c r="AT15" s="23">
        <f>AS15+'25.05'!AT15</f>
        <v>2</v>
      </c>
      <c r="AU15" s="57">
        <v>0</v>
      </c>
      <c r="AV15" s="23">
        <f>AU15+'25.05'!AV15</f>
        <v>6</v>
      </c>
      <c r="AW15" s="57">
        <v>1</v>
      </c>
      <c r="AX15" s="23">
        <f>AW15+'25.05'!AX15</f>
        <v>6</v>
      </c>
      <c r="AY15" s="57">
        <v>0</v>
      </c>
      <c r="AZ15" s="23">
        <f>AY15+'25.05'!AZ15</f>
        <v>1</v>
      </c>
      <c r="BA15" s="57">
        <v>2</v>
      </c>
      <c r="BB15" s="23">
        <f>BA15+'25.05'!BB15</f>
        <v>51</v>
      </c>
      <c r="BC15" s="58">
        <f t="shared" si="5"/>
        <v>1630</v>
      </c>
      <c r="BD15" s="59">
        <f t="shared" si="5"/>
        <v>38872</v>
      </c>
      <c r="BE15" s="55">
        <v>79</v>
      </c>
      <c r="BF15" s="23">
        <f>BE15+'25.05'!BF15</f>
        <v>1997</v>
      </c>
      <c r="BG15" s="57">
        <v>2</v>
      </c>
      <c r="BH15" s="23">
        <f>BG15+'25.05'!BH15</f>
        <v>36</v>
      </c>
      <c r="BI15" s="55">
        <v>768</v>
      </c>
      <c r="BJ15" s="23">
        <f>BI15+'25.05'!BJ15</f>
        <v>18514</v>
      </c>
      <c r="BK15" s="55">
        <v>765</v>
      </c>
      <c r="BL15" s="23">
        <f>BK15+'25.05'!BL15</f>
        <v>17909</v>
      </c>
      <c r="BM15" s="55">
        <v>16</v>
      </c>
      <c r="BN15" s="23">
        <f>BM15+'25.05'!BN15</f>
        <v>416</v>
      </c>
      <c r="BO15" s="36">
        <v>6274</v>
      </c>
      <c r="BP15" s="37">
        <v>1</v>
      </c>
      <c r="BQ15" s="23">
        <f>BP15+'25.05'!BQ15</f>
        <v>15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141</v>
      </c>
      <c r="D16" s="31">
        <f t="shared" si="0"/>
        <v>3596</v>
      </c>
      <c r="E16" s="32">
        <v>310</v>
      </c>
      <c r="F16" s="22">
        <v>44</v>
      </c>
      <c r="G16" s="23">
        <f>F16+'25.05'!G16</f>
        <v>1235</v>
      </c>
      <c r="H16" s="33">
        <v>5</v>
      </c>
      <c r="I16" s="34">
        <v>0</v>
      </c>
      <c r="J16" s="23">
        <f>I16+'25.05'!J16</f>
        <v>0</v>
      </c>
      <c r="K16" s="33">
        <v>3</v>
      </c>
      <c r="L16" s="22">
        <v>0</v>
      </c>
      <c r="M16" s="23">
        <f>L16+'25.05'!M16</f>
        <v>0</v>
      </c>
      <c r="N16" s="33">
        <v>384</v>
      </c>
      <c r="O16" s="22">
        <v>0</v>
      </c>
      <c r="P16" s="23">
        <f>O16+'25.05'!P16</f>
        <v>0</v>
      </c>
      <c r="Q16" s="33">
        <v>245</v>
      </c>
      <c r="R16" s="22">
        <v>0</v>
      </c>
      <c r="S16" s="23">
        <f>R16+'25.05'!S16</f>
        <v>0</v>
      </c>
      <c r="T16" s="33">
        <v>397</v>
      </c>
      <c r="U16" s="22">
        <v>0</v>
      </c>
      <c r="V16" s="23">
        <f>U16+'25.05'!V16</f>
        <v>0</v>
      </c>
      <c r="W16" s="33">
        <v>24</v>
      </c>
      <c r="X16" s="22">
        <v>51</v>
      </c>
      <c r="Y16" s="23">
        <f>X16+'25.05'!Y16</f>
        <v>1253</v>
      </c>
      <c r="Z16" s="33">
        <v>18</v>
      </c>
      <c r="AA16" s="22">
        <v>0</v>
      </c>
      <c r="AB16" s="23">
        <f>AA16+'25.05'!AB16</f>
        <v>0</v>
      </c>
      <c r="AC16" s="33">
        <v>18515</v>
      </c>
      <c r="AD16" s="22">
        <v>46</v>
      </c>
      <c r="AE16" s="23">
        <f>AD16+'25.05'!AE16</f>
        <v>1108</v>
      </c>
      <c r="AF16" s="19">
        <f t="shared" si="1"/>
        <v>60522</v>
      </c>
      <c r="AG16" s="20">
        <f t="shared" si="1"/>
        <v>1543767</v>
      </c>
      <c r="AH16" s="24">
        <v>146</v>
      </c>
      <c r="AI16" s="23">
        <f>AH16+'25.05'!AI16</f>
        <v>4121</v>
      </c>
      <c r="AJ16" s="24">
        <v>1225</v>
      </c>
      <c r="AK16" s="23">
        <f>AJ16+'25.05'!AK16</f>
        <v>35670</v>
      </c>
      <c r="AL16" s="22">
        <v>1761</v>
      </c>
      <c r="AM16" s="23">
        <f>AL16+'25.05'!AM16</f>
        <v>40253</v>
      </c>
      <c r="AN16" s="22">
        <v>57390</v>
      </c>
      <c r="AO16" s="23">
        <f>AN16+'25.05'!AO16</f>
        <v>1463723</v>
      </c>
      <c r="AP16" s="28" t="s">
        <v>51</v>
      </c>
      <c r="AQ16" s="19">
        <f t="shared" si="3"/>
        <v>81</v>
      </c>
      <c r="AR16" s="20">
        <f t="shared" si="3"/>
        <v>2040</v>
      </c>
      <c r="AS16" s="34">
        <v>0</v>
      </c>
      <c r="AT16" s="23">
        <f>AS16+'25.05'!AT16</f>
        <v>3</v>
      </c>
      <c r="AU16" s="34">
        <v>0</v>
      </c>
      <c r="AV16" s="23">
        <f>AU16+'25.05'!AV16</f>
        <v>0</v>
      </c>
      <c r="AW16" s="34">
        <v>0</v>
      </c>
      <c r="AX16" s="23">
        <f>AW16+'25.05'!AX16</f>
        <v>0</v>
      </c>
      <c r="AY16" s="34">
        <v>0</v>
      </c>
      <c r="AZ16" s="23">
        <f>AY16+'25.05'!AZ16</f>
        <v>0</v>
      </c>
      <c r="BA16" s="34">
        <v>81</v>
      </c>
      <c r="BB16" s="23">
        <f>BA16+'25.05'!BB16</f>
        <v>2037</v>
      </c>
      <c r="BC16" s="19">
        <f t="shared" si="5"/>
        <v>1533</v>
      </c>
      <c r="BD16" s="20">
        <f t="shared" si="5"/>
        <v>35532</v>
      </c>
      <c r="BE16" s="22">
        <v>95</v>
      </c>
      <c r="BF16" s="23">
        <f>BE16+'25.05'!BF16</f>
        <v>1944</v>
      </c>
      <c r="BG16" s="34">
        <v>0</v>
      </c>
      <c r="BH16" s="23">
        <f>BG16+'25.05'!BH16</f>
        <v>0</v>
      </c>
      <c r="BI16" s="22">
        <v>1387</v>
      </c>
      <c r="BJ16" s="23">
        <f>BI16+'25.05'!BJ16</f>
        <v>32321</v>
      </c>
      <c r="BK16" s="22">
        <v>43</v>
      </c>
      <c r="BL16" s="23">
        <f>BK16+'25.05'!BL16</f>
        <v>1098</v>
      </c>
      <c r="BM16" s="22">
        <v>8</v>
      </c>
      <c r="BN16" s="23">
        <f>BM16+'25.05'!BN16</f>
        <v>169</v>
      </c>
      <c r="BO16" s="36">
        <v>2546</v>
      </c>
      <c r="BP16" s="37">
        <v>0</v>
      </c>
      <c r="BQ16" s="23">
        <f>BP16+'25.05'!BQ16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167</v>
      </c>
      <c r="D17" s="31">
        <f t="shared" si="0"/>
        <v>4356</v>
      </c>
      <c r="E17" s="32">
        <v>754</v>
      </c>
      <c r="F17" s="22">
        <v>145</v>
      </c>
      <c r="G17" s="23">
        <f>F17+'25.05'!G17</f>
        <v>3720</v>
      </c>
      <c r="H17" s="33">
        <v>9</v>
      </c>
      <c r="I17" s="34">
        <v>0</v>
      </c>
      <c r="J17" s="23">
        <f>I17+'25.05'!J17</f>
        <v>0</v>
      </c>
      <c r="K17" s="33">
        <v>5</v>
      </c>
      <c r="L17" s="22">
        <v>0</v>
      </c>
      <c r="M17" s="23">
        <f>L17+'25.05'!M17</f>
        <v>0</v>
      </c>
      <c r="N17" s="33">
        <v>768</v>
      </c>
      <c r="O17" s="22">
        <v>0</v>
      </c>
      <c r="P17" s="23">
        <f>O17+'25.05'!P17</f>
        <v>0</v>
      </c>
      <c r="Q17" s="33">
        <v>624</v>
      </c>
      <c r="R17" s="22">
        <v>0</v>
      </c>
      <c r="S17" s="23">
        <f>R17+'25.05'!S17</f>
        <v>0</v>
      </c>
      <c r="T17" s="33">
        <v>742</v>
      </c>
      <c r="U17" s="22">
        <v>0</v>
      </c>
      <c r="V17" s="23">
        <f>U17+'25.05'!V17</f>
        <v>0</v>
      </c>
      <c r="W17" s="33">
        <v>54</v>
      </c>
      <c r="X17" s="22">
        <v>12</v>
      </c>
      <c r="Y17" s="23">
        <f>X17+'25.05'!Y17</f>
        <v>331</v>
      </c>
      <c r="Z17" s="33">
        <v>66</v>
      </c>
      <c r="AA17" s="22">
        <v>0</v>
      </c>
      <c r="AB17" s="23">
        <f>AA17+'25.05'!AB17</f>
        <v>10</v>
      </c>
      <c r="AC17" s="33">
        <v>2580</v>
      </c>
      <c r="AD17" s="22">
        <v>10</v>
      </c>
      <c r="AE17" s="23">
        <f>AD17+'25.05'!AE17</f>
        <v>295</v>
      </c>
      <c r="AF17" s="19">
        <f t="shared" si="1"/>
        <v>102000</v>
      </c>
      <c r="AG17" s="20">
        <f t="shared" si="1"/>
        <v>2625400</v>
      </c>
      <c r="AH17" s="24">
        <v>7100</v>
      </c>
      <c r="AI17" s="23">
        <f>AH17+'25.05'!AI17</f>
        <v>178700</v>
      </c>
      <c r="AJ17" s="24">
        <v>13900</v>
      </c>
      <c r="AK17" s="23">
        <f>AJ17+'25.05'!AK17</f>
        <v>272300</v>
      </c>
      <c r="AL17" s="22">
        <v>19500</v>
      </c>
      <c r="AM17" s="23">
        <f>AL17+'25.05'!AM17</f>
        <v>548100</v>
      </c>
      <c r="AN17" s="22">
        <v>61500</v>
      </c>
      <c r="AO17" s="23">
        <f>AN17+'25.05'!AO17</f>
        <v>1626300</v>
      </c>
      <c r="AP17" s="28" t="s">
        <v>52</v>
      </c>
      <c r="AQ17" s="19">
        <f t="shared" si="3"/>
        <v>24</v>
      </c>
      <c r="AR17" s="20">
        <f t="shared" si="3"/>
        <v>520</v>
      </c>
      <c r="AS17" s="34">
        <v>0</v>
      </c>
      <c r="AT17" s="23">
        <f>AS17+'25.05'!AT17</f>
        <v>19</v>
      </c>
      <c r="AU17" s="34">
        <v>3</v>
      </c>
      <c r="AV17" s="23">
        <f>AU17+'25.05'!AV17</f>
        <v>53</v>
      </c>
      <c r="AW17" s="34">
        <v>0</v>
      </c>
      <c r="AX17" s="23">
        <f>AW17+'25.05'!AX17</f>
        <v>0</v>
      </c>
      <c r="AY17" s="34">
        <v>0</v>
      </c>
      <c r="AZ17" s="23">
        <f>AY17+'25.05'!AZ17</f>
        <v>0</v>
      </c>
      <c r="BA17" s="34">
        <v>21</v>
      </c>
      <c r="BB17" s="23">
        <f>BA17+'25.05'!BB17</f>
        <v>448</v>
      </c>
      <c r="BC17" s="19">
        <f t="shared" si="5"/>
        <v>4201</v>
      </c>
      <c r="BD17" s="20">
        <f t="shared" si="5"/>
        <v>79898</v>
      </c>
      <c r="BE17" s="22">
        <v>40</v>
      </c>
      <c r="BF17" s="23">
        <f>BE17+'25.05'!BF17</f>
        <v>946</v>
      </c>
      <c r="BG17" s="34">
        <v>1</v>
      </c>
      <c r="BH17" s="23">
        <f>BG17+'25.05'!BH17</f>
        <v>30</v>
      </c>
      <c r="BI17" s="22">
        <v>3800</v>
      </c>
      <c r="BJ17" s="23">
        <f>BI17+'25.05'!BJ17</f>
        <v>71800</v>
      </c>
      <c r="BK17" s="22">
        <v>350</v>
      </c>
      <c r="BL17" s="23">
        <f>BK17+'25.05'!BL17</f>
        <v>6880</v>
      </c>
      <c r="BM17" s="22">
        <v>10</v>
      </c>
      <c r="BN17" s="23">
        <f>BM17+'25.05'!BN17</f>
        <v>242</v>
      </c>
      <c r="BO17" s="36">
        <v>8022</v>
      </c>
      <c r="BP17" s="37">
        <v>1</v>
      </c>
      <c r="BQ17" s="23">
        <f>BP17+'25.05'!BQ17</f>
        <v>75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299</v>
      </c>
      <c r="D18" s="20">
        <f t="shared" si="0"/>
        <v>6615</v>
      </c>
      <c r="E18" s="21">
        <v>1063</v>
      </c>
      <c r="F18" s="22">
        <v>135</v>
      </c>
      <c r="G18" s="23">
        <f>F18+'25.05'!G18</f>
        <v>3978</v>
      </c>
      <c r="H18" s="21">
        <v>19</v>
      </c>
      <c r="I18" s="22">
        <v>0</v>
      </c>
      <c r="J18" s="23">
        <f>I18+'25.05'!J18</f>
        <v>0</v>
      </c>
      <c r="K18" s="21">
        <v>8</v>
      </c>
      <c r="L18" s="22">
        <v>0</v>
      </c>
      <c r="M18" s="23">
        <f>L18+'25.05'!M18</f>
        <v>0</v>
      </c>
      <c r="N18" s="21">
        <v>1331</v>
      </c>
      <c r="O18" s="22">
        <v>0</v>
      </c>
      <c r="P18" s="23">
        <f>O18+'25.05'!P18</f>
        <v>0</v>
      </c>
      <c r="Q18" s="21">
        <v>777</v>
      </c>
      <c r="R18" s="22">
        <v>0</v>
      </c>
      <c r="S18" s="23">
        <f>R18+'25.05'!S18</f>
        <v>0</v>
      </c>
      <c r="T18" s="21">
        <v>318</v>
      </c>
      <c r="U18" s="22">
        <v>0</v>
      </c>
      <c r="V18" s="23">
        <f>U18+'25.05'!V18</f>
        <v>81</v>
      </c>
      <c r="W18" s="21">
        <v>60</v>
      </c>
      <c r="X18" s="22">
        <v>164</v>
      </c>
      <c r="Y18" s="23">
        <f>X18+'25.05'!Y18</f>
        <v>2556</v>
      </c>
      <c r="Z18" s="21">
        <v>72</v>
      </c>
      <c r="AA18" s="22">
        <v>0</v>
      </c>
      <c r="AB18" s="23">
        <f>AA18+'25.05'!AB18</f>
        <v>0</v>
      </c>
      <c r="AC18" s="21">
        <v>143</v>
      </c>
      <c r="AD18" s="22">
        <v>0</v>
      </c>
      <c r="AE18" s="23">
        <f>AD18+'25.05'!AE18</f>
        <v>0</v>
      </c>
      <c r="AF18" s="19">
        <f t="shared" si="1"/>
        <v>119402</v>
      </c>
      <c r="AG18" s="20">
        <f t="shared" si="1"/>
        <v>3484357</v>
      </c>
      <c r="AH18" s="24">
        <v>184</v>
      </c>
      <c r="AI18" s="23">
        <f>AH18+'25.05'!AI18</f>
        <v>5836</v>
      </c>
      <c r="AJ18" s="24">
        <v>1767</v>
      </c>
      <c r="AK18" s="23">
        <f>AJ18+'25.05'!AK18</f>
        <v>51891</v>
      </c>
      <c r="AL18" s="22">
        <v>1437</v>
      </c>
      <c r="AM18" s="23">
        <f>AL18+'25.05'!AM18</f>
        <v>58677</v>
      </c>
      <c r="AN18" s="22">
        <v>116014</v>
      </c>
      <c r="AO18" s="23">
        <f>AN18+'25.05'!AO18</f>
        <v>3367953</v>
      </c>
      <c r="AP18" s="17" t="s">
        <v>53</v>
      </c>
      <c r="AQ18" s="19">
        <f t="shared" si="3"/>
        <v>3</v>
      </c>
      <c r="AR18" s="20">
        <f t="shared" si="3"/>
        <v>56</v>
      </c>
      <c r="AS18" s="22">
        <v>1</v>
      </c>
      <c r="AT18" s="23">
        <f>AS18+'25.05'!AT18</f>
        <v>14</v>
      </c>
      <c r="AU18" s="22">
        <v>0</v>
      </c>
      <c r="AV18" s="23">
        <f>AU18+'25.05'!AV18</f>
        <v>0</v>
      </c>
      <c r="AW18" s="22">
        <v>0</v>
      </c>
      <c r="AX18" s="23">
        <f>AW18+'25.05'!AX18</f>
        <v>0</v>
      </c>
      <c r="AY18" s="22">
        <v>0</v>
      </c>
      <c r="AZ18" s="23">
        <f>AY18+'25.05'!AZ18</f>
        <v>0</v>
      </c>
      <c r="BA18" s="22">
        <v>2</v>
      </c>
      <c r="BB18" s="23">
        <f>BA18+'25.05'!BB18</f>
        <v>42</v>
      </c>
      <c r="BC18" s="19">
        <f t="shared" si="5"/>
        <v>1101</v>
      </c>
      <c r="BD18" s="20">
        <f t="shared" si="5"/>
        <v>18903</v>
      </c>
      <c r="BE18" s="22">
        <v>15</v>
      </c>
      <c r="BF18" s="23">
        <f>BE18+'25.05'!BF18</f>
        <v>94</v>
      </c>
      <c r="BG18" s="22">
        <v>0</v>
      </c>
      <c r="BH18" s="23">
        <f>BG18+'25.05'!BH18</f>
        <v>388</v>
      </c>
      <c r="BI18" s="22">
        <v>644</v>
      </c>
      <c r="BJ18" s="23">
        <f>BI18+'25.05'!BJ18</f>
        <v>14350</v>
      </c>
      <c r="BK18" s="22">
        <v>415</v>
      </c>
      <c r="BL18" s="23">
        <f>BK18+'25.05'!BL18</f>
        <v>3635</v>
      </c>
      <c r="BM18" s="22">
        <v>27</v>
      </c>
      <c r="BN18" s="23">
        <f>BM18+'25.05'!BN18</f>
        <v>436</v>
      </c>
      <c r="BO18" s="36">
        <v>442</v>
      </c>
      <c r="BP18" s="37">
        <v>0</v>
      </c>
      <c r="BQ18" s="23" t="b">
        <f>I9=BP18+'25.05'!BQ18</f>
        <v>0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35</v>
      </c>
      <c r="D19" s="31">
        <f t="shared" si="0"/>
        <v>913</v>
      </c>
      <c r="E19" s="33">
        <v>221</v>
      </c>
      <c r="F19" s="22">
        <v>5</v>
      </c>
      <c r="G19" s="23">
        <f>F19+'25.05'!G19</f>
        <v>165</v>
      </c>
      <c r="H19" s="33">
        <v>5</v>
      </c>
      <c r="I19" s="34">
        <v>0</v>
      </c>
      <c r="J19" s="23">
        <f>I19+'25.05'!J19</f>
        <v>0</v>
      </c>
      <c r="K19" s="33">
        <v>4</v>
      </c>
      <c r="L19" s="22">
        <v>0</v>
      </c>
      <c r="M19" s="23">
        <f>L19+'25.05'!M19</f>
        <v>0</v>
      </c>
      <c r="N19" s="33">
        <v>313</v>
      </c>
      <c r="O19" s="22">
        <v>0</v>
      </c>
      <c r="P19" s="23">
        <f>O19+'25.05'!P19</f>
        <v>227</v>
      </c>
      <c r="Q19" s="33">
        <v>203</v>
      </c>
      <c r="R19" s="22">
        <v>0</v>
      </c>
      <c r="S19" s="23">
        <f>R19+'25.05'!S19</f>
        <v>0</v>
      </c>
      <c r="T19" s="33">
        <v>241</v>
      </c>
      <c r="U19" s="22">
        <v>0</v>
      </c>
      <c r="V19" s="23">
        <f>U19+'25.05'!V19</f>
        <v>0</v>
      </c>
      <c r="W19" s="33">
        <v>14</v>
      </c>
      <c r="X19" s="22">
        <v>30</v>
      </c>
      <c r="Y19" s="23">
        <f>X19+'25.05'!Y19</f>
        <v>433</v>
      </c>
      <c r="Z19" s="33">
        <v>7</v>
      </c>
      <c r="AA19" s="22">
        <v>0</v>
      </c>
      <c r="AB19" s="23">
        <f>AA19+'25.05'!AB19</f>
        <v>0</v>
      </c>
      <c r="AC19" s="33">
        <v>32</v>
      </c>
      <c r="AD19" s="22">
        <v>0</v>
      </c>
      <c r="AE19" s="23">
        <f>AD19+'25.05'!AE19</f>
        <v>88</v>
      </c>
      <c r="AF19" s="19">
        <f t="shared" si="1"/>
        <v>2870</v>
      </c>
      <c r="AG19" s="20">
        <f t="shared" si="1"/>
        <v>80930</v>
      </c>
      <c r="AH19" s="24">
        <v>515</v>
      </c>
      <c r="AI19" s="23">
        <f>AH19+'25.05'!AI19</f>
        <v>13275</v>
      </c>
      <c r="AJ19" s="24">
        <v>515</v>
      </c>
      <c r="AK19" s="23">
        <f>AJ19+'25.05'!AK19</f>
        <v>13525</v>
      </c>
      <c r="AL19" s="22">
        <v>920</v>
      </c>
      <c r="AM19" s="23">
        <f>AL19+'25.05'!AM19</f>
        <v>27065</v>
      </c>
      <c r="AN19" s="22">
        <v>920</v>
      </c>
      <c r="AO19" s="23">
        <f>AN19+'25.05'!AO19</f>
        <v>27065</v>
      </c>
      <c r="AP19" s="28" t="s">
        <v>54</v>
      </c>
      <c r="AQ19" s="19">
        <f t="shared" si="3"/>
        <v>0</v>
      </c>
      <c r="AR19" s="20">
        <f t="shared" si="3"/>
        <v>6</v>
      </c>
      <c r="AS19" s="34">
        <v>0</v>
      </c>
      <c r="AT19" s="23">
        <f>AS19+'25.05'!AT19</f>
        <v>0</v>
      </c>
      <c r="AU19" s="34">
        <v>0</v>
      </c>
      <c r="AV19" s="23">
        <f>AU19+'25.05'!AV19</f>
        <v>5</v>
      </c>
      <c r="AW19" s="34">
        <v>0</v>
      </c>
      <c r="AX19" s="23">
        <f>AW19+'25.05'!AX19</f>
        <v>1</v>
      </c>
      <c r="AY19" s="34">
        <v>0</v>
      </c>
      <c r="AZ19" s="23">
        <f>AY19+'25.05'!AZ19</f>
        <v>0</v>
      </c>
      <c r="BA19" s="34">
        <v>0</v>
      </c>
      <c r="BB19" s="23">
        <f>BA19+'25.05'!BB19</f>
        <v>0</v>
      </c>
      <c r="BC19" s="19">
        <f t="shared" si="5"/>
        <v>1016</v>
      </c>
      <c r="BD19" s="20">
        <f t="shared" si="5"/>
        <v>27232</v>
      </c>
      <c r="BE19" s="22">
        <v>12</v>
      </c>
      <c r="BF19" s="23">
        <f>BE19+'25.05'!BF19</f>
        <v>352</v>
      </c>
      <c r="BG19" s="34">
        <v>0</v>
      </c>
      <c r="BH19" s="23">
        <f>BG19+'25.05'!BH19</f>
        <v>9</v>
      </c>
      <c r="BI19" s="22">
        <v>900</v>
      </c>
      <c r="BJ19" s="23">
        <f>BI19+'25.05'!BJ19</f>
        <v>23700</v>
      </c>
      <c r="BK19" s="22">
        <v>100</v>
      </c>
      <c r="BL19" s="23">
        <f>BK19+'25.05'!BL19</f>
        <v>3020</v>
      </c>
      <c r="BM19" s="22">
        <v>4</v>
      </c>
      <c r="BN19" s="23">
        <f>BM19+'25.05'!BN19</f>
        <v>151</v>
      </c>
      <c r="BO19" s="36">
        <v>2898</v>
      </c>
      <c r="BP19" s="37">
        <v>0</v>
      </c>
      <c r="BQ19" s="23">
        <f>BP19+'25.05'!BQ19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217</v>
      </c>
      <c r="D20" s="31">
        <f t="shared" si="0"/>
        <v>6222</v>
      </c>
      <c r="E20" s="32">
        <v>723</v>
      </c>
      <c r="F20" s="22">
        <v>85</v>
      </c>
      <c r="G20" s="23">
        <f>F20+'25.05'!G20</f>
        <v>2964</v>
      </c>
      <c r="H20" s="33">
        <v>5</v>
      </c>
      <c r="I20" s="34">
        <v>1</v>
      </c>
      <c r="J20" s="23">
        <f>I20+'25.05'!J20</f>
        <v>26</v>
      </c>
      <c r="K20" s="33">
        <v>3</v>
      </c>
      <c r="L20" s="22">
        <v>0</v>
      </c>
      <c r="M20" s="23">
        <f>L20+'25.05'!M20</f>
        <v>0</v>
      </c>
      <c r="N20" s="33">
        <v>975</v>
      </c>
      <c r="O20" s="22">
        <v>58</v>
      </c>
      <c r="P20" s="23">
        <f>O20+'25.05'!P20</f>
        <v>1534</v>
      </c>
      <c r="Q20" s="61">
        <v>1862</v>
      </c>
      <c r="R20" s="22">
        <v>1</v>
      </c>
      <c r="S20" s="23">
        <f>R20+'25.05'!S20</f>
        <v>28</v>
      </c>
      <c r="T20" s="33">
        <v>35</v>
      </c>
      <c r="U20" s="22">
        <v>1</v>
      </c>
      <c r="V20" s="23">
        <f>U20+'25.05'!V20</f>
        <v>26</v>
      </c>
      <c r="W20" s="33">
        <v>64</v>
      </c>
      <c r="X20" s="22">
        <v>1</v>
      </c>
      <c r="Y20" s="23">
        <f>X20+'25.05'!Y20</f>
        <v>28</v>
      </c>
      <c r="Z20" s="33">
        <v>15</v>
      </c>
      <c r="AA20" s="22">
        <v>1</v>
      </c>
      <c r="AB20" s="23">
        <f>AA20+'25.05'!AB20</f>
        <v>31</v>
      </c>
      <c r="AC20" s="33">
        <v>1546</v>
      </c>
      <c r="AD20" s="22">
        <v>69</v>
      </c>
      <c r="AE20" s="23">
        <f>AD20+'25.05'!AE20</f>
        <v>1585</v>
      </c>
      <c r="AF20" s="19">
        <f t="shared" si="1"/>
        <v>17440</v>
      </c>
      <c r="AG20" s="20">
        <f t="shared" si="1"/>
        <v>477474</v>
      </c>
      <c r="AH20" s="24">
        <v>8650</v>
      </c>
      <c r="AI20" s="23">
        <f>AH20+'25.05'!AI20</f>
        <v>217264</v>
      </c>
      <c r="AJ20" s="24">
        <v>7790</v>
      </c>
      <c r="AK20" s="23">
        <f>AJ20+'25.05'!AK20</f>
        <v>237700</v>
      </c>
      <c r="AL20" s="22">
        <v>500</v>
      </c>
      <c r="AM20" s="23">
        <f>AL20+'25.05'!AM20</f>
        <v>12250</v>
      </c>
      <c r="AN20" s="22">
        <v>500</v>
      </c>
      <c r="AO20" s="23">
        <f>AN20+'25.05'!AO20</f>
        <v>10260</v>
      </c>
      <c r="AP20" s="28" t="s">
        <v>55</v>
      </c>
      <c r="AQ20" s="19">
        <f t="shared" si="3"/>
        <v>33</v>
      </c>
      <c r="AR20" s="20">
        <f t="shared" si="3"/>
        <v>3406</v>
      </c>
      <c r="AS20" s="34">
        <v>1</v>
      </c>
      <c r="AT20" s="23">
        <f>AS20+'25.05'!AT20</f>
        <v>26</v>
      </c>
      <c r="AU20" s="34">
        <v>0</v>
      </c>
      <c r="AV20" s="23">
        <f>AU20+'25.05'!AV20</f>
        <v>0</v>
      </c>
      <c r="AW20" s="34">
        <v>0</v>
      </c>
      <c r="AX20" s="23">
        <f>AW20+'25.05'!AX20</f>
        <v>0</v>
      </c>
      <c r="AY20" s="34">
        <v>0</v>
      </c>
      <c r="AZ20" s="23">
        <f>AY20+'25.05'!AZ20</f>
        <v>0</v>
      </c>
      <c r="BA20" s="34">
        <v>32</v>
      </c>
      <c r="BB20" s="23">
        <f>BA20+'25.05'!BB20</f>
        <v>3380</v>
      </c>
      <c r="BC20" s="19">
        <f t="shared" si="5"/>
        <v>3598</v>
      </c>
      <c r="BD20" s="20">
        <f t="shared" si="5"/>
        <v>90701</v>
      </c>
      <c r="BE20" s="22">
        <v>2</v>
      </c>
      <c r="BF20" s="23">
        <f>BE20+'25.05'!BF20</f>
        <v>52</v>
      </c>
      <c r="BG20" s="34">
        <v>0</v>
      </c>
      <c r="BH20" s="23">
        <f>BG20+'25.05'!BH20</f>
        <v>0</v>
      </c>
      <c r="BI20" s="22">
        <v>1490</v>
      </c>
      <c r="BJ20" s="23">
        <f>BI20+'25.05'!BJ20</f>
        <v>44213</v>
      </c>
      <c r="BK20" s="22">
        <v>2105</v>
      </c>
      <c r="BL20" s="23">
        <f>BK20+'25.05'!BL20</f>
        <v>46380</v>
      </c>
      <c r="BM20" s="22">
        <v>1</v>
      </c>
      <c r="BN20" s="23">
        <f>BM20+'25.05'!BN20</f>
        <v>56</v>
      </c>
      <c r="BO20" s="36">
        <v>5854</v>
      </c>
      <c r="BP20" s="37">
        <v>0</v>
      </c>
      <c r="BQ20" s="23">
        <f>BP20+'25.05'!BQ20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178</v>
      </c>
      <c r="D21" s="31">
        <f t="shared" si="0"/>
        <v>5370</v>
      </c>
      <c r="E21" s="32">
        <v>1017</v>
      </c>
      <c r="F21" s="22">
        <v>160</v>
      </c>
      <c r="G21" s="23">
        <f>F21+'25.05'!G21</f>
        <v>3879</v>
      </c>
      <c r="H21" s="33">
        <v>8</v>
      </c>
      <c r="I21" s="34">
        <v>0</v>
      </c>
      <c r="J21" s="23">
        <f>I21+'25.05'!J21</f>
        <v>137</v>
      </c>
      <c r="K21" s="33">
        <v>4</v>
      </c>
      <c r="L21" s="22">
        <v>0</v>
      </c>
      <c r="M21" s="23">
        <f>L21+'25.05'!M21</f>
        <v>21</v>
      </c>
      <c r="N21" s="33">
        <v>963</v>
      </c>
      <c r="O21" s="22">
        <v>0</v>
      </c>
      <c r="P21" s="23">
        <f>O21+'25.05'!P21</f>
        <v>57</v>
      </c>
      <c r="Q21" s="33">
        <v>912</v>
      </c>
      <c r="R21" s="22">
        <v>0</v>
      </c>
      <c r="S21" s="23">
        <f>R21+'25.05'!S21</f>
        <v>0</v>
      </c>
      <c r="T21" s="33">
        <v>199</v>
      </c>
      <c r="U21" s="22">
        <v>0</v>
      </c>
      <c r="V21" s="23">
        <f>U21+'25.05'!V21</f>
        <v>100</v>
      </c>
      <c r="W21" s="33">
        <v>101</v>
      </c>
      <c r="X21" s="22">
        <v>8</v>
      </c>
      <c r="Y21" s="23">
        <f>X21+'25.05'!Y21</f>
        <v>312</v>
      </c>
      <c r="Z21" s="33">
        <v>42</v>
      </c>
      <c r="AA21" s="22">
        <v>0</v>
      </c>
      <c r="AB21" s="23">
        <f>AA21+'25.05'!AB21</f>
        <v>2</v>
      </c>
      <c r="AC21" s="33">
        <v>20</v>
      </c>
      <c r="AD21" s="22">
        <v>10</v>
      </c>
      <c r="AE21" s="23">
        <f>AD21+'25.05'!AE21</f>
        <v>862</v>
      </c>
      <c r="AF21" s="19">
        <f t="shared" si="1"/>
        <v>1200000</v>
      </c>
      <c r="AG21" s="20">
        <f t="shared" si="1"/>
        <v>29025440</v>
      </c>
      <c r="AH21" s="24">
        <v>1000</v>
      </c>
      <c r="AI21" s="23">
        <f>AH21+'25.05'!AI21</f>
        <v>31110</v>
      </c>
      <c r="AJ21" s="24">
        <v>199000</v>
      </c>
      <c r="AK21" s="23">
        <f>AJ21+'25.05'!AK21</f>
        <v>4759000</v>
      </c>
      <c r="AL21" s="22">
        <v>10000</v>
      </c>
      <c r="AM21" s="23">
        <f>AL21+'25.05'!AM21</f>
        <v>83630</v>
      </c>
      <c r="AN21" s="22">
        <v>990000</v>
      </c>
      <c r="AO21" s="23">
        <f>AN21+'25.05'!AO21</f>
        <v>24151700</v>
      </c>
      <c r="AP21" s="28" t="s">
        <v>58</v>
      </c>
      <c r="AQ21" s="19">
        <f t="shared" si="3"/>
        <v>7</v>
      </c>
      <c r="AR21" s="20">
        <f t="shared" si="3"/>
        <v>126</v>
      </c>
      <c r="AS21" s="34">
        <v>0</v>
      </c>
      <c r="AT21" s="23">
        <f>AS21+'25.05'!AT21</f>
        <v>3</v>
      </c>
      <c r="AU21" s="34">
        <v>5</v>
      </c>
      <c r="AV21" s="23">
        <f>AU21+'25.05'!AV21</f>
        <v>34</v>
      </c>
      <c r="AW21" s="34">
        <v>0</v>
      </c>
      <c r="AX21" s="23">
        <f>AW21+'25.05'!AX21</f>
        <v>1</v>
      </c>
      <c r="AY21" s="34">
        <v>0</v>
      </c>
      <c r="AZ21" s="23">
        <f>AY21+'25.05'!AZ21</f>
        <v>0</v>
      </c>
      <c r="BA21" s="34">
        <v>2</v>
      </c>
      <c r="BB21" s="23">
        <f>BA21+'25.05'!BB21</f>
        <v>88</v>
      </c>
      <c r="BC21" s="19">
        <f t="shared" si="5"/>
        <v>1565</v>
      </c>
      <c r="BD21" s="20">
        <f t="shared" si="5"/>
        <v>40651</v>
      </c>
      <c r="BE21" s="22">
        <v>55</v>
      </c>
      <c r="BF21" s="23">
        <f>BE21+'25.05'!BF21</f>
        <v>1369</v>
      </c>
      <c r="BG21" s="34">
        <v>0</v>
      </c>
      <c r="BH21" s="23">
        <f>BG21+'25.05'!BH21</f>
        <v>0</v>
      </c>
      <c r="BI21" s="22">
        <v>1500</v>
      </c>
      <c r="BJ21" s="23">
        <f>BI21+'25.05'!BJ21</f>
        <v>39050</v>
      </c>
      <c r="BK21" s="22">
        <v>0</v>
      </c>
      <c r="BL21" s="23">
        <f>BK21+'25.05'!BL21</f>
        <v>0</v>
      </c>
      <c r="BM21" s="22">
        <v>10</v>
      </c>
      <c r="BN21" s="23">
        <f>BM21+'25.05'!BN21</f>
        <v>232</v>
      </c>
      <c r="BO21" s="36">
        <v>68</v>
      </c>
      <c r="BP21" s="37">
        <v>0</v>
      </c>
      <c r="BQ21" s="23">
        <f>BP21+'25.05'!BQ21</f>
        <v>32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2277</v>
      </c>
      <c r="D22" s="31">
        <f t="shared" si="0"/>
        <v>54384</v>
      </c>
      <c r="E22" s="32">
        <v>509</v>
      </c>
      <c r="F22" s="22">
        <v>415</v>
      </c>
      <c r="G22" s="23">
        <f>F22+'25.05'!G22</f>
        <v>9061</v>
      </c>
      <c r="H22" s="33">
        <v>8</v>
      </c>
      <c r="I22" s="34">
        <v>0</v>
      </c>
      <c r="J22" s="23">
        <f>I22+'25.05'!J22</f>
        <v>24</v>
      </c>
      <c r="K22" s="33">
        <v>21</v>
      </c>
      <c r="L22" s="22">
        <v>0</v>
      </c>
      <c r="M22" s="23">
        <f>L22+'25.05'!M22</f>
        <v>0</v>
      </c>
      <c r="N22" s="33">
        <v>560</v>
      </c>
      <c r="O22" s="22">
        <v>48</v>
      </c>
      <c r="P22" s="23">
        <f>O22+'25.05'!P22</f>
        <v>1361</v>
      </c>
      <c r="Q22" s="33">
        <v>375</v>
      </c>
      <c r="R22" s="22">
        <v>0</v>
      </c>
      <c r="S22" s="23">
        <f>R22+'25.05'!S22</f>
        <v>0</v>
      </c>
      <c r="T22" s="33">
        <v>165</v>
      </c>
      <c r="U22" s="22">
        <v>34</v>
      </c>
      <c r="V22" s="23">
        <f>U22+'25.05'!V22</f>
        <v>612</v>
      </c>
      <c r="W22" s="33">
        <v>28</v>
      </c>
      <c r="X22" s="22">
        <v>100</v>
      </c>
      <c r="Y22" s="23">
        <f>X22+'25.05'!Y22</f>
        <v>2162</v>
      </c>
      <c r="Z22" s="33">
        <v>9</v>
      </c>
      <c r="AA22" s="22">
        <v>0</v>
      </c>
      <c r="AB22" s="23">
        <f>AA22+'25.05'!AB22</f>
        <v>0</v>
      </c>
      <c r="AC22" s="33">
        <v>112</v>
      </c>
      <c r="AD22" s="22">
        <v>1680</v>
      </c>
      <c r="AE22" s="23">
        <f>AD22+'25.05'!AE22</f>
        <v>41164</v>
      </c>
      <c r="AF22" s="19">
        <f t="shared" si="1"/>
        <v>421763</v>
      </c>
      <c r="AG22" s="20">
        <f t="shared" si="1"/>
        <v>10654746</v>
      </c>
      <c r="AH22" s="24">
        <v>1235</v>
      </c>
      <c r="AI22" s="23">
        <f>AH22+'25.05'!AI22</f>
        <v>55242</v>
      </c>
      <c r="AJ22" s="24">
        <v>8093</v>
      </c>
      <c r="AK22" s="23">
        <f>AJ22+'25.05'!AK22</f>
        <v>178246</v>
      </c>
      <c r="AL22" s="22">
        <v>14700</v>
      </c>
      <c r="AM22" s="23">
        <f>AL22+'25.05'!AM22</f>
        <v>297712</v>
      </c>
      <c r="AN22" s="22">
        <v>397735</v>
      </c>
      <c r="AO22" s="23">
        <f>AN22+'25.05'!AO22</f>
        <v>10123546</v>
      </c>
      <c r="AP22" s="28" t="s">
        <v>59</v>
      </c>
      <c r="AQ22" s="19">
        <f t="shared" si="3"/>
        <v>495</v>
      </c>
      <c r="AR22" s="20">
        <f t="shared" si="3"/>
        <v>38633</v>
      </c>
      <c r="AS22" s="34">
        <v>1</v>
      </c>
      <c r="AT22" s="23">
        <f>AS22+'25.05'!AT22</f>
        <v>13</v>
      </c>
      <c r="AU22" s="34">
        <v>1</v>
      </c>
      <c r="AV22" s="23">
        <f>AU22+'25.05'!AV22</f>
        <v>11</v>
      </c>
      <c r="AW22" s="34">
        <v>0</v>
      </c>
      <c r="AX22" s="23">
        <f>AW22+'25.05'!AX22</f>
        <v>2</v>
      </c>
      <c r="AY22" s="34">
        <v>0</v>
      </c>
      <c r="AZ22" s="23">
        <f>AY22+'25.05'!AZ22</f>
        <v>1</v>
      </c>
      <c r="BA22" s="34">
        <v>493</v>
      </c>
      <c r="BB22" s="23">
        <f>BA22+'25.05'!BB22</f>
        <v>38606</v>
      </c>
      <c r="BC22" s="19">
        <f t="shared" si="5"/>
        <v>7314</v>
      </c>
      <c r="BD22" s="20">
        <f t="shared" si="5"/>
        <v>177228</v>
      </c>
      <c r="BE22" s="22">
        <v>10</v>
      </c>
      <c r="BF22" s="23">
        <f>BE22+'25.05'!BF22</f>
        <v>158</v>
      </c>
      <c r="BG22" s="34">
        <v>75</v>
      </c>
      <c r="BH22" s="23">
        <f>BG22+'25.05'!BH22</f>
        <v>1618</v>
      </c>
      <c r="BI22" s="22">
        <v>3344</v>
      </c>
      <c r="BJ22" s="23">
        <f>BI22+'25.05'!BJ22</f>
        <v>111621</v>
      </c>
      <c r="BK22" s="22">
        <v>3821</v>
      </c>
      <c r="BL22" s="23">
        <f>BK22+'25.05'!BL22</f>
        <v>62335</v>
      </c>
      <c r="BM22" s="22">
        <v>64</v>
      </c>
      <c r="BN22" s="23">
        <f>BM22+'25.05'!BN22</f>
        <v>1496</v>
      </c>
      <c r="BO22" s="36">
        <v>26</v>
      </c>
      <c r="BP22" s="37">
        <v>2</v>
      </c>
      <c r="BQ22" s="23">
        <f>BP22+'25.05'!BQ22</f>
        <v>1722</v>
      </c>
    </row>
    <row r="23" spans="1:69" ht="27.75" customHeight="1" thickBot="1">
      <c r="A23" s="62" t="s">
        <v>12</v>
      </c>
      <c r="B23" s="63">
        <f t="shared" si="0"/>
        <v>94991</v>
      </c>
      <c r="C23" s="64">
        <f t="shared" si="0"/>
        <v>4335</v>
      </c>
      <c r="D23" s="65">
        <f t="shared" si="0"/>
        <v>106375</v>
      </c>
      <c r="E23" s="66">
        <f>+E18+E19+E22+E17+E16+E15+E14+E13+E12+E11+E10+E9+E8</f>
        <v>7282</v>
      </c>
      <c r="F23" s="67">
        <f t="shared" ref="F23:J23" si="7">SUM(F8:F22)</f>
        <v>1583</v>
      </c>
      <c r="G23" s="68">
        <f t="shared" si="7"/>
        <v>39134</v>
      </c>
      <c r="H23" s="66">
        <f>+H18+H19+H22+H17+H16+H15+H14+H13+H12+H11+H10+H9+H8</f>
        <v>271</v>
      </c>
      <c r="I23" s="67">
        <f t="shared" si="7"/>
        <v>10</v>
      </c>
      <c r="J23" s="68">
        <f t="shared" si="7"/>
        <v>333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144</v>
      </c>
      <c r="P23" s="68">
        <f t="shared" si="8"/>
        <v>3956</v>
      </c>
      <c r="Q23" s="66">
        <f>+Q18+Q19+Q22+Q17+Q16+Q15+Q14+Q13+Q12+Q11+Q10+Q9+Q8</f>
        <v>7474</v>
      </c>
      <c r="R23" s="67">
        <f t="shared" ref="R23:V23" si="9">SUM(R8:R22)</f>
        <v>4</v>
      </c>
      <c r="S23" s="68">
        <f t="shared" si="9"/>
        <v>179</v>
      </c>
      <c r="T23" s="66">
        <f>+T18+T19+T22+T17+T16+T15+T14+T13+T12+T11+T10+T9+T8</f>
        <v>4115</v>
      </c>
      <c r="U23" s="67">
        <f t="shared" si="9"/>
        <v>43</v>
      </c>
      <c r="V23" s="68">
        <f t="shared" si="9"/>
        <v>942</v>
      </c>
      <c r="W23" s="66">
        <f>+W18+W19+W22+W17+W16+W15+W14+W13+W12+W11+W10+W9+W8</f>
        <v>604</v>
      </c>
      <c r="X23" s="67">
        <f t="shared" ref="X23:AB23" si="10">SUM(X8:X22)</f>
        <v>528</v>
      </c>
      <c r="Y23" s="68">
        <f t="shared" si="10"/>
        <v>10950</v>
      </c>
      <c r="Z23" s="66">
        <f>+Z18+Z19+Z22+Z17+Z16+Z15+Z14+Z13+Z12+Z11+Z10+Z9+Z8</f>
        <v>1629</v>
      </c>
      <c r="AA23" s="67">
        <f t="shared" si="10"/>
        <v>3</v>
      </c>
      <c r="AB23" s="68">
        <f t="shared" si="10"/>
        <v>84</v>
      </c>
      <c r="AC23" s="66">
        <f>+AC18+AC19+AC22+AC17+AC16+AC15+AC14+AC13+AC12+AC11+AC10+AC9+AC8</f>
        <v>64846</v>
      </c>
      <c r="AD23" s="67">
        <f t="shared" ref="AD23:AO23" si="11">SUM(AD8:AD22)</f>
        <v>2020</v>
      </c>
      <c r="AE23" s="68">
        <f t="shared" si="11"/>
        <v>50757</v>
      </c>
      <c r="AF23" s="64">
        <f t="shared" si="11"/>
        <v>4215864</v>
      </c>
      <c r="AG23" s="64">
        <f t="shared" si="11"/>
        <v>116127317</v>
      </c>
      <c r="AH23" s="67">
        <f t="shared" si="11"/>
        <v>27674</v>
      </c>
      <c r="AI23" s="68">
        <f t="shared" si="11"/>
        <v>839667</v>
      </c>
      <c r="AJ23" s="67">
        <f t="shared" si="11"/>
        <v>264455</v>
      </c>
      <c r="AK23" s="68">
        <f t="shared" si="11"/>
        <v>6641776</v>
      </c>
      <c r="AL23" s="67">
        <f t="shared" si="11"/>
        <v>991674</v>
      </c>
      <c r="AM23" s="68">
        <f t="shared" si="11"/>
        <v>34627752</v>
      </c>
      <c r="AN23" s="67">
        <f t="shared" si="11"/>
        <v>2932061</v>
      </c>
      <c r="AO23" s="68">
        <f t="shared" si="11"/>
        <v>74018122</v>
      </c>
      <c r="AP23" s="62" t="s">
        <v>12</v>
      </c>
      <c r="AQ23" s="64">
        <f t="shared" ref="AQ23:BP23" si="12">SUM(AQ8:AQ22)</f>
        <v>788</v>
      </c>
      <c r="AR23" s="64">
        <f t="shared" si="12"/>
        <v>50973</v>
      </c>
      <c r="AS23" s="67">
        <f t="shared" si="12"/>
        <v>5</v>
      </c>
      <c r="AT23" s="68">
        <f t="shared" si="12"/>
        <v>120</v>
      </c>
      <c r="AU23" s="67">
        <f t="shared" si="12"/>
        <v>10</v>
      </c>
      <c r="AV23" s="68">
        <f t="shared" si="12"/>
        <v>150</v>
      </c>
      <c r="AW23" s="67">
        <f t="shared" si="12"/>
        <v>1</v>
      </c>
      <c r="AX23" s="68">
        <f t="shared" si="12"/>
        <v>24</v>
      </c>
      <c r="AY23" s="67">
        <f t="shared" si="12"/>
        <v>1</v>
      </c>
      <c r="AZ23" s="68">
        <f t="shared" si="12"/>
        <v>5</v>
      </c>
      <c r="BA23" s="67">
        <f t="shared" si="12"/>
        <v>771</v>
      </c>
      <c r="BB23" s="68">
        <f t="shared" si="12"/>
        <v>50674</v>
      </c>
      <c r="BC23" s="64">
        <f t="shared" si="12"/>
        <v>37073</v>
      </c>
      <c r="BD23" s="64">
        <f t="shared" si="12"/>
        <v>1050774</v>
      </c>
      <c r="BE23" s="67">
        <f t="shared" si="12"/>
        <v>1566</v>
      </c>
      <c r="BF23" s="68">
        <f t="shared" si="12"/>
        <v>38741</v>
      </c>
      <c r="BG23" s="67">
        <f t="shared" si="12"/>
        <v>130</v>
      </c>
      <c r="BH23" s="68">
        <f t="shared" si="12"/>
        <v>3373</v>
      </c>
      <c r="BI23" s="67">
        <f t="shared" si="12"/>
        <v>26832</v>
      </c>
      <c r="BJ23" s="68">
        <f t="shared" si="12"/>
        <v>805570</v>
      </c>
      <c r="BK23" s="67">
        <f t="shared" si="12"/>
        <v>8343</v>
      </c>
      <c r="BL23" s="68">
        <f t="shared" si="12"/>
        <v>197304</v>
      </c>
      <c r="BM23" s="67">
        <f t="shared" si="12"/>
        <v>202</v>
      </c>
      <c r="BN23" s="68">
        <f t="shared" si="12"/>
        <v>5786</v>
      </c>
      <c r="BO23" s="69">
        <f t="shared" si="12"/>
        <v>37704</v>
      </c>
      <c r="BP23" s="70">
        <f t="shared" si="12"/>
        <v>10</v>
      </c>
      <c r="BQ23" s="23">
        <f>BP23+'20.04'!BP23</f>
        <v>36</v>
      </c>
    </row>
  </sheetData>
  <mergeCells count="44">
    <mergeCell ref="BM6:BN6"/>
    <mergeCell ref="BO6:BQ6"/>
    <mergeCell ref="BA6:BB6"/>
    <mergeCell ref="BC6:BD6"/>
    <mergeCell ref="BE6:BF6"/>
    <mergeCell ref="BG6:BH6"/>
    <mergeCell ref="BI6:BJ6"/>
    <mergeCell ref="BK6:BL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A1:AO1"/>
    <mergeCell ref="AP1:BQ1"/>
    <mergeCell ref="A2:AO2"/>
    <mergeCell ref="AP2:BQ2"/>
    <mergeCell ref="A3:AO3"/>
    <mergeCell ref="AP3:BQ3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030A0"/>
  </sheetPr>
  <dimension ref="A1:BQ23"/>
  <sheetViews>
    <sheetView zoomScale="85" zoomScaleNormal="85" workbookViewId="0">
      <pane xSplit="4" ySplit="8" topLeftCell="H12" activePane="bottomRight" state="frozen"/>
      <selection activeCell="BP12" sqref="BP12"/>
      <selection pane="topRight" activeCell="BP12" sqref="BP12"/>
      <selection pane="bottomLeft" activeCell="BP12" sqref="BP12"/>
      <selection pane="bottomRight" activeCell="BC19" sqref="BC19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79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6</v>
      </c>
      <c r="D9" s="31">
        <f t="shared" si="0"/>
        <v>131</v>
      </c>
      <c r="E9" s="32">
        <v>452</v>
      </c>
      <c r="F9" s="22">
        <v>1</v>
      </c>
      <c r="G9" s="23">
        <f>F9+'26.05'!G9</f>
        <v>66</v>
      </c>
      <c r="H9" s="33">
        <v>12</v>
      </c>
      <c r="I9" s="34">
        <v>2</v>
      </c>
      <c r="J9" s="23">
        <f>I9+'26.05'!J9</f>
        <v>21</v>
      </c>
      <c r="K9" s="33">
        <v>2</v>
      </c>
      <c r="L9" s="22">
        <v>0</v>
      </c>
      <c r="M9" s="23">
        <f>L9+'26.05'!M9</f>
        <v>0</v>
      </c>
      <c r="N9" s="33">
        <v>735</v>
      </c>
      <c r="O9" s="22">
        <v>0</v>
      </c>
      <c r="P9" s="23">
        <f>O9+'26.05'!P9</f>
        <v>0</v>
      </c>
      <c r="Q9" s="33">
        <v>502</v>
      </c>
      <c r="R9" s="22">
        <v>0</v>
      </c>
      <c r="S9" s="23">
        <f>R9+'26.05'!S9</f>
        <v>0</v>
      </c>
      <c r="T9" s="33">
        <v>197</v>
      </c>
      <c r="U9" s="22">
        <v>0</v>
      </c>
      <c r="V9" s="23">
        <f>U9+'26.05'!V9</f>
        <v>0</v>
      </c>
      <c r="W9" s="33">
        <v>47</v>
      </c>
      <c r="X9" s="22">
        <v>0</v>
      </c>
      <c r="Y9" s="23">
        <f>X9+'26.05'!Y9</f>
        <v>22</v>
      </c>
      <c r="Z9" s="33">
        <v>34</v>
      </c>
      <c r="AA9" s="22">
        <v>0</v>
      </c>
      <c r="AB9" s="23">
        <f>AA9+'26.05'!AB9</f>
        <v>0</v>
      </c>
      <c r="AC9" s="33">
        <v>1860</v>
      </c>
      <c r="AD9" s="22">
        <v>3</v>
      </c>
      <c r="AE9" s="23">
        <f>AD9+'26.05'!AE9</f>
        <v>22</v>
      </c>
      <c r="AF9" s="19">
        <f t="shared" si="1"/>
        <v>9650</v>
      </c>
      <c r="AG9" s="20">
        <f t="shared" si="1"/>
        <v>229366</v>
      </c>
      <c r="AH9" s="24">
        <v>100</v>
      </c>
      <c r="AI9" s="23">
        <f>AH9+'26.05'!AI9</f>
        <v>3101</v>
      </c>
      <c r="AJ9" s="24">
        <v>1150</v>
      </c>
      <c r="AK9" s="23">
        <f>AJ9+'26.05'!AK9</f>
        <v>20612</v>
      </c>
      <c r="AL9" s="22">
        <v>900</v>
      </c>
      <c r="AM9" s="23">
        <f>AL9+'26.05'!AM9</f>
        <v>37285</v>
      </c>
      <c r="AN9" s="22">
        <v>7500</v>
      </c>
      <c r="AO9" s="23">
        <f>AN9+'26.05'!AO9</f>
        <v>168368</v>
      </c>
      <c r="AP9" s="28" t="s">
        <v>43</v>
      </c>
      <c r="AQ9" s="19">
        <f t="shared" si="3"/>
        <v>123</v>
      </c>
      <c r="AR9" s="20">
        <f t="shared" si="3"/>
        <v>3249</v>
      </c>
      <c r="AS9" s="34">
        <v>1</v>
      </c>
      <c r="AT9" s="23">
        <f>AS9+'26.05'!AT9</f>
        <v>13</v>
      </c>
      <c r="AU9" s="34">
        <v>0</v>
      </c>
      <c r="AV9" s="23">
        <f>AU9+'26.05'!AV9</f>
        <v>12</v>
      </c>
      <c r="AW9" s="34">
        <v>0</v>
      </c>
      <c r="AX9" s="23">
        <f>AW9+'26.05'!AX9</f>
        <v>7</v>
      </c>
      <c r="AY9" s="34">
        <v>0</v>
      </c>
      <c r="AZ9" s="23">
        <f>AY9+'26.05'!AZ9</f>
        <v>0</v>
      </c>
      <c r="BA9" s="34">
        <v>122</v>
      </c>
      <c r="BB9" s="23">
        <f>BA9+'26.05'!BB9</f>
        <v>3217</v>
      </c>
      <c r="BC9" s="19">
        <f t="shared" si="5"/>
        <v>502</v>
      </c>
      <c r="BD9" s="20">
        <f t="shared" si="5"/>
        <v>11831</v>
      </c>
      <c r="BE9" s="22">
        <v>2</v>
      </c>
      <c r="BF9" s="23">
        <f>BE9+'26.05'!BF9</f>
        <v>37</v>
      </c>
      <c r="BG9" s="34">
        <v>0</v>
      </c>
      <c r="BH9" s="23">
        <f>BG9+'26.05'!BH9</f>
        <v>0</v>
      </c>
      <c r="BI9" s="22">
        <v>500</v>
      </c>
      <c r="BJ9" s="23">
        <f>BI9+'26.05'!BJ9</f>
        <v>11760</v>
      </c>
      <c r="BK9" s="22">
        <v>0</v>
      </c>
      <c r="BL9" s="23">
        <f>BK9+'26.05'!BL9</f>
        <v>0</v>
      </c>
      <c r="BM9" s="22">
        <v>0</v>
      </c>
      <c r="BN9" s="23">
        <f>BM9+'26.05'!BN9</f>
        <v>34</v>
      </c>
      <c r="BO9" s="36">
        <v>14</v>
      </c>
      <c r="BP9" s="37">
        <v>0</v>
      </c>
      <c r="BQ9" s="23">
        <f>BP9+'26.05'!BQ9</f>
        <v>7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0</v>
      </c>
      <c r="D10" s="31">
        <f t="shared" si="0"/>
        <v>3028</v>
      </c>
      <c r="E10" s="32">
        <v>585</v>
      </c>
      <c r="F10" s="22">
        <v>0</v>
      </c>
      <c r="G10" s="23">
        <f>F10+'26.05'!G10</f>
        <v>313</v>
      </c>
      <c r="H10" s="33">
        <v>93</v>
      </c>
      <c r="I10" s="34">
        <v>0</v>
      </c>
      <c r="J10" s="23">
        <f>I10+'26.05'!J10</f>
        <v>42</v>
      </c>
      <c r="K10" s="33">
        <v>34</v>
      </c>
      <c r="L10" s="22">
        <v>0</v>
      </c>
      <c r="M10" s="23">
        <f>L10+'26.05'!M10</f>
        <v>19</v>
      </c>
      <c r="N10" s="33">
        <v>352</v>
      </c>
      <c r="O10" s="22">
        <v>0</v>
      </c>
      <c r="P10" s="23">
        <f>O10+'26.05'!P10</f>
        <v>267</v>
      </c>
      <c r="Q10" s="33">
        <v>549</v>
      </c>
      <c r="R10" s="22">
        <v>0</v>
      </c>
      <c r="S10" s="23">
        <f>R10+'26.05'!S10</f>
        <v>151</v>
      </c>
      <c r="T10" s="33">
        <v>198</v>
      </c>
      <c r="U10" s="22">
        <v>0</v>
      </c>
      <c r="V10" s="23">
        <f>U10+'26.05'!V10</f>
        <v>123</v>
      </c>
      <c r="W10" s="38">
        <v>55</v>
      </c>
      <c r="X10" s="22">
        <v>0</v>
      </c>
      <c r="Y10" s="23">
        <f>X10+'26.05'!Y10</f>
        <v>87</v>
      </c>
      <c r="Z10" s="38">
        <v>71</v>
      </c>
      <c r="AA10" s="22">
        <v>0</v>
      </c>
      <c r="AB10" s="23">
        <f>AA10+'26.05'!AB10</f>
        <v>41</v>
      </c>
      <c r="AC10" s="38">
        <v>1690</v>
      </c>
      <c r="AD10" s="22">
        <v>0</v>
      </c>
      <c r="AE10" s="23">
        <f>AD10+'26.05'!AE10</f>
        <v>1985</v>
      </c>
      <c r="AF10" s="19">
        <f t="shared" si="1"/>
        <v>0</v>
      </c>
      <c r="AG10" s="20">
        <f t="shared" si="1"/>
        <v>2801218</v>
      </c>
      <c r="AH10" s="24">
        <v>0</v>
      </c>
      <c r="AI10" s="23">
        <f>AH10+'26.05'!AI10</f>
        <v>29326</v>
      </c>
      <c r="AJ10" s="24">
        <v>0</v>
      </c>
      <c r="AK10" s="23">
        <f>AJ10+'26.05'!AK10</f>
        <v>126308</v>
      </c>
      <c r="AL10" s="22">
        <v>0</v>
      </c>
      <c r="AM10" s="23">
        <f>AL10+'26.05'!AM10</f>
        <v>317196</v>
      </c>
      <c r="AN10" s="22">
        <v>0</v>
      </c>
      <c r="AO10" s="23">
        <f>AN10+'26.05'!AO10</f>
        <v>2328388</v>
      </c>
      <c r="AP10" s="28" t="s">
        <v>44</v>
      </c>
      <c r="AQ10" s="19">
        <f t="shared" si="3"/>
        <v>0</v>
      </c>
      <c r="AR10" s="20">
        <f t="shared" si="3"/>
        <v>101</v>
      </c>
      <c r="AS10" s="34">
        <v>0</v>
      </c>
      <c r="AT10" s="23">
        <f>AS10+'26.05'!AT10</f>
        <v>5</v>
      </c>
      <c r="AU10" s="34">
        <v>0</v>
      </c>
      <c r="AV10" s="23">
        <f>AU10+'26.05'!AV10</f>
        <v>4</v>
      </c>
      <c r="AW10" s="34">
        <v>0</v>
      </c>
      <c r="AX10" s="23">
        <f>AW10+'26.05'!AX10</f>
        <v>0</v>
      </c>
      <c r="AY10" s="34">
        <v>0</v>
      </c>
      <c r="AZ10" s="23">
        <f>AY10+'26.05'!AZ10</f>
        <v>1</v>
      </c>
      <c r="BA10" s="34">
        <v>0</v>
      </c>
      <c r="BB10" s="23">
        <f>BA10+'26.05'!BB10</f>
        <v>91</v>
      </c>
      <c r="BC10" s="19">
        <f t="shared" si="5"/>
        <v>0</v>
      </c>
      <c r="BD10" s="20">
        <f t="shared" si="5"/>
        <v>119986</v>
      </c>
      <c r="BE10" s="22">
        <v>0</v>
      </c>
      <c r="BF10" s="23">
        <f>BE10+'26.05'!BF10</f>
        <v>13363</v>
      </c>
      <c r="BG10" s="34">
        <v>0</v>
      </c>
      <c r="BH10" s="23">
        <f>BG10+'26.05'!BH10</f>
        <v>30</v>
      </c>
      <c r="BI10" s="22">
        <v>0</v>
      </c>
      <c r="BJ10" s="23">
        <f>BI10+'26.05'!BJ10</f>
        <v>63704</v>
      </c>
      <c r="BK10" s="22">
        <v>0</v>
      </c>
      <c r="BL10" s="23">
        <f>BK10+'26.05'!BL10</f>
        <v>42886</v>
      </c>
      <c r="BM10" s="22">
        <v>0</v>
      </c>
      <c r="BN10" s="23">
        <f>BM10+'26.05'!BN10</f>
        <v>3</v>
      </c>
      <c r="BO10" s="36">
        <v>32</v>
      </c>
      <c r="BP10" s="37">
        <v>0</v>
      </c>
      <c r="BQ10" s="23">
        <f>BP10+'26.05'!BQ10</f>
        <v>16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986</v>
      </c>
      <c r="E11" s="32">
        <v>883</v>
      </c>
      <c r="F11" s="22">
        <v>14</v>
      </c>
      <c r="G11" s="23">
        <f>F11+'26.05'!G11</f>
        <v>474</v>
      </c>
      <c r="H11" s="33">
        <v>16</v>
      </c>
      <c r="I11" s="34">
        <v>0</v>
      </c>
      <c r="J11" s="23">
        <f>I11+'26.05'!J11</f>
        <v>0</v>
      </c>
      <c r="K11" s="33">
        <v>3</v>
      </c>
      <c r="L11" s="22">
        <v>0</v>
      </c>
      <c r="M11" s="23">
        <f>L11+'26.05'!M11</f>
        <v>0</v>
      </c>
      <c r="N11" s="33">
        <v>875</v>
      </c>
      <c r="O11" s="22">
        <v>0</v>
      </c>
      <c r="P11" s="23">
        <f>O11+'26.05'!P11</f>
        <v>0</v>
      </c>
      <c r="Q11" s="33">
        <v>2424</v>
      </c>
      <c r="R11" s="22">
        <v>0</v>
      </c>
      <c r="S11" s="23">
        <f>R11+'26.05'!S11</f>
        <v>0</v>
      </c>
      <c r="T11" s="33">
        <v>69</v>
      </c>
      <c r="U11" s="22">
        <v>0</v>
      </c>
      <c r="V11" s="23">
        <f>U11+'26.05'!V11</f>
        <v>0</v>
      </c>
      <c r="W11" s="38">
        <v>133</v>
      </c>
      <c r="X11" s="22">
        <v>16</v>
      </c>
      <c r="Y11" s="23">
        <f>X11+'26.05'!Y11</f>
        <v>469</v>
      </c>
      <c r="Z11" s="38">
        <v>1116</v>
      </c>
      <c r="AA11" s="22">
        <v>0</v>
      </c>
      <c r="AB11" s="23">
        <f>AA11+'26.05'!AB11</f>
        <v>0</v>
      </c>
      <c r="AC11" s="38">
        <v>9862</v>
      </c>
      <c r="AD11" s="22">
        <v>2</v>
      </c>
      <c r="AE11" s="23">
        <f>AD11+'26.05'!AE11</f>
        <v>43</v>
      </c>
      <c r="AF11" s="19">
        <f t="shared" si="1"/>
        <v>16800</v>
      </c>
      <c r="AG11" s="20">
        <f t="shared" si="1"/>
        <v>511400</v>
      </c>
      <c r="AH11" s="24">
        <v>2300</v>
      </c>
      <c r="AI11" s="23">
        <f>AH11+'26.05'!AI11</f>
        <v>63200</v>
      </c>
      <c r="AJ11" s="24">
        <v>3900</v>
      </c>
      <c r="AK11" s="23">
        <f>AJ11+'26.05'!AK11</f>
        <v>81300</v>
      </c>
      <c r="AL11" s="22">
        <v>3400</v>
      </c>
      <c r="AM11" s="23">
        <f>AL11+'26.05'!AM11</f>
        <v>110500</v>
      </c>
      <c r="AN11" s="22">
        <v>7200</v>
      </c>
      <c r="AO11" s="23">
        <f>AN11+'26.05'!AO11</f>
        <v>256400</v>
      </c>
      <c r="AP11" s="28" t="s">
        <v>45</v>
      </c>
      <c r="AQ11" s="19">
        <f t="shared" si="3"/>
        <v>4</v>
      </c>
      <c r="AR11" s="20">
        <f t="shared" si="3"/>
        <v>71</v>
      </c>
      <c r="AS11" s="34">
        <v>0</v>
      </c>
      <c r="AT11" s="23">
        <f>AS11+'26.05'!AT11</f>
        <v>0</v>
      </c>
      <c r="AU11" s="34">
        <v>0</v>
      </c>
      <c r="AV11" s="23">
        <f>AU11+'26.05'!AV11</f>
        <v>0</v>
      </c>
      <c r="AW11" s="34">
        <v>0</v>
      </c>
      <c r="AX11" s="23">
        <f>AW11+'26.05'!AX11</f>
        <v>0</v>
      </c>
      <c r="AY11" s="34">
        <v>0</v>
      </c>
      <c r="AZ11" s="23">
        <f>AY11+'26.05'!AZ11</f>
        <v>0</v>
      </c>
      <c r="BA11" s="34">
        <v>4</v>
      </c>
      <c r="BB11" s="23">
        <f>BA11+'26.05'!BB11</f>
        <v>71</v>
      </c>
      <c r="BC11" s="19">
        <f t="shared" si="5"/>
        <v>435</v>
      </c>
      <c r="BD11" s="20">
        <f t="shared" si="5"/>
        <v>16449</v>
      </c>
      <c r="BE11" s="22">
        <v>6</v>
      </c>
      <c r="BF11" s="23">
        <f>BE11+'26.05'!BF11</f>
        <v>61</v>
      </c>
      <c r="BG11" s="34">
        <v>5</v>
      </c>
      <c r="BH11" s="23">
        <f>BG11+'26.05'!BH11</f>
        <v>80</v>
      </c>
      <c r="BI11" s="22">
        <v>410</v>
      </c>
      <c r="BJ11" s="23">
        <f>BI11+'26.05'!BJ11</f>
        <v>15867</v>
      </c>
      <c r="BK11" s="22">
        <v>10</v>
      </c>
      <c r="BL11" s="23">
        <f>BK11+'26.05'!BL11</f>
        <v>384</v>
      </c>
      <c r="BM11" s="22">
        <v>4</v>
      </c>
      <c r="BN11" s="23">
        <f>BM11+'26.05'!BN11</f>
        <v>57</v>
      </c>
      <c r="BO11" s="36">
        <v>11506</v>
      </c>
      <c r="BP11" s="37">
        <v>3</v>
      </c>
      <c r="BQ11" s="23" t="e">
        <f>BP11+'26.05'!BQ11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234</v>
      </c>
      <c r="D12" s="31">
        <f t="shared" si="0"/>
        <v>6129</v>
      </c>
      <c r="E12" s="32">
        <v>909</v>
      </c>
      <c r="F12" s="22">
        <v>71</v>
      </c>
      <c r="G12" s="23">
        <f>F12+'26.05'!G12</f>
        <v>1487</v>
      </c>
      <c r="H12" s="33">
        <v>80</v>
      </c>
      <c r="I12" s="34">
        <v>0</v>
      </c>
      <c r="J12" s="23">
        <f>I12+'26.05'!J12</f>
        <v>71</v>
      </c>
      <c r="K12" s="33">
        <v>5</v>
      </c>
      <c r="L12" s="22">
        <v>0</v>
      </c>
      <c r="M12" s="23">
        <f>L12+'26.05'!M12</f>
        <v>0</v>
      </c>
      <c r="N12" s="33">
        <v>820</v>
      </c>
      <c r="O12" s="22">
        <v>0</v>
      </c>
      <c r="P12" s="23">
        <f>O12+'26.05'!P12</f>
        <v>499</v>
      </c>
      <c r="Q12" s="33">
        <v>549</v>
      </c>
      <c r="R12" s="22">
        <v>0</v>
      </c>
      <c r="S12" s="23">
        <f>R12+'26.05'!S12</f>
        <v>0</v>
      </c>
      <c r="T12" s="33">
        <v>992</v>
      </c>
      <c r="U12" s="22">
        <v>0</v>
      </c>
      <c r="V12" s="23">
        <f>U12+'26.05'!V12</f>
        <v>0</v>
      </c>
      <c r="W12" s="33">
        <v>38</v>
      </c>
      <c r="X12" s="22">
        <v>132</v>
      </c>
      <c r="Y12" s="23">
        <f>X12+'26.05'!Y12</f>
        <v>3136</v>
      </c>
      <c r="Z12" s="33">
        <v>68</v>
      </c>
      <c r="AA12" s="22">
        <v>0</v>
      </c>
      <c r="AB12" s="23">
        <f>AA12+'26.05'!AB12</f>
        <v>0</v>
      </c>
      <c r="AC12" s="33">
        <v>26703</v>
      </c>
      <c r="AD12" s="22">
        <v>31</v>
      </c>
      <c r="AE12" s="23">
        <f>AD12+'26.05'!AE12</f>
        <v>936</v>
      </c>
      <c r="AF12" s="19">
        <f t="shared" si="1"/>
        <v>4639</v>
      </c>
      <c r="AG12" s="20">
        <f t="shared" si="1"/>
        <v>400679</v>
      </c>
      <c r="AH12" s="24">
        <v>839</v>
      </c>
      <c r="AI12" s="23">
        <f>AH12+'26.05'!AI12</f>
        <v>63384</v>
      </c>
      <c r="AJ12" s="24">
        <v>886</v>
      </c>
      <c r="AK12" s="23">
        <f>AJ12+'26.05'!AK12</f>
        <v>123612</v>
      </c>
      <c r="AL12" s="22">
        <v>1457</v>
      </c>
      <c r="AM12" s="23">
        <f>AL12+'26.05'!AM12</f>
        <v>106839</v>
      </c>
      <c r="AN12" s="22">
        <v>1457</v>
      </c>
      <c r="AO12" s="23">
        <f>AN12+'26.05'!AO12</f>
        <v>106844</v>
      </c>
      <c r="AP12" s="28" t="s">
        <v>46</v>
      </c>
      <c r="AQ12" s="19">
        <f t="shared" si="3"/>
        <v>73</v>
      </c>
      <c r="AR12" s="20">
        <f t="shared" si="3"/>
        <v>2292</v>
      </c>
      <c r="AS12" s="34">
        <v>0</v>
      </c>
      <c r="AT12" s="23">
        <f>AS12+'26.05'!AT12</f>
        <v>0</v>
      </c>
      <c r="AU12" s="34">
        <v>0</v>
      </c>
      <c r="AV12" s="23">
        <f>AU12+'26.05'!AV12</f>
        <v>0</v>
      </c>
      <c r="AW12" s="34">
        <v>0</v>
      </c>
      <c r="AX12" s="23">
        <f>AW12+'26.05'!AX12</f>
        <v>0</v>
      </c>
      <c r="AY12" s="34">
        <v>0</v>
      </c>
      <c r="AZ12" s="23">
        <f>AY12+'26.05'!AZ12</f>
        <v>0</v>
      </c>
      <c r="BA12" s="34">
        <v>73</v>
      </c>
      <c r="BB12" s="23">
        <f>BA12+'26.05'!BB12</f>
        <v>2292</v>
      </c>
      <c r="BC12" s="19">
        <f t="shared" si="5"/>
        <v>2460</v>
      </c>
      <c r="BD12" s="20">
        <f t="shared" si="5"/>
        <v>74938</v>
      </c>
      <c r="BE12" s="22">
        <v>305</v>
      </c>
      <c r="BF12" s="23">
        <f>BE12+'26.05'!BF12</f>
        <v>5185</v>
      </c>
      <c r="BG12" s="34">
        <v>14</v>
      </c>
      <c r="BH12" s="23">
        <f>BG12+'26.05'!BH12</f>
        <v>262</v>
      </c>
      <c r="BI12" s="22">
        <v>1900</v>
      </c>
      <c r="BJ12" s="23">
        <f>BI12+'26.05'!BJ12</f>
        <v>60500</v>
      </c>
      <c r="BK12" s="22">
        <v>200</v>
      </c>
      <c r="BL12" s="23">
        <f>BK12+'26.05'!BL12</f>
        <v>7650</v>
      </c>
      <c r="BM12" s="22">
        <v>41</v>
      </c>
      <c r="BN12" s="23">
        <f>BM12+'26.05'!BN12</f>
        <v>1341</v>
      </c>
      <c r="BO12" s="36"/>
      <c r="BP12" s="37">
        <v>0</v>
      </c>
      <c r="BQ12" s="23">
        <f>BP12+'26.05'!BQ12</f>
        <v>46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5</v>
      </c>
      <c r="D13" s="31">
        <f t="shared" si="0"/>
        <v>313</v>
      </c>
      <c r="E13" s="32">
        <v>516</v>
      </c>
      <c r="F13" s="22">
        <v>2</v>
      </c>
      <c r="G13" s="23">
        <f>F13+'26.05'!G13</f>
        <v>30</v>
      </c>
      <c r="H13" s="33">
        <v>10</v>
      </c>
      <c r="I13" s="34">
        <v>1</v>
      </c>
      <c r="J13" s="23">
        <f>I13+'26.05'!J13</f>
        <v>15</v>
      </c>
      <c r="K13" s="33">
        <v>38</v>
      </c>
      <c r="L13" s="22">
        <v>0</v>
      </c>
      <c r="M13" s="23">
        <f>L13+'26.05'!M13</f>
        <v>0</v>
      </c>
      <c r="N13" s="33">
        <v>581</v>
      </c>
      <c r="O13" s="22">
        <v>0</v>
      </c>
      <c r="P13" s="23">
        <f>O13+'26.05'!P13</f>
        <v>11</v>
      </c>
      <c r="Q13" s="33">
        <v>525</v>
      </c>
      <c r="R13" s="22">
        <v>0</v>
      </c>
      <c r="S13" s="23">
        <f>R13+'26.05'!S13</f>
        <v>0</v>
      </c>
      <c r="T13" s="33">
        <v>263</v>
      </c>
      <c r="U13" s="22">
        <v>0</v>
      </c>
      <c r="V13" s="23">
        <f>U13+'26.05'!V13</f>
        <v>0</v>
      </c>
      <c r="W13" s="33">
        <v>43</v>
      </c>
      <c r="X13" s="22">
        <v>0</v>
      </c>
      <c r="Y13" s="23">
        <f>X13+'26.05'!Y13</f>
        <v>1</v>
      </c>
      <c r="Z13" s="33">
        <v>17</v>
      </c>
      <c r="AA13" s="22">
        <v>0</v>
      </c>
      <c r="AB13" s="23">
        <f>AA13+'26.05'!AB13</f>
        <v>0</v>
      </c>
      <c r="AC13" s="33">
        <v>51</v>
      </c>
      <c r="AD13" s="22">
        <v>2</v>
      </c>
      <c r="AE13" s="23">
        <f>AD13+'26.05'!AE13</f>
        <v>256</v>
      </c>
      <c r="AF13" s="19">
        <f t="shared" si="1"/>
        <v>363000</v>
      </c>
      <c r="AG13" s="20">
        <f t="shared" si="1"/>
        <v>7242000</v>
      </c>
      <c r="AH13" s="24">
        <v>1500</v>
      </c>
      <c r="AI13" s="23">
        <f>AH13+'26.05'!AI13</f>
        <v>74000</v>
      </c>
      <c r="AJ13" s="24">
        <v>11500</v>
      </c>
      <c r="AK13" s="23">
        <f>AJ13+'26.05'!AK13</f>
        <v>519000</v>
      </c>
      <c r="AL13" s="22">
        <v>250000</v>
      </c>
      <c r="AM13" s="23">
        <f>AL13+'26.05'!AM13</f>
        <v>1490000</v>
      </c>
      <c r="AN13" s="22">
        <v>100000</v>
      </c>
      <c r="AO13" s="23">
        <f>AN13+'26.05'!AO13</f>
        <v>5159000</v>
      </c>
      <c r="AP13" s="28" t="s">
        <v>47</v>
      </c>
      <c r="AQ13" s="19">
        <f t="shared" si="3"/>
        <v>9</v>
      </c>
      <c r="AR13" s="20">
        <f t="shared" si="3"/>
        <v>529</v>
      </c>
      <c r="AS13" s="34">
        <v>1</v>
      </c>
      <c r="AT13" s="23">
        <f>AS13+'26.05'!AT13</f>
        <v>24</v>
      </c>
      <c r="AU13" s="34">
        <v>0</v>
      </c>
      <c r="AV13" s="23">
        <f>AU13+'26.05'!AV13</f>
        <v>21</v>
      </c>
      <c r="AW13" s="34">
        <v>1</v>
      </c>
      <c r="AX13" s="23">
        <f>AW13+'26.05'!AX13</f>
        <v>4</v>
      </c>
      <c r="AY13" s="34">
        <v>0</v>
      </c>
      <c r="AZ13" s="23">
        <f>AY13+'26.05'!AZ13</f>
        <v>0</v>
      </c>
      <c r="BA13" s="34">
        <v>7</v>
      </c>
      <c r="BB13" s="23">
        <f>BA13+'26.05'!BB13</f>
        <v>480</v>
      </c>
      <c r="BC13" s="19">
        <f t="shared" si="5"/>
        <v>8737</v>
      </c>
      <c r="BD13" s="20">
        <f t="shared" si="5"/>
        <v>277908</v>
      </c>
      <c r="BE13" s="22">
        <v>516</v>
      </c>
      <c r="BF13" s="23">
        <f>BE13+'26.05'!BF13</f>
        <v>13932</v>
      </c>
      <c r="BG13" s="34">
        <v>54</v>
      </c>
      <c r="BH13" s="23">
        <f>BG13+'26.05'!BH13</f>
        <v>951</v>
      </c>
      <c r="BI13" s="22">
        <v>8000</v>
      </c>
      <c r="BJ13" s="23">
        <f>BI13+'26.05'!BJ13</f>
        <v>256500</v>
      </c>
      <c r="BK13" s="22">
        <v>100</v>
      </c>
      <c r="BL13" s="23">
        <f>BK13+'26.05'!BL13</f>
        <v>5320</v>
      </c>
      <c r="BM13" s="22">
        <v>67</v>
      </c>
      <c r="BN13" s="23">
        <f>BM13+'26.05'!BN13</f>
        <v>1205</v>
      </c>
      <c r="BO13" s="36"/>
      <c r="BP13" s="37">
        <v>0</v>
      </c>
      <c r="BQ13" s="23">
        <f>BP13+'26.05'!BQ13</f>
        <v>15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103</v>
      </c>
      <c r="D14" s="42">
        <f t="shared" si="0"/>
        <v>2998</v>
      </c>
      <c r="E14" s="43">
        <v>304</v>
      </c>
      <c r="F14" s="22">
        <v>85</v>
      </c>
      <c r="G14" s="23">
        <f>F14+'26.05'!G14</f>
        <v>2574</v>
      </c>
      <c r="H14" s="44">
        <v>5</v>
      </c>
      <c r="I14" s="45">
        <v>0</v>
      </c>
      <c r="J14" s="23">
        <f>I14+'26.05'!J14</f>
        <v>0</v>
      </c>
      <c r="K14" s="44">
        <v>34</v>
      </c>
      <c r="L14" s="22">
        <v>0</v>
      </c>
      <c r="M14" s="23">
        <f>L14+'26.05'!M14</f>
        <v>0</v>
      </c>
      <c r="N14" s="44">
        <v>583</v>
      </c>
      <c r="O14" s="22">
        <v>0</v>
      </c>
      <c r="P14" s="23">
        <f>O14+'26.05'!P14</f>
        <v>0</v>
      </c>
      <c r="Q14" s="44">
        <v>254</v>
      </c>
      <c r="R14" s="22">
        <v>0</v>
      </c>
      <c r="S14" s="23">
        <f>R14+'26.05'!S14</f>
        <v>0</v>
      </c>
      <c r="T14" s="44">
        <v>196</v>
      </c>
      <c r="U14" s="22">
        <v>0</v>
      </c>
      <c r="V14" s="23">
        <f>U14+'26.05'!V14</f>
        <v>0</v>
      </c>
      <c r="W14" s="44">
        <v>30</v>
      </c>
      <c r="X14" s="22">
        <v>4</v>
      </c>
      <c r="Y14" s="23">
        <f>X14+'26.05'!Y14</f>
        <v>312</v>
      </c>
      <c r="Z14" s="44">
        <v>10</v>
      </c>
      <c r="AA14" s="22">
        <v>0</v>
      </c>
      <c r="AB14" s="23">
        <f>AA14+'26.05'!AB14</f>
        <v>0</v>
      </c>
      <c r="AC14" s="44">
        <v>2500</v>
      </c>
      <c r="AD14" s="22">
        <v>14</v>
      </c>
      <c r="AE14" s="23">
        <f>AD14+'26.05'!AE14</f>
        <v>112</v>
      </c>
      <c r="AF14" s="19">
        <f t="shared" si="1"/>
        <v>121400</v>
      </c>
      <c r="AG14" s="20">
        <f t="shared" si="1"/>
        <v>3055740</v>
      </c>
      <c r="AH14" s="24">
        <v>1700</v>
      </c>
      <c r="AI14" s="23">
        <f>AH14+'26.05'!AI14</f>
        <v>85560</v>
      </c>
      <c r="AJ14" s="24">
        <v>8200</v>
      </c>
      <c r="AK14" s="23">
        <f>AJ14+'26.05'!AK14</f>
        <v>174450</v>
      </c>
      <c r="AL14" s="22">
        <v>8400</v>
      </c>
      <c r="AM14" s="23">
        <f>AL14+'26.05'!AM14</f>
        <v>203650</v>
      </c>
      <c r="AN14" s="22">
        <v>103100</v>
      </c>
      <c r="AO14" s="23">
        <f>AN14+'26.05'!AO14</f>
        <v>2592080</v>
      </c>
      <c r="AP14" s="39" t="s">
        <v>48</v>
      </c>
      <c r="AQ14" s="19">
        <f t="shared" si="3"/>
        <v>2</v>
      </c>
      <c r="AR14" s="20">
        <f t="shared" si="3"/>
        <v>89</v>
      </c>
      <c r="AS14" s="45">
        <v>0</v>
      </c>
      <c r="AT14" s="23">
        <f>AS14+'26.05'!AT14</f>
        <v>0</v>
      </c>
      <c r="AU14" s="45">
        <v>0</v>
      </c>
      <c r="AV14" s="23">
        <f>AU14+'26.05'!AV14</f>
        <v>4</v>
      </c>
      <c r="AW14" s="45">
        <v>0</v>
      </c>
      <c r="AX14" s="23">
        <f>AW14+'26.05'!AX14</f>
        <v>4</v>
      </c>
      <c r="AY14" s="45">
        <v>0</v>
      </c>
      <c r="AZ14" s="23">
        <f>AY14+'26.05'!AZ14</f>
        <v>2</v>
      </c>
      <c r="BA14" s="45">
        <v>2</v>
      </c>
      <c r="BB14" s="23">
        <f>BA14+'26.05'!BB14</f>
        <v>79</v>
      </c>
      <c r="BC14" s="19">
        <f t="shared" si="5"/>
        <v>907</v>
      </c>
      <c r="BD14" s="20">
        <f t="shared" si="5"/>
        <v>53686</v>
      </c>
      <c r="BE14" s="22">
        <v>2</v>
      </c>
      <c r="BF14" s="23">
        <f>BE14+'26.05'!BF14</f>
        <v>82</v>
      </c>
      <c r="BG14" s="45">
        <v>1</v>
      </c>
      <c r="BH14" s="23">
        <f>BG14+'26.05'!BH14</f>
        <v>43</v>
      </c>
      <c r="BI14" s="22">
        <v>900</v>
      </c>
      <c r="BJ14" s="23">
        <f>BI14+'26.05'!BJ14</f>
        <v>53380</v>
      </c>
      <c r="BK14" s="22">
        <v>2</v>
      </c>
      <c r="BL14" s="23">
        <f>BK14+'26.05'!BL14</f>
        <v>119</v>
      </c>
      <c r="BM14" s="22">
        <v>2</v>
      </c>
      <c r="BN14" s="23">
        <f>BM14+'26.05'!BN14</f>
        <v>62</v>
      </c>
      <c r="BO14" s="48">
        <v>22</v>
      </c>
      <c r="BP14" s="49">
        <v>0</v>
      </c>
      <c r="BQ14" s="23">
        <f>BP14+'26.05'!BQ14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465</v>
      </c>
      <c r="D15" s="53">
        <f t="shared" si="0"/>
        <v>12179</v>
      </c>
      <c r="E15" s="54">
        <v>776</v>
      </c>
      <c r="F15" s="55">
        <v>367</v>
      </c>
      <c r="G15" s="23">
        <f>F15+'26.05'!G15</f>
        <v>9728</v>
      </c>
      <c r="H15" s="56">
        <v>9</v>
      </c>
      <c r="I15" s="57">
        <v>0</v>
      </c>
      <c r="J15" s="23">
        <f>I15+'26.05'!J15</f>
        <v>0</v>
      </c>
      <c r="K15" s="56">
        <v>6</v>
      </c>
      <c r="L15" s="55">
        <v>0</v>
      </c>
      <c r="M15" s="23">
        <f>L15+'26.05'!M15</f>
        <v>0</v>
      </c>
      <c r="N15" s="56">
        <v>1305</v>
      </c>
      <c r="O15" s="55">
        <v>0</v>
      </c>
      <c r="P15" s="23">
        <f>O15+'26.05'!P15</f>
        <v>0</v>
      </c>
      <c r="Q15" s="56">
        <v>447</v>
      </c>
      <c r="R15" s="55">
        <v>0</v>
      </c>
      <c r="S15" s="23">
        <f>R15+'26.05'!S15</f>
        <v>0</v>
      </c>
      <c r="T15" s="56">
        <v>337</v>
      </c>
      <c r="U15" s="55">
        <v>0</v>
      </c>
      <c r="V15" s="23">
        <f>U15+'26.05'!V15</f>
        <v>0</v>
      </c>
      <c r="W15" s="56">
        <v>78</v>
      </c>
      <c r="X15" s="55">
        <v>0</v>
      </c>
      <c r="Y15" s="23">
        <f>X15+'26.05'!Y15</f>
        <v>0</v>
      </c>
      <c r="Z15" s="56">
        <v>141</v>
      </c>
      <c r="AA15" s="55">
        <v>0</v>
      </c>
      <c r="AB15" s="23">
        <f>AA15+'26.05'!AB15</f>
        <v>0</v>
      </c>
      <c r="AC15" s="56">
        <v>798</v>
      </c>
      <c r="AD15" s="55">
        <v>98</v>
      </c>
      <c r="AE15" s="23">
        <f>AD15+'26.05'!AE15</f>
        <v>2451</v>
      </c>
      <c r="AF15" s="58">
        <f t="shared" si="1"/>
        <v>1909078</v>
      </c>
      <c r="AG15" s="59">
        <f t="shared" si="1"/>
        <v>56419367</v>
      </c>
      <c r="AH15" s="60">
        <v>819</v>
      </c>
      <c r="AI15" s="23">
        <f>AH15+'26.05'!AI15</f>
        <v>22806</v>
      </c>
      <c r="AJ15" s="60">
        <v>2694</v>
      </c>
      <c r="AK15" s="23">
        <f>AJ15+'26.05'!AK15</f>
        <v>76492</v>
      </c>
      <c r="AL15" s="55">
        <v>952783</v>
      </c>
      <c r="AM15" s="23">
        <f>AL15+'26.05'!AM15</f>
        <v>32511535</v>
      </c>
      <c r="AN15" s="55">
        <v>952782</v>
      </c>
      <c r="AO15" s="23">
        <f>AN15+'26.05'!AO15</f>
        <v>23808534</v>
      </c>
      <c r="AP15" s="50" t="s">
        <v>49</v>
      </c>
      <c r="AQ15" s="58">
        <f t="shared" si="3"/>
        <v>4</v>
      </c>
      <c r="AR15" s="59">
        <f t="shared" si="3"/>
        <v>70</v>
      </c>
      <c r="AS15" s="57">
        <v>0</v>
      </c>
      <c r="AT15" s="23">
        <f>AS15+'26.05'!AT15</f>
        <v>2</v>
      </c>
      <c r="AU15" s="57">
        <v>0</v>
      </c>
      <c r="AV15" s="23">
        <f>AU15+'26.05'!AV15</f>
        <v>6</v>
      </c>
      <c r="AW15" s="57">
        <v>0</v>
      </c>
      <c r="AX15" s="23">
        <f>AW15+'26.05'!AX15</f>
        <v>6</v>
      </c>
      <c r="AY15" s="57">
        <v>0</v>
      </c>
      <c r="AZ15" s="23">
        <f>AY15+'26.05'!AZ15</f>
        <v>1</v>
      </c>
      <c r="BA15" s="57">
        <v>4</v>
      </c>
      <c r="BB15" s="23">
        <f>BA15+'26.05'!BB15</f>
        <v>55</v>
      </c>
      <c r="BC15" s="58">
        <f t="shared" si="5"/>
        <v>4709</v>
      </c>
      <c r="BD15" s="59">
        <f t="shared" si="5"/>
        <v>43581</v>
      </c>
      <c r="BE15" s="55">
        <v>95</v>
      </c>
      <c r="BF15" s="23">
        <f>BE15+'26.05'!BF15</f>
        <v>2092</v>
      </c>
      <c r="BG15" s="57">
        <v>1</v>
      </c>
      <c r="BH15" s="23">
        <f>BG15+'26.05'!BH15</f>
        <v>37</v>
      </c>
      <c r="BI15" s="55">
        <v>2300</v>
      </c>
      <c r="BJ15" s="23">
        <f>BI15+'26.05'!BJ15</f>
        <v>20814</v>
      </c>
      <c r="BK15" s="55">
        <v>2300</v>
      </c>
      <c r="BL15" s="23">
        <f>BK15+'26.05'!BL15</f>
        <v>20209</v>
      </c>
      <c r="BM15" s="55">
        <v>13</v>
      </c>
      <c r="BN15" s="23">
        <f>BM15+'26.05'!BN15</f>
        <v>429</v>
      </c>
      <c r="BO15" s="36">
        <v>6274</v>
      </c>
      <c r="BP15" s="37">
        <v>0</v>
      </c>
      <c r="BQ15" s="23">
        <f>BP15+'26.05'!BQ15</f>
        <v>15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133</v>
      </c>
      <c r="D16" s="31">
        <f t="shared" si="0"/>
        <v>3729</v>
      </c>
      <c r="E16" s="32">
        <v>310</v>
      </c>
      <c r="F16" s="22">
        <v>46</v>
      </c>
      <c r="G16" s="23">
        <f>F16+'26.05'!G16</f>
        <v>1281</v>
      </c>
      <c r="H16" s="33">
        <v>5</v>
      </c>
      <c r="I16" s="34">
        <v>0</v>
      </c>
      <c r="J16" s="23">
        <f>I16+'26.05'!J16</f>
        <v>0</v>
      </c>
      <c r="K16" s="33">
        <v>3</v>
      </c>
      <c r="L16" s="22">
        <v>0</v>
      </c>
      <c r="M16" s="23">
        <f>L16+'26.05'!M16</f>
        <v>0</v>
      </c>
      <c r="N16" s="33">
        <v>384</v>
      </c>
      <c r="O16" s="22">
        <v>0</v>
      </c>
      <c r="P16" s="23">
        <f>O16+'26.05'!P16</f>
        <v>0</v>
      </c>
      <c r="Q16" s="33">
        <v>245</v>
      </c>
      <c r="R16" s="22">
        <v>0</v>
      </c>
      <c r="S16" s="23">
        <f>R16+'26.05'!S16</f>
        <v>0</v>
      </c>
      <c r="T16" s="33">
        <v>397</v>
      </c>
      <c r="U16" s="22">
        <v>0</v>
      </c>
      <c r="V16" s="23">
        <f>U16+'26.05'!V16</f>
        <v>0</v>
      </c>
      <c r="W16" s="33">
        <v>24</v>
      </c>
      <c r="X16" s="22">
        <v>49</v>
      </c>
      <c r="Y16" s="23">
        <f>X16+'26.05'!Y16</f>
        <v>1302</v>
      </c>
      <c r="Z16" s="33">
        <v>18</v>
      </c>
      <c r="AA16" s="22">
        <v>0</v>
      </c>
      <c r="AB16" s="23">
        <f>AA16+'26.05'!AB16</f>
        <v>0</v>
      </c>
      <c r="AC16" s="33">
        <v>18515</v>
      </c>
      <c r="AD16" s="22">
        <v>38</v>
      </c>
      <c r="AE16" s="23">
        <f>AD16+'26.05'!AE16</f>
        <v>1146</v>
      </c>
      <c r="AF16" s="19">
        <f t="shared" si="1"/>
        <v>58990</v>
      </c>
      <c r="AG16" s="20">
        <f t="shared" si="1"/>
        <v>1602757</v>
      </c>
      <c r="AH16" s="24">
        <v>167</v>
      </c>
      <c r="AI16" s="23">
        <f>AH16+'26.05'!AI16</f>
        <v>4288</v>
      </c>
      <c r="AJ16" s="24">
        <v>1514</v>
      </c>
      <c r="AK16" s="23">
        <f>AJ16+'26.05'!AK16</f>
        <v>37184</v>
      </c>
      <c r="AL16" s="22">
        <v>1672</v>
      </c>
      <c r="AM16" s="23">
        <f>AL16+'26.05'!AM16</f>
        <v>41925</v>
      </c>
      <c r="AN16" s="22">
        <v>55637</v>
      </c>
      <c r="AO16" s="23">
        <f>AN16+'26.05'!AO16</f>
        <v>1519360</v>
      </c>
      <c r="AP16" s="28" t="s">
        <v>51</v>
      </c>
      <c r="AQ16" s="19">
        <f t="shared" si="3"/>
        <v>88</v>
      </c>
      <c r="AR16" s="20">
        <f t="shared" si="3"/>
        <v>2128</v>
      </c>
      <c r="AS16" s="34">
        <v>0</v>
      </c>
      <c r="AT16" s="23">
        <f>AS16+'26.05'!AT16</f>
        <v>3</v>
      </c>
      <c r="AU16" s="34">
        <v>0</v>
      </c>
      <c r="AV16" s="23">
        <f>AU16+'26.05'!AV16</f>
        <v>0</v>
      </c>
      <c r="AW16" s="34">
        <v>0</v>
      </c>
      <c r="AX16" s="23">
        <f>AW16+'26.05'!AX16</f>
        <v>0</v>
      </c>
      <c r="AY16" s="34">
        <v>0</v>
      </c>
      <c r="AZ16" s="23">
        <f>AY16+'26.05'!AZ16</f>
        <v>0</v>
      </c>
      <c r="BA16" s="34">
        <v>88</v>
      </c>
      <c r="BB16" s="23">
        <f>BA16+'26.05'!BB16</f>
        <v>2125</v>
      </c>
      <c r="BC16" s="19">
        <f t="shared" si="5"/>
        <v>1361</v>
      </c>
      <c r="BD16" s="20">
        <f t="shared" si="5"/>
        <v>36893</v>
      </c>
      <c r="BE16" s="22">
        <v>81</v>
      </c>
      <c r="BF16" s="23">
        <f>BE16+'26.05'!BF16</f>
        <v>2025</v>
      </c>
      <c r="BG16" s="34">
        <v>0</v>
      </c>
      <c r="BH16" s="23">
        <f>BG16+'26.05'!BH16</f>
        <v>0</v>
      </c>
      <c r="BI16" s="22">
        <v>1234</v>
      </c>
      <c r="BJ16" s="23">
        <f>BI16+'26.05'!BJ16</f>
        <v>33555</v>
      </c>
      <c r="BK16" s="22">
        <v>39</v>
      </c>
      <c r="BL16" s="23">
        <f>BK16+'26.05'!BL16</f>
        <v>1137</v>
      </c>
      <c r="BM16" s="22">
        <v>7</v>
      </c>
      <c r="BN16" s="23">
        <f>BM16+'26.05'!BN16</f>
        <v>176</v>
      </c>
      <c r="BO16" s="36">
        <v>2546</v>
      </c>
      <c r="BP16" s="37">
        <v>0</v>
      </c>
      <c r="BQ16" s="23">
        <f>BP16+'26.05'!BQ16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3</v>
      </c>
      <c r="D17" s="31">
        <f t="shared" si="0"/>
        <v>4359</v>
      </c>
      <c r="E17" s="32">
        <v>754</v>
      </c>
      <c r="F17" s="22">
        <v>0</v>
      </c>
      <c r="G17" s="23">
        <f>F17+'26.05'!G17</f>
        <v>3720</v>
      </c>
      <c r="H17" s="33">
        <v>9</v>
      </c>
      <c r="I17" s="34">
        <v>0</v>
      </c>
      <c r="J17" s="23">
        <f>I17+'26.05'!J17</f>
        <v>0</v>
      </c>
      <c r="K17" s="33">
        <v>5</v>
      </c>
      <c r="L17" s="22">
        <v>0</v>
      </c>
      <c r="M17" s="23">
        <f>L17+'26.05'!M17</f>
        <v>0</v>
      </c>
      <c r="N17" s="33">
        <v>768</v>
      </c>
      <c r="O17" s="22">
        <v>0</v>
      </c>
      <c r="P17" s="23">
        <f>O17+'26.05'!P17</f>
        <v>0</v>
      </c>
      <c r="Q17" s="33">
        <v>624</v>
      </c>
      <c r="R17" s="22">
        <v>0</v>
      </c>
      <c r="S17" s="23">
        <f>R17+'26.05'!S17</f>
        <v>0</v>
      </c>
      <c r="T17" s="33">
        <v>742</v>
      </c>
      <c r="U17" s="22">
        <v>0</v>
      </c>
      <c r="V17" s="23">
        <f>U17+'26.05'!V17</f>
        <v>0</v>
      </c>
      <c r="W17" s="33">
        <v>54</v>
      </c>
      <c r="X17" s="22">
        <v>3</v>
      </c>
      <c r="Y17" s="23">
        <f>X17+'26.05'!Y17</f>
        <v>334</v>
      </c>
      <c r="Z17" s="33">
        <v>66</v>
      </c>
      <c r="AA17" s="22">
        <v>0</v>
      </c>
      <c r="AB17" s="23">
        <f>AA17+'26.05'!AB17</f>
        <v>10</v>
      </c>
      <c r="AC17" s="33">
        <v>2580</v>
      </c>
      <c r="AD17" s="22">
        <v>0</v>
      </c>
      <c r="AE17" s="23">
        <f>AD17+'26.05'!AE17</f>
        <v>295</v>
      </c>
      <c r="AF17" s="19">
        <f t="shared" si="1"/>
        <v>54000</v>
      </c>
      <c r="AG17" s="20">
        <f t="shared" si="1"/>
        <v>2679400</v>
      </c>
      <c r="AH17" s="24">
        <v>1100</v>
      </c>
      <c r="AI17" s="23">
        <f>AH17+'26.05'!AI17</f>
        <v>179800</v>
      </c>
      <c r="AJ17" s="24">
        <v>1900</v>
      </c>
      <c r="AK17" s="23">
        <f>AJ17+'26.05'!AK17</f>
        <v>274200</v>
      </c>
      <c r="AL17" s="22">
        <v>21500</v>
      </c>
      <c r="AM17" s="23">
        <f>AL17+'26.05'!AM17</f>
        <v>569600</v>
      </c>
      <c r="AN17" s="22">
        <v>29500</v>
      </c>
      <c r="AO17" s="23">
        <f>AN17+'26.05'!AO17</f>
        <v>1655800</v>
      </c>
      <c r="AP17" s="28" t="s">
        <v>52</v>
      </c>
      <c r="AQ17" s="19">
        <f t="shared" si="3"/>
        <v>16</v>
      </c>
      <c r="AR17" s="20">
        <f t="shared" si="3"/>
        <v>536</v>
      </c>
      <c r="AS17" s="34">
        <v>0</v>
      </c>
      <c r="AT17" s="23">
        <f>AS17+'26.05'!AT17</f>
        <v>19</v>
      </c>
      <c r="AU17" s="34">
        <v>0</v>
      </c>
      <c r="AV17" s="23">
        <f>AU17+'26.05'!AV17</f>
        <v>53</v>
      </c>
      <c r="AW17" s="34">
        <v>0</v>
      </c>
      <c r="AX17" s="23">
        <f>AW17+'26.05'!AX17</f>
        <v>0</v>
      </c>
      <c r="AY17" s="34">
        <v>0</v>
      </c>
      <c r="AZ17" s="23">
        <f>AY17+'26.05'!AZ17</f>
        <v>0</v>
      </c>
      <c r="BA17" s="34">
        <v>16</v>
      </c>
      <c r="BB17" s="23">
        <f>BA17+'26.05'!BB17</f>
        <v>464</v>
      </c>
      <c r="BC17" s="19">
        <f t="shared" si="5"/>
        <v>548</v>
      </c>
      <c r="BD17" s="20">
        <f t="shared" si="5"/>
        <v>80446</v>
      </c>
      <c r="BE17" s="22">
        <v>40</v>
      </c>
      <c r="BF17" s="23">
        <f>BE17+'26.05'!BF17</f>
        <v>986</v>
      </c>
      <c r="BG17" s="34">
        <v>0</v>
      </c>
      <c r="BH17" s="23">
        <f>BG17+'26.05'!BH17</f>
        <v>30</v>
      </c>
      <c r="BI17" s="22">
        <v>500</v>
      </c>
      <c r="BJ17" s="23">
        <f>BI17+'26.05'!BJ17</f>
        <v>72300</v>
      </c>
      <c r="BK17" s="22">
        <v>0</v>
      </c>
      <c r="BL17" s="23">
        <f>BK17+'26.05'!BL17</f>
        <v>6880</v>
      </c>
      <c r="BM17" s="22">
        <v>8</v>
      </c>
      <c r="BN17" s="23">
        <f>BM17+'26.05'!BN17</f>
        <v>250</v>
      </c>
      <c r="BO17" s="36">
        <v>8022</v>
      </c>
      <c r="BP17" s="37">
        <v>0</v>
      </c>
      <c r="BQ17" s="23">
        <f>BP17+'26.05'!BQ17</f>
        <v>75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312</v>
      </c>
      <c r="D18" s="20">
        <f t="shared" si="0"/>
        <v>6927</v>
      </c>
      <c r="E18" s="21">
        <v>1063</v>
      </c>
      <c r="F18" s="22">
        <v>138</v>
      </c>
      <c r="G18" s="23">
        <f>F18+'26.05'!G18</f>
        <v>4116</v>
      </c>
      <c r="H18" s="21">
        <v>19</v>
      </c>
      <c r="I18" s="22">
        <v>0</v>
      </c>
      <c r="J18" s="23">
        <f>I18+'26.05'!J18</f>
        <v>0</v>
      </c>
      <c r="K18" s="21">
        <v>8</v>
      </c>
      <c r="L18" s="22">
        <v>0</v>
      </c>
      <c r="M18" s="23">
        <f>L18+'26.05'!M18</f>
        <v>0</v>
      </c>
      <c r="N18" s="21">
        <v>1331</v>
      </c>
      <c r="O18" s="22">
        <v>0</v>
      </c>
      <c r="P18" s="23">
        <f>O18+'26.05'!P18</f>
        <v>0</v>
      </c>
      <c r="Q18" s="21">
        <v>777</v>
      </c>
      <c r="R18" s="22">
        <v>0</v>
      </c>
      <c r="S18" s="23">
        <f>R18+'26.05'!S18</f>
        <v>0</v>
      </c>
      <c r="T18" s="21">
        <v>318</v>
      </c>
      <c r="U18" s="22">
        <v>0</v>
      </c>
      <c r="V18" s="23">
        <f>U18+'26.05'!V18</f>
        <v>81</v>
      </c>
      <c r="W18" s="21">
        <v>60</v>
      </c>
      <c r="X18" s="22">
        <v>174</v>
      </c>
      <c r="Y18" s="23">
        <f>X18+'26.05'!Y18</f>
        <v>2730</v>
      </c>
      <c r="Z18" s="21">
        <v>72</v>
      </c>
      <c r="AA18" s="22">
        <v>0</v>
      </c>
      <c r="AB18" s="23">
        <f>AA18+'26.05'!AB18</f>
        <v>0</v>
      </c>
      <c r="AC18" s="21">
        <v>143</v>
      </c>
      <c r="AD18" s="22">
        <v>0</v>
      </c>
      <c r="AE18" s="23">
        <f>AD18+'26.05'!AE18</f>
        <v>0</v>
      </c>
      <c r="AF18" s="19">
        <f t="shared" si="1"/>
        <v>120199</v>
      </c>
      <c r="AG18" s="20">
        <f t="shared" si="1"/>
        <v>3604556</v>
      </c>
      <c r="AH18" s="24">
        <v>214</v>
      </c>
      <c r="AI18" s="23">
        <f>AH18+'26.05'!AI18</f>
        <v>6050</v>
      </c>
      <c r="AJ18" s="24">
        <v>1863</v>
      </c>
      <c r="AK18" s="23">
        <f>AJ18+'26.05'!AK18</f>
        <v>53754</v>
      </c>
      <c r="AL18" s="22">
        <v>1358</v>
      </c>
      <c r="AM18" s="23">
        <f>AL18+'26.05'!AM18</f>
        <v>60035</v>
      </c>
      <c r="AN18" s="22">
        <v>116764</v>
      </c>
      <c r="AO18" s="23">
        <f>AN18+'26.05'!AO18</f>
        <v>3484717</v>
      </c>
      <c r="AP18" s="17" t="s">
        <v>53</v>
      </c>
      <c r="AQ18" s="19">
        <f t="shared" si="3"/>
        <v>3</v>
      </c>
      <c r="AR18" s="20">
        <f t="shared" si="3"/>
        <v>59</v>
      </c>
      <c r="AS18" s="22">
        <v>1</v>
      </c>
      <c r="AT18" s="23">
        <f>AS18+'26.05'!AT18</f>
        <v>15</v>
      </c>
      <c r="AU18" s="22">
        <v>0</v>
      </c>
      <c r="AV18" s="23">
        <f>AU18+'26.05'!AV18</f>
        <v>0</v>
      </c>
      <c r="AW18" s="22">
        <v>0</v>
      </c>
      <c r="AX18" s="23">
        <f>AW18+'26.05'!AX18</f>
        <v>0</v>
      </c>
      <c r="AY18" s="22">
        <v>0</v>
      </c>
      <c r="AZ18" s="23">
        <f>AY18+'26.05'!AZ18</f>
        <v>0</v>
      </c>
      <c r="BA18" s="22">
        <v>2</v>
      </c>
      <c r="BB18" s="23">
        <f>BA18+'26.05'!BB18</f>
        <v>44</v>
      </c>
      <c r="BC18" s="19">
        <f t="shared" si="5"/>
        <v>1643</v>
      </c>
      <c r="BD18" s="20">
        <f t="shared" si="5"/>
        <v>20546</v>
      </c>
      <c r="BE18" s="22">
        <v>27</v>
      </c>
      <c r="BF18" s="23">
        <f>BE18+'26.05'!BF18</f>
        <v>121</v>
      </c>
      <c r="BG18" s="22">
        <v>0</v>
      </c>
      <c r="BH18" s="23">
        <f>BG18+'26.05'!BH18</f>
        <v>388</v>
      </c>
      <c r="BI18" s="22">
        <v>1054</v>
      </c>
      <c r="BJ18" s="23">
        <f>BI18+'26.05'!BJ18</f>
        <v>15404</v>
      </c>
      <c r="BK18" s="22">
        <v>537</v>
      </c>
      <c r="BL18" s="23">
        <f>BK18+'26.05'!BL18</f>
        <v>4172</v>
      </c>
      <c r="BM18" s="22">
        <v>25</v>
      </c>
      <c r="BN18" s="23">
        <f>BM18+'26.05'!BN18</f>
        <v>461</v>
      </c>
      <c r="BO18" s="36">
        <v>442</v>
      </c>
      <c r="BP18" s="37">
        <v>0</v>
      </c>
      <c r="BQ18" s="23">
        <f>BP18+'26.05'!BQ18</f>
        <v>0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24</v>
      </c>
      <c r="D19" s="31">
        <f t="shared" si="0"/>
        <v>937</v>
      </c>
      <c r="E19" s="33">
        <v>221</v>
      </c>
      <c r="F19" s="22">
        <v>5</v>
      </c>
      <c r="G19" s="23">
        <f>F19+'26.05'!G19</f>
        <v>170</v>
      </c>
      <c r="H19" s="33">
        <v>5</v>
      </c>
      <c r="I19" s="34">
        <v>0</v>
      </c>
      <c r="J19" s="23">
        <f>I19+'26.05'!J19</f>
        <v>0</v>
      </c>
      <c r="K19" s="33">
        <v>4</v>
      </c>
      <c r="L19" s="22">
        <v>0</v>
      </c>
      <c r="M19" s="23">
        <f>L19+'26.05'!M19</f>
        <v>0</v>
      </c>
      <c r="N19" s="33">
        <v>313</v>
      </c>
      <c r="O19" s="22">
        <v>0</v>
      </c>
      <c r="P19" s="23">
        <f>O19+'26.05'!P19</f>
        <v>227</v>
      </c>
      <c r="Q19" s="33">
        <v>203</v>
      </c>
      <c r="R19" s="22">
        <v>0</v>
      </c>
      <c r="S19" s="23">
        <f>R19+'26.05'!S19</f>
        <v>0</v>
      </c>
      <c r="T19" s="33">
        <v>241</v>
      </c>
      <c r="U19" s="22">
        <v>0</v>
      </c>
      <c r="V19" s="23">
        <f>U19+'26.05'!V19</f>
        <v>0</v>
      </c>
      <c r="W19" s="33">
        <v>14</v>
      </c>
      <c r="X19" s="22">
        <v>19</v>
      </c>
      <c r="Y19" s="23">
        <f>X19+'26.05'!Y19</f>
        <v>452</v>
      </c>
      <c r="Z19" s="33">
        <v>7</v>
      </c>
      <c r="AA19" s="22">
        <v>0</v>
      </c>
      <c r="AB19" s="23">
        <f>AA19+'26.05'!AB19</f>
        <v>0</v>
      </c>
      <c r="AC19" s="33">
        <v>32</v>
      </c>
      <c r="AD19" s="22">
        <v>0</v>
      </c>
      <c r="AE19" s="23">
        <f>AD19+'26.05'!AE19</f>
        <v>88</v>
      </c>
      <c r="AF19" s="19">
        <f t="shared" si="1"/>
        <v>1870</v>
      </c>
      <c r="AG19" s="20">
        <f t="shared" si="1"/>
        <v>82800</v>
      </c>
      <c r="AH19" s="24">
        <v>465</v>
      </c>
      <c r="AI19" s="23">
        <f>AH19+'26.05'!AI19</f>
        <v>13740</v>
      </c>
      <c r="AJ19" s="24">
        <v>465</v>
      </c>
      <c r="AK19" s="23">
        <f>AJ19+'26.05'!AK19</f>
        <v>13990</v>
      </c>
      <c r="AL19" s="22">
        <v>470</v>
      </c>
      <c r="AM19" s="23">
        <f>AL19+'26.05'!AM19</f>
        <v>27535</v>
      </c>
      <c r="AN19" s="22">
        <v>470</v>
      </c>
      <c r="AO19" s="23">
        <f>AN19+'26.05'!AO19</f>
        <v>27535</v>
      </c>
      <c r="AP19" s="28" t="s">
        <v>54</v>
      </c>
      <c r="AQ19" s="19">
        <f t="shared" si="3"/>
        <v>0</v>
      </c>
      <c r="AR19" s="20">
        <f t="shared" si="3"/>
        <v>6</v>
      </c>
      <c r="AS19" s="34">
        <v>0</v>
      </c>
      <c r="AT19" s="23">
        <f>AS19+'26.05'!AT19</f>
        <v>0</v>
      </c>
      <c r="AU19" s="34">
        <v>0</v>
      </c>
      <c r="AV19" s="23">
        <f>AU19+'26.05'!AV19</f>
        <v>5</v>
      </c>
      <c r="AW19" s="34">
        <v>0</v>
      </c>
      <c r="AX19" s="23">
        <f>AW19+'26.05'!AX19</f>
        <v>1</v>
      </c>
      <c r="AY19" s="34">
        <v>0</v>
      </c>
      <c r="AZ19" s="23">
        <f>AY19+'26.05'!AZ19</f>
        <v>0</v>
      </c>
      <c r="BA19" s="34">
        <v>0</v>
      </c>
      <c r="BB19" s="23">
        <f>BA19+'26.05'!BB19</f>
        <v>0</v>
      </c>
      <c r="BC19" s="19">
        <f t="shared" si="5"/>
        <v>917</v>
      </c>
      <c r="BD19" s="20">
        <f t="shared" si="5"/>
        <v>28149</v>
      </c>
      <c r="BE19" s="22">
        <v>11</v>
      </c>
      <c r="BF19" s="23">
        <f>BE19+'26.05'!BF19</f>
        <v>363</v>
      </c>
      <c r="BG19" s="34">
        <v>0</v>
      </c>
      <c r="BH19" s="23">
        <f>BG19+'26.05'!BH19</f>
        <v>9</v>
      </c>
      <c r="BI19" s="22">
        <v>800</v>
      </c>
      <c r="BJ19" s="23">
        <f>BI19+'26.05'!BJ19</f>
        <v>24500</v>
      </c>
      <c r="BK19" s="22">
        <v>100</v>
      </c>
      <c r="BL19" s="23">
        <f>BK19+'26.05'!BL19</f>
        <v>3120</v>
      </c>
      <c r="BM19" s="22">
        <v>6</v>
      </c>
      <c r="BN19" s="23">
        <f>BM19+'26.05'!BN19</f>
        <v>157</v>
      </c>
      <c r="BO19" s="36">
        <v>2898</v>
      </c>
      <c r="BP19" s="37">
        <v>0</v>
      </c>
      <c r="BQ19" s="23">
        <f>BP19+'26.05'!BQ19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172</v>
      </c>
      <c r="D20" s="31">
        <f t="shared" si="0"/>
        <v>6394</v>
      </c>
      <c r="E20" s="32">
        <v>723</v>
      </c>
      <c r="F20" s="22">
        <v>79</v>
      </c>
      <c r="G20" s="23">
        <f>F20+'26.05'!G20</f>
        <v>3043</v>
      </c>
      <c r="H20" s="33">
        <v>5</v>
      </c>
      <c r="I20" s="34">
        <v>1</v>
      </c>
      <c r="J20" s="23">
        <f>I20+'26.05'!J20</f>
        <v>27</v>
      </c>
      <c r="K20" s="33">
        <v>3</v>
      </c>
      <c r="L20" s="22">
        <v>0</v>
      </c>
      <c r="M20" s="23">
        <f>L20+'26.05'!M20</f>
        <v>0</v>
      </c>
      <c r="N20" s="33">
        <v>975</v>
      </c>
      <c r="O20" s="22">
        <v>0</v>
      </c>
      <c r="P20" s="23">
        <f>O20+'26.05'!P20</f>
        <v>1534</v>
      </c>
      <c r="Q20" s="61">
        <v>1862</v>
      </c>
      <c r="R20" s="22">
        <v>0</v>
      </c>
      <c r="S20" s="23">
        <f>R20+'26.05'!S20</f>
        <v>28</v>
      </c>
      <c r="T20" s="33">
        <v>35</v>
      </c>
      <c r="U20" s="22">
        <v>1</v>
      </c>
      <c r="V20" s="23">
        <f>U20+'26.05'!V20</f>
        <v>27</v>
      </c>
      <c r="W20" s="33">
        <v>64</v>
      </c>
      <c r="X20" s="22">
        <v>1</v>
      </c>
      <c r="Y20" s="23">
        <f>X20+'26.05'!Y20</f>
        <v>29</v>
      </c>
      <c r="Z20" s="33">
        <v>15</v>
      </c>
      <c r="AA20" s="22">
        <v>1</v>
      </c>
      <c r="AB20" s="23">
        <f>AA20+'26.05'!AB20</f>
        <v>32</v>
      </c>
      <c r="AC20" s="33">
        <v>1546</v>
      </c>
      <c r="AD20" s="22">
        <v>89</v>
      </c>
      <c r="AE20" s="23">
        <f>AD20+'26.05'!AE20</f>
        <v>1674</v>
      </c>
      <c r="AF20" s="19">
        <f t="shared" si="1"/>
        <v>19562</v>
      </c>
      <c r="AG20" s="20">
        <f t="shared" si="1"/>
        <v>497036</v>
      </c>
      <c r="AH20" s="24">
        <v>6400</v>
      </c>
      <c r="AI20" s="23">
        <f>AH20+'26.05'!AI20</f>
        <v>223664</v>
      </c>
      <c r="AJ20" s="24">
        <v>12162</v>
      </c>
      <c r="AK20" s="23">
        <f>AJ20+'26.05'!AK20</f>
        <v>249862</v>
      </c>
      <c r="AL20" s="22">
        <v>500</v>
      </c>
      <c r="AM20" s="23">
        <f>AL20+'26.05'!AM20</f>
        <v>12750</v>
      </c>
      <c r="AN20" s="22">
        <v>500</v>
      </c>
      <c r="AO20" s="23">
        <f>AN20+'26.05'!AO20</f>
        <v>10760</v>
      </c>
      <c r="AP20" s="28" t="s">
        <v>55</v>
      </c>
      <c r="AQ20" s="19">
        <f t="shared" si="3"/>
        <v>129</v>
      </c>
      <c r="AR20" s="20">
        <f t="shared" si="3"/>
        <v>3535</v>
      </c>
      <c r="AS20" s="34">
        <v>1</v>
      </c>
      <c r="AT20" s="23">
        <f>AS20+'26.05'!AT20</f>
        <v>27</v>
      </c>
      <c r="AU20" s="34">
        <v>0</v>
      </c>
      <c r="AV20" s="23">
        <f>AU20+'26.05'!AV20</f>
        <v>0</v>
      </c>
      <c r="AW20" s="34">
        <v>0</v>
      </c>
      <c r="AX20" s="23">
        <f>AW20+'26.05'!AX20</f>
        <v>0</v>
      </c>
      <c r="AY20" s="34">
        <v>0</v>
      </c>
      <c r="AZ20" s="23">
        <f>AY20+'26.05'!AZ20</f>
        <v>0</v>
      </c>
      <c r="BA20" s="34">
        <v>128</v>
      </c>
      <c r="BB20" s="23">
        <f>BA20+'26.05'!BB20</f>
        <v>3508</v>
      </c>
      <c r="BC20" s="19">
        <f t="shared" si="5"/>
        <v>3988</v>
      </c>
      <c r="BD20" s="20">
        <f t="shared" si="5"/>
        <v>94689</v>
      </c>
      <c r="BE20" s="22">
        <v>2</v>
      </c>
      <c r="BF20" s="23">
        <f>BE20+'26.05'!BF20</f>
        <v>54</v>
      </c>
      <c r="BG20" s="34">
        <v>0</v>
      </c>
      <c r="BH20" s="23">
        <f>BG20+'26.05'!BH20</f>
        <v>0</v>
      </c>
      <c r="BI20" s="22">
        <v>2300</v>
      </c>
      <c r="BJ20" s="23">
        <f>BI20+'26.05'!BJ20</f>
        <v>46513</v>
      </c>
      <c r="BK20" s="22">
        <v>1685</v>
      </c>
      <c r="BL20" s="23">
        <f>BK20+'26.05'!BL20</f>
        <v>48065</v>
      </c>
      <c r="BM20" s="22">
        <v>1</v>
      </c>
      <c r="BN20" s="23">
        <f>BM20+'26.05'!BN20</f>
        <v>57</v>
      </c>
      <c r="BO20" s="36">
        <v>5854</v>
      </c>
      <c r="BP20" s="37">
        <v>0</v>
      </c>
      <c r="BQ20" s="23">
        <f>BP20+'26.05'!BQ20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270</v>
      </c>
      <c r="D21" s="31">
        <f t="shared" si="0"/>
        <v>5640</v>
      </c>
      <c r="E21" s="32">
        <v>1017</v>
      </c>
      <c r="F21" s="22">
        <v>130</v>
      </c>
      <c r="G21" s="23">
        <f>F21+'26.05'!G21</f>
        <v>4009</v>
      </c>
      <c r="H21" s="33">
        <v>8</v>
      </c>
      <c r="I21" s="34">
        <v>0</v>
      </c>
      <c r="J21" s="23">
        <f>I21+'26.05'!J21</f>
        <v>137</v>
      </c>
      <c r="K21" s="33">
        <v>4</v>
      </c>
      <c r="L21" s="22">
        <v>0</v>
      </c>
      <c r="M21" s="23">
        <f>L21+'26.05'!M21</f>
        <v>21</v>
      </c>
      <c r="N21" s="33">
        <v>963</v>
      </c>
      <c r="O21" s="22">
        <v>0</v>
      </c>
      <c r="P21" s="23">
        <f>O21+'26.05'!P21</f>
        <v>57</v>
      </c>
      <c r="Q21" s="33">
        <v>912</v>
      </c>
      <c r="R21" s="22">
        <v>0</v>
      </c>
      <c r="S21" s="23">
        <f>R21+'26.05'!S21</f>
        <v>0</v>
      </c>
      <c r="T21" s="33">
        <v>199</v>
      </c>
      <c r="U21" s="22">
        <v>0</v>
      </c>
      <c r="V21" s="23">
        <f>U21+'26.05'!V21</f>
        <v>100</v>
      </c>
      <c r="W21" s="33">
        <v>101</v>
      </c>
      <c r="X21" s="22">
        <v>0</v>
      </c>
      <c r="Y21" s="23">
        <f>X21+'26.05'!Y21</f>
        <v>312</v>
      </c>
      <c r="Z21" s="33">
        <v>42</v>
      </c>
      <c r="AA21" s="22">
        <v>0</v>
      </c>
      <c r="AB21" s="23">
        <f>AA21+'26.05'!AB21</f>
        <v>2</v>
      </c>
      <c r="AC21" s="33">
        <v>20</v>
      </c>
      <c r="AD21" s="22">
        <v>140</v>
      </c>
      <c r="AE21" s="23">
        <f>AD21+'26.05'!AE21</f>
        <v>1002</v>
      </c>
      <c r="AF21" s="19">
        <f t="shared" si="1"/>
        <v>1110000</v>
      </c>
      <c r="AG21" s="20">
        <f t="shared" si="1"/>
        <v>30135440</v>
      </c>
      <c r="AH21" s="24">
        <v>1000</v>
      </c>
      <c r="AI21" s="23">
        <f>AH21+'26.05'!AI21</f>
        <v>32110</v>
      </c>
      <c r="AJ21" s="24">
        <v>209000</v>
      </c>
      <c r="AK21" s="23">
        <f>AJ21+'26.05'!AK21</f>
        <v>4968000</v>
      </c>
      <c r="AL21" s="22">
        <v>15000</v>
      </c>
      <c r="AM21" s="23">
        <f>AL21+'26.05'!AM21</f>
        <v>98630</v>
      </c>
      <c r="AN21" s="22">
        <v>885000</v>
      </c>
      <c r="AO21" s="23">
        <f>AN21+'26.05'!AO21</f>
        <v>25036700</v>
      </c>
      <c r="AP21" s="28" t="s">
        <v>58</v>
      </c>
      <c r="AQ21" s="19">
        <f t="shared" si="3"/>
        <v>7</v>
      </c>
      <c r="AR21" s="20">
        <f t="shared" si="3"/>
        <v>133</v>
      </c>
      <c r="AS21" s="34">
        <v>0</v>
      </c>
      <c r="AT21" s="23">
        <f>AS21+'26.05'!AT21</f>
        <v>3</v>
      </c>
      <c r="AU21" s="34">
        <v>5</v>
      </c>
      <c r="AV21" s="23">
        <f>AU21+'26.05'!AV21</f>
        <v>39</v>
      </c>
      <c r="AW21" s="34">
        <v>0</v>
      </c>
      <c r="AX21" s="23">
        <f>AW21+'26.05'!AX21</f>
        <v>1</v>
      </c>
      <c r="AY21" s="34">
        <v>0</v>
      </c>
      <c r="AZ21" s="23">
        <f>AY21+'26.05'!AZ21</f>
        <v>0</v>
      </c>
      <c r="BA21" s="34">
        <v>2</v>
      </c>
      <c r="BB21" s="23">
        <f>BA21+'26.05'!BB21</f>
        <v>90</v>
      </c>
      <c r="BC21" s="19">
        <f t="shared" si="5"/>
        <v>1585</v>
      </c>
      <c r="BD21" s="20">
        <f t="shared" si="5"/>
        <v>42236</v>
      </c>
      <c r="BE21" s="22">
        <v>75</v>
      </c>
      <c r="BF21" s="23">
        <f>BE21+'26.05'!BF21</f>
        <v>1444</v>
      </c>
      <c r="BG21" s="34">
        <v>0</v>
      </c>
      <c r="BH21" s="23">
        <f>BG21+'26.05'!BH21</f>
        <v>0</v>
      </c>
      <c r="BI21" s="22">
        <v>1500</v>
      </c>
      <c r="BJ21" s="23">
        <f>BI21+'26.05'!BJ21</f>
        <v>40550</v>
      </c>
      <c r="BK21" s="22">
        <v>0</v>
      </c>
      <c r="BL21" s="23">
        <f>BK21+'26.05'!BL21</f>
        <v>0</v>
      </c>
      <c r="BM21" s="22">
        <v>10</v>
      </c>
      <c r="BN21" s="23">
        <f>BM21+'26.05'!BN21</f>
        <v>242</v>
      </c>
      <c r="BO21" s="36">
        <v>68</v>
      </c>
      <c r="BP21" s="37">
        <v>1</v>
      </c>
      <c r="BQ21" s="23">
        <f>BP21+'26.05'!BQ21</f>
        <v>33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799</v>
      </c>
      <c r="D22" s="31">
        <f t="shared" si="0"/>
        <v>55183</v>
      </c>
      <c r="E22" s="32">
        <v>509</v>
      </c>
      <c r="F22" s="22">
        <v>314</v>
      </c>
      <c r="G22" s="23">
        <f>F22+'26.05'!G22</f>
        <v>9375</v>
      </c>
      <c r="H22" s="33">
        <v>8</v>
      </c>
      <c r="I22" s="34">
        <v>0</v>
      </c>
      <c r="J22" s="23">
        <f>I22+'26.05'!J22</f>
        <v>24</v>
      </c>
      <c r="K22" s="33">
        <v>21</v>
      </c>
      <c r="L22" s="22">
        <v>0</v>
      </c>
      <c r="M22" s="23">
        <f>L22+'26.05'!M22</f>
        <v>0</v>
      </c>
      <c r="N22" s="33">
        <v>560</v>
      </c>
      <c r="O22" s="22">
        <v>0</v>
      </c>
      <c r="P22" s="23">
        <f>O22+'26.05'!P22</f>
        <v>1361</v>
      </c>
      <c r="Q22" s="33">
        <v>375</v>
      </c>
      <c r="R22" s="22">
        <v>0</v>
      </c>
      <c r="S22" s="23">
        <f>R22+'26.05'!S22</f>
        <v>0</v>
      </c>
      <c r="T22" s="33">
        <v>165</v>
      </c>
      <c r="U22" s="22">
        <v>2</v>
      </c>
      <c r="V22" s="23">
        <f>U22+'26.05'!V22</f>
        <v>614</v>
      </c>
      <c r="W22" s="33">
        <v>28</v>
      </c>
      <c r="X22" s="22">
        <v>48</v>
      </c>
      <c r="Y22" s="23">
        <f>X22+'26.05'!Y22</f>
        <v>2210</v>
      </c>
      <c r="Z22" s="33">
        <v>9</v>
      </c>
      <c r="AA22" s="22">
        <v>0</v>
      </c>
      <c r="AB22" s="23">
        <f>AA22+'26.05'!AB22</f>
        <v>0</v>
      </c>
      <c r="AC22" s="33">
        <v>112</v>
      </c>
      <c r="AD22" s="22">
        <v>435</v>
      </c>
      <c r="AE22" s="23">
        <f>AD22+'26.05'!AE22</f>
        <v>41599</v>
      </c>
      <c r="AF22" s="19">
        <f t="shared" si="1"/>
        <v>343441</v>
      </c>
      <c r="AG22" s="20">
        <f t="shared" si="1"/>
        <v>10998187</v>
      </c>
      <c r="AH22" s="24">
        <v>1255</v>
      </c>
      <c r="AI22" s="23">
        <f>AH22+'26.05'!AI22</f>
        <v>56497</v>
      </c>
      <c r="AJ22" s="24">
        <v>9070</v>
      </c>
      <c r="AK22" s="23">
        <f>AJ22+'26.05'!AK22</f>
        <v>187316</v>
      </c>
      <c r="AL22" s="22">
        <v>12104</v>
      </c>
      <c r="AM22" s="23">
        <f>AL22+'26.05'!AM22</f>
        <v>309816</v>
      </c>
      <c r="AN22" s="22">
        <v>321012</v>
      </c>
      <c r="AO22" s="23">
        <f>AN22+'26.05'!AO22</f>
        <v>10444558</v>
      </c>
      <c r="AP22" s="28" t="s">
        <v>59</v>
      </c>
      <c r="AQ22" s="19">
        <f t="shared" si="3"/>
        <v>1210</v>
      </c>
      <c r="AR22" s="20">
        <f t="shared" si="3"/>
        <v>39843</v>
      </c>
      <c r="AS22" s="34">
        <v>0</v>
      </c>
      <c r="AT22" s="23">
        <f>AS22+'26.05'!AT22</f>
        <v>13</v>
      </c>
      <c r="AU22" s="34">
        <v>0</v>
      </c>
      <c r="AV22" s="23">
        <f>AU22+'26.05'!AV22</f>
        <v>11</v>
      </c>
      <c r="AW22" s="34">
        <v>0</v>
      </c>
      <c r="AX22" s="23">
        <f>AW22+'26.05'!AX22</f>
        <v>2</v>
      </c>
      <c r="AY22" s="34">
        <v>0</v>
      </c>
      <c r="AZ22" s="23">
        <f>AY22+'26.05'!AZ22</f>
        <v>1</v>
      </c>
      <c r="BA22" s="34">
        <v>1210</v>
      </c>
      <c r="BB22" s="23">
        <f>BA22+'26.05'!BB22</f>
        <v>39816</v>
      </c>
      <c r="BC22" s="19">
        <f t="shared" si="5"/>
        <v>4312</v>
      </c>
      <c r="BD22" s="20">
        <f t="shared" si="5"/>
        <v>181540</v>
      </c>
      <c r="BE22" s="22">
        <v>7</v>
      </c>
      <c r="BF22" s="23">
        <f>BE22+'26.05'!BF22</f>
        <v>165</v>
      </c>
      <c r="BG22" s="34">
        <v>32</v>
      </c>
      <c r="BH22" s="23">
        <f>BG22+'26.05'!BH22</f>
        <v>1650</v>
      </c>
      <c r="BI22" s="22">
        <v>3120</v>
      </c>
      <c r="BJ22" s="23">
        <f>BI22+'26.05'!BJ22</f>
        <v>114741</v>
      </c>
      <c r="BK22" s="22">
        <v>1125</v>
      </c>
      <c r="BL22" s="23">
        <f>BK22+'26.05'!BL22</f>
        <v>63460</v>
      </c>
      <c r="BM22" s="22">
        <v>28</v>
      </c>
      <c r="BN22" s="23">
        <f>BM22+'26.05'!BN22</f>
        <v>1524</v>
      </c>
      <c r="BO22" s="36">
        <v>26</v>
      </c>
      <c r="BP22" s="37">
        <v>0</v>
      </c>
      <c r="BQ22" s="23">
        <f>BP22+'26.05'!BQ22</f>
        <v>1722</v>
      </c>
    </row>
    <row r="23" spans="1:69" ht="27.75" customHeight="1" thickBot="1">
      <c r="A23" s="62" t="s">
        <v>12</v>
      </c>
      <c r="B23" s="63">
        <f t="shared" si="0"/>
        <v>94991</v>
      </c>
      <c r="C23" s="64">
        <f t="shared" si="0"/>
        <v>2558</v>
      </c>
      <c r="D23" s="65">
        <f t="shared" si="0"/>
        <v>108933</v>
      </c>
      <c r="E23" s="66">
        <f>+E18+E19+E22+E17+E16+E15+E14+E13+E12+E11+E10+E9+E8</f>
        <v>7282</v>
      </c>
      <c r="F23" s="67">
        <f t="shared" ref="F23:J23" si="7">SUM(F8:F22)</f>
        <v>1252</v>
      </c>
      <c r="G23" s="68">
        <f t="shared" si="7"/>
        <v>40386</v>
      </c>
      <c r="H23" s="66">
        <f>+H18+H19+H22+H17+H16+H15+H14+H13+H12+H11+H10+H9+H8</f>
        <v>271</v>
      </c>
      <c r="I23" s="67">
        <f t="shared" si="7"/>
        <v>4</v>
      </c>
      <c r="J23" s="68">
        <f t="shared" si="7"/>
        <v>337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0</v>
      </c>
      <c r="P23" s="68">
        <f t="shared" si="8"/>
        <v>3956</v>
      </c>
      <c r="Q23" s="66">
        <f>+Q18+Q19+Q22+Q17+Q16+Q15+Q14+Q13+Q12+Q11+Q10+Q9+Q8</f>
        <v>7474</v>
      </c>
      <c r="R23" s="67">
        <f t="shared" ref="R23:V23" si="9">SUM(R8:R22)</f>
        <v>0</v>
      </c>
      <c r="S23" s="68">
        <f t="shared" si="9"/>
        <v>179</v>
      </c>
      <c r="T23" s="66">
        <f>+T18+T19+T22+T17+T16+T15+T14+T13+T12+T11+T10+T9+T8</f>
        <v>4115</v>
      </c>
      <c r="U23" s="67">
        <f t="shared" si="9"/>
        <v>3</v>
      </c>
      <c r="V23" s="68">
        <f t="shared" si="9"/>
        <v>945</v>
      </c>
      <c r="W23" s="66">
        <f>+W18+W19+W22+W17+W16+W15+W14+W13+W12+W11+W10+W9+W8</f>
        <v>604</v>
      </c>
      <c r="X23" s="67">
        <f t="shared" ref="X23:AB23" si="10">SUM(X8:X22)</f>
        <v>446</v>
      </c>
      <c r="Y23" s="68">
        <f t="shared" si="10"/>
        <v>11396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85</v>
      </c>
      <c r="AC23" s="66">
        <f>+AC18+AC19+AC22+AC17+AC16+AC15+AC14+AC13+AC12+AC11+AC10+AC9+AC8</f>
        <v>64846</v>
      </c>
      <c r="AD23" s="67">
        <f t="shared" ref="AD23:AO23" si="11">SUM(AD8:AD22)</f>
        <v>852</v>
      </c>
      <c r="AE23" s="68">
        <f t="shared" si="11"/>
        <v>51609</v>
      </c>
      <c r="AF23" s="64">
        <f t="shared" si="11"/>
        <v>4132629</v>
      </c>
      <c r="AG23" s="64">
        <f t="shared" si="11"/>
        <v>120259946</v>
      </c>
      <c r="AH23" s="67">
        <f t="shared" si="11"/>
        <v>17859</v>
      </c>
      <c r="AI23" s="68">
        <f t="shared" si="11"/>
        <v>857526</v>
      </c>
      <c r="AJ23" s="67">
        <f t="shared" si="11"/>
        <v>264304</v>
      </c>
      <c r="AK23" s="68">
        <f t="shared" si="11"/>
        <v>6906080</v>
      </c>
      <c r="AL23" s="67">
        <f t="shared" si="11"/>
        <v>1269544</v>
      </c>
      <c r="AM23" s="68">
        <f t="shared" si="11"/>
        <v>35897296</v>
      </c>
      <c r="AN23" s="67">
        <f t="shared" si="11"/>
        <v>2580922</v>
      </c>
      <c r="AO23" s="68">
        <f t="shared" si="11"/>
        <v>76599044</v>
      </c>
      <c r="AP23" s="62" t="s">
        <v>12</v>
      </c>
      <c r="AQ23" s="64">
        <f t="shared" ref="AQ23:BP23" si="12">SUM(AQ8:AQ22)</f>
        <v>1668</v>
      </c>
      <c r="AR23" s="64">
        <f t="shared" si="12"/>
        <v>52641</v>
      </c>
      <c r="AS23" s="67">
        <f t="shared" si="12"/>
        <v>4</v>
      </c>
      <c r="AT23" s="68">
        <f t="shared" si="12"/>
        <v>124</v>
      </c>
      <c r="AU23" s="67">
        <f t="shared" si="12"/>
        <v>5</v>
      </c>
      <c r="AV23" s="68">
        <f t="shared" si="12"/>
        <v>155</v>
      </c>
      <c r="AW23" s="67">
        <f t="shared" si="12"/>
        <v>1</v>
      </c>
      <c r="AX23" s="68">
        <f t="shared" si="12"/>
        <v>25</v>
      </c>
      <c r="AY23" s="67">
        <f t="shared" si="12"/>
        <v>0</v>
      </c>
      <c r="AZ23" s="68">
        <f t="shared" si="12"/>
        <v>5</v>
      </c>
      <c r="BA23" s="67">
        <f t="shared" si="12"/>
        <v>1658</v>
      </c>
      <c r="BB23" s="68">
        <f t="shared" si="12"/>
        <v>52332</v>
      </c>
      <c r="BC23" s="64">
        <f t="shared" si="12"/>
        <v>32104</v>
      </c>
      <c r="BD23" s="64">
        <f t="shared" si="12"/>
        <v>1082878</v>
      </c>
      <c r="BE23" s="67">
        <f t="shared" si="12"/>
        <v>1169</v>
      </c>
      <c r="BF23" s="68">
        <f t="shared" si="12"/>
        <v>39910</v>
      </c>
      <c r="BG23" s="67">
        <f t="shared" si="12"/>
        <v>107</v>
      </c>
      <c r="BH23" s="68">
        <f t="shared" si="12"/>
        <v>3480</v>
      </c>
      <c r="BI23" s="67">
        <f t="shared" si="12"/>
        <v>24518</v>
      </c>
      <c r="BJ23" s="68">
        <f t="shared" si="12"/>
        <v>830088</v>
      </c>
      <c r="BK23" s="67">
        <f t="shared" si="12"/>
        <v>6098</v>
      </c>
      <c r="BL23" s="68">
        <f t="shared" si="12"/>
        <v>203402</v>
      </c>
      <c r="BM23" s="67">
        <f t="shared" si="12"/>
        <v>212</v>
      </c>
      <c r="BN23" s="68">
        <f t="shared" si="12"/>
        <v>5998</v>
      </c>
      <c r="BO23" s="69">
        <f t="shared" si="12"/>
        <v>37704</v>
      </c>
      <c r="BP23" s="70">
        <f t="shared" si="12"/>
        <v>4</v>
      </c>
      <c r="BQ23" s="23">
        <f>BP23+'20.04'!BP23</f>
        <v>30</v>
      </c>
    </row>
  </sheetData>
  <mergeCells count="44">
    <mergeCell ref="BM6:BN6"/>
    <mergeCell ref="BO6:BQ6"/>
    <mergeCell ref="BA6:BB6"/>
    <mergeCell ref="BC6:BD6"/>
    <mergeCell ref="BE6:BF6"/>
    <mergeCell ref="BG6:BH6"/>
    <mergeCell ref="BI6:BJ6"/>
    <mergeCell ref="BK6:BL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A1:AO1"/>
    <mergeCell ref="AP1:BQ1"/>
    <mergeCell ref="A2:AO2"/>
    <mergeCell ref="AP2:BQ2"/>
    <mergeCell ref="A3:AO3"/>
    <mergeCell ref="AP3:BQ3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30A0"/>
  </sheetPr>
  <dimension ref="A1:BQ23"/>
  <sheetViews>
    <sheetView zoomScale="85" zoomScaleNormal="85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BM21" sqref="BM21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7</v>
      </c>
      <c r="D9" s="31">
        <f t="shared" si="0"/>
        <v>138</v>
      </c>
      <c r="E9" s="32">
        <v>452</v>
      </c>
      <c r="F9" s="22">
        <v>5</v>
      </c>
      <c r="G9" s="23">
        <f>F9+'27.05'!G9</f>
        <v>71</v>
      </c>
      <c r="H9" s="33">
        <v>12</v>
      </c>
      <c r="I9" s="34">
        <v>1</v>
      </c>
      <c r="J9" s="23">
        <f>I9+'27.05'!J9</f>
        <v>22</v>
      </c>
      <c r="K9" s="33">
        <v>2</v>
      </c>
      <c r="L9" s="22">
        <v>0</v>
      </c>
      <c r="M9" s="23">
        <f>L9+'27.05'!M9</f>
        <v>0</v>
      </c>
      <c r="N9" s="33">
        <v>735</v>
      </c>
      <c r="O9" s="22">
        <v>0</v>
      </c>
      <c r="P9" s="23">
        <f>O9+'27.05'!P9</f>
        <v>0</v>
      </c>
      <c r="Q9" s="33">
        <v>502</v>
      </c>
      <c r="R9" s="22">
        <v>0</v>
      </c>
      <c r="S9" s="23">
        <f>R9+'27.05'!S9</f>
        <v>0</v>
      </c>
      <c r="T9" s="33">
        <v>197</v>
      </c>
      <c r="U9" s="22">
        <v>0</v>
      </c>
      <c r="V9" s="23">
        <f>U9+'27.05'!V9</f>
        <v>0</v>
      </c>
      <c r="W9" s="33">
        <v>47</v>
      </c>
      <c r="X9" s="22">
        <v>1</v>
      </c>
      <c r="Y9" s="23">
        <f>X9+'27.05'!Y9</f>
        <v>23</v>
      </c>
      <c r="Z9" s="33">
        <v>34</v>
      </c>
      <c r="AA9" s="22">
        <v>0</v>
      </c>
      <c r="AB9" s="23">
        <f>AA9+'27.05'!AB9</f>
        <v>0</v>
      </c>
      <c r="AC9" s="33">
        <v>1860</v>
      </c>
      <c r="AD9" s="22">
        <v>0</v>
      </c>
      <c r="AE9" s="23">
        <f>AD9+'27.05'!AE9</f>
        <v>22</v>
      </c>
      <c r="AF9" s="19">
        <f t="shared" si="1"/>
        <v>9250</v>
      </c>
      <c r="AG9" s="20">
        <f t="shared" si="1"/>
        <v>238616</v>
      </c>
      <c r="AH9" s="24">
        <v>250</v>
      </c>
      <c r="AI9" s="23">
        <f>AH9+'27.05'!AI9</f>
        <v>3351</v>
      </c>
      <c r="AJ9" s="24">
        <v>850</v>
      </c>
      <c r="AK9" s="23">
        <f>AJ9+'27.05'!AK9</f>
        <v>21462</v>
      </c>
      <c r="AL9" s="22">
        <v>1000</v>
      </c>
      <c r="AM9" s="23">
        <f>AL9+'27.05'!AM9</f>
        <v>38285</v>
      </c>
      <c r="AN9" s="22">
        <v>7150</v>
      </c>
      <c r="AO9" s="23">
        <f>AN9+'27.05'!AO9</f>
        <v>175518</v>
      </c>
      <c r="AP9" s="28" t="s">
        <v>43</v>
      </c>
      <c r="AQ9" s="19">
        <f t="shared" si="3"/>
        <v>155</v>
      </c>
      <c r="AR9" s="20">
        <f t="shared" si="3"/>
        <v>3404</v>
      </c>
      <c r="AS9" s="34">
        <v>0</v>
      </c>
      <c r="AT9" s="23">
        <f>AS9+'27.05'!AT9</f>
        <v>13</v>
      </c>
      <c r="AU9" s="34">
        <v>0</v>
      </c>
      <c r="AV9" s="23">
        <f>AU9+'27.05'!AV9</f>
        <v>12</v>
      </c>
      <c r="AW9" s="34">
        <v>0</v>
      </c>
      <c r="AX9" s="23">
        <f>AW9+'27.05'!AX9</f>
        <v>7</v>
      </c>
      <c r="AY9" s="34">
        <v>0</v>
      </c>
      <c r="AZ9" s="23">
        <f>AY9+'27.05'!AZ9</f>
        <v>0</v>
      </c>
      <c r="BA9" s="34">
        <v>155</v>
      </c>
      <c r="BB9" s="23">
        <f>BA9+'27.05'!BB9</f>
        <v>3372</v>
      </c>
      <c r="BC9" s="19">
        <f t="shared" si="5"/>
        <v>303</v>
      </c>
      <c r="BD9" s="20">
        <f t="shared" si="5"/>
        <v>12134</v>
      </c>
      <c r="BE9" s="22">
        <v>2</v>
      </c>
      <c r="BF9" s="23">
        <f>BE9+'27.05'!BF9</f>
        <v>39</v>
      </c>
      <c r="BG9" s="34">
        <v>0</v>
      </c>
      <c r="BH9" s="23">
        <f>BG9+'27.05'!BH9</f>
        <v>0</v>
      </c>
      <c r="BI9" s="22">
        <v>300</v>
      </c>
      <c r="BJ9" s="23">
        <f>BI9+'27.05'!BJ9</f>
        <v>12060</v>
      </c>
      <c r="BK9" s="22">
        <v>0</v>
      </c>
      <c r="BL9" s="23">
        <f>BK9+'27.05'!BL9</f>
        <v>0</v>
      </c>
      <c r="BM9" s="22">
        <v>1</v>
      </c>
      <c r="BN9" s="23">
        <f>BM9+'27.05'!BN9</f>
        <v>35</v>
      </c>
      <c r="BO9" s="36">
        <v>14</v>
      </c>
      <c r="BP9" s="37">
        <v>1</v>
      </c>
      <c r="BQ9" s="23">
        <f>BP9+'27.05'!BQ9</f>
        <v>8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185</v>
      </c>
      <c r="D10" s="31">
        <f t="shared" si="0"/>
        <v>3213</v>
      </c>
      <c r="E10" s="32">
        <v>585</v>
      </c>
      <c r="F10" s="22">
        <v>5</v>
      </c>
      <c r="G10" s="23">
        <f>F10+'27.05'!G10</f>
        <v>318</v>
      </c>
      <c r="H10" s="33">
        <v>93</v>
      </c>
      <c r="I10" s="34">
        <v>0</v>
      </c>
      <c r="J10" s="23">
        <f>I10+'27.05'!J10</f>
        <v>42</v>
      </c>
      <c r="K10" s="33">
        <v>34</v>
      </c>
      <c r="L10" s="22">
        <v>0</v>
      </c>
      <c r="M10" s="23">
        <f>L10+'27.05'!M10</f>
        <v>19</v>
      </c>
      <c r="N10" s="33">
        <v>352</v>
      </c>
      <c r="O10" s="22">
        <v>0</v>
      </c>
      <c r="P10" s="23">
        <f>O10+'27.05'!P10</f>
        <v>267</v>
      </c>
      <c r="Q10" s="33">
        <v>549</v>
      </c>
      <c r="R10" s="22">
        <v>0</v>
      </c>
      <c r="S10" s="23">
        <f>R10+'27.05'!S10</f>
        <v>151</v>
      </c>
      <c r="T10" s="33">
        <v>198</v>
      </c>
      <c r="U10" s="22">
        <v>3</v>
      </c>
      <c r="V10" s="23">
        <f>U10+'27.05'!V10</f>
        <v>126</v>
      </c>
      <c r="W10" s="38">
        <v>55</v>
      </c>
      <c r="X10" s="22">
        <v>0</v>
      </c>
      <c r="Y10" s="23">
        <f>X10+'27.05'!Y10</f>
        <v>87</v>
      </c>
      <c r="Z10" s="38">
        <v>71</v>
      </c>
      <c r="AA10" s="22">
        <v>0</v>
      </c>
      <c r="AB10" s="23">
        <f>AA10+'27.05'!AB10</f>
        <v>41</v>
      </c>
      <c r="AC10" s="38">
        <v>1690</v>
      </c>
      <c r="AD10" s="22">
        <v>177</v>
      </c>
      <c r="AE10" s="23">
        <f>AD10+'27.05'!AE10</f>
        <v>2162</v>
      </c>
      <c r="AF10" s="19">
        <f t="shared" si="1"/>
        <v>119913</v>
      </c>
      <c r="AG10" s="20">
        <f t="shared" si="1"/>
        <v>2921131</v>
      </c>
      <c r="AH10" s="24">
        <v>584</v>
      </c>
      <c r="AI10" s="23">
        <f>AH10+'27.05'!AI10</f>
        <v>29910</v>
      </c>
      <c r="AJ10" s="24">
        <v>4324</v>
      </c>
      <c r="AK10" s="23">
        <f>AJ10+'27.05'!AK10</f>
        <v>130632</v>
      </c>
      <c r="AL10" s="22">
        <v>14789</v>
      </c>
      <c r="AM10" s="23">
        <f>AL10+'27.05'!AM10</f>
        <v>331985</v>
      </c>
      <c r="AN10" s="22">
        <v>100216</v>
      </c>
      <c r="AO10" s="23">
        <f>AN10+'27.05'!AO10</f>
        <v>2428604</v>
      </c>
      <c r="AP10" s="28" t="s">
        <v>44</v>
      </c>
      <c r="AQ10" s="19">
        <f t="shared" si="3"/>
        <v>4</v>
      </c>
      <c r="AR10" s="20">
        <f t="shared" si="3"/>
        <v>105</v>
      </c>
      <c r="AS10" s="34">
        <v>0</v>
      </c>
      <c r="AT10" s="23">
        <f>AS10+'27.05'!AT10</f>
        <v>5</v>
      </c>
      <c r="AU10" s="34">
        <v>0</v>
      </c>
      <c r="AV10" s="23">
        <f>AU10+'27.05'!AV10</f>
        <v>4</v>
      </c>
      <c r="AW10" s="34">
        <v>0</v>
      </c>
      <c r="AX10" s="23">
        <f>AW10+'27.05'!AX10</f>
        <v>0</v>
      </c>
      <c r="AY10" s="34">
        <v>0</v>
      </c>
      <c r="AZ10" s="23">
        <f>AY10+'27.05'!AZ10</f>
        <v>1</v>
      </c>
      <c r="BA10" s="34">
        <v>4</v>
      </c>
      <c r="BB10" s="23">
        <f>BA10+'27.05'!BB10</f>
        <v>95</v>
      </c>
      <c r="BC10" s="19">
        <f t="shared" si="5"/>
        <v>3688</v>
      </c>
      <c r="BD10" s="20">
        <f t="shared" si="5"/>
        <v>123674</v>
      </c>
      <c r="BE10" s="22">
        <v>550</v>
      </c>
      <c r="BF10" s="23">
        <f>BE10+'27.05'!BF10</f>
        <v>13913</v>
      </c>
      <c r="BG10" s="34">
        <v>0</v>
      </c>
      <c r="BH10" s="23">
        <f>BG10+'27.05'!BH10</f>
        <v>30</v>
      </c>
      <c r="BI10" s="22">
        <v>1960</v>
      </c>
      <c r="BJ10" s="23">
        <f>BI10+'27.05'!BJ10</f>
        <v>65664</v>
      </c>
      <c r="BK10" s="22">
        <v>1178</v>
      </c>
      <c r="BL10" s="23">
        <f>BK10+'27.05'!BL10</f>
        <v>44064</v>
      </c>
      <c r="BM10" s="22">
        <v>0</v>
      </c>
      <c r="BN10" s="23">
        <f>BM10+'27.05'!BN10</f>
        <v>3</v>
      </c>
      <c r="BO10" s="36">
        <v>32</v>
      </c>
      <c r="BP10" s="37">
        <v>0</v>
      </c>
      <c r="BQ10" s="23">
        <f>BP10+'27.05'!BQ10</f>
        <v>16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39</v>
      </c>
      <c r="D11" s="31">
        <f t="shared" si="0"/>
        <v>1025</v>
      </c>
      <c r="E11" s="32">
        <v>883</v>
      </c>
      <c r="F11" s="22">
        <v>19</v>
      </c>
      <c r="G11" s="23">
        <f>F11+'27.05'!G11</f>
        <v>493</v>
      </c>
      <c r="H11" s="33">
        <v>16</v>
      </c>
      <c r="I11" s="34">
        <v>0</v>
      </c>
      <c r="J11" s="23">
        <f>I11+'27.05'!J11</f>
        <v>0</v>
      </c>
      <c r="K11" s="33">
        <v>3</v>
      </c>
      <c r="L11" s="22">
        <v>0</v>
      </c>
      <c r="M11" s="23">
        <f>L11+'27.05'!M11</f>
        <v>0</v>
      </c>
      <c r="N11" s="33">
        <v>875</v>
      </c>
      <c r="O11" s="22">
        <v>0</v>
      </c>
      <c r="P11" s="23">
        <f>O11+'27.05'!P11</f>
        <v>0</v>
      </c>
      <c r="Q11" s="33">
        <v>2424</v>
      </c>
      <c r="R11" s="22">
        <v>0</v>
      </c>
      <c r="S11" s="23">
        <f>R11+'27.05'!S11</f>
        <v>0</v>
      </c>
      <c r="T11" s="33">
        <v>69</v>
      </c>
      <c r="U11" s="22">
        <v>0</v>
      </c>
      <c r="V11" s="23">
        <f>U11+'27.05'!V11</f>
        <v>0</v>
      </c>
      <c r="W11" s="38">
        <v>133</v>
      </c>
      <c r="X11" s="22">
        <v>17</v>
      </c>
      <c r="Y11" s="23">
        <f>X11+'27.05'!Y11</f>
        <v>486</v>
      </c>
      <c r="Z11" s="38">
        <v>1116</v>
      </c>
      <c r="AA11" s="22">
        <v>0</v>
      </c>
      <c r="AB11" s="23">
        <f>AA11+'27.05'!AB11</f>
        <v>0</v>
      </c>
      <c r="AC11" s="38">
        <v>9862</v>
      </c>
      <c r="AD11" s="22">
        <v>3</v>
      </c>
      <c r="AE11" s="23">
        <f>AD11+'27.05'!AE11</f>
        <v>46</v>
      </c>
      <c r="AF11" s="19">
        <f t="shared" si="1"/>
        <v>17300</v>
      </c>
      <c r="AG11" s="20">
        <f t="shared" si="1"/>
        <v>528700</v>
      </c>
      <c r="AH11" s="24">
        <v>2400</v>
      </c>
      <c r="AI11" s="23">
        <f>AH11+'27.05'!AI11</f>
        <v>65600</v>
      </c>
      <c r="AJ11" s="24">
        <v>4100</v>
      </c>
      <c r="AK11" s="23">
        <f>AJ11+'27.05'!AK11</f>
        <v>85400</v>
      </c>
      <c r="AL11" s="22">
        <v>3300</v>
      </c>
      <c r="AM11" s="23">
        <f>AL11+'27.05'!AM11</f>
        <v>113800</v>
      </c>
      <c r="AN11" s="22">
        <v>7500</v>
      </c>
      <c r="AO11" s="23">
        <f>AN11+'27.05'!AO11</f>
        <v>263900</v>
      </c>
      <c r="AP11" s="28" t="s">
        <v>45</v>
      </c>
      <c r="AQ11" s="19">
        <f t="shared" si="3"/>
        <v>3</v>
      </c>
      <c r="AR11" s="20">
        <f t="shared" si="3"/>
        <v>74</v>
      </c>
      <c r="AS11" s="34">
        <v>0</v>
      </c>
      <c r="AT11" s="23">
        <f>AS11+'27.05'!AT11</f>
        <v>0</v>
      </c>
      <c r="AU11" s="34">
        <v>0</v>
      </c>
      <c r="AV11" s="23">
        <f>AU11+'27.05'!AV11</f>
        <v>0</v>
      </c>
      <c r="AW11" s="34">
        <v>0</v>
      </c>
      <c r="AX11" s="23">
        <f>AW11+'27.05'!AX11</f>
        <v>0</v>
      </c>
      <c r="AY11" s="34">
        <v>0</v>
      </c>
      <c r="AZ11" s="23">
        <f>AY11+'27.05'!AZ11</f>
        <v>0</v>
      </c>
      <c r="BA11" s="34">
        <v>3</v>
      </c>
      <c r="BB11" s="23">
        <f>BA11+'27.05'!BB11</f>
        <v>74</v>
      </c>
      <c r="BC11" s="19">
        <f t="shared" si="5"/>
        <v>456</v>
      </c>
      <c r="BD11" s="20">
        <f t="shared" si="5"/>
        <v>16905</v>
      </c>
      <c r="BE11" s="22">
        <v>5</v>
      </c>
      <c r="BF11" s="23">
        <f>BE11+'27.05'!BF11</f>
        <v>66</v>
      </c>
      <c r="BG11" s="34">
        <v>3</v>
      </c>
      <c r="BH11" s="23">
        <f>BG11+'27.05'!BH11</f>
        <v>83</v>
      </c>
      <c r="BI11" s="22">
        <v>436</v>
      </c>
      <c r="BJ11" s="23">
        <f>BI11+'27.05'!BJ11</f>
        <v>16303</v>
      </c>
      <c r="BK11" s="22">
        <v>9</v>
      </c>
      <c r="BL11" s="23">
        <f>BK11+'27.05'!BL11</f>
        <v>393</v>
      </c>
      <c r="BM11" s="22">
        <v>3</v>
      </c>
      <c r="BN11" s="23">
        <f>BM11+'27.05'!BN11</f>
        <v>60</v>
      </c>
      <c r="BO11" s="36">
        <v>11506</v>
      </c>
      <c r="BP11" s="37">
        <v>5</v>
      </c>
      <c r="BQ11" s="23" t="e">
        <f>BP11+'27.05'!BQ11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297</v>
      </c>
      <c r="D12" s="31">
        <f t="shared" si="0"/>
        <v>6426</v>
      </c>
      <c r="E12" s="32">
        <v>909</v>
      </c>
      <c r="F12" s="22">
        <v>82</v>
      </c>
      <c r="G12" s="23">
        <f>F12+'27.05'!G12</f>
        <v>1569</v>
      </c>
      <c r="H12" s="33">
        <v>80</v>
      </c>
      <c r="I12" s="34">
        <v>2</v>
      </c>
      <c r="J12" s="23">
        <f>I12+'27.05'!J12</f>
        <v>73</v>
      </c>
      <c r="K12" s="33">
        <v>5</v>
      </c>
      <c r="L12" s="22">
        <v>0</v>
      </c>
      <c r="M12" s="23">
        <f>L12+'27.05'!M12</f>
        <v>0</v>
      </c>
      <c r="N12" s="33">
        <v>820</v>
      </c>
      <c r="O12" s="22">
        <v>0</v>
      </c>
      <c r="P12" s="23">
        <f>O12+'27.05'!P12</f>
        <v>499</v>
      </c>
      <c r="Q12" s="33">
        <v>549</v>
      </c>
      <c r="R12" s="22">
        <v>0</v>
      </c>
      <c r="S12" s="23">
        <f>R12+'27.05'!S12</f>
        <v>0</v>
      </c>
      <c r="T12" s="33">
        <v>992</v>
      </c>
      <c r="U12" s="22">
        <v>0</v>
      </c>
      <c r="V12" s="23">
        <f>U12+'27.05'!V12</f>
        <v>0</v>
      </c>
      <c r="W12" s="33">
        <v>38</v>
      </c>
      <c r="X12" s="22">
        <v>120</v>
      </c>
      <c r="Y12" s="23">
        <f>X12+'27.05'!Y12</f>
        <v>3256</v>
      </c>
      <c r="Z12" s="33">
        <v>68</v>
      </c>
      <c r="AA12" s="22">
        <v>0</v>
      </c>
      <c r="AB12" s="23">
        <f>AA12+'27.05'!AB12</f>
        <v>0</v>
      </c>
      <c r="AC12" s="33">
        <v>26703</v>
      </c>
      <c r="AD12" s="22">
        <v>93</v>
      </c>
      <c r="AE12" s="23">
        <f>AD12+'27.05'!AE12</f>
        <v>1029</v>
      </c>
      <c r="AF12" s="19">
        <f t="shared" si="1"/>
        <v>34201</v>
      </c>
      <c r="AG12" s="20">
        <f t="shared" si="1"/>
        <v>434880</v>
      </c>
      <c r="AH12" s="24">
        <v>4200</v>
      </c>
      <c r="AI12" s="23">
        <f>AH12+'27.05'!AI12</f>
        <v>67584</v>
      </c>
      <c r="AJ12" s="24">
        <v>11900</v>
      </c>
      <c r="AK12" s="23">
        <f>AJ12+'27.05'!AK12</f>
        <v>135512</v>
      </c>
      <c r="AL12" s="22">
        <v>9050</v>
      </c>
      <c r="AM12" s="23">
        <f>AL12+'27.05'!AM12</f>
        <v>115889</v>
      </c>
      <c r="AN12" s="22">
        <v>9051</v>
      </c>
      <c r="AO12" s="23">
        <f>AN12+'27.05'!AO12</f>
        <v>115895</v>
      </c>
      <c r="AP12" s="28" t="s">
        <v>46</v>
      </c>
      <c r="AQ12" s="19">
        <f t="shared" si="3"/>
        <v>114</v>
      </c>
      <c r="AR12" s="20">
        <f t="shared" si="3"/>
        <v>2406</v>
      </c>
      <c r="AS12" s="34">
        <v>0</v>
      </c>
      <c r="AT12" s="23">
        <f>AS12+'27.05'!AT12</f>
        <v>0</v>
      </c>
      <c r="AU12" s="34">
        <v>0</v>
      </c>
      <c r="AV12" s="23">
        <f>AU12+'27.05'!AV12</f>
        <v>0</v>
      </c>
      <c r="AW12" s="34">
        <v>0</v>
      </c>
      <c r="AX12" s="23">
        <f>AW12+'27.05'!AX12</f>
        <v>0</v>
      </c>
      <c r="AY12" s="34">
        <v>0</v>
      </c>
      <c r="AZ12" s="23">
        <f>AY12+'27.05'!AZ12</f>
        <v>0</v>
      </c>
      <c r="BA12" s="34">
        <v>114</v>
      </c>
      <c r="BB12" s="23">
        <f>BA12+'27.05'!BB12</f>
        <v>2406</v>
      </c>
      <c r="BC12" s="19">
        <f t="shared" si="5"/>
        <v>3078</v>
      </c>
      <c r="BD12" s="20">
        <f t="shared" si="5"/>
        <v>78016</v>
      </c>
      <c r="BE12" s="22">
        <v>111</v>
      </c>
      <c r="BF12" s="23">
        <f>BE12+'27.05'!BF12</f>
        <v>5296</v>
      </c>
      <c r="BG12" s="34">
        <v>9</v>
      </c>
      <c r="BH12" s="23">
        <f>BG12+'27.05'!BH12</f>
        <v>271</v>
      </c>
      <c r="BI12" s="22">
        <v>2500</v>
      </c>
      <c r="BJ12" s="23">
        <f>BI12+'27.05'!BJ12</f>
        <v>63000</v>
      </c>
      <c r="BK12" s="22">
        <v>400</v>
      </c>
      <c r="BL12" s="23">
        <f>BK12+'27.05'!BL12</f>
        <v>8050</v>
      </c>
      <c r="BM12" s="22">
        <v>58</v>
      </c>
      <c r="BN12" s="23">
        <f>BM12+'27.05'!BN12</f>
        <v>1399</v>
      </c>
      <c r="BO12" s="36"/>
      <c r="BP12" s="37">
        <v>1</v>
      </c>
      <c r="BQ12" s="23">
        <f>BP12+'27.05'!BQ12</f>
        <v>47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5</v>
      </c>
      <c r="D13" s="31">
        <f t="shared" si="0"/>
        <v>318</v>
      </c>
      <c r="E13" s="32">
        <v>516</v>
      </c>
      <c r="F13" s="22">
        <v>2</v>
      </c>
      <c r="G13" s="23">
        <f>F13+'27.05'!G13</f>
        <v>32</v>
      </c>
      <c r="H13" s="33">
        <v>10</v>
      </c>
      <c r="I13" s="34">
        <v>1</v>
      </c>
      <c r="J13" s="23">
        <f>I13+'27.05'!J13</f>
        <v>16</v>
      </c>
      <c r="K13" s="33">
        <v>38</v>
      </c>
      <c r="L13" s="22">
        <v>0</v>
      </c>
      <c r="M13" s="23">
        <f>L13+'27.05'!M13</f>
        <v>0</v>
      </c>
      <c r="N13" s="33">
        <v>581</v>
      </c>
      <c r="O13" s="22">
        <v>0</v>
      </c>
      <c r="P13" s="23">
        <f>O13+'27.05'!P13</f>
        <v>11</v>
      </c>
      <c r="Q13" s="33">
        <v>525</v>
      </c>
      <c r="R13" s="22">
        <v>0</v>
      </c>
      <c r="S13" s="23">
        <f>R13+'27.05'!S13</f>
        <v>0</v>
      </c>
      <c r="T13" s="33">
        <v>263</v>
      </c>
      <c r="U13" s="22">
        <v>0</v>
      </c>
      <c r="V13" s="23">
        <f>U13+'27.05'!V13</f>
        <v>0</v>
      </c>
      <c r="W13" s="33">
        <v>43</v>
      </c>
      <c r="X13" s="22">
        <v>0</v>
      </c>
      <c r="Y13" s="23">
        <f>X13+'27.05'!Y13</f>
        <v>1</v>
      </c>
      <c r="Z13" s="33">
        <v>17</v>
      </c>
      <c r="AA13" s="22">
        <v>0</v>
      </c>
      <c r="AB13" s="23">
        <f>AA13+'27.05'!AB13</f>
        <v>0</v>
      </c>
      <c r="AC13" s="33">
        <v>51</v>
      </c>
      <c r="AD13" s="22">
        <v>2</v>
      </c>
      <c r="AE13" s="23">
        <f>AD13+'27.05'!AE13</f>
        <v>258</v>
      </c>
      <c r="AF13" s="19">
        <f t="shared" si="1"/>
        <v>363000</v>
      </c>
      <c r="AG13" s="20">
        <f t="shared" si="1"/>
        <v>7605000</v>
      </c>
      <c r="AH13" s="24">
        <v>1500</v>
      </c>
      <c r="AI13" s="23">
        <f>AH13+'27.05'!AI13</f>
        <v>75500</v>
      </c>
      <c r="AJ13" s="24">
        <v>11500</v>
      </c>
      <c r="AK13" s="23">
        <f>AJ13+'27.05'!AK13</f>
        <v>530500</v>
      </c>
      <c r="AL13" s="22">
        <v>250000</v>
      </c>
      <c r="AM13" s="23">
        <f>AL13+'27.05'!AM13</f>
        <v>1740000</v>
      </c>
      <c r="AN13" s="22">
        <v>100000</v>
      </c>
      <c r="AO13" s="23">
        <f>AN13+'27.05'!AO13</f>
        <v>5259000</v>
      </c>
      <c r="AP13" s="28" t="s">
        <v>47</v>
      </c>
      <c r="AQ13" s="19">
        <f t="shared" si="3"/>
        <v>9</v>
      </c>
      <c r="AR13" s="20">
        <f t="shared" si="3"/>
        <v>538</v>
      </c>
      <c r="AS13" s="34">
        <v>1</v>
      </c>
      <c r="AT13" s="23">
        <f>AS13+'27.05'!AT13</f>
        <v>25</v>
      </c>
      <c r="AU13" s="34">
        <v>0</v>
      </c>
      <c r="AV13" s="23">
        <f>AU13+'27.05'!AV13</f>
        <v>21</v>
      </c>
      <c r="AW13" s="34">
        <v>1</v>
      </c>
      <c r="AX13" s="23">
        <f>AW13+'27.05'!AX13</f>
        <v>5</v>
      </c>
      <c r="AY13" s="34">
        <v>0</v>
      </c>
      <c r="AZ13" s="23">
        <f>AY13+'27.05'!AZ13</f>
        <v>0</v>
      </c>
      <c r="BA13" s="34">
        <v>7</v>
      </c>
      <c r="BB13" s="23">
        <f>BA13+'27.05'!BB13</f>
        <v>487</v>
      </c>
      <c r="BC13" s="19">
        <f t="shared" si="5"/>
        <v>8737</v>
      </c>
      <c r="BD13" s="20">
        <f t="shared" si="5"/>
        <v>286645</v>
      </c>
      <c r="BE13" s="22">
        <v>516</v>
      </c>
      <c r="BF13" s="23">
        <f>BE13+'27.05'!BF13</f>
        <v>14448</v>
      </c>
      <c r="BG13" s="34">
        <v>54</v>
      </c>
      <c r="BH13" s="23">
        <f>BG13+'27.05'!BH13</f>
        <v>1005</v>
      </c>
      <c r="BI13" s="22">
        <v>8000</v>
      </c>
      <c r="BJ13" s="23">
        <f>BI13+'27.05'!BJ13</f>
        <v>264500</v>
      </c>
      <c r="BK13" s="22">
        <v>100</v>
      </c>
      <c r="BL13" s="23">
        <f>BK13+'27.05'!BL13</f>
        <v>5420</v>
      </c>
      <c r="BM13" s="22">
        <v>67</v>
      </c>
      <c r="BN13" s="23">
        <f>BM13+'27.05'!BN13</f>
        <v>1272</v>
      </c>
      <c r="BO13" s="36"/>
      <c r="BP13" s="37">
        <v>0</v>
      </c>
      <c r="BQ13" s="23">
        <f>BP13+'27.05'!BQ13</f>
        <v>15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105</v>
      </c>
      <c r="D14" s="42">
        <f t="shared" si="0"/>
        <v>3103</v>
      </c>
      <c r="E14" s="43">
        <v>304</v>
      </c>
      <c r="F14" s="22">
        <v>97</v>
      </c>
      <c r="G14" s="23">
        <f>F14+'27.05'!G14</f>
        <v>2671</v>
      </c>
      <c r="H14" s="44">
        <v>5</v>
      </c>
      <c r="I14" s="45">
        <v>0</v>
      </c>
      <c r="J14" s="23">
        <f>I14+'27.05'!J14</f>
        <v>0</v>
      </c>
      <c r="K14" s="44">
        <v>34</v>
      </c>
      <c r="L14" s="22">
        <v>0</v>
      </c>
      <c r="M14" s="23">
        <f>L14+'27.05'!M14</f>
        <v>0</v>
      </c>
      <c r="N14" s="44">
        <v>583</v>
      </c>
      <c r="O14" s="22">
        <v>0</v>
      </c>
      <c r="P14" s="23">
        <f>O14+'27.05'!P14</f>
        <v>0</v>
      </c>
      <c r="Q14" s="44">
        <v>254</v>
      </c>
      <c r="R14" s="22">
        <v>0</v>
      </c>
      <c r="S14" s="23">
        <f>R14+'27.05'!S14</f>
        <v>0</v>
      </c>
      <c r="T14" s="44">
        <v>196</v>
      </c>
      <c r="U14" s="22">
        <v>0</v>
      </c>
      <c r="V14" s="23">
        <f>U14+'27.05'!V14</f>
        <v>0</v>
      </c>
      <c r="W14" s="44">
        <v>30</v>
      </c>
      <c r="X14" s="22">
        <v>8</v>
      </c>
      <c r="Y14" s="23">
        <f>X14+'27.05'!Y14</f>
        <v>320</v>
      </c>
      <c r="Z14" s="44">
        <v>10</v>
      </c>
      <c r="AA14" s="22">
        <v>0</v>
      </c>
      <c r="AB14" s="23">
        <f>AA14+'27.05'!AB14</f>
        <v>0</v>
      </c>
      <c r="AC14" s="44">
        <v>2500</v>
      </c>
      <c r="AD14" s="22">
        <v>0</v>
      </c>
      <c r="AE14" s="23">
        <f>AD14+'27.05'!AE14</f>
        <v>112</v>
      </c>
      <c r="AF14" s="19">
        <f t="shared" si="1"/>
        <v>30000</v>
      </c>
      <c r="AG14" s="20">
        <f t="shared" si="1"/>
        <v>3085740</v>
      </c>
      <c r="AH14" s="24">
        <v>950</v>
      </c>
      <c r="AI14" s="23">
        <f>AH14+'27.05'!AI14</f>
        <v>86510</v>
      </c>
      <c r="AJ14" s="24">
        <v>8500</v>
      </c>
      <c r="AK14" s="23">
        <f>AJ14+'27.05'!AK14</f>
        <v>182950</v>
      </c>
      <c r="AL14" s="22">
        <v>9300</v>
      </c>
      <c r="AM14" s="23">
        <f>AL14+'27.05'!AM14</f>
        <v>212950</v>
      </c>
      <c r="AN14" s="22">
        <v>11250</v>
      </c>
      <c r="AO14" s="23">
        <f>AN14+'27.05'!AO14</f>
        <v>2603330</v>
      </c>
      <c r="AP14" s="39" t="s">
        <v>48</v>
      </c>
      <c r="AQ14" s="19">
        <f t="shared" si="3"/>
        <v>3</v>
      </c>
      <c r="AR14" s="20">
        <f t="shared" si="3"/>
        <v>92</v>
      </c>
      <c r="AS14" s="45">
        <v>0</v>
      </c>
      <c r="AT14" s="23">
        <f>AS14+'27.05'!AT14</f>
        <v>0</v>
      </c>
      <c r="AU14" s="45">
        <v>0</v>
      </c>
      <c r="AV14" s="23">
        <f>AU14+'27.05'!AV14</f>
        <v>4</v>
      </c>
      <c r="AW14" s="45">
        <v>0</v>
      </c>
      <c r="AX14" s="23">
        <f>AW14+'27.05'!AX14</f>
        <v>4</v>
      </c>
      <c r="AY14" s="45">
        <v>0</v>
      </c>
      <c r="AZ14" s="23">
        <f>AY14+'27.05'!AZ14</f>
        <v>2</v>
      </c>
      <c r="BA14" s="45">
        <v>3</v>
      </c>
      <c r="BB14" s="23">
        <f>BA14+'27.05'!BB14</f>
        <v>82</v>
      </c>
      <c r="BC14" s="19">
        <f t="shared" si="5"/>
        <v>859</v>
      </c>
      <c r="BD14" s="20">
        <f t="shared" si="5"/>
        <v>54545</v>
      </c>
      <c r="BE14" s="22">
        <v>3</v>
      </c>
      <c r="BF14" s="23">
        <f>BE14+'27.05'!BF14</f>
        <v>85</v>
      </c>
      <c r="BG14" s="45">
        <v>0</v>
      </c>
      <c r="BH14" s="23">
        <f>BG14+'27.05'!BH14</f>
        <v>43</v>
      </c>
      <c r="BI14" s="22">
        <v>850</v>
      </c>
      <c r="BJ14" s="23">
        <f>BI14+'27.05'!BJ14</f>
        <v>54230</v>
      </c>
      <c r="BK14" s="22">
        <v>4</v>
      </c>
      <c r="BL14" s="23">
        <f>BK14+'27.05'!BL14</f>
        <v>123</v>
      </c>
      <c r="BM14" s="22">
        <v>2</v>
      </c>
      <c r="BN14" s="23">
        <f>BM14+'27.05'!BN14</f>
        <v>64</v>
      </c>
      <c r="BO14" s="48">
        <v>22</v>
      </c>
      <c r="BP14" s="49">
        <v>0</v>
      </c>
      <c r="BQ14" s="23">
        <f>BP14+'27.05'!BQ14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454</v>
      </c>
      <c r="D15" s="53">
        <f t="shared" si="0"/>
        <v>12633</v>
      </c>
      <c r="E15" s="54">
        <v>776</v>
      </c>
      <c r="F15" s="55">
        <v>359</v>
      </c>
      <c r="G15" s="23">
        <f>F15+'27.05'!G15</f>
        <v>10087</v>
      </c>
      <c r="H15" s="56">
        <v>9</v>
      </c>
      <c r="I15" s="57">
        <v>0</v>
      </c>
      <c r="J15" s="23">
        <f>I15+'27.05'!J15</f>
        <v>0</v>
      </c>
      <c r="K15" s="56">
        <v>6</v>
      </c>
      <c r="L15" s="55">
        <v>0</v>
      </c>
      <c r="M15" s="23">
        <f>L15+'27.05'!M15</f>
        <v>0</v>
      </c>
      <c r="N15" s="56">
        <v>1305</v>
      </c>
      <c r="O15" s="55">
        <v>0</v>
      </c>
      <c r="P15" s="23">
        <f>O15+'27.05'!P15</f>
        <v>0</v>
      </c>
      <c r="Q15" s="56">
        <v>447</v>
      </c>
      <c r="R15" s="55">
        <v>0</v>
      </c>
      <c r="S15" s="23">
        <f>R15+'27.05'!S15</f>
        <v>0</v>
      </c>
      <c r="T15" s="56">
        <v>337</v>
      </c>
      <c r="U15" s="55">
        <v>0</v>
      </c>
      <c r="V15" s="23">
        <f>U15+'27.05'!V15</f>
        <v>0</v>
      </c>
      <c r="W15" s="56">
        <v>78</v>
      </c>
      <c r="X15" s="55">
        <v>0</v>
      </c>
      <c r="Y15" s="23">
        <f>X15+'27.05'!Y15</f>
        <v>0</v>
      </c>
      <c r="Z15" s="56">
        <v>141</v>
      </c>
      <c r="AA15" s="55">
        <v>0</v>
      </c>
      <c r="AB15" s="23">
        <f>AA15+'27.05'!AB15</f>
        <v>0</v>
      </c>
      <c r="AC15" s="56">
        <v>798</v>
      </c>
      <c r="AD15" s="55">
        <v>95</v>
      </c>
      <c r="AE15" s="23">
        <f>AD15+'27.05'!AE15</f>
        <v>2546</v>
      </c>
      <c r="AF15" s="58">
        <f t="shared" si="1"/>
        <v>1869447</v>
      </c>
      <c r="AG15" s="59">
        <f t="shared" si="1"/>
        <v>58288814</v>
      </c>
      <c r="AH15" s="60">
        <v>798</v>
      </c>
      <c r="AI15" s="23">
        <f>AH15+'27.05'!AI15</f>
        <v>23604</v>
      </c>
      <c r="AJ15" s="60">
        <v>2744</v>
      </c>
      <c r="AK15" s="23">
        <f>AJ15+'27.05'!AK15</f>
        <v>79236</v>
      </c>
      <c r="AL15" s="55">
        <v>932953</v>
      </c>
      <c r="AM15" s="23">
        <f>AL15+'27.05'!AM15</f>
        <v>33444488</v>
      </c>
      <c r="AN15" s="55">
        <v>932952</v>
      </c>
      <c r="AO15" s="23">
        <f>AN15+'27.05'!AO15</f>
        <v>24741486</v>
      </c>
      <c r="AP15" s="50" t="s">
        <v>49</v>
      </c>
      <c r="AQ15" s="58">
        <f t="shared" si="3"/>
        <v>2</v>
      </c>
      <c r="AR15" s="59">
        <f t="shared" si="3"/>
        <v>72</v>
      </c>
      <c r="AS15" s="57">
        <v>0</v>
      </c>
      <c r="AT15" s="23">
        <f>AS15+'27.05'!AT15</f>
        <v>2</v>
      </c>
      <c r="AU15" s="57">
        <v>0</v>
      </c>
      <c r="AV15" s="23">
        <f>AU15+'27.05'!AV15</f>
        <v>6</v>
      </c>
      <c r="AW15" s="57">
        <v>0</v>
      </c>
      <c r="AX15" s="23">
        <f>AW15+'27.05'!AX15</f>
        <v>6</v>
      </c>
      <c r="AY15" s="57">
        <v>0</v>
      </c>
      <c r="AZ15" s="23">
        <f>AY15+'27.05'!AZ15</f>
        <v>1</v>
      </c>
      <c r="BA15" s="57">
        <v>2</v>
      </c>
      <c r="BB15" s="23">
        <f>BA15+'27.05'!BB15</f>
        <v>57</v>
      </c>
      <c r="BC15" s="58">
        <f t="shared" si="5"/>
        <v>2115</v>
      </c>
      <c r="BD15" s="59">
        <f t="shared" si="5"/>
        <v>45696</v>
      </c>
      <c r="BE15" s="55">
        <v>97</v>
      </c>
      <c r="BF15" s="23">
        <f>BE15+'27.05'!BF15</f>
        <v>2189</v>
      </c>
      <c r="BG15" s="57">
        <v>2</v>
      </c>
      <c r="BH15" s="23">
        <f>BG15+'27.05'!BH15</f>
        <v>39</v>
      </c>
      <c r="BI15" s="55">
        <v>1000</v>
      </c>
      <c r="BJ15" s="23">
        <f>BI15+'27.05'!BJ15</f>
        <v>21814</v>
      </c>
      <c r="BK15" s="55">
        <v>1000</v>
      </c>
      <c r="BL15" s="23">
        <f>BK15+'27.05'!BL15</f>
        <v>21209</v>
      </c>
      <c r="BM15" s="55">
        <v>16</v>
      </c>
      <c r="BN15" s="23">
        <f>BM15+'27.05'!BN15</f>
        <v>445</v>
      </c>
      <c r="BO15" s="36">
        <v>6274</v>
      </c>
      <c r="BP15" s="37">
        <v>1</v>
      </c>
      <c r="BQ15" s="23">
        <f>BP15+'27.05'!BQ15</f>
        <v>16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145</v>
      </c>
      <c r="D16" s="31">
        <f t="shared" si="0"/>
        <v>3874</v>
      </c>
      <c r="E16" s="32">
        <v>310</v>
      </c>
      <c r="F16" s="22">
        <v>48</v>
      </c>
      <c r="G16" s="23">
        <f>F16+'27.05'!G16</f>
        <v>1329</v>
      </c>
      <c r="H16" s="33">
        <v>5</v>
      </c>
      <c r="I16" s="34">
        <v>0</v>
      </c>
      <c r="J16" s="23">
        <f>I16+'27.05'!J16</f>
        <v>0</v>
      </c>
      <c r="K16" s="33">
        <v>3</v>
      </c>
      <c r="L16" s="22">
        <v>0</v>
      </c>
      <c r="M16" s="23">
        <f>L16+'27.05'!M16</f>
        <v>0</v>
      </c>
      <c r="N16" s="33">
        <v>384</v>
      </c>
      <c r="O16" s="22">
        <v>0</v>
      </c>
      <c r="P16" s="23">
        <f>O16+'27.05'!P16</f>
        <v>0</v>
      </c>
      <c r="Q16" s="33">
        <v>245</v>
      </c>
      <c r="R16" s="22">
        <v>0</v>
      </c>
      <c r="S16" s="23">
        <f>R16+'27.05'!S16</f>
        <v>0</v>
      </c>
      <c r="T16" s="33">
        <v>397</v>
      </c>
      <c r="U16" s="22">
        <v>0</v>
      </c>
      <c r="V16" s="23">
        <f>U16+'27.05'!V16</f>
        <v>0</v>
      </c>
      <c r="W16" s="33">
        <v>24</v>
      </c>
      <c r="X16" s="22">
        <v>45</v>
      </c>
      <c r="Y16" s="23">
        <f>X16+'27.05'!Y16</f>
        <v>1347</v>
      </c>
      <c r="Z16" s="33">
        <v>18</v>
      </c>
      <c r="AA16" s="22">
        <v>0</v>
      </c>
      <c r="AB16" s="23">
        <f>AA16+'27.05'!AB16</f>
        <v>0</v>
      </c>
      <c r="AC16" s="33">
        <v>18515</v>
      </c>
      <c r="AD16" s="22">
        <v>52</v>
      </c>
      <c r="AE16" s="23">
        <f>AD16+'27.05'!AE16</f>
        <v>1198</v>
      </c>
      <c r="AF16" s="19">
        <f t="shared" si="1"/>
        <v>59135</v>
      </c>
      <c r="AG16" s="20">
        <f t="shared" si="1"/>
        <v>1661892</v>
      </c>
      <c r="AH16" s="24">
        <v>174</v>
      </c>
      <c r="AI16" s="23">
        <f>AH16+'27.05'!AI16</f>
        <v>4462</v>
      </c>
      <c r="AJ16" s="24">
        <v>1652</v>
      </c>
      <c r="AK16" s="23">
        <f>AJ16+'27.05'!AK16</f>
        <v>38836</v>
      </c>
      <c r="AL16" s="22">
        <v>1672</v>
      </c>
      <c r="AM16" s="23">
        <f>AL16+'27.05'!AM16</f>
        <v>43597</v>
      </c>
      <c r="AN16" s="22">
        <v>55637</v>
      </c>
      <c r="AO16" s="23">
        <f>AN16+'27.05'!AO16</f>
        <v>1574997</v>
      </c>
      <c r="AP16" s="28" t="s">
        <v>51</v>
      </c>
      <c r="AQ16" s="19">
        <f t="shared" si="3"/>
        <v>84</v>
      </c>
      <c r="AR16" s="20">
        <f t="shared" si="3"/>
        <v>2212</v>
      </c>
      <c r="AS16" s="34">
        <v>0</v>
      </c>
      <c r="AT16" s="23">
        <f>AS16+'27.05'!AT16</f>
        <v>3</v>
      </c>
      <c r="AU16" s="34">
        <v>0</v>
      </c>
      <c r="AV16" s="23">
        <f>AU16+'27.05'!AV16</f>
        <v>0</v>
      </c>
      <c r="AW16" s="34">
        <v>0</v>
      </c>
      <c r="AX16" s="23">
        <f>AW16+'27.05'!AX16</f>
        <v>0</v>
      </c>
      <c r="AY16" s="34">
        <v>0</v>
      </c>
      <c r="AZ16" s="23">
        <f>AY16+'27.05'!AZ16</f>
        <v>0</v>
      </c>
      <c r="BA16" s="34">
        <v>84</v>
      </c>
      <c r="BB16" s="23">
        <f>BA16+'27.05'!BB16</f>
        <v>2209</v>
      </c>
      <c r="BC16" s="19">
        <f t="shared" si="5"/>
        <v>1476</v>
      </c>
      <c r="BD16" s="20">
        <f t="shared" si="5"/>
        <v>38369</v>
      </c>
      <c r="BE16" s="22">
        <v>84</v>
      </c>
      <c r="BF16" s="23">
        <f>BE16+'27.05'!BF16</f>
        <v>2109</v>
      </c>
      <c r="BG16" s="34">
        <v>0</v>
      </c>
      <c r="BH16" s="23">
        <f>BG16+'27.05'!BH16</f>
        <v>0</v>
      </c>
      <c r="BI16" s="22">
        <v>1342</v>
      </c>
      <c r="BJ16" s="23">
        <f>BI16+'27.05'!BJ16</f>
        <v>34897</v>
      </c>
      <c r="BK16" s="22">
        <v>42</v>
      </c>
      <c r="BL16" s="23">
        <f>BK16+'27.05'!BL16</f>
        <v>1179</v>
      </c>
      <c r="BM16" s="22">
        <v>8</v>
      </c>
      <c r="BN16" s="23">
        <f>BM16+'27.05'!BN16</f>
        <v>184</v>
      </c>
      <c r="BO16" s="36">
        <v>2546</v>
      </c>
      <c r="BP16" s="37">
        <v>0</v>
      </c>
      <c r="BQ16" s="23">
        <f>BP16+'27.05'!BQ16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2</v>
      </c>
      <c r="D17" s="31">
        <f t="shared" si="0"/>
        <v>4361</v>
      </c>
      <c r="E17" s="32">
        <v>754</v>
      </c>
      <c r="F17" s="22">
        <v>0</v>
      </c>
      <c r="G17" s="23">
        <f>F17+'27.05'!G17</f>
        <v>3720</v>
      </c>
      <c r="H17" s="33">
        <v>9</v>
      </c>
      <c r="I17" s="34">
        <v>0</v>
      </c>
      <c r="J17" s="23">
        <f>I17+'27.05'!J17</f>
        <v>0</v>
      </c>
      <c r="K17" s="33">
        <v>5</v>
      </c>
      <c r="L17" s="22">
        <v>0</v>
      </c>
      <c r="M17" s="23">
        <f>L17+'27.05'!M17</f>
        <v>0</v>
      </c>
      <c r="N17" s="33">
        <v>768</v>
      </c>
      <c r="O17" s="22">
        <v>0</v>
      </c>
      <c r="P17" s="23">
        <f>O17+'27.05'!P17</f>
        <v>0</v>
      </c>
      <c r="Q17" s="33">
        <v>624</v>
      </c>
      <c r="R17" s="22">
        <v>0</v>
      </c>
      <c r="S17" s="23">
        <f>R17+'27.05'!S17</f>
        <v>0</v>
      </c>
      <c r="T17" s="33">
        <v>742</v>
      </c>
      <c r="U17" s="22">
        <v>0</v>
      </c>
      <c r="V17" s="23">
        <f>U17+'27.05'!V17</f>
        <v>0</v>
      </c>
      <c r="W17" s="33">
        <v>54</v>
      </c>
      <c r="X17" s="22">
        <v>1</v>
      </c>
      <c r="Y17" s="23">
        <f>X17+'27.05'!Y17</f>
        <v>335</v>
      </c>
      <c r="Z17" s="33">
        <v>66</v>
      </c>
      <c r="AA17" s="22">
        <v>0</v>
      </c>
      <c r="AB17" s="23">
        <f>AA17+'27.05'!AB17</f>
        <v>10</v>
      </c>
      <c r="AC17" s="33">
        <v>2580</v>
      </c>
      <c r="AD17" s="22">
        <v>1</v>
      </c>
      <c r="AE17" s="23">
        <f>AD17+'27.05'!AE17</f>
        <v>296</v>
      </c>
      <c r="AF17" s="19">
        <f t="shared" si="1"/>
        <v>59500</v>
      </c>
      <c r="AG17" s="20">
        <f t="shared" si="1"/>
        <v>2738900</v>
      </c>
      <c r="AH17" s="24">
        <v>500</v>
      </c>
      <c r="AI17" s="23">
        <f>AH17+'27.05'!AI17</f>
        <v>180300</v>
      </c>
      <c r="AJ17" s="24">
        <v>4000</v>
      </c>
      <c r="AK17" s="23">
        <f>AJ17+'27.05'!AK17</f>
        <v>278200</v>
      </c>
      <c r="AL17" s="22">
        <v>10500</v>
      </c>
      <c r="AM17" s="23">
        <f>AL17+'27.05'!AM17</f>
        <v>580100</v>
      </c>
      <c r="AN17" s="22">
        <v>44500</v>
      </c>
      <c r="AO17" s="23">
        <f>AN17+'27.05'!AO17</f>
        <v>1700300</v>
      </c>
      <c r="AP17" s="28" t="s">
        <v>52</v>
      </c>
      <c r="AQ17" s="19">
        <f t="shared" si="3"/>
        <v>12</v>
      </c>
      <c r="AR17" s="20">
        <f t="shared" si="3"/>
        <v>548</v>
      </c>
      <c r="AS17" s="34">
        <v>0</v>
      </c>
      <c r="AT17" s="23">
        <f>AS17+'27.05'!AT17</f>
        <v>19</v>
      </c>
      <c r="AU17" s="34">
        <v>0</v>
      </c>
      <c r="AV17" s="23">
        <f>AU17+'27.05'!AV17</f>
        <v>53</v>
      </c>
      <c r="AW17" s="34">
        <v>0</v>
      </c>
      <c r="AX17" s="23">
        <f>AW17+'27.05'!AX17</f>
        <v>0</v>
      </c>
      <c r="AY17" s="34">
        <v>0</v>
      </c>
      <c r="AZ17" s="23">
        <f>AY17+'27.05'!AZ17</f>
        <v>0</v>
      </c>
      <c r="BA17" s="34">
        <v>12</v>
      </c>
      <c r="BB17" s="23">
        <f>BA17+'27.05'!BB17</f>
        <v>476</v>
      </c>
      <c r="BC17" s="19">
        <f t="shared" si="5"/>
        <v>735</v>
      </c>
      <c r="BD17" s="20">
        <f t="shared" si="5"/>
        <v>81181</v>
      </c>
      <c r="BE17" s="22">
        <v>35</v>
      </c>
      <c r="BF17" s="23">
        <f>BE17+'27.05'!BF17</f>
        <v>1021</v>
      </c>
      <c r="BG17" s="34">
        <v>0</v>
      </c>
      <c r="BH17" s="23">
        <f>BG17+'27.05'!BH17</f>
        <v>30</v>
      </c>
      <c r="BI17" s="22">
        <v>700</v>
      </c>
      <c r="BJ17" s="23">
        <f>BI17+'27.05'!BJ17</f>
        <v>73000</v>
      </c>
      <c r="BK17" s="22">
        <v>0</v>
      </c>
      <c r="BL17" s="23">
        <f>BK17+'27.05'!BL17</f>
        <v>6880</v>
      </c>
      <c r="BM17" s="22">
        <v>0</v>
      </c>
      <c r="BN17" s="23">
        <f>BM17+'27.05'!BN17</f>
        <v>250</v>
      </c>
      <c r="BO17" s="36">
        <v>8022</v>
      </c>
      <c r="BP17" s="37">
        <v>0</v>
      </c>
      <c r="BQ17" s="23">
        <f>BP17+'27.05'!BQ17</f>
        <v>75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312</v>
      </c>
      <c r="D18" s="20">
        <f t="shared" si="0"/>
        <v>7239</v>
      </c>
      <c r="E18" s="21">
        <v>1063</v>
      </c>
      <c r="F18" s="22">
        <v>138</v>
      </c>
      <c r="G18" s="23">
        <f>F18+'27.05'!G18</f>
        <v>4254</v>
      </c>
      <c r="H18" s="21">
        <v>19</v>
      </c>
      <c r="I18" s="22">
        <v>0</v>
      </c>
      <c r="J18" s="23">
        <f>I18+'27.05'!J18</f>
        <v>0</v>
      </c>
      <c r="K18" s="21">
        <v>8</v>
      </c>
      <c r="L18" s="22">
        <v>0</v>
      </c>
      <c r="M18" s="23">
        <f>L18+'27.05'!M18</f>
        <v>0</v>
      </c>
      <c r="N18" s="21">
        <v>1331</v>
      </c>
      <c r="O18" s="22">
        <v>0</v>
      </c>
      <c r="P18" s="23">
        <f>O18+'27.05'!P18</f>
        <v>0</v>
      </c>
      <c r="Q18" s="21">
        <v>777</v>
      </c>
      <c r="R18" s="22">
        <v>0</v>
      </c>
      <c r="S18" s="23">
        <f>R18+'27.05'!S18</f>
        <v>0</v>
      </c>
      <c r="T18" s="21">
        <v>318</v>
      </c>
      <c r="U18" s="22">
        <v>0</v>
      </c>
      <c r="V18" s="23">
        <f>U18+'27.05'!V18</f>
        <v>81</v>
      </c>
      <c r="W18" s="21">
        <v>60</v>
      </c>
      <c r="X18" s="22">
        <v>174</v>
      </c>
      <c r="Y18" s="23">
        <f>X18+'27.05'!Y18</f>
        <v>2904</v>
      </c>
      <c r="Z18" s="21">
        <v>72</v>
      </c>
      <c r="AA18" s="22">
        <v>0</v>
      </c>
      <c r="AB18" s="23">
        <f>AA18+'27.05'!AB18</f>
        <v>0</v>
      </c>
      <c r="AC18" s="21">
        <v>143</v>
      </c>
      <c r="AD18" s="22">
        <v>0</v>
      </c>
      <c r="AE18" s="23">
        <f>AD18+'27.05'!AE18</f>
        <v>0</v>
      </c>
      <c r="AF18" s="19">
        <f t="shared" si="1"/>
        <v>120199</v>
      </c>
      <c r="AG18" s="20">
        <f t="shared" si="1"/>
        <v>3724755</v>
      </c>
      <c r="AH18" s="24">
        <v>214</v>
      </c>
      <c r="AI18" s="23">
        <f>AH18+'27.05'!AI18</f>
        <v>6264</v>
      </c>
      <c r="AJ18" s="24">
        <v>1863</v>
      </c>
      <c r="AK18" s="23">
        <f>AJ18+'27.05'!AK18</f>
        <v>55617</v>
      </c>
      <c r="AL18" s="22">
        <v>1358</v>
      </c>
      <c r="AM18" s="23">
        <f>AL18+'27.05'!AM18</f>
        <v>61393</v>
      </c>
      <c r="AN18" s="22">
        <v>116764</v>
      </c>
      <c r="AO18" s="23">
        <f>AN18+'27.05'!AO18</f>
        <v>3601481</v>
      </c>
      <c r="AP18" s="17" t="s">
        <v>53</v>
      </c>
      <c r="AQ18" s="19">
        <f t="shared" si="3"/>
        <v>3</v>
      </c>
      <c r="AR18" s="20">
        <f t="shared" si="3"/>
        <v>62</v>
      </c>
      <c r="AS18" s="22">
        <v>1</v>
      </c>
      <c r="AT18" s="23">
        <f>AS18+'27.05'!AT18</f>
        <v>16</v>
      </c>
      <c r="AU18" s="22">
        <v>0</v>
      </c>
      <c r="AV18" s="23">
        <f>AU18+'27.05'!AV18</f>
        <v>0</v>
      </c>
      <c r="AW18" s="22">
        <v>0</v>
      </c>
      <c r="AX18" s="23">
        <f>AW18+'27.05'!AX18</f>
        <v>0</v>
      </c>
      <c r="AY18" s="22">
        <v>0</v>
      </c>
      <c r="AZ18" s="23">
        <f>AY18+'27.05'!AZ18</f>
        <v>0</v>
      </c>
      <c r="BA18" s="22">
        <v>2</v>
      </c>
      <c r="BB18" s="23">
        <f>BA18+'27.05'!BB18</f>
        <v>46</v>
      </c>
      <c r="BC18" s="19">
        <f t="shared" si="5"/>
        <v>1643</v>
      </c>
      <c r="BD18" s="20">
        <f t="shared" si="5"/>
        <v>22189</v>
      </c>
      <c r="BE18" s="22">
        <v>27</v>
      </c>
      <c r="BF18" s="23">
        <f>BE18+'27.05'!BF18</f>
        <v>148</v>
      </c>
      <c r="BG18" s="22">
        <v>0</v>
      </c>
      <c r="BH18" s="23">
        <f>BG18+'27.05'!BH18</f>
        <v>388</v>
      </c>
      <c r="BI18" s="22">
        <v>1054</v>
      </c>
      <c r="BJ18" s="23">
        <f>BI18+'27.05'!BJ18</f>
        <v>16458</v>
      </c>
      <c r="BK18" s="22">
        <v>537</v>
      </c>
      <c r="BL18" s="23">
        <f>BK18+'27.05'!BL18</f>
        <v>4709</v>
      </c>
      <c r="BM18" s="22">
        <v>25</v>
      </c>
      <c r="BN18" s="23">
        <f>BM18+'27.05'!BN18</f>
        <v>486</v>
      </c>
      <c r="BO18" s="36">
        <v>442</v>
      </c>
      <c r="BP18" s="37">
        <v>0</v>
      </c>
      <c r="BQ18" s="23">
        <f>BP18+'27.05'!BQ18</f>
        <v>0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198</v>
      </c>
      <c r="D19" s="31">
        <f t="shared" si="0"/>
        <v>1135</v>
      </c>
      <c r="E19" s="33">
        <v>221</v>
      </c>
      <c r="F19" s="22">
        <v>155</v>
      </c>
      <c r="G19" s="23">
        <f>F19+'27.05'!G19</f>
        <v>325</v>
      </c>
      <c r="H19" s="33">
        <v>5</v>
      </c>
      <c r="I19" s="34">
        <v>0</v>
      </c>
      <c r="J19" s="23">
        <f>I19+'27.05'!J19</f>
        <v>0</v>
      </c>
      <c r="K19" s="33">
        <v>4</v>
      </c>
      <c r="L19" s="22">
        <v>0</v>
      </c>
      <c r="M19" s="23">
        <f>L19+'27.05'!M19</f>
        <v>0</v>
      </c>
      <c r="N19" s="33">
        <v>313</v>
      </c>
      <c r="O19" s="22">
        <v>0</v>
      </c>
      <c r="P19" s="23">
        <f>O19+'27.05'!P19</f>
        <v>227</v>
      </c>
      <c r="Q19" s="33">
        <v>203</v>
      </c>
      <c r="R19" s="22">
        <v>0</v>
      </c>
      <c r="S19" s="23">
        <f>R19+'27.05'!S19</f>
        <v>0</v>
      </c>
      <c r="T19" s="33">
        <v>241</v>
      </c>
      <c r="U19" s="22">
        <v>0</v>
      </c>
      <c r="V19" s="23">
        <f>U19+'27.05'!V19</f>
        <v>0</v>
      </c>
      <c r="W19" s="33">
        <v>14</v>
      </c>
      <c r="X19" s="22">
        <v>35</v>
      </c>
      <c r="Y19" s="23">
        <f>X19+'27.05'!Y19</f>
        <v>487</v>
      </c>
      <c r="Z19" s="33">
        <v>7</v>
      </c>
      <c r="AA19" s="22">
        <v>0</v>
      </c>
      <c r="AB19" s="23">
        <f>AA19+'27.05'!AB19</f>
        <v>0</v>
      </c>
      <c r="AC19" s="33">
        <v>32</v>
      </c>
      <c r="AD19" s="22">
        <v>8</v>
      </c>
      <c r="AE19" s="23">
        <f>AD19+'27.05'!AE19</f>
        <v>96</v>
      </c>
      <c r="AF19" s="19">
        <f t="shared" si="1"/>
        <v>1080000</v>
      </c>
      <c r="AG19" s="20">
        <f t="shared" si="1"/>
        <v>1162800</v>
      </c>
      <c r="AH19" s="24">
        <v>1200</v>
      </c>
      <c r="AI19" s="23">
        <f>AH19+'27.05'!AI19</f>
        <v>14940</v>
      </c>
      <c r="AJ19" s="24">
        <v>178800</v>
      </c>
      <c r="AK19" s="23">
        <f>AJ19+'27.05'!AK19</f>
        <v>192790</v>
      </c>
      <c r="AL19" s="22">
        <v>15000</v>
      </c>
      <c r="AM19" s="23">
        <f>AL19+'27.05'!AM19</f>
        <v>42535</v>
      </c>
      <c r="AN19" s="22">
        <v>885000</v>
      </c>
      <c r="AO19" s="23">
        <f>AN19+'27.05'!AO19</f>
        <v>912535</v>
      </c>
      <c r="AP19" s="28" t="s">
        <v>54</v>
      </c>
      <c r="AQ19" s="19">
        <f t="shared" si="3"/>
        <v>7</v>
      </c>
      <c r="AR19" s="20">
        <f t="shared" si="3"/>
        <v>13</v>
      </c>
      <c r="AS19" s="34">
        <v>0</v>
      </c>
      <c r="AT19" s="23">
        <f>AS19+'27.05'!AT19</f>
        <v>0</v>
      </c>
      <c r="AU19" s="34">
        <v>5</v>
      </c>
      <c r="AV19" s="23">
        <f>AU19+'27.05'!AV19</f>
        <v>10</v>
      </c>
      <c r="AW19" s="34">
        <v>0</v>
      </c>
      <c r="AX19" s="23">
        <f>AW19+'27.05'!AX19</f>
        <v>1</v>
      </c>
      <c r="AY19" s="34">
        <v>0</v>
      </c>
      <c r="AZ19" s="23">
        <f>AY19+'27.05'!AZ19</f>
        <v>0</v>
      </c>
      <c r="BA19" s="34">
        <v>2</v>
      </c>
      <c r="BB19" s="23">
        <f>BA19+'27.05'!BB19</f>
        <v>2</v>
      </c>
      <c r="BC19" s="19">
        <f t="shared" si="5"/>
        <v>1265</v>
      </c>
      <c r="BD19" s="20">
        <f t="shared" si="5"/>
        <v>29414</v>
      </c>
      <c r="BE19" s="22">
        <v>55</v>
      </c>
      <c r="BF19" s="23">
        <f>BE19+'27.05'!BF19</f>
        <v>418</v>
      </c>
      <c r="BG19" s="34">
        <v>0</v>
      </c>
      <c r="BH19" s="23">
        <f>BG19+'27.05'!BH19</f>
        <v>9</v>
      </c>
      <c r="BI19" s="22">
        <v>1200</v>
      </c>
      <c r="BJ19" s="23">
        <f>BI19+'27.05'!BJ19</f>
        <v>25700</v>
      </c>
      <c r="BK19" s="22">
        <v>0</v>
      </c>
      <c r="BL19" s="23">
        <f>BK19+'27.05'!BL19</f>
        <v>3120</v>
      </c>
      <c r="BM19" s="22">
        <v>10</v>
      </c>
      <c r="BN19" s="23">
        <f>BM19+'27.05'!BN19</f>
        <v>167</v>
      </c>
      <c r="BO19" s="36">
        <v>2898</v>
      </c>
      <c r="BP19" s="37">
        <v>0</v>
      </c>
      <c r="BQ19" s="23">
        <f>BP19+'27.05'!BQ19</f>
        <v>7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142</v>
      </c>
      <c r="D20" s="31">
        <f t="shared" si="0"/>
        <v>6536</v>
      </c>
      <c r="E20" s="32">
        <v>723</v>
      </c>
      <c r="F20" s="22">
        <v>71</v>
      </c>
      <c r="G20" s="23">
        <f>F20+'27.05'!G20</f>
        <v>3114</v>
      </c>
      <c r="H20" s="33">
        <v>5</v>
      </c>
      <c r="I20" s="34">
        <v>0</v>
      </c>
      <c r="J20" s="23">
        <f>I20+'27.05'!J20</f>
        <v>27</v>
      </c>
      <c r="K20" s="33">
        <v>3</v>
      </c>
      <c r="L20" s="22">
        <v>0</v>
      </c>
      <c r="M20" s="23">
        <f>L20+'27.05'!M20</f>
        <v>0</v>
      </c>
      <c r="N20" s="33">
        <v>975</v>
      </c>
      <c r="O20" s="22">
        <v>0</v>
      </c>
      <c r="P20" s="23">
        <f>O20+'27.05'!P20</f>
        <v>1534</v>
      </c>
      <c r="Q20" s="61">
        <v>1862</v>
      </c>
      <c r="R20" s="22">
        <v>0</v>
      </c>
      <c r="S20" s="23">
        <f>R20+'27.05'!S20</f>
        <v>28</v>
      </c>
      <c r="T20" s="33">
        <v>35</v>
      </c>
      <c r="U20" s="22">
        <v>1</v>
      </c>
      <c r="V20" s="23">
        <f>U20+'27.05'!V20</f>
        <v>28</v>
      </c>
      <c r="W20" s="33">
        <v>64</v>
      </c>
      <c r="X20" s="22">
        <v>1</v>
      </c>
      <c r="Y20" s="23">
        <f>X20+'27.05'!Y20</f>
        <v>30</v>
      </c>
      <c r="Z20" s="33">
        <v>15</v>
      </c>
      <c r="AA20" s="22">
        <v>1</v>
      </c>
      <c r="AB20" s="23">
        <f>AA20+'27.05'!AB20</f>
        <v>33</v>
      </c>
      <c r="AC20" s="33">
        <v>1546</v>
      </c>
      <c r="AD20" s="22">
        <v>68</v>
      </c>
      <c r="AE20" s="23">
        <f>AD20+'27.05'!AE20</f>
        <v>1742</v>
      </c>
      <c r="AF20" s="19">
        <f t="shared" si="1"/>
        <v>16110</v>
      </c>
      <c r="AG20" s="20">
        <f t="shared" si="1"/>
        <v>513146</v>
      </c>
      <c r="AH20" s="24">
        <v>8200</v>
      </c>
      <c r="AI20" s="23">
        <f>AH20+'27.05'!AI20</f>
        <v>231864</v>
      </c>
      <c r="AJ20" s="24">
        <v>6910</v>
      </c>
      <c r="AK20" s="23">
        <f>AJ20+'27.05'!AK20</f>
        <v>256772</v>
      </c>
      <c r="AL20" s="22">
        <v>500</v>
      </c>
      <c r="AM20" s="23">
        <f>AL20+'27.05'!AM20</f>
        <v>13250</v>
      </c>
      <c r="AN20" s="22">
        <v>500</v>
      </c>
      <c r="AO20" s="23">
        <f>AN20+'27.05'!AO20</f>
        <v>11260</v>
      </c>
      <c r="AP20" s="28" t="s">
        <v>55</v>
      </c>
      <c r="AQ20" s="19">
        <f t="shared" si="3"/>
        <v>129</v>
      </c>
      <c r="AR20" s="20">
        <f t="shared" si="3"/>
        <v>3664</v>
      </c>
      <c r="AS20" s="34">
        <v>1</v>
      </c>
      <c r="AT20" s="23">
        <f>AS20+'27.05'!AT20</f>
        <v>28</v>
      </c>
      <c r="AU20" s="34">
        <v>0</v>
      </c>
      <c r="AV20" s="23">
        <f>AU20+'27.05'!AV20</f>
        <v>0</v>
      </c>
      <c r="AW20" s="34">
        <v>0</v>
      </c>
      <c r="AX20" s="23">
        <f>AW20+'27.05'!AX20</f>
        <v>0</v>
      </c>
      <c r="AY20" s="34">
        <v>0</v>
      </c>
      <c r="AZ20" s="23">
        <f>AY20+'27.05'!AZ20</f>
        <v>0</v>
      </c>
      <c r="BA20" s="34">
        <v>128</v>
      </c>
      <c r="BB20" s="23">
        <f>BA20+'27.05'!BB20</f>
        <v>3636</v>
      </c>
      <c r="BC20" s="19">
        <f t="shared" si="5"/>
        <v>3867</v>
      </c>
      <c r="BD20" s="20">
        <f t="shared" si="5"/>
        <v>98556</v>
      </c>
      <c r="BE20" s="22">
        <v>2</v>
      </c>
      <c r="BF20" s="23">
        <f>BE20+'27.05'!BF20</f>
        <v>56</v>
      </c>
      <c r="BG20" s="34">
        <v>0</v>
      </c>
      <c r="BH20" s="23">
        <f>BG20+'27.05'!BH20</f>
        <v>0</v>
      </c>
      <c r="BI20" s="22">
        <v>1554</v>
      </c>
      <c r="BJ20" s="23">
        <f>BI20+'27.05'!BJ20</f>
        <v>48067</v>
      </c>
      <c r="BK20" s="22">
        <v>2310</v>
      </c>
      <c r="BL20" s="23">
        <f>BK20+'27.05'!BL20</f>
        <v>50375</v>
      </c>
      <c r="BM20" s="22">
        <v>1</v>
      </c>
      <c r="BN20" s="23">
        <f>BM20+'27.05'!BN20</f>
        <v>58</v>
      </c>
      <c r="BO20" s="36">
        <v>5854</v>
      </c>
      <c r="BP20" s="37">
        <v>0</v>
      </c>
      <c r="BQ20" s="23">
        <f>BP20+'27.05'!BQ20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198</v>
      </c>
      <c r="D21" s="31">
        <f t="shared" si="0"/>
        <v>5838</v>
      </c>
      <c r="E21" s="32">
        <v>1017</v>
      </c>
      <c r="F21" s="22">
        <v>155</v>
      </c>
      <c r="G21" s="23">
        <f>F21+'27.05'!G21</f>
        <v>4164</v>
      </c>
      <c r="H21" s="33">
        <v>8</v>
      </c>
      <c r="I21" s="34">
        <v>0</v>
      </c>
      <c r="J21" s="23">
        <f>I21+'27.05'!J21</f>
        <v>137</v>
      </c>
      <c r="K21" s="33">
        <v>4</v>
      </c>
      <c r="L21" s="22">
        <v>0</v>
      </c>
      <c r="M21" s="23">
        <f>L21+'27.05'!M21</f>
        <v>21</v>
      </c>
      <c r="N21" s="33">
        <v>963</v>
      </c>
      <c r="O21" s="22">
        <v>0</v>
      </c>
      <c r="P21" s="23">
        <f>O21+'27.05'!P21</f>
        <v>57</v>
      </c>
      <c r="Q21" s="33">
        <v>912</v>
      </c>
      <c r="R21" s="22">
        <v>0</v>
      </c>
      <c r="S21" s="23">
        <f>R21+'27.05'!S21</f>
        <v>0</v>
      </c>
      <c r="T21" s="33">
        <v>199</v>
      </c>
      <c r="U21" s="22">
        <v>0</v>
      </c>
      <c r="V21" s="23">
        <f>U21+'27.05'!V21</f>
        <v>100</v>
      </c>
      <c r="W21" s="33">
        <v>101</v>
      </c>
      <c r="X21" s="22">
        <v>35</v>
      </c>
      <c r="Y21" s="23">
        <f>X21+'27.05'!Y21</f>
        <v>347</v>
      </c>
      <c r="Z21" s="33">
        <v>42</v>
      </c>
      <c r="AA21" s="22">
        <v>0</v>
      </c>
      <c r="AB21" s="23">
        <f>AA21+'27.05'!AB21</f>
        <v>2</v>
      </c>
      <c r="AC21" s="33">
        <v>20</v>
      </c>
      <c r="AD21" s="22">
        <v>8</v>
      </c>
      <c r="AE21" s="23">
        <f>AD21+'27.05'!AE21</f>
        <v>1010</v>
      </c>
      <c r="AF21" s="19">
        <f t="shared" si="1"/>
        <v>1080000</v>
      </c>
      <c r="AG21" s="20">
        <f t="shared" si="1"/>
        <v>31215440</v>
      </c>
      <c r="AH21" s="24">
        <v>1200</v>
      </c>
      <c r="AI21" s="23">
        <f>AH21+'27.05'!AI21</f>
        <v>33310</v>
      </c>
      <c r="AJ21" s="24">
        <v>178800</v>
      </c>
      <c r="AK21" s="23">
        <f>AJ21+'27.05'!AK21</f>
        <v>5146800</v>
      </c>
      <c r="AL21" s="22">
        <v>15000</v>
      </c>
      <c r="AM21" s="23">
        <f>AL21+'27.05'!AM21</f>
        <v>113630</v>
      </c>
      <c r="AN21" s="22">
        <v>885000</v>
      </c>
      <c r="AO21" s="23">
        <f>AN21+'27.05'!AO21</f>
        <v>25921700</v>
      </c>
      <c r="AP21" s="28" t="s">
        <v>58</v>
      </c>
      <c r="AQ21" s="19">
        <f t="shared" si="3"/>
        <v>7</v>
      </c>
      <c r="AR21" s="20">
        <f t="shared" si="3"/>
        <v>140</v>
      </c>
      <c r="AS21" s="34">
        <v>0</v>
      </c>
      <c r="AT21" s="23">
        <f>AS21+'27.05'!AT21</f>
        <v>3</v>
      </c>
      <c r="AU21" s="34">
        <v>5</v>
      </c>
      <c r="AV21" s="23">
        <f>AU21+'27.05'!AV21</f>
        <v>44</v>
      </c>
      <c r="AW21" s="34">
        <v>0</v>
      </c>
      <c r="AX21" s="23">
        <f>AW21+'27.05'!AX21</f>
        <v>1</v>
      </c>
      <c r="AY21" s="34">
        <v>0</v>
      </c>
      <c r="AZ21" s="23">
        <f>AY21+'27.05'!AZ21</f>
        <v>0</v>
      </c>
      <c r="BA21" s="34">
        <v>2</v>
      </c>
      <c r="BB21" s="23">
        <f>BA21+'27.05'!BB21</f>
        <v>92</v>
      </c>
      <c r="BC21" s="19">
        <f t="shared" si="5"/>
        <v>1265</v>
      </c>
      <c r="BD21" s="20">
        <f t="shared" si="5"/>
        <v>43501</v>
      </c>
      <c r="BE21" s="22">
        <v>55</v>
      </c>
      <c r="BF21" s="23">
        <f>BE21+'27.05'!BF21</f>
        <v>1499</v>
      </c>
      <c r="BG21" s="34">
        <v>0</v>
      </c>
      <c r="BH21" s="23">
        <f>BG21+'27.05'!BH21</f>
        <v>0</v>
      </c>
      <c r="BI21" s="22">
        <v>1200</v>
      </c>
      <c r="BJ21" s="23">
        <f>BI21+'27.05'!BJ21</f>
        <v>41750</v>
      </c>
      <c r="BK21" s="22">
        <v>0</v>
      </c>
      <c r="BL21" s="23">
        <f>BK21+'27.05'!BL21</f>
        <v>0</v>
      </c>
      <c r="BM21" s="22">
        <v>10</v>
      </c>
      <c r="BN21" s="23">
        <f>BM21+'27.05'!BN21</f>
        <v>252</v>
      </c>
      <c r="BO21" s="36">
        <v>68</v>
      </c>
      <c r="BP21" s="37">
        <v>0</v>
      </c>
      <c r="BQ21" s="23">
        <f>BP21+'27.05'!BQ21</f>
        <v>33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1770</v>
      </c>
      <c r="D22" s="31">
        <f t="shared" si="0"/>
        <v>56953</v>
      </c>
      <c r="E22" s="32">
        <v>509</v>
      </c>
      <c r="F22" s="22">
        <v>391</v>
      </c>
      <c r="G22" s="23">
        <f>F22+'27.05'!G22</f>
        <v>9766</v>
      </c>
      <c r="H22" s="33">
        <v>8</v>
      </c>
      <c r="I22" s="34">
        <v>0</v>
      </c>
      <c r="J22" s="23">
        <f>I22+'27.05'!J22</f>
        <v>24</v>
      </c>
      <c r="K22" s="33">
        <v>21</v>
      </c>
      <c r="L22" s="22">
        <v>0</v>
      </c>
      <c r="M22" s="23">
        <f>L22+'27.05'!M22</f>
        <v>0</v>
      </c>
      <c r="N22" s="33">
        <v>560</v>
      </c>
      <c r="O22" s="22">
        <v>0</v>
      </c>
      <c r="P22" s="23">
        <f>O22+'27.05'!P22</f>
        <v>1361</v>
      </c>
      <c r="Q22" s="33">
        <v>375</v>
      </c>
      <c r="R22" s="22">
        <v>0</v>
      </c>
      <c r="S22" s="23">
        <f>R22+'27.05'!S22</f>
        <v>0</v>
      </c>
      <c r="T22" s="33">
        <v>165</v>
      </c>
      <c r="U22" s="22">
        <v>38</v>
      </c>
      <c r="V22" s="23">
        <f>U22+'27.05'!V22</f>
        <v>652</v>
      </c>
      <c r="W22" s="33">
        <v>28</v>
      </c>
      <c r="X22" s="22">
        <v>80</v>
      </c>
      <c r="Y22" s="23">
        <f>X22+'27.05'!Y22</f>
        <v>2290</v>
      </c>
      <c r="Z22" s="33">
        <v>9</v>
      </c>
      <c r="AA22" s="22">
        <v>0</v>
      </c>
      <c r="AB22" s="23">
        <f>AA22+'27.05'!AB22</f>
        <v>0</v>
      </c>
      <c r="AC22" s="33">
        <v>112</v>
      </c>
      <c r="AD22" s="22">
        <v>1261</v>
      </c>
      <c r="AE22" s="23">
        <f>AD22+'27.05'!AE22</f>
        <v>42860</v>
      </c>
      <c r="AF22" s="19">
        <f t="shared" si="1"/>
        <v>410626</v>
      </c>
      <c r="AG22" s="20">
        <f t="shared" si="1"/>
        <v>11408813</v>
      </c>
      <c r="AH22" s="24">
        <v>1002</v>
      </c>
      <c r="AI22" s="23">
        <f>AH22+'27.05'!AI22</f>
        <v>57499</v>
      </c>
      <c r="AJ22" s="24">
        <v>7589</v>
      </c>
      <c r="AK22" s="23">
        <f>AJ22+'27.05'!AK22</f>
        <v>194905</v>
      </c>
      <c r="AL22" s="22">
        <v>13402</v>
      </c>
      <c r="AM22" s="23">
        <f>AL22+'27.05'!AM22</f>
        <v>323218</v>
      </c>
      <c r="AN22" s="22">
        <v>388633</v>
      </c>
      <c r="AO22" s="23">
        <f>AN22+'27.05'!AO22</f>
        <v>10833191</v>
      </c>
      <c r="AP22" s="28" t="s">
        <v>59</v>
      </c>
      <c r="AQ22" s="19">
        <f t="shared" si="3"/>
        <v>290</v>
      </c>
      <c r="AR22" s="20">
        <f t="shared" si="3"/>
        <v>40133</v>
      </c>
      <c r="AS22" s="34">
        <v>1</v>
      </c>
      <c r="AT22" s="23">
        <f>AS22+'27.05'!AT22</f>
        <v>14</v>
      </c>
      <c r="AU22" s="34">
        <v>1</v>
      </c>
      <c r="AV22" s="23">
        <f>AU22+'27.05'!AV22</f>
        <v>12</v>
      </c>
      <c r="AW22" s="34">
        <v>0</v>
      </c>
      <c r="AX22" s="23">
        <f>AW22+'27.05'!AX22</f>
        <v>2</v>
      </c>
      <c r="AY22" s="34">
        <v>0</v>
      </c>
      <c r="AZ22" s="23">
        <f>AY22+'27.05'!AZ22</f>
        <v>1</v>
      </c>
      <c r="BA22" s="34">
        <v>288</v>
      </c>
      <c r="BB22" s="23">
        <f>BA22+'27.05'!BB22</f>
        <v>40104</v>
      </c>
      <c r="BC22" s="19">
        <f t="shared" si="5"/>
        <v>7692</v>
      </c>
      <c r="BD22" s="20">
        <f t="shared" si="5"/>
        <v>189232</v>
      </c>
      <c r="BE22" s="22">
        <v>13</v>
      </c>
      <c r="BF22" s="23">
        <f>BE22+'27.05'!BF22</f>
        <v>178</v>
      </c>
      <c r="BG22" s="34">
        <v>79</v>
      </c>
      <c r="BH22" s="23">
        <f>BG22+'27.05'!BH22</f>
        <v>1729</v>
      </c>
      <c r="BI22" s="22">
        <v>3356</v>
      </c>
      <c r="BJ22" s="23">
        <f>BI22+'27.05'!BJ22</f>
        <v>118097</v>
      </c>
      <c r="BK22" s="22">
        <v>4176</v>
      </c>
      <c r="BL22" s="23">
        <f>BK22+'27.05'!BL22</f>
        <v>67636</v>
      </c>
      <c r="BM22" s="22">
        <v>68</v>
      </c>
      <c r="BN22" s="23">
        <f>BM22+'27.05'!BN22</f>
        <v>1592</v>
      </c>
      <c r="BO22" s="36">
        <v>26</v>
      </c>
      <c r="BP22" s="37">
        <v>2</v>
      </c>
      <c r="BQ22" s="23">
        <f>BP22+'27.05'!BQ22</f>
        <v>1724</v>
      </c>
    </row>
    <row r="23" spans="1:69" ht="27.75" customHeight="1" thickBot="1">
      <c r="A23" s="62" t="s">
        <v>12</v>
      </c>
      <c r="B23" s="63">
        <f t="shared" si="0"/>
        <v>94991</v>
      </c>
      <c r="C23" s="64">
        <f t="shared" si="0"/>
        <v>3859</v>
      </c>
      <c r="D23" s="65">
        <f t="shared" si="0"/>
        <v>112792</v>
      </c>
      <c r="E23" s="66">
        <f>+E18+E19+E22+E17+E16+E15+E14+E13+E12+E11+E10+E9+E8</f>
        <v>7282</v>
      </c>
      <c r="F23" s="67">
        <f t="shared" ref="F23:J23" si="7">SUM(F8:F22)</f>
        <v>1527</v>
      </c>
      <c r="G23" s="68">
        <f t="shared" si="7"/>
        <v>41913</v>
      </c>
      <c r="H23" s="66">
        <f>+H18+H19+H22+H17+H16+H15+H14+H13+H12+H11+H10+H9+H8</f>
        <v>271</v>
      </c>
      <c r="I23" s="67">
        <f t="shared" si="7"/>
        <v>4</v>
      </c>
      <c r="J23" s="68">
        <f t="shared" si="7"/>
        <v>341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0</v>
      </c>
      <c r="P23" s="68">
        <f t="shared" si="8"/>
        <v>3956</v>
      </c>
      <c r="Q23" s="66">
        <f>+Q18+Q19+Q22+Q17+Q16+Q15+Q14+Q13+Q12+Q11+Q10+Q9+Q8</f>
        <v>7474</v>
      </c>
      <c r="R23" s="67">
        <f t="shared" ref="R23:V23" si="9">SUM(R8:R22)</f>
        <v>0</v>
      </c>
      <c r="S23" s="68">
        <f t="shared" si="9"/>
        <v>179</v>
      </c>
      <c r="T23" s="66">
        <f>+T18+T19+T22+T17+T16+T15+T14+T13+T12+T11+T10+T9+T8</f>
        <v>4115</v>
      </c>
      <c r="U23" s="67">
        <f t="shared" si="9"/>
        <v>42</v>
      </c>
      <c r="V23" s="68">
        <f t="shared" si="9"/>
        <v>987</v>
      </c>
      <c r="W23" s="66">
        <f>+W18+W19+W22+W17+W16+W15+W14+W13+W12+W11+W10+W9+W8</f>
        <v>604</v>
      </c>
      <c r="X23" s="67">
        <f t="shared" ref="X23:AB23" si="10">SUM(X8:X22)</f>
        <v>517</v>
      </c>
      <c r="Y23" s="68">
        <f t="shared" si="10"/>
        <v>11913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86</v>
      </c>
      <c r="AC23" s="66">
        <f>+AC18+AC19+AC22+AC17+AC16+AC15+AC14+AC13+AC12+AC11+AC10+AC9+AC8</f>
        <v>64846</v>
      </c>
      <c r="AD23" s="67">
        <f t="shared" ref="AD23:AO23" si="11">SUM(AD8:AD22)</f>
        <v>1768</v>
      </c>
      <c r="AE23" s="68">
        <f t="shared" si="11"/>
        <v>53377</v>
      </c>
      <c r="AF23" s="64">
        <f t="shared" si="11"/>
        <v>5268681</v>
      </c>
      <c r="AG23" s="64">
        <f t="shared" si="11"/>
        <v>125528627</v>
      </c>
      <c r="AH23" s="67">
        <f t="shared" si="11"/>
        <v>23172</v>
      </c>
      <c r="AI23" s="68">
        <f t="shared" si="11"/>
        <v>880698</v>
      </c>
      <c r="AJ23" s="67">
        <f t="shared" si="11"/>
        <v>423532</v>
      </c>
      <c r="AK23" s="68">
        <f t="shared" si="11"/>
        <v>7329612</v>
      </c>
      <c r="AL23" s="67">
        <f t="shared" si="11"/>
        <v>1277824</v>
      </c>
      <c r="AM23" s="68">
        <f t="shared" si="11"/>
        <v>37175120</v>
      </c>
      <c r="AN23" s="67">
        <f t="shared" si="11"/>
        <v>3544153</v>
      </c>
      <c r="AO23" s="68">
        <f t="shared" si="11"/>
        <v>80143197</v>
      </c>
      <c r="AP23" s="62" t="s">
        <v>12</v>
      </c>
      <c r="AQ23" s="64">
        <f t="shared" ref="AQ23:BP23" si="12">SUM(AQ8:AQ22)</f>
        <v>822</v>
      </c>
      <c r="AR23" s="64">
        <f t="shared" si="12"/>
        <v>53463</v>
      </c>
      <c r="AS23" s="67">
        <f t="shared" si="12"/>
        <v>4</v>
      </c>
      <c r="AT23" s="68">
        <f t="shared" si="12"/>
        <v>128</v>
      </c>
      <c r="AU23" s="67">
        <f t="shared" si="12"/>
        <v>11</v>
      </c>
      <c r="AV23" s="68">
        <f t="shared" si="12"/>
        <v>166</v>
      </c>
      <c r="AW23" s="67">
        <f t="shared" si="12"/>
        <v>1</v>
      </c>
      <c r="AX23" s="68">
        <f t="shared" si="12"/>
        <v>26</v>
      </c>
      <c r="AY23" s="67">
        <f t="shared" si="12"/>
        <v>0</v>
      </c>
      <c r="AZ23" s="68">
        <f t="shared" si="12"/>
        <v>5</v>
      </c>
      <c r="BA23" s="67">
        <f t="shared" si="12"/>
        <v>806</v>
      </c>
      <c r="BB23" s="68">
        <f t="shared" si="12"/>
        <v>53138</v>
      </c>
      <c r="BC23" s="64">
        <f t="shared" si="12"/>
        <v>37179</v>
      </c>
      <c r="BD23" s="64">
        <f t="shared" si="12"/>
        <v>1120057</v>
      </c>
      <c r="BE23" s="67">
        <f t="shared" si="12"/>
        <v>1555</v>
      </c>
      <c r="BF23" s="68">
        <f t="shared" si="12"/>
        <v>41465</v>
      </c>
      <c r="BG23" s="67">
        <f t="shared" si="12"/>
        <v>147</v>
      </c>
      <c r="BH23" s="68">
        <f t="shared" si="12"/>
        <v>3627</v>
      </c>
      <c r="BI23" s="67">
        <f t="shared" si="12"/>
        <v>25452</v>
      </c>
      <c r="BJ23" s="68">
        <f t="shared" si="12"/>
        <v>855540</v>
      </c>
      <c r="BK23" s="67">
        <f t="shared" si="12"/>
        <v>9756</v>
      </c>
      <c r="BL23" s="68">
        <f t="shared" si="12"/>
        <v>213158</v>
      </c>
      <c r="BM23" s="67">
        <f t="shared" si="12"/>
        <v>269</v>
      </c>
      <c r="BN23" s="68">
        <f t="shared" si="12"/>
        <v>6267</v>
      </c>
      <c r="BO23" s="69">
        <f t="shared" si="12"/>
        <v>37704</v>
      </c>
      <c r="BP23" s="70">
        <f t="shared" si="12"/>
        <v>10</v>
      </c>
      <c r="BQ23" s="23">
        <f>BP23+'20.04'!BP23</f>
        <v>36</v>
      </c>
    </row>
  </sheetData>
  <mergeCells count="44">
    <mergeCell ref="BM6:BN6"/>
    <mergeCell ref="BO6:BQ6"/>
    <mergeCell ref="BA6:BB6"/>
    <mergeCell ref="BC6:BD6"/>
    <mergeCell ref="BE6:BF6"/>
    <mergeCell ref="BG6:BH6"/>
    <mergeCell ref="BI6:BJ6"/>
    <mergeCell ref="BK6:BL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A1:AO1"/>
    <mergeCell ref="AP1:BQ1"/>
    <mergeCell ref="A2:AO2"/>
    <mergeCell ref="AP2:BQ2"/>
    <mergeCell ref="A3:AO3"/>
    <mergeCell ref="AP3:BQ3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7030A0"/>
  </sheetPr>
  <dimension ref="A1:BQ23"/>
  <sheetViews>
    <sheetView zoomScale="85" zoomScaleNormal="85" workbookViewId="0">
      <pane xSplit="4" ySplit="8" topLeftCell="E9" activePane="bottomRight" state="frozen"/>
      <selection activeCell="BP12" sqref="BP12"/>
      <selection pane="topRight" activeCell="BP12" sqref="BP12"/>
      <selection pane="bottomLeft" activeCell="BP12" sqref="BP12"/>
      <selection pane="bottomRight" activeCell="X25" sqref="X25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56" max="56" width="12.57031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7</v>
      </c>
      <c r="D9" s="31">
        <f t="shared" si="0"/>
        <v>145</v>
      </c>
      <c r="E9" s="32">
        <v>452</v>
      </c>
      <c r="F9" s="22">
        <v>1</v>
      </c>
      <c r="G9" s="23">
        <f>F9+'28.05'!G9</f>
        <v>72</v>
      </c>
      <c r="H9" s="33">
        <v>12</v>
      </c>
      <c r="I9" s="34">
        <v>0</v>
      </c>
      <c r="J9" s="23">
        <f>I9+'28.05'!J9</f>
        <v>22</v>
      </c>
      <c r="K9" s="33">
        <v>2</v>
      </c>
      <c r="L9" s="22">
        <v>0</v>
      </c>
      <c r="M9" s="23">
        <f>L9+'28.05'!M9</f>
        <v>0</v>
      </c>
      <c r="N9" s="33">
        <v>735</v>
      </c>
      <c r="O9" s="22">
        <v>0</v>
      </c>
      <c r="P9" s="23">
        <f>O9+'28.05'!P9</f>
        <v>0</v>
      </c>
      <c r="Q9" s="33">
        <v>502</v>
      </c>
      <c r="R9" s="22">
        <v>0</v>
      </c>
      <c r="S9" s="23">
        <f>R9+'28.05'!S9</f>
        <v>0</v>
      </c>
      <c r="T9" s="33">
        <v>197</v>
      </c>
      <c r="U9" s="22">
        <v>0</v>
      </c>
      <c r="V9" s="23">
        <f>U9+'28.05'!V9</f>
        <v>0</v>
      </c>
      <c r="W9" s="33">
        <v>47</v>
      </c>
      <c r="X9" s="22">
        <v>6</v>
      </c>
      <c r="Y9" s="23">
        <f>X9+'28.05'!Y9</f>
        <v>29</v>
      </c>
      <c r="Z9" s="33">
        <v>34</v>
      </c>
      <c r="AA9" s="22">
        <v>0</v>
      </c>
      <c r="AB9" s="23">
        <f>AA9+'28.05'!AB9</f>
        <v>0</v>
      </c>
      <c r="AC9" s="33">
        <v>1860</v>
      </c>
      <c r="AD9" s="22">
        <v>0</v>
      </c>
      <c r="AE9" s="23">
        <f>AD9+'28.05'!AE9</f>
        <v>22</v>
      </c>
      <c r="AF9" s="19">
        <f t="shared" si="1"/>
        <v>10000</v>
      </c>
      <c r="AG9" s="20">
        <f t="shared" si="1"/>
        <v>248616</v>
      </c>
      <c r="AH9" s="24">
        <v>60</v>
      </c>
      <c r="AI9" s="23">
        <f>AH9+'28.05'!AI9</f>
        <v>3411</v>
      </c>
      <c r="AJ9" s="24">
        <v>1740</v>
      </c>
      <c r="AK9" s="23">
        <f>AJ9+'28.05'!AK9</f>
        <v>23202</v>
      </c>
      <c r="AL9" s="22">
        <v>600</v>
      </c>
      <c r="AM9" s="23">
        <f>AL9+'28.05'!AM9</f>
        <v>38885</v>
      </c>
      <c r="AN9" s="22">
        <v>7600</v>
      </c>
      <c r="AO9" s="23">
        <f>AN9+'28.05'!AO9</f>
        <v>183118</v>
      </c>
      <c r="AP9" s="28" t="s">
        <v>43</v>
      </c>
      <c r="AQ9" s="19">
        <f t="shared" si="3"/>
        <v>27</v>
      </c>
      <c r="AR9" s="20">
        <f t="shared" si="3"/>
        <v>3431</v>
      </c>
      <c r="AS9" s="34">
        <v>0</v>
      </c>
      <c r="AT9" s="23">
        <f>AS9+'28.05'!AT9</f>
        <v>13</v>
      </c>
      <c r="AU9" s="34">
        <v>2</v>
      </c>
      <c r="AV9" s="23">
        <f>AU9+'28.05'!AV9</f>
        <v>14</v>
      </c>
      <c r="AW9" s="34">
        <v>0</v>
      </c>
      <c r="AX9" s="23">
        <f>AW9+'28.05'!AX9</f>
        <v>7</v>
      </c>
      <c r="AY9" s="34">
        <v>0</v>
      </c>
      <c r="AZ9" s="23">
        <f>AY9+'28.05'!AZ9</f>
        <v>0</v>
      </c>
      <c r="BA9" s="34">
        <v>25</v>
      </c>
      <c r="BB9" s="23">
        <f>BA9+'28.05'!BB9</f>
        <v>3397</v>
      </c>
      <c r="BC9" s="19">
        <f t="shared" si="5"/>
        <v>606</v>
      </c>
      <c r="BD9" s="20">
        <f t="shared" si="5"/>
        <v>12740</v>
      </c>
      <c r="BE9" s="22">
        <v>1</v>
      </c>
      <c r="BF9" s="23">
        <f>BE9+'28.05'!BF9</f>
        <v>40</v>
      </c>
      <c r="BG9" s="34">
        <v>0</v>
      </c>
      <c r="BH9" s="23">
        <f>BG9+'28.05'!BH9</f>
        <v>0</v>
      </c>
      <c r="BI9" s="22">
        <v>600</v>
      </c>
      <c r="BJ9" s="23">
        <f>BI9+'28.05'!BJ9</f>
        <v>12660</v>
      </c>
      <c r="BK9" s="22">
        <v>0</v>
      </c>
      <c r="BL9" s="23">
        <f>BK9+'28.05'!BL9</f>
        <v>0</v>
      </c>
      <c r="BM9" s="22">
        <v>5</v>
      </c>
      <c r="BN9" s="23">
        <f>BM9+'28.05'!BN9</f>
        <v>40</v>
      </c>
      <c r="BO9" s="36">
        <v>14</v>
      </c>
      <c r="BP9" s="37">
        <v>0</v>
      </c>
      <c r="BQ9" s="23">
        <f>BP9+'28.05'!BQ9</f>
        <v>8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132</v>
      </c>
      <c r="D10" s="31">
        <f t="shared" si="0"/>
        <v>3345</v>
      </c>
      <c r="E10" s="32">
        <v>585</v>
      </c>
      <c r="F10" s="22">
        <v>3</v>
      </c>
      <c r="G10" s="23">
        <f>F10+'28.05'!G10</f>
        <v>321</v>
      </c>
      <c r="H10" s="33">
        <v>93</v>
      </c>
      <c r="I10" s="34">
        <v>0</v>
      </c>
      <c r="J10" s="23">
        <f>I10+'28.05'!J10</f>
        <v>42</v>
      </c>
      <c r="K10" s="33">
        <v>34</v>
      </c>
      <c r="L10" s="22">
        <v>0</v>
      </c>
      <c r="M10" s="23">
        <f>L10+'28.05'!M10</f>
        <v>19</v>
      </c>
      <c r="N10" s="33">
        <v>352</v>
      </c>
      <c r="O10" s="22">
        <v>0</v>
      </c>
      <c r="P10" s="23">
        <f>O10+'28.05'!P10</f>
        <v>267</v>
      </c>
      <c r="Q10" s="33">
        <v>549</v>
      </c>
      <c r="R10" s="22">
        <v>0</v>
      </c>
      <c r="S10" s="23">
        <f>R10+'28.05'!S10</f>
        <v>151</v>
      </c>
      <c r="T10" s="33">
        <v>198</v>
      </c>
      <c r="U10" s="22">
        <v>0</v>
      </c>
      <c r="V10" s="23">
        <f>U10+'28.05'!V10</f>
        <v>126</v>
      </c>
      <c r="W10" s="38">
        <v>55</v>
      </c>
      <c r="X10" s="22">
        <v>3</v>
      </c>
      <c r="Y10" s="23">
        <f>X10+'28.05'!Y10</f>
        <v>90</v>
      </c>
      <c r="Z10" s="38">
        <v>71</v>
      </c>
      <c r="AA10" s="22">
        <v>0</v>
      </c>
      <c r="AB10" s="23">
        <f>AA10+'28.05'!AB10</f>
        <v>41</v>
      </c>
      <c r="AC10" s="38">
        <v>1690</v>
      </c>
      <c r="AD10" s="22">
        <v>126</v>
      </c>
      <c r="AE10" s="23">
        <f>AD10+'28.05'!AE10</f>
        <v>2288</v>
      </c>
      <c r="AF10" s="19">
        <f t="shared" si="1"/>
        <v>119014</v>
      </c>
      <c r="AG10" s="20">
        <f t="shared" si="1"/>
        <v>3040145</v>
      </c>
      <c r="AH10" s="24">
        <v>1071</v>
      </c>
      <c r="AI10" s="23">
        <f>AH10+'28.05'!AI10</f>
        <v>30981</v>
      </c>
      <c r="AJ10" s="24">
        <v>5614</v>
      </c>
      <c r="AK10" s="23">
        <f>AJ10+'28.05'!AK10</f>
        <v>136246</v>
      </c>
      <c r="AL10" s="22">
        <v>12193</v>
      </c>
      <c r="AM10" s="23">
        <f>AL10+'28.05'!AM10</f>
        <v>344178</v>
      </c>
      <c r="AN10" s="22">
        <v>100136</v>
      </c>
      <c r="AO10" s="23">
        <f>AN10+'28.05'!AO10</f>
        <v>2528740</v>
      </c>
      <c r="AP10" s="28" t="s">
        <v>44</v>
      </c>
      <c r="AQ10" s="19">
        <f t="shared" si="3"/>
        <v>0</v>
      </c>
      <c r="AR10" s="20">
        <f t="shared" si="3"/>
        <v>105</v>
      </c>
      <c r="AS10" s="34">
        <v>0</v>
      </c>
      <c r="AT10" s="23">
        <f>AS10+'28.05'!AT10</f>
        <v>5</v>
      </c>
      <c r="AU10" s="34">
        <v>0</v>
      </c>
      <c r="AV10" s="23">
        <f>AU10+'28.05'!AV10</f>
        <v>4</v>
      </c>
      <c r="AW10" s="34">
        <v>0</v>
      </c>
      <c r="AX10" s="23">
        <f>AW10+'28.05'!AX10</f>
        <v>0</v>
      </c>
      <c r="AY10" s="34">
        <v>0</v>
      </c>
      <c r="AZ10" s="23">
        <f>AY10+'28.05'!AZ10</f>
        <v>1</v>
      </c>
      <c r="BA10" s="34">
        <v>0</v>
      </c>
      <c r="BB10" s="23">
        <f>BA10+'28.05'!BB10</f>
        <v>95</v>
      </c>
      <c r="BC10" s="19">
        <f t="shared" si="5"/>
        <v>4125</v>
      </c>
      <c r="BD10" s="20">
        <f t="shared" si="5"/>
        <v>127799</v>
      </c>
      <c r="BE10" s="22">
        <v>535</v>
      </c>
      <c r="BF10" s="23">
        <f>BE10+'28.05'!BF10</f>
        <v>14448</v>
      </c>
      <c r="BG10" s="34">
        <v>0</v>
      </c>
      <c r="BH10" s="23">
        <f>BG10+'28.05'!BH10</f>
        <v>30</v>
      </c>
      <c r="BI10" s="22">
        <v>2494</v>
      </c>
      <c r="BJ10" s="23">
        <f>BI10+'28.05'!BJ10</f>
        <v>68158</v>
      </c>
      <c r="BK10" s="22">
        <v>1096</v>
      </c>
      <c r="BL10" s="23">
        <f>BK10+'28.05'!BL10</f>
        <v>45160</v>
      </c>
      <c r="BM10" s="22">
        <v>0</v>
      </c>
      <c r="BN10" s="23">
        <f>BM10+'28.05'!BN10</f>
        <v>3</v>
      </c>
      <c r="BO10" s="36">
        <v>32</v>
      </c>
      <c r="BP10" s="37">
        <v>0</v>
      </c>
      <c r="BQ10" s="23">
        <f>BP10+'28.05'!BQ10</f>
        <v>16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35</v>
      </c>
      <c r="D11" s="31">
        <f t="shared" si="0"/>
        <v>1060</v>
      </c>
      <c r="E11" s="32">
        <v>883</v>
      </c>
      <c r="F11" s="22">
        <v>17</v>
      </c>
      <c r="G11" s="23">
        <f>F11+'28.05'!G11</f>
        <v>510</v>
      </c>
      <c r="H11" s="33">
        <v>16</v>
      </c>
      <c r="I11" s="34">
        <v>0</v>
      </c>
      <c r="J11" s="23">
        <f>I11+'28.05'!J11</f>
        <v>0</v>
      </c>
      <c r="K11" s="33">
        <v>3</v>
      </c>
      <c r="L11" s="22">
        <v>0</v>
      </c>
      <c r="M11" s="23">
        <f>L11+'28.05'!M11</f>
        <v>0</v>
      </c>
      <c r="N11" s="33">
        <v>875</v>
      </c>
      <c r="O11" s="22">
        <v>0</v>
      </c>
      <c r="P11" s="23">
        <f>O11+'28.05'!P11</f>
        <v>0</v>
      </c>
      <c r="Q11" s="33">
        <v>2424</v>
      </c>
      <c r="R11" s="22">
        <v>0</v>
      </c>
      <c r="S11" s="23">
        <f>R11+'28.05'!S11</f>
        <v>0</v>
      </c>
      <c r="T11" s="33">
        <v>69</v>
      </c>
      <c r="U11" s="22">
        <v>0</v>
      </c>
      <c r="V11" s="23">
        <f>U11+'28.05'!V11</f>
        <v>0</v>
      </c>
      <c r="W11" s="38">
        <v>133</v>
      </c>
      <c r="X11" s="22">
        <v>16</v>
      </c>
      <c r="Y11" s="23">
        <f>X11+'28.05'!Y11</f>
        <v>502</v>
      </c>
      <c r="Z11" s="38">
        <v>1116</v>
      </c>
      <c r="AA11" s="22">
        <v>0</v>
      </c>
      <c r="AB11" s="23">
        <f>AA11+'28.05'!AB11</f>
        <v>0</v>
      </c>
      <c r="AC11" s="38">
        <v>9862</v>
      </c>
      <c r="AD11" s="22">
        <v>2</v>
      </c>
      <c r="AE11" s="23">
        <f>AD11+'28.05'!AE11</f>
        <v>48</v>
      </c>
      <c r="AF11" s="19">
        <f t="shared" si="1"/>
        <v>16800</v>
      </c>
      <c r="AG11" s="20">
        <f t="shared" si="1"/>
        <v>545500</v>
      </c>
      <c r="AH11" s="24">
        <v>2300</v>
      </c>
      <c r="AI11" s="23">
        <f>AH11+'28.05'!AI11</f>
        <v>67900</v>
      </c>
      <c r="AJ11" s="24">
        <v>4300</v>
      </c>
      <c r="AK11" s="23">
        <f>AJ11+'28.05'!AK11</f>
        <v>89700</v>
      </c>
      <c r="AL11" s="22">
        <v>3000</v>
      </c>
      <c r="AM11" s="23">
        <f>AL11+'28.05'!AM11</f>
        <v>116800</v>
      </c>
      <c r="AN11" s="22">
        <v>7200</v>
      </c>
      <c r="AO11" s="23">
        <f>AN11+'28.05'!AO11</f>
        <v>271100</v>
      </c>
      <c r="AP11" s="28" t="s">
        <v>45</v>
      </c>
      <c r="AQ11" s="19">
        <f t="shared" si="3"/>
        <v>4</v>
      </c>
      <c r="AR11" s="20">
        <f t="shared" si="3"/>
        <v>78</v>
      </c>
      <c r="AS11" s="34">
        <v>0</v>
      </c>
      <c r="AT11" s="23">
        <f>AS11+'28.05'!AT11</f>
        <v>0</v>
      </c>
      <c r="AU11" s="34">
        <v>0</v>
      </c>
      <c r="AV11" s="23">
        <f>AU11+'28.05'!AV11</f>
        <v>0</v>
      </c>
      <c r="AW11" s="34">
        <v>0</v>
      </c>
      <c r="AX11" s="23">
        <f>AW11+'28.05'!AX11</f>
        <v>0</v>
      </c>
      <c r="AY11" s="34">
        <v>0</v>
      </c>
      <c r="AZ11" s="23">
        <f>AY11+'28.05'!AZ11</f>
        <v>0</v>
      </c>
      <c r="BA11" s="34">
        <v>4</v>
      </c>
      <c r="BB11" s="23">
        <f>BA11+'28.05'!BB11</f>
        <v>78</v>
      </c>
      <c r="BC11" s="19">
        <f t="shared" si="5"/>
        <v>439</v>
      </c>
      <c r="BD11" s="20">
        <f t="shared" si="5"/>
        <v>17344</v>
      </c>
      <c r="BE11" s="22">
        <v>6</v>
      </c>
      <c r="BF11" s="23">
        <f>BE11+'28.05'!BF11</f>
        <v>72</v>
      </c>
      <c r="BG11" s="34">
        <v>4</v>
      </c>
      <c r="BH11" s="23">
        <f>BG11+'28.05'!BH11</f>
        <v>87</v>
      </c>
      <c r="BI11" s="22">
        <v>420</v>
      </c>
      <c r="BJ11" s="23">
        <f>BI11+'28.05'!BJ11</f>
        <v>16723</v>
      </c>
      <c r="BK11" s="22">
        <v>5</v>
      </c>
      <c r="BL11" s="23">
        <f>BK11+'28.05'!BL11</f>
        <v>398</v>
      </c>
      <c r="BM11" s="22">
        <v>4</v>
      </c>
      <c r="BN11" s="23">
        <f>BM11+'28.05'!BN11</f>
        <v>64</v>
      </c>
      <c r="BO11" s="36">
        <v>11506</v>
      </c>
      <c r="BP11" s="37">
        <v>2</v>
      </c>
      <c r="BQ11" s="23" t="e">
        <f>BP11+'28.05'!BQ11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271</v>
      </c>
      <c r="D12" s="31">
        <f t="shared" si="0"/>
        <v>6697</v>
      </c>
      <c r="E12" s="32">
        <v>909</v>
      </c>
      <c r="F12" s="22">
        <v>52</v>
      </c>
      <c r="G12" s="23">
        <f>F12+'28.05'!G12</f>
        <v>1621</v>
      </c>
      <c r="H12" s="33">
        <v>80</v>
      </c>
      <c r="I12" s="34">
        <v>1</v>
      </c>
      <c r="J12" s="23">
        <f>I12+'28.05'!J12</f>
        <v>74</v>
      </c>
      <c r="K12" s="33">
        <v>5</v>
      </c>
      <c r="L12" s="22">
        <v>0</v>
      </c>
      <c r="M12" s="23">
        <f>L12+'28.05'!M12</f>
        <v>0</v>
      </c>
      <c r="N12" s="33">
        <v>820</v>
      </c>
      <c r="O12" s="22">
        <v>8</v>
      </c>
      <c r="P12" s="23">
        <f>O12+'28.05'!P12</f>
        <v>507</v>
      </c>
      <c r="Q12" s="33">
        <v>549</v>
      </c>
      <c r="R12" s="22">
        <v>0</v>
      </c>
      <c r="S12" s="23">
        <f>R12+'28.05'!S12</f>
        <v>0</v>
      </c>
      <c r="T12" s="33">
        <v>992</v>
      </c>
      <c r="U12" s="22">
        <v>0</v>
      </c>
      <c r="V12" s="23">
        <f>U12+'28.05'!V12</f>
        <v>0</v>
      </c>
      <c r="W12" s="33">
        <v>38</v>
      </c>
      <c r="X12" s="22">
        <v>133</v>
      </c>
      <c r="Y12" s="23">
        <f>X12+'28.05'!Y12</f>
        <v>3389</v>
      </c>
      <c r="Z12" s="33">
        <v>68</v>
      </c>
      <c r="AA12" s="22">
        <v>0</v>
      </c>
      <c r="AB12" s="23">
        <f>AA12+'28.05'!AB12</f>
        <v>0</v>
      </c>
      <c r="AC12" s="33">
        <v>26703</v>
      </c>
      <c r="AD12" s="22">
        <v>77</v>
      </c>
      <c r="AE12" s="23">
        <f>AD12+'28.05'!AE12</f>
        <v>1106</v>
      </c>
      <c r="AF12" s="19">
        <f t="shared" si="1"/>
        <v>20598</v>
      </c>
      <c r="AG12" s="20">
        <f t="shared" si="1"/>
        <v>455478</v>
      </c>
      <c r="AH12" s="24">
        <v>3011</v>
      </c>
      <c r="AI12" s="23">
        <f>AH12+'28.05'!AI12</f>
        <v>70595</v>
      </c>
      <c r="AJ12" s="24">
        <v>8987</v>
      </c>
      <c r="AK12" s="23">
        <f>AJ12+'28.05'!AK12</f>
        <v>144499</v>
      </c>
      <c r="AL12" s="22">
        <v>4300</v>
      </c>
      <c r="AM12" s="23">
        <f>AL12+'28.05'!AM12</f>
        <v>120189</v>
      </c>
      <c r="AN12" s="22">
        <v>4300</v>
      </c>
      <c r="AO12" s="23">
        <f>AN12+'28.05'!AO12</f>
        <v>120195</v>
      </c>
      <c r="AP12" s="28" t="s">
        <v>46</v>
      </c>
      <c r="AQ12" s="19">
        <f t="shared" si="3"/>
        <v>41</v>
      </c>
      <c r="AR12" s="20">
        <f t="shared" si="3"/>
        <v>2447</v>
      </c>
      <c r="AS12" s="34">
        <v>0</v>
      </c>
      <c r="AT12" s="23">
        <f>AS12+'28.05'!AT12</f>
        <v>0</v>
      </c>
      <c r="AU12" s="34">
        <v>0</v>
      </c>
      <c r="AV12" s="23">
        <f>AU12+'28.05'!AV12</f>
        <v>0</v>
      </c>
      <c r="AW12" s="34">
        <v>0</v>
      </c>
      <c r="AX12" s="23">
        <f>AW12+'28.05'!AX12</f>
        <v>0</v>
      </c>
      <c r="AY12" s="34">
        <v>0</v>
      </c>
      <c r="AZ12" s="23">
        <f>AY12+'28.05'!AZ12</f>
        <v>0</v>
      </c>
      <c r="BA12" s="34">
        <v>41</v>
      </c>
      <c r="BB12" s="23">
        <f>BA12+'28.05'!BB12</f>
        <v>2447</v>
      </c>
      <c r="BC12" s="19">
        <f t="shared" si="5"/>
        <v>3710</v>
      </c>
      <c r="BD12" s="20">
        <f t="shared" si="5"/>
        <v>81726</v>
      </c>
      <c r="BE12" s="22">
        <v>154</v>
      </c>
      <c r="BF12" s="23">
        <f>BE12+'28.05'!BF12</f>
        <v>5450</v>
      </c>
      <c r="BG12" s="34">
        <v>5</v>
      </c>
      <c r="BH12" s="23">
        <f>BG12+'28.05'!BH12</f>
        <v>276</v>
      </c>
      <c r="BI12" s="22">
        <v>3000</v>
      </c>
      <c r="BJ12" s="23">
        <f>BI12+'28.05'!BJ12</f>
        <v>66000</v>
      </c>
      <c r="BK12" s="22">
        <v>500</v>
      </c>
      <c r="BL12" s="23">
        <f>BK12+'28.05'!BL12</f>
        <v>8550</v>
      </c>
      <c r="BM12" s="22">
        <v>51</v>
      </c>
      <c r="BN12" s="23">
        <f>BM12+'28.05'!BN12</f>
        <v>1450</v>
      </c>
      <c r="BO12" s="36"/>
      <c r="BP12" s="37">
        <v>1</v>
      </c>
      <c r="BQ12" s="23">
        <f>BP12+'28.05'!BQ12</f>
        <v>48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106</v>
      </c>
      <c r="D13" s="31">
        <f t="shared" si="0"/>
        <v>424</v>
      </c>
      <c r="E13" s="32">
        <v>516</v>
      </c>
      <c r="F13" s="22">
        <v>0</v>
      </c>
      <c r="G13" s="23">
        <f>F13+'28.05'!G13</f>
        <v>32</v>
      </c>
      <c r="H13" s="33">
        <v>10</v>
      </c>
      <c r="I13" s="34">
        <v>0</v>
      </c>
      <c r="J13" s="23">
        <f>I13+'28.05'!J13</f>
        <v>16</v>
      </c>
      <c r="K13" s="33">
        <v>38</v>
      </c>
      <c r="L13" s="22">
        <v>0</v>
      </c>
      <c r="M13" s="23">
        <f>L13+'28.05'!M13</f>
        <v>0</v>
      </c>
      <c r="N13" s="33">
        <v>581</v>
      </c>
      <c r="O13" s="22">
        <v>0</v>
      </c>
      <c r="P13" s="23">
        <f>O13+'28.05'!P13</f>
        <v>11</v>
      </c>
      <c r="Q13" s="33">
        <v>525</v>
      </c>
      <c r="R13" s="22">
        <v>0</v>
      </c>
      <c r="S13" s="23">
        <f>R13+'28.05'!S13</f>
        <v>0</v>
      </c>
      <c r="T13" s="33">
        <v>263</v>
      </c>
      <c r="U13" s="22">
        <v>0</v>
      </c>
      <c r="V13" s="23">
        <f>U13+'28.05'!V13</f>
        <v>0</v>
      </c>
      <c r="W13" s="33">
        <v>43</v>
      </c>
      <c r="X13" s="22">
        <v>0</v>
      </c>
      <c r="Y13" s="23">
        <f>X13+'28.05'!Y13</f>
        <v>1</v>
      </c>
      <c r="Z13" s="33">
        <v>17</v>
      </c>
      <c r="AA13" s="22">
        <v>0</v>
      </c>
      <c r="AB13" s="23">
        <f>AA13+'28.05'!AB13</f>
        <v>0</v>
      </c>
      <c r="AC13" s="33">
        <v>51</v>
      </c>
      <c r="AD13" s="22">
        <v>106</v>
      </c>
      <c r="AE13" s="23">
        <f>AD13+'28.05'!AE13</f>
        <v>364</v>
      </c>
      <c r="AF13" s="19">
        <f t="shared" si="1"/>
        <v>245000</v>
      </c>
      <c r="AG13" s="20">
        <f t="shared" si="1"/>
        <v>7850000</v>
      </c>
      <c r="AH13" s="24">
        <v>2000</v>
      </c>
      <c r="AI13" s="23">
        <f>AH13+'28.05'!AI13</f>
        <v>77500</v>
      </c>
      <c r="AJ13" s="24">
        <v>23000</v>
      </c>
      <c r="AK13" s="23">
        <f>AJ13+'28.05'!AK13</f>
        <v>553500</v>
      </c>
      <c r="AL13" s="22">
        <v>20000</v>
      </c>
      <c r="AM13" s="23">
        <f>AL13+'28.05'!AM13</f>
        <v>1760000</v>
      </c>
      <c r="AN13" s="22">
        <v>200000</v>
      </c>
      <c r="AO13" s="23">
        <f>AN13+'28.05'!AO13</f>
        <v>5459000</v>
      </c>
      <c r="AP13" s="28" t="s">
        <v>47</v>
      </c>
      <c r="AQ13" s="19">
        <f t="shared" si="3"/>
        <v>6</v>
      </c>
      <c r="AR13" s="20">
        <f t="shared" si="3"/>
        <v>544</v>
      </c>
      <c r="AS13" s="34">
        <v>1</v>
      </c>
      <c r="AT13" s="23">
        <f>AS13+'28.05'!AT13</f>
        <v>26</v>
      </c>
      <c r="AU13" s="34">
        <v>1</v>
      </c>
      <c r="AV13" s="23">
        <f>AU13+'28.05'!AV13</f>
        <v>22</v>
      </c>
      <c r="AW13" s="34">
        <v>1</v>
      </c>
      <c r="AX13" s="23">
        <f>AW13+'28.05'!AX13</f>
        <v>6</v>
      </c>
      <c r="AY13" s="34">
        <v>1</v>
      </c>
      <c r="AZ13" s="23">
        <f>AY13+'28.05'!AZ13</f>
        <v>1</v>
      </c>
      <c r="BA13" s="34">
        <v>2</v>
      </c>
      <c r="BB13" s="23">
        <f>BA13+'28.05'!BB13</f>
        <v>489</v>
      </c>
      <c r="BC13" s="19">
        <f t="shared" si="5"/>
        <v>13017</v>
      </c>
      <c r="BD13" s="20">
        <f t="shared" si="5"/>
        <v>299662</v>
      </c>
      <c r="BE13" s="22">
        <v>516</v>
      </c>
      <c r="BF13" s="23">
        <f>BE13+'28.05'!BF13</f>
        <v>14964</v>
      </c>
      <c r="BG13" s="34">
        <v>34</v>
      </c>
      <c r="BH13" s="23">
        <f>BG13+'28.05'!BH13</f>
        <v>1039</v>
      </c>
      <c r="BI13" s="22">
        <v>12000</v>
      </c>
      <c r="BJ13" s="23">
        <f>BI13+'28.05'!BJ13</f>
        <v>276500</v>
      </c>
      <c r="BK13" s="22">
        <v>400</v>
      </c>
      <c r="BL13" s="23">
        <f>BK13+'28.05'!BL13</f>
        <v>5820</v>
      </c>
      <c r="BM13" s="22">
        <v>67</v>
      </c>
      <c r="BN13" s="23">
        <f>BM13+'28.05'!BN13</f>
        <v>1339</v>
      </c>
      <c r="BO13" s="36"/>
      <c r="BP13" s="37">
        <v>2</v>
      </c>
      <c r="BQ13" s="23">
        <f>BP13+'28.05'!BQ13</f>
        <v>17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128</v>
      </c>
      <c r="D14" s="42">
        <f t="shared" si="0"/>
        <v>3231</v>
      </c>
      <c r="E14" s="43">
        <v>304</v>
      </c>
      <c r="F14" s="22">
        <v>103</v>
      </c>
      <c r="G14" s="23">
        <f>F14+'28.05'!G14</f>
        <v>2774</v>
      </c>
      <c r="H14" s="44">
        <v>5</v>
      </c>
      <c r="I14" s="45">
        <v>0</v>
      </c>
      <c r="J14" s="23">
        <f>I14+'28.05'!J14</f>
        <v>0</v>
      </c>
      <c r="K14" s="44">
        <v>34</v>
      </c>
      <c r="L14" s="22">
        <v>0</v>
      </c>
      <c r="M14" s="23">
        <f>L14+'28.05'!M14</f>
        <v>0</v>
      </c>
      <c r="N14" s="44">
        <v>583</v>
      </c>
      <c r="O14" s="22">
        <v>0</v>
      </c>
      <c r="P14" s="23">
        <f>O14+'28.05'!P14</f>
        <v>0</v>
      </c>
      <c r="Q14" s="44">
        <v>254</v>
      </c>
      <c r="R14" s="22">
        <v>0</v>
      </c>
      <c r="S14" s="23">
        <f>R14+'28.05'!S14</f>
        <v>0</v>
      </c>
      <c r="T14" s="44">
        <v>196</v>
      </c>
      <c r="U14" s="22">
        <v>0</v>
      </c>
      <c r="V14" s="23">
        <f>U14+'28.05'!V14</f>
        <v>0</v>
      </c>
      <c r="W14" s="44">
        <v>30</v>
      </c>
      <c r="X14" s="22">
        <v>11</v>
      </c>
      <c r="Y14" s="23">
        <f>X14+'28.05'!Y14</f>
        <v>331</v>
      </c>
      <c r="Z14" s="44">
        <v>10</v>
      </c>
      <c r="AA14" s="22">
        <v>0</v>
      </c>
      <c r="AB14" s="23">
        <f>AA14+'28.05'!AB14</f>
        <v>0</v>
      </c>
      <c r="AC14" s="44">
        <v>2500</v>
      </c>
      <c r="AD14" s="22">
        <v>14</v>
      </c>
      <c r="AE14" s="23">
        <f>AD14+'28.05'!AE14</f>
        <v>126</v>
      </c>
      <c r="AF14" s="19">
        <f t="shared" si="1"/>
        <v>144800</v>
      </c>
      <c r="AG14" s="20">
        <f t="shared" si="1"/>
        <v>3230540</v>
      </c>
      <c r="AH14" s="24">
        <v>1200</v>
      </c>
      <c r="AI14" s="23">
        <f>AH14+'28.05'!AI14</f>
        <v>87710</v>
      </c>
      <c r="AJ14" s="24">
        <v>9800</v>
      </c>
      <c r="AK14" s="23">
        <f>AJ14+'28.05'!AK14</f>
        <v>192750</v>
      </c>
      <c r="AL14" s="22">
        <v>9500</v>
      </c>
      <c r="AM14" s="23">
        <f>AL14+'28.05'!AM14</f>
        <v>222450</v>
      </c>
      <c r="AN14" s="22">
        <v>124300</v>
      </c>
      <c r="AO14" s="23">
        <f>AN14+'28.05'!AO14</f>
        <v>2727630</v>
      </c>
      <c r="AP14" s="39" t="s">
        <v>48</v>
      </c>
      <c r="AQ14" s="19">
        <f t="shared" si="3"/>
        <v>4</v>
      </c>
      <c r="AR14" s="20">
        <f t="shared" si="3"/>
        <v>96</v>
      </c>
      <c r="AS14" s="45">
        <v>0</v>
      </c>
      <c r="AT14" s="23">
        <f>AS14+'28.05'!AT14</f>
        <v>0</v>
      </c>
      <c r="AU14" s="45">
        <v>0</v>
      </c>
      <c r="AV14" s="23">
        <f>AU14+'28.05'!AV14</f>
        <v>4</v>
      </c>
      <c r="AW14" s="45">
        <v>0</v>
      </c>
      <c r="AX14" s="23">
        <f>AW14+'28.05'!AX14</f>
        <v>4</v>
      </c>
      <c r="AY14" s="45">
        <v>0</v>
      </c>
      <c r="AZ14" s="23">
        <f>AY14+'28.05'!AZ14</f>
        <v>2</v>
      </c>
      <c r="BA14" s="45">
        <v>4</v>
      </c>
      <c r="BB14" s="23">
        <f>BA14+'28.05'!BB14</f>
        <v>86</v>
      </c>
      <c r="BC14" s="19">
        <f t="shared" si="5"/>
        <v>1414</v>
      </c>
      <c r="BD14" s="20">
        <f t="shared" si="5"/>
        <v>55959</v>
      </c>
      <c r="BE14" s="22">
        <v>4</v>
      </c>
      <c r="BF14" s="23">
        <f>BE14+'28.05'!BF14</f>
        <v>89</v>
      </c>
      <c r="BG14" s="45">
        <v>0</v>
      </c>
      <c r="BH14" s="23">
        <f>BG14+'28.05'!BH14</f>
        <v>43</v>
      </c>
      <c r="BI14" s="22">
        <v>1400</v>
      </c>
      <c r="BJ14" s="23">
        <f>BI14+'28.05'!BJ14</f>
        <v>55630</v>
      </c>
      <c r="BK14" s="22">
        <v>6</v>
      </c>
      <c r="BL14" s="23">
        <f>BK14+'28.05'!BL14</f>
        <v>129</v>
      </c>
      <c r="BM14" s="22">
        <v>4</v>
      </c>
      <c r="BN14" s="23">
        <f>BM14+'28.05'!BN14</f>
        <v>68</v>
      </c>
      <c r="BO14" s="48">
        <v>22</v>
      </c>
      <c r="BP14" s="49">
        <v>0</v>
      </c>
      <c r="BQ14" s="23">
        <f>BP14+'28.05'!BQ14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425</v>
      </c>
      <c r="D15" s="53">
        <f t="shared" si="0"/>
        <v>13058</v>
      </c>
      <c r="E15" s="54">
        <v>776</v>
      </c>
      <c r="F15" s="55">
        <v>334</v>
      </c>
      <c r="G15" s="23">
        <f>F15+'28.05'!G15</f>
        <v>10421</v>
      </c>
      <c r="H15" s="56">
        <v>9</v>
      </c>
      <c r="I15" s="57">
        <v>0</v>
      </c>
      <c r="J15" s="23">
        <f>I15+'28.05'!J15</f>
        <v>0</v>
      </c>
      <c r="K15" s="56">
        <v>6</v>
      </c>
      <c r="L15" s="55">
        <v>0</v>
      </c>
      <c r="M15" s="23">
        <f>L15+'28.05'!M15</f>
        <v>0</v>
      </c>
      <c r="N15" s="56">
        <v>1305</v>
      </c>
      <c r="O15" s="55">
        <v>0</v>
      </c>
      <c r="P15" s="23">
        <f>O15+'28.05'!P15</f>
        <v>0</v>
      </c>
      <c r="Q15" s="56">
        <v>447</v>
      </c>
      <c r="R15" s="55">
        <v>0</v>
      </c>
      <c r="S15" s="23">
        <f>R15+'28.05'!S15</f>
        <v>0</v>
      </c>
      <c r="T15" s="56">
        <v>337</v>
      </c>
      <c r="U15" s="55">
        <v>0</v>
      </c>
      <c r="V15" s="23">
        <f>U15+'28.05'!V15</f>
        <v>0</v>
      </c>
      <c r="W15" s="56">
        <v>78</v>
      </c>
      <c r="X15" s="55">
        <v>0</v>
      </c>
      <c r="Y15" s="23">
        <f>X15+'28.05'!Y15</f>
        <v>0</v>
      </c>
      <c r="Z15" s="56">
        <v>141</v>
      </c>
      <c r="AA15" s="55">
        <v>0</v>
      </c>
      <c r="AB15" s="23">
        <f>AA15+'28.05'!AB15</f>
        <v>0</v>
      </c>
      <c r="AC15" s="56">
        <v>798</v>
      </c>
      <c r="AD15" s="55">
        <v>91</v>
      </c>
      <c r="AE15" s="23">
        <f>AD15+'28.05'!AE15</f>
        <v>2637</v>
      </c>
      <c r="AF15" s="58">
        <f t="shared" si="1"/>
        <v>1753018</v>
      </c>
      <c r="AG15" s="59">
        <f t="shared" si="1"/>
        <v>60041832</v>
      </c>
      <c r="AH15" s="60">
        <v>732</v>
      </c>
      <c r="AI15" s="23">
        <f>AH15+'28.05'!AI15</f>
        <v>24336</v>
      </c>
      <c r="AJ15" s="60">
        <v>2679</v>
      </c>
      <c r="AK15" s="23">
        <f>AJ15+'28.05'!AK15</f>
        <v>81915</v>
      </c>
      <c r="AL15" s="55">
        <v>874803</v>
      </c>
      <c r="AM15" s="23">
        <f>AL15+'28.05'!AM15</f>
        <v>34319291</v>
      </c>
      <c r="AN15" s="55">
        <v>874804</v>
      </c>
      <c r="AO15" s="23">
        <f>AN15+'28.05'!AO15</f>
        <v>25616290</v>
      </c>
      <c r="AP15" s="50" t="s">
        <v>49</v>
      </c>
      <c r="AQ15" s="58">
        <f t="shared" si="3"/>
        <v>1</v>
      </c>
      <c r="AR15" s="59">
        <f t="shared" si="3"/>
        <v>73</v>
      </c>
      <c r="AS15" s="57">
        <v>0</v>
      </c>
      <c r="AT15" s="23">
        <f>AS15+'28.05'!AT15</f>
        <v>2</v>
      </c>
      <c r="AU15" s="57">
        <v>0</v>
      </c>
      <c r="AV15" s="23">
        <f>AU15+'28.05'!AV15</f>
        <v>6</v>
      </c>
      <c r="AW15" s="57">
        <v>0</v>
      </c>
      <c r="AX15" s="23">
        <f>AW15+'28.05'!AX15</f>
        <v>6</v>
      </c>
      <c r="AY15" s="57">
        <v>0</v>
      </c>
      <c r="AZ15" s="23">
        <f>AY15+'28.05'!AZ15</f>
        <v>1</v>
      </c>
      <c r="BA15" s="57">
        <v>1</v>
      </c>
      <c r="BB15" s="23">
        <f>BA15+'28.05'!BB15</f>
        <v>58</v>
      </c>
      <c r="BC15" s="58">
        <f t="shared" si="5"/>
        <v>1387</v>
      </c>
      <c r="BD15" s="59">
        <f t="shared" si="5"/>
        <v>47083</v>
      </c>
      <c r="BE15" s="55">
        <v>85</v>
      </c>
      <c r="BF15" s="23">
        <f>BE15+'28.05'!BF15</f>
        <v>2274</v>
      </c>
      <c r="BG15" s="57">
        <v>1</v>
      </c>
      <c r="BH15" s="23">
        <f>BG15+'28.05'!BH15</f>
        <v>40</v>
      </c>
      <c r="BI15" s="55">
        <v>645</v>
      </c>
      <c r="BJ15" s="23">
        <f>BI15+'28.05'!BJ15</f>
        <v>22459</v>
      </c>
      <c r="BK15" s="55">
        <v>645</v>
      </c>
      <c r="BL15" s="23">
        <f>BK15+'28.05'!BL15</f>
        <v>21854</v>
      </c>
      <c r="BM15" s="55">
        <v>11</v>
      </c>
      <c r="BN15" s="23">
        <f>BM15+'28.05'!BN15</f>
        <v>456</v>
      </c>
      <c r="BO15" s="36">
        <v>6274</v>
      </c>
      <c r="BP15" s="37">
        <v>0</v>
      </c>
      <c r="BQ15" s="23">
        <f>BP15+'28.05'!BQ15</f>
        <v>16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149</v>
      </c>
      <c r="D16" s="31">
        <f t="shared" si="0"/>
        <v>4023</v>
      </c>
      <c r="E16" s="32">
        <v>310</v>
      </c>
      <c r="F16" s="22">
        <v>51</v>
      </c>
      <c r="G16" s="23">
        <f>F16+'28.05'!G16</f>
        <v>1380</v>
      </c>
      <c r="H16" s="33">
        <v>5</v>
      </c>
      <c r="I16" s="34">
        <v>0</v>
      </c>
      <c r="J16" s="23">
        <f>I16+'28.05'!J16</f>
        <v>0</v>
      </c>
      <c r="K16" s="33">
        <v>3</v>
      </c>
      <c r="L16" s="22">
        <v>0</v>
      </c>
      <c r="M16" s="23">
        <f>L16+'28.05'!M16</f>
        <v>0</v>
      </c>
      <c r="N16" s="33">
        <v>384</v>
      </c>
      <c r="O16" s="22">
        <v>0</v>
      </c>
      <c r="P16" s="23">
        <f>O16+'28.05'!P16</f>
        <v>0</v>
      </c>
      <c r="Q16" s="33">
        <v>245</v>
      </c>
      <c r="R16" s="22">
        <v>0</v>
      </c>
      <c r="S16" s="23">
        <f>R16+'28.05'!S16</f>
        <v>0</v>
      </c>
      <c r="T16" s="33">
        <v>397</v>
      </c>
      <c r="U16" s="22">
        <v>0</v>
      </c>
      <c r="V16" s="23">
        <f>U16+'28.05'!V16</f>
        <v>0</v>
      </c>
      <c r="W16" s="33">
        <v>24</v>
      </c>
      <c r="X16" s="22">
        <v>54</v>
      </c>
      <c r="Y16" s="23">
        <f>X16+'28.05'!Y16</f>
        <v>1401</v>
      </c>
      <c r="Z16" s="33">
        <v>18</v>
      </c>
      <c r="AA16" s="22">
        <v>0</v>
      </c>
      <c r="AB16" s="23">
        <f>AA16+'28.05'!AB16</f>
        <v>0</v>
      </c>
      <c r="AC16" s="33">
        <v>18515</v>
      </c>
      <c r="AD16" s="22">
        <v>44</v>
      </c>
      <c r="AE16" s="23">
        <f>AD16+'28.05'!AE16</f>
        <v>1242</v>
      </c>
      <c r="AF16" s="19">
        <f t="shared" si="1"/>
        <v>56750</v>
      </c>
      <c r="AG16" s="20">
        <f t="shared" si="1"/>
        <v>1718642</v>
      </c>
      <c r="AH16" s="24">
        <v>151</v>
      </c>
      <c r="AI16" s="23">
        <f>AH16+'28.05'!AI16</f>
        <v>4613</v>
      </c>
      <c r="AJ16" s="24">
        <v>1457</v>
      </c>
      <c r="AK16" s="23">
        <f>AJ16+'28.05'!AK16</f>
        <v>40293</v>
      </c>
      <c r="AL16" s="22">
        <v>1571</v>
      </c>
      <c r="AM16" s="23">
        <f>AL16+'28.05'!AM16</f>
        <v>45168</v>
      </c>
      <c r="AN16" s="22">
        <v>53571</v>
      </c>
      <c r="AO16" s="23">
        <f>AN16+'28.05'!AO16</f>
        <v>1628568</v>
      </c>
      <c r="AP16" s="28" t="s">
        <v>51</v>
      </c>
      <c r="AQ16" s="19">
        <f t="shared" si="3"/>
        <v>79</v>
      </c>
      <c r="AR16" s="20">
        <f t="shared" si="3"/>
        <v>2291</v>
      </c>
      <c r="AS16" s="34">
        <v>0</v>
      </c>
      <c r="AT16" s="23">
        <f>AS16+'28.05'!AT16</f>
        <v>3</v>
      </c>
      <c r="AU16" s="34">
        <v>0</v>
      </c>
      <c r="AV16" s="23">
        <f>AU16+'28.05'!AV16</f>
        <v>0</v>
      </c>
      <c r="AW16" s="34">
        <v>0</v>
      </c>
      <c r="AX16" s="23">
        <f>AW16+'28.05'!AX16</f>
        <v>0</v>
      </c>
      <c r="AY16" s="34">
        <v>0</v>
      </c>
      <c r="AZ16" s="23">
        <f>AY16+'28.05'!AZ16</f>
        <v>0</v>
      </c>
      <c r="BA16" s="34">
        <v>79</v>
      </c>
      <c r="BB16" s="23">
        <f>BA16+'28.05'!BB16</f>
        <v>2288</v>
      </c>
      <c r="BC16" s="19">
        <f t="shared" si="5"/>
        <v>1211</v>
      </c>
      <c r="BD16" s="20">
        <f t="shared" si="5"/>
        <v>39580</v>
      </c>
      <c r="BE16" s="22">
        <v>97</v>
      </c>
      <c r="BF16" s="23">
        <f>BE16+'28.05'!BF16</f>
        <v>2206</v>
      </c>
      <c r="BG16" s="34">
        <v>0</v>
      </c>
      <c r="BH16" s="23">
        <f>BG16+'28.05'!BH16</f>
        <v>0</v>
      </c>
      <c r="BI16" s="22">
        <v>1063</v>
      </c>
      <c r="BJ16" s="23">
        <f>BI16+'28.05'!BJ16</f>
        <v>35960</v>
      </c>
      <c r="BK16" s="22">
        <v>42</v>
      </c>
      <c r="BL16" s="23">
        <f>BK16+'28.05'!BL16</f>
        <v>1221</v>
      </c>
      <c r="BM16" s="22">
        <v>9</v>
      </c>
      <c r="BN16" s="23">
        <f>BM16+'28.05'!BN16</f>
        <v>193</v>
      </c>
      <c r="BO16" s="36">
        <v>2546</v>
      </c>
      <c r="BP16" s="37">
        <v>0</v>
      </c>
      <c r="BQ16" s="23">
        <f>BP16+'28.05'!BQ16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11</v>
      </c>
      <c r="D17" s="31">
        <f t="shared" si="0"/>
        <v>4372</v>
      </c>
      <c r="E17" s="32">
        <v>754</v>
      </c>
      <c r="F17" s="22">
        <v>0</v>
      </c>
      <c r="G17" s="23">
        <f>F17+'28.05'!G17</f>
        <v>3720</v>
      </c>
      <c r="H17" s="33">
        <v>9</v>
      </c>
      <c r="I17" s="34">
        <v>0</v>
      </c>
      <c r="J17" s="23">
        <f>I17+'28.05'!J17</f>
        <v>0</v>
      </c>
      <c r="K17" s="33">
        <v>5</v>
      </c>
      <c r="L17" s="22">
        <v>0</v>
      </c>
      <c r="M17" s="23">
        <f>L17+'28.05'!M17</f>
        <v>0</v>
      </c>
      <c r="N17" s="33">
        <v>768</v>
      </c>
      <c r="O17" s="22">
        <v>0</v>
      </c>
      <c r="P17" s="23">
        <f>O17+'28.05'!P17</f>
        <v>0</v>
      </c>
      <c r="Q17" s="33">
        <v>624</v>
      </c>
      <c r="R17" s="22">
        <v>0</v>
      </c>
      <c r="S17" s="23">
        <f>R17+'28.05'!S17</f>
        <v>0</v>
      </c>
      <c r="T17" s="33">
        <v>742</v>
      </c>
      <c r="U17" s="22">
        <v>0</v>
      </c>
      <c r="V17" s="23">
        <f>U17+'28.05'!V17</f>
        <v>0</v>
      </c>
      <c r="W17" s="33">
        <v>54</v>
      </c>
      <c r="X17" s="22">
        <v>10</v>
      </c>
      <c r="Y17" s="23">
        <f>X17+'28.05'!Y17</f>
        <v>345</v>
      </c>
      <c r="Z17" s="33">
        <v>66</v>
      </c>
      <c r="AA17" s="22">
        <v>0</v>
      </c>
      <c r="AB17" s="23">
        <f>AA17+'28.05'!AB17</f>
        <v>10</v>
      </c>
      <c r="AC17" s="33">
        <v>2580</v>
      </c>
      <c r="AD17" s="22">
        <v>1</v>
      </c>
      <c r="AE17" s="23">
        <f>AD17+'28.05'!AE17</f>
        <v>297</v>
      </c>
      <c r="AF17" s="19">
        <f t="shared" si="1"/>
        <v>21800</v>
      </c>
      <c r="AG17" s="20">
        <f t="shared" si="1"/>
        <v>2760700</v>
      </c>
      <c r="AH17" s="24">
        <v>250</v>
      </c>
      <c r="AI17" s="23">
        <f>AH17+'28.05'!AI17</f>
        <v>180550</v>
      </c>
      <c r="AJ17" s="24">
        <v>550</v>
      </c>
      <c r="AK17" s="23">
        <f>AJ17+'28.05'!AK17</f>
        <v>278750</v>
      </c>
      <c r="AL17" s="22">
        <v>9000</v>
      </c>
      <c r="AM17" s="23">
        <f>AL17+'28.05'!AM17</f>
        <v>589100</v>
      </c>
      <c r="AN17" s="22">
        <v>12000</v>
      </c>
      <c r="AO17" s="23">
        <f>AN17+'28.05'!AO17</f>
        <v>1712300</v>
      </c>
      <c r="AP17" s="28" t="s">
        <v>52</v>
      </c>
      <c r="AQ17" s="19">
        <f t="shared" si="3"/>
        <v>10</v>
      </c>
      <c r="AR17" s="20">
        <f t="shared" si="3"/>
        <v>558</v>
      </c>
      <c r="AS17" s="34">
        <v>0</v>
      </c>
      <c r="AT17" s="23">
        <f>AS17+'28.05'!AT17</f>
        <v>19</v>
      </c>
      <c r="AU17" s="34">
        <v>0</v>
      </c>
      <c r="AV17" s="23">
        <f>AU17+'28.05'!AV17</f>
        <v>53</v>
      </c>
      <c r="AW17" s="34">
        <v>0</v>
      </c>
      <c r="AX17" s="23">
        <f>AW17+'28.05'!AX17</f>
        <v>0</v>
      </c>
      <c r="AY17" s="34">
        <v>0</v>
      </c>
      <c r="AZ17" s="23">
        <f>AY17+'28.05'!AZ17</f>
        <v>0</v>
      </c>
      <c r="BA17" s="34">
        <v>10</v>
      </c>
      <c r="BB17" s="23">
        <f>BA17+'28.05'!BB17</f>
        <v>486</v>
      </c>
      <c r="BC17" s="19">
        <f t="shared" si="5"/>
        <v>750</v>
      </c>
      <c r="BD17" s="20">
        <f t="shared" si="5"/>
        <v>81931</v>
      </c>
      <c r="BE17" s="22">
        <v>648</v>
      </c>
      <c r="BF17" s="23">
        <f>BE17+'28.05'!BF17</f>
        <v>1669</v>
      </c>
      <c r="BG17" s="34">
        <v>0</v>
      </c>
      <c r="BH17" s="23">
        <f>BG17+'28.05'!BH17</f>
        <v>30</v>
      </c>
      <c r="BI17" s="22">
        <v>100</v>
      </c>
      <c r="BJ17" s="23">
        <f>BI17+'28.05'!BJ17</f>
        <v>73100</v>
      </c>
      <c r="BK17" s="22">
        <v>0</v>
      </c>
      <c r="BL17" s="23">
        <f>BK17+'28.05'!BL17</f>
        <v>6880</v>
      </c>
      <c r="BM17" s="22">
        <v>2</v>
      </c>
      <c r="BN17" s="23">
        <f>BM17+'28.05'!BN17</f>
        <v>252</v>
      </c>
      <c r="BO17" s="36">
        <v>8022</v>
      </c>
      <c r="BP17" s="37">
        <v>0</v>
      </c>
      <c r="BQ17" s="23">
        <f>BP17+'28.05'!BQ17</f>
        <v>75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312</v>
      </c>
      <c r="D18" s="20">
        <f t="shared" si="0"/>
        <v>7551</v>
      </c>
      <c r="E18" s="21">
        <v>1063</v>
      </c>
      <c r="F18" s="22">
        <v>144</v>
      </c>
      <c r="G18" s="23">
        <f>F18+'28.05'!G18</f>
        <v>4398</v>
      </c>
      <c r="H18" s="21">
        <v>19</v>
      </c>
      <c r="I18" s="22">
        <v>0</v>
      </c>
      <c r="J18" s="23">
        <f>I18+'28.05'!J18</f>
        <v>0</v>
      </c>
      <c r="K18" s="21">
        <v>8</v>
      </c>
      <c r="L18" s="22">
        <v>0</v>
      </c>
      <c r="M18" s="23">
        <f>L18+'28.05'!M18</f>
        <v>0</v>
      </c>
      <c r="N18" s="21">
        <v>1331</v>
      </c>
      <c r="O18" s="22">
        <v>0</v>
      </c>
      <c r="P18" s="23">
        <f>O18+'28.05'!P18</f>
        <v>0</v>
      </c>
      <c r="Q18" s="21">
        <v>777</v>
      </c>
      <c r="R18" s="22">
        <v>0</v>
      </c>
      <c r="S18" s="23">
        <f>R18+'28.05'!S18</f>
        <v>0</v>
      </c>
      <c r="T18" s="21">
        <v>318</v>
      </c>
      <c r="U18" s="22">
        <v>0</v>
      </c>
      <c r="V18" s="23">
        <f>U18+'28.05'!V18</f>
        <v>81</v>
      </c>
      <c r="W18" s="21">
        <v>60</v>
      </c>
      <c r="X18" s="22">
        <v>168</v>
      </c>
      <c r="Y18" s="23">
        <f>X18+'28.05'!Y18</f>
        <v>3072</v>
      </c>
      <c r="Z18" s="21">
        <v>72</v>
      </c>
      <c r="AA18" s="22">
        <v>0</v>
      </c>
      <c r="AB18" s="23">
        <f>AA18+'28.05'!AB18</f>
        <v>0</v>
      </c>
      <c r="AC18" s="21">
        <v>143</v>
      </c>
      <c r="AD18" s="22">
        <v>0</v>
      </c>
      <c r="AE18" s="23">
        <f>AD18+'28.05'!AE18</f>
        <v>0</v>
      </c>
      <c r="AF18" s="19">
        <f t="shared" si="1"/>
        <v>119771</v>
      </c>
      <c r="AG18" s="20">
        <f t="shared" si="1"/>
        <v>3844526</v>
      </c>
      <c r="AH18" s="24">
        <v>185</v>
      </c>
      <c r="AI18" s="23">
        <f>AH18+'28.05'!AI18</f>
        <v>6449</v>
      </c>
      <c r="AJ18" s="24">
        <v>1929</v>
      </c>
      <c r="AK18" s="23">
        <f>AJ18+'28.05'!AK18</f>
        <v>57546</v>
      </c>
      <c r="AL18" s="22">
        <v>1421</v>
      </c>
      <c r="AM18" s="23">
        <f>AL18+'28.05'!AM18</f>
        <v>62814</v>
      </c>
      <c r="AN18" s="22">
        <v>116236</v>
      </c>
      <c r="AO18" s="23">
        <f>AN18+'28.05'!AO18</f>
        <v>3717717</v>
      </c>
      <c r="AP18" s="17" t="s">
        <v>53</v>
      </c>
      <c r="AQ18" s="19">
        <f t="shared" si="3"/>
        <v>3</v>
      </c>
      <c r="AR18" s="20">
        <f t="shared" si="3"/>
        <v>65</v>
      </c>
      <c r="AS18" s="22">
        <v>1</v>
      </c>
      <c r="AT18" s="23">
        <f>AS18+'28.05'!AT18</f>
        <v>17</v>
      </c>
      <c r="AU18" s="22">
        <v>0</v>
      </c>
      <c r="AV18" s="23">
        <f>AU18+'28.05'!AV18</f>
        <v>0</v>
      </c>
      <c r="AW18" s="22">
        <v>0</v>
      </c>
      <c r="AX18" s="23">
        <f>AW18+'28.05'!AX18</f>
        <v>0</v>
      </c>
      <c r="AY18" s="22">
        <v>0</v>
      </c>
      <c r="AZ18" s="23">
        <f>AY18+'28.05'!AZ18</f>
        <v>0</v>
      </c>
      <c r="BA18" s="22">
        <v>2</v>
      </c>
      <c r="BB18" s="23">
        <f>BA18+'28.05'!BB18</f>
        <v>48</v>
      </c>
      <c r="BC18" s="19">
        <f t="shared" si="5"/>
        <v>1815</v>
      </c>
      <c r="BD18" s="20">
        <f t="shared" si="5"/>
        <v>24004</v>
      </c>
      <c r="BE18" s="22">
        <v>27</v>
      </c>
      <c r="BF18" s="23">
        <f>BE18+'28.05'!BF18</f>
        <v>175</v>
      </c>
      <c r="BG18" s="22">
        <v>0</v>
      </c>
      <c r="BH18" s="23">
        <f>BG18+'28.05'!BH18</f>
        <v>388</v>
      </c>
      <c r="BI18" s="22">
        <v>1211</v>
      </c>
      <c r="BJ18" s="23">
        <f>BI18+'28.05'!BJ18</f>
        <v>17669</v>
      </c>
      <c r="BK18" s="22">
        <v>551</v>
      </c>
      <c r="BL18" s="23">
        <f>BK18+'28.05'!BL18</f>
        <v>5260</v>
      </c>
      <c r="BM18" s="22">
        <v>26</v>
      </c>
      <c r="BN18" s="23">
        <f>BM18+'28.05'!BN18</f>
        <v>512</v>
      </c>
      <c r="BO18" s="36">
        <v>442</v>
      </c>
      <c r="BP18" s="37">
        <v>0</v>
      </c>
      <c r="BQ18" s="23">
        <f>BP18+'28.05'!BQ18</f>
        <v>0</v>
      </c>
    </row>
    <row r="19" spans="1:69" ht="27.75" customHeight="1">
      <c r="A19" s="28" t="s">
        <v>54</v>
      </c>
      <c r="B19" s="29">
        <f t="shared" si="0"/>
        <v>1040</v>
      </c>
      <c r="C19" s="30">
        <f t="shared" si="0"/>
        <v>325</v>
      </c>
      <c r="D19" s="31">
        <f t="shared" si="0"/>
        <v>1460</v>
      </c>
      <c r="E19" s="33">
        <v>221</v>
      </c>
      <c r="F19" s="22">
        <v>120</v>
      </c>
      <c r="G19" s="23">
        <f>F19+'28.05'!G19</f>
        <v>445</v>
      </c>
      <c r="H19" s="33">
        <v>5</v>
      </c>
      <c r="I19" s="34">
        <v>0</v>
      </c>
      <c r="J19" s="23">
        <f>I19+'28.05'!J19</f>
        <v>0</v>
      </c>
      <c r="K19" s="33">
        <v>4</v>
      </c>
      <c r="L19" s="22">
        <v>0</v>
      </c>
      <c r="M19" s="23">
        <f>L19+'28.05'!M19</f>
        <v>0</v>
      </c>
      <c r="N19" s="33">
        <v>313</v>
      </c>
      <c r="O19" s="22">
        <v>0</v>
      </c>
      <c r="P19" s="23">
        <f>O19+'28.05'!P19</f>
        <v>227</v>
      </c>
      <c r="Q19" s="33">
        <v>203</v>
      </c>
      <c r="R19" s="22">
        <v>0</v>
      </c>
      <c r="S19" s="23">
        <f>R19+'28.05'!S19</f>
        <v>0</v>
      </c>
      <c r="T19" s="33">
        <v>241</v>
      </c>
      <c r="U19" s="22">
        <v>0</v>
      </c>
      <c r="V19" s="23">
        <f>U19+'28.05'!V19</f>
        <v>0</v>
      </c>
      <c r="W19" s="33">
        <v>14</v>
      </c>
      <c r="X19" s="22">
        <v>0</v>
      </c>
      <c r="Y19" s="23">
        <f>X19+'28.05'!Y19</f>
        <v>487</v>
      </c>
      <c r="Z19" s="33">
        <v>7</v>
      </c>
      <c r="AA19" s="22">
        <v>0</v>
      </c>
      <c r="AB19" s="23">
        <f>AA19+'28.05'!AB19</f>
        <v>0</v>
      </c>
      <c r="AC19" s="33">
        <v>32</v>
      </c>
      <c r="AD19" s="22">
        <v>205</v>
      </c>
      <c r="AE19" s="23">
        <f>AD19+'28.05'!AE19</f>
        <v>301</v>
      </c>
      <c r="AF19" s="19">
        <f t="shared" si="1"/>
        <v>1270000</v>
      </c>
      <c r="AG19" s="20">
        <f t="shared" si="1"/>
        <v>2432800</v>
      </c>
      <c r="AH19" s="24">
        <v>1200</v>
      </c>
      <c r="AI19" s="23">
        <f>AH19+'28.05'!AI19</f>
        <v>16140</v>
      </c>
      <c r="AJ19" s="24">
        <v>268800</v>
      </c>
      <c r="AK19" s="23">
        <f>AJ19+'28.05'!AK19</f>
        <v>461590</v>
      </c>
      <c r="AL19" s="22">
        <v>10000</v>
      </c>
      <c r="AM19" s="23">
        <f>AL19+'28.05'!AM19</f>
        <v>52535</v>
      </c>
      <c r="AN19" s="22">
        <v>990000</v>
      </c>
      <c r="AO19" s="23">
        <f>AN19+'28.05'!AO19</f>
        <v>1902535</v>
      </c>
      <c r="AP19" s="28" t="s">
        <v>54</v>
      </c>
      <c r="AQ19" s="19">
        <f t="shared" si="3"/>
        <v>7</v>
      </c>
      <c r="AR19" s="20">
        <f t="shared" si="3"/>
        <v>20</v>
      </c>
      <c r="AS19" s="34">
        <v>0</v>
      </c>
      <c r="AT19" s="23">
        <f>AS19+'28.05'!AT19</f>
        <v>0</v>
      </c>
      <c r="AU19" s="34">
        <v>7</v>
      </c>
      <c r="AV19" s="23">
        <f>AU19+'28.05'!AV19</f>
        <v>17</v>
      </c>
      <c r="AW19" s="34">
        <v>0</v>
      </c>
      <c r="AX19" s="23">
        <f>AW19+'28.05'!AX19</f>
        <v>1</v>
      </c>
      <c r="AY19" s="34">
        <v>0</v>
      </c>
      <c r="AZ19" s="23">
        <f>AY19+'28.05'!AZ19</f>
        <v>0</v>
      </c>
      <c r="BA19" s="34">
        <v>0</v>
      </c>
      <c r="BB19" s="23">
        <f>BA19+'28.05'!BB19</f>
        <v>2</v>
      </c>
      <c r="BC19" s="19">
        <f t="shared" si="5"/>
        <v>3050</v>
      </c>
      <c r="BD19" s="20">
        <f t="shared" si="5"/>
        <v>32464</v>
      </c>
      <c r="BE19" s="22">
        <v>40</v>
      </c>
      <c r="BF19" s="23">
        <f>BE19+'28.05'!BF19</f>
        <v>458</v>
      </c>
      <c r="BG19" s="34">
        <v>0</v>
      </c>
      <c r="BH19" s="23">
        <f>BG19+'28.05'!BH19</f>
        <v>9</v>
      </c>
      <c r="BI19" s="22">
        <v>3000</v>
      </c>
      <c r="BJ19" s="23">
        <f>BI19+'28.05'!BJ19</f>
        <v>28700</v>
      </c>
      <c r="BK19" s="22">
        <v>0</v>
      </c>
      <c r="BL19" s="23">
        <f>BK19+'28.05'!BL19</f>
        <v>3120</v>
      </c>
      <c r="BM19" s="22">
        <v>10</v>
      </c>
      <c r="BN19" s="23">
        <f>BM19+'28.05'!BN19</f>
        <v>177</v>
      </c>
      <c r="BO19" s="36">
        <v>2898</v>
      </c>
      <c r="BP19" s="37">
        <v>1</v>
      </c>
      <c r="BQ19" s="23">
        <f>BP19+'28.05'!BQ19</f>
        <v>8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130</v>
      </c>
      <c r="D20" s="31">
        <f t="shared" si="0"/>
        <v>6666</v>
      </c>
      <c r="E20" s="32">
        <v>723</v>
      </c>
      <c r="F20" s="22">
        <v>91</v>
      </c>
      <c r="G20" s="23">
        <f>F20+'28.05'!G20</f>
        <v>3205</v>
      </c>
      <c r="H20" s="33">
        <v>5</v>
      </c>
      <c r="I20" s="34">
        <v>0</v>
      </c>
      <c r="J20" s="23">
        <f>I20+'28.05'!J20</f>
        <v>27</v>
      </c>
      <c r="K20" s="33">
        <v>3</v>
      </c>
      <c r="L20" s="22">
        <v>0</v>
      </c>
      <c r="M20" s="23">
        <f>L20+'28.05'!M20</f>
        <v>0</v>
      </c>
      <c r="N20" s="33">
        <v>975</v>
      </c>
      <c r="O20" s="22">
        <v>0</v>
      </c>
      <c r="P20" s="23">
        <f>O20+'28.05'!P20</f>
        <v>1534</v>
      </c>
      <c r="Q20" s="61">
        <v>1862</v>
      </c>
      <c r="R20" s="22">
        <v>0</v>
      </c>
      <c r="S20" s="23">
        <f>R20+'28.05'!S20</f>
        <v>28</v>
      </c>
      <c r="T20" s="33">
        <v>35</v>
      </c>
      <c r="U20" s="22">
        <v>0</v>
      </c>
      <c r="V20" s="23">
        <f>U20+'28.05'!V20</f>
        <v>28</v>
      </c>
      <c r="W20" s="33">
        <v>64</v>
      </c>
      <c r="X20" s="22">
        <v>1</v>
      </c>
      <c r="Y20" s="23">
        <f>X20+'28.05'!Y20</f>
        <v>31</v>
      </c>
      <c r="Z20" s="33">
        <v>15</v>
      </c>
      <c r="AA20" s="22">
        <v>1</v>
      </c>
      <c r="AB20" s="23">
        <f>AA20+'28.05'!AB20</f>
        <v>34</v>
      </c>
      <c r="AC20" s="33">
        <v>1546</v>
      </c>
      <c r="AD20" s="22">
        <v>37</v>
      </c>
      <c r="AE20" s="23">
        <f>AD20+'28.05'!AE20</f>
        <v>1779</v>
      </c>
      <c r="AF20" s="19">
        <f t="shared" si="1"/>
        <v>17280</v>
      </c>
      <c r="AG20" s="20">
        <f t="shared" si="1"/>
        <v>530426</v>
      </c>
      <c r="AH20" s="24">
        <v>7840</v>
      </c>
      <c r="AI20" s="23">
        <f>AH20+'28.05'!AI20</f>
        <v>239704</v>
      </c>
      <c r="AJ20" s="24">
        <v>8440</v>
      </c>
      <c r="AK20" s="23">
        <f>AJ20+'28.05'!AK20</f>
        <v>265212</v>
      </c>
      <c r="AL20" s="22">
        <v>500</v>
      </c>
      <c r="AM20" s="23">
        <f>AL20+'28.05'!AM20</f>
        <v>13750</v>
      </c>
      <c r="AN20" s="22">
        <v>500</v>
      </c>
      <c r="AO20" s="23">
        <f>AN20+'28.05'!AO20</f>
        <v>11760</v>
      </c>
      <c r="AP20" s="28" t="s">
        <v>55</v>
      </c>
      <c r="AQ20" s="19">
        <f t="shared" si="3"/>
        <v>33</v>
      </c>
      <c r="AR20" s="20">
        <f t="shared" si="3"/>
        <v>3697</v>
      </c>
      <c r="AS20" s="34">
        <v>1</v>
      </c>
      <c r="AT20" s="23">
        <f>AS20+'28.05'!AT20</f>
        <v>29</v>
      </c>
      <c r="AU20" s="34">
        <v>0</v>
      </c>
      <c r="AV20" s="23">
        <f>AU20+'28.05'!AV20</f>
        <v>0</v>
      </c>
      <c r="AW20" s="34">
        <v>0</v>
      </c>
      <c r="AX20" s="23">
        <f>AW20+'28.05'!AX20</f>
        <v>0</v>
      </c>
      <c r="AY20" s="34">
        <v>0</v>
      </c>
      <c r="AZ20" s="23">
        <f>AY20+'28.05'!AZ20</f>
        <v>0</v>
      </c>
      <c r="BA20" s="34">
        <v>32</v>
      </c>
      <c r="BB20" s="23">
        <f>BA20+'28.05'!BB20</f>
        <v>3668</v>
      </c>
      <c r="BC20" s="19">
        <f t="shared" si="5"/>
        <v>3948</v>
      </c>
      <c r="BD20" s="20">
        <f t="shared" si="5"/>
        <v>102504</v>
      </c>
      <c r="BE20" s="22">
        <v>2</v>
      </c>
      <c r="BF20" s="23">
        <f>BE20+'28.05'!BF20</f>
        <v>58</v>
      </c>
      <c r="BG20" s="34">
        <v>0</v>
      </c>
      <c r="BH20" s="23">
        <f>BG20+'28.05'!BH20</f>
        <v>0</v>
      </c>
      <c r="BI20" s="22">
        <v>1365</v>
      </c>
      <c r="BJ20" s="23">
        <f>BI20+'28.05'!BJ20</f>
        <v>49432</v>
      </c>
      <c r="BK20" s="22">
        <v>2580</v>
      </c>
      <c r="BL20" s="23">
        <f>BK20+'28.05'!BL20</f>
        <v>52955</v>
      </c>
      <c r="BM20" s="22">
        <v>1</v>
      </c>
      <c r="BN20" s="23">
        <f>BM20+'28.05'!BN20</f>
        <v>59</v>
      </c>
      <c r="BO20" s="36">
        <v>5854</v>
      </c>
      <c r="BP20" s="37">
        <v>0</v>
      </c>
      <c r="BQ20" s="23">
        <f>BP20+'28.05'!BQ20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325</v>
      </c>
      <c r="D21" s="31">
        <f t="shared" si="0"/>
        <v>6163</v>
      </c>
      <c r="E21" s="32">
        <v>1017</v>
      </c>
      <c r="F21" s="22">
        <v>120</v>
      </c>
      <c r="G21" s="23">
        <f>F21+'28.05'!G21</f>
        <v>4284</v>
      </c>
      <c r="H21" s="33">
        <v>8</v>
      </c>
      <c r="I21" s="34">
        <v>0</v>
      </c>
      <c r="J21" s="23">
        <f>I21+'28.05'!J21</f>
        <v>137</v>
      </c>
      <c r="K21" s="33">
        <v>4</v>
      </c>
      <c r="L21" s="22">
        <v>0</v>
      </c>
      <c r="M21" s="23">
        <f>L21+'28.05'!M21</f>
        <v>21</v>
      </c>
      <c r="N21" s="33">
        <v>963</v>
      </c>
      <c r="O21" s="22">
        <v>0</v>
      </c>
      <c r="P21" s="23">
        <f>O21+'28.05'!P21</f>
        <v>57</v>
      </c>
      <c r="Q21" s="33">
        <v>912</v>
      </c>
      <c r="R21" s="22">
        <v>0</v>
      </c>
      <c r="S21" s="23">
        <f>R21+'28.05'!S21</f>
        <v>0</v>
      </c>
      <c r="T21" s="33">
        <v>199</v>
      </c>
      <c r="U21" s="22">
        <v>0</v>
      </c>
      <c r="V21" s="23">
        <f>U21+'28.05'!V21</f>
        <v>100</v>
      </c>
      <c r="W21" s="33">
        <v>101</v>
      </c>
      <c r="X21" s="22">
        <v>0</v>
      </c>
      <c r="Y21" s="23">
        <f>X21+'28.05'!Y21</f>
        <v>347</v>
      </c>
      <c r="Z21" s="33">
        <v>42</v>
      </c>
      <c r="AA21" s="22">
        <v>0</v>
      </c>
      <c r="AB21" s="23">
        <f>AA21+'28.05'!AB21</f>
        <v>2</v>
      </c>
      <c r="AC21" s="33">
        <v>20</v>
      </c>
      <c r="AD21" s="22">
        <v>205</v>
      </c>
      <c r="AE21" s="23">
        <f>AD21+'28.05'!AE21</f>
        <v>1215</v>
      </c>
      <c r="AF21" s="19">
        <f t="shared" si="1"/>
        <v>1270000</v>
      </c>
      <c r="AG21" s="20">
        <f t="shared" si="1"/>
        <v>32485440</v>
      </c>
      <c r="AH21" s="24">
        <v>1200</v>
      </c>
      <c r="AI21" s="23">
        <f>AH21+'28.05'!AI21</f>
        <v>34510</v>
      </c>
      <c r="AJ21" s="24">
        <v>268800</v>
      </c>
      <c r="AK21" s="23">
        <f>AJ21+'28.05'!AK21</f>
        <v>5415600</v>
      </c>
      <c r="AL21" s="22">
        <v>10000</v>
      </c>
      <c r="AM21" s="23">
        <f>AL21+'28.05'!AM21</f>
        <v>123630</v>
      </c>
      <c r="AN21" s="22">
        <v>990000</v>
      </c>
      <c r="AO21" s="23">
        <f>AN21+'28.05'!AO21</f>
        <v>26911700</v>
      </c>
      <c r="AP21" s="28" t="s">
        <v>58</v>
      </c>
      <c r="AQ21" s="19">
        <f t="shared" si="3"/>
        <v>9</v>
      </c>
      <c r="AR21" s="20">
        <f t="shared" si="3"/>
        <v>149</v>
      </c>
      <c r="AS21" s="34">
        <v>0</v>
      </c>
      <c r="AT21" s="23">
        <f>AS21+'28.05'!AT21</f>
        <v>3</v>
      </c>
      <c r="AU21" s="34">
        <v>7</v>
      </c>
      <c r="AV21" s="23">
        <f>AU21+'28.05'!AV21</f>
        <v>51</v>
      </c>
      <c r="AW21" s="34">
        <v>0</v>
      </c>
      <c r="AX21" s="23">
        <f>AW21+'28.05'!AX21</f>
        <v>1</v>
      </c>
      <c r="AY21" s="34">
        <v>0</v>
      </c>
      <c r="AZ21" s="23">
        <f>AY21+'28.05'!AZ21</f>
        <v>0</v>
      </c>
      <c r="BA21" s="34">
        <v>2</v>
      </c>
      <c r="BB21" s="23">
        <f>BA21+'28.05'!BB21</f>
        <v>94</v>
      </c>
      <c r="BC21" s="19">
        <f t="shared" si="5"/>
        <v>3050</v>
      </c>
      <c r="BD21" s="20">
        <f t="shared" si="5"/>
        <v>46551</v>
      </c>
      <c r="BE21" s="22">
        <v>40</v>
      </c>
      <c r="BF21" s="23">
        <f>BE21+'28.05'!BF21</f>
        <v>1539</v>
      </c>
      <c r="BG21" s="34">
        <v>0</v>
      </c>
      <c r="BH21" s="23">
        <f>BG21+'28.05'!BH21</f>
        <v>0</v>
      </c>
      <c r="BI21" s="22">
        <v>3000</v>
      </c>
      <c r="BJ21" s="23">
        <f>BI21+'28.05'!BJ21</f>
        <v>44750</v>
      </c>
      <c r="BK21" s="22">
        <v>0</v>
      </c>
      <c r="BL21" s="23">
        <f>BK21+'28.05'!BL21</f>
        <v>0</v>
      </c>
      <c r="BM21" s="22">
        <v>10</v>
      </c>
      <c r="BN21" s="23">
        <f>BM21+'28.05'!BN21</f>
        <v>262</v>
      </c>
      <c r="BO21" s="36">
        <v>68</v>
      </c>
      <c r="BP21" s="37">
        <v>1</v>
      </c>
      <c r="BQ21" s="23">
        <f>BP21+'28.05'!BQ21</f>
        <v>34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1852</v>
      </c>
      <c r="D22" s="31">
        <f t="shared" si="0"/>
        <v>58805</v>
      </c>
      <c r="E22" s="32">
        <v>509</v>
      </c>
      <c r="F22" s="22">
        <v>397</v>
      </c>
      <c r="G22" s="23">
        <f>F22+'28.05'!G22</f>
        <v>10163</v>
      </c>
      <c r="H22" s="33">
        <v>8</v>
      </c>
      <c r="I22" s="34">
        <v>0</v>
      </c>
      <c r="J22" s="23">
        <f>I22+'28.05'!J22</f>
        <v>24</v>
      </c>
      <c r="K22" s="33">
        <v>21</v>
      </c>
      <c r="L22" s="22">
        <v>0</v>
      </c>
      <c r="M22" s="23">
        <f>L22+'28.05'!M22</f>
        <v>0</v>
      </c>
      <c r="N22" s="33">
        <v>560</v>
      </c>
      <c r="O22" s="22">
        <v>0</v>
      </c>
      <c r="P22" s="23">
        <f>O22+'28.05'!P22</f>
        <v>1361</v>
      </c>
      <c r="Q22" s="33">
        <v>375</v>
      </c>
      <c r="R22" s="22">
        <v>0</v>
      </c>
      <c r="S22" s="23">
        <f>R22+'28.05'!S22</f>
        <v>0</v>
      </c>
      <c r="T22" s="33">
        <v>165</v>
      </c>
      <c r="U22" s="22">
        <v>13</v>
      </c>
      <c r="V22" s="23">
        <f>U22+'28.05'!V22</f>
        <v>665</v>
      </c>
      <c r="W22" s="33">
        <v>28</v>
      </c>
      <c r="X22" s="22">
        <v>100</v>
      </c>
      <c r="Y22" s="23">
        <f>X22+'28.05'!Y22</f>
        <v>2390</v>
      </c>
      <c r="Z22" s="33">
        <v>9</v>
      </c>
      <c r="AA22" s="22">
        <v>0</v>
      </c>
      <c r="AB22" s="23">
        <f>AA22+'28.05'!AB22</f>
        <v>0</v>
      </c>
      <c r="AC22" s="33">
        <v>112</v>
      </c>
      <c r="AD22" s="22">
        <v>1342</v>
      </c>
      <c r="AE22" s="23">
        <f>AD22+'28.05'!AE22</f>
        <v>44202</v>
      </c>
      <c r="AF22" s="19">
        <f t="shared" si="1"/>
        <v>421115</v>
      </c>
      <c r="AG22" s="20">
        <f t="shared" si="1"/>
        <v>11829928</v>
      </c>
      <c r="AH22" s="24">
        <v>1100</v>
      </c>
      <c r="AI22" s="23">
        <f>AH22+'28.05'!AI22</f>
        <v>58599</v>
      </c>
      <c r="AJ22" s="24">
        <v>7482</v>
      </c>
      <c r="AK22" s="23">
        <f>AJ22+'28.05'!AK22</f>
        <v>202387</v>
      </c>
      <c r="AL22" s="22">
        <v>12400</v>
      </c>
      <c r="AM22" s="23">
        <f>AL22+'28.05'!AM22</f>
        <v>335618</v>
      </c>
      <c r="AN22" s="22">
        <v>400133</v>
      </c>
      <c r="AO22" s="23">
        <f>AN22+'28.05'!AO22</f>
        <v>11233324</v>
      </c>
      <c r="AP22" s="28" t="s">
        <v>59</v>
      </c>
      <c r="AQ22" s="19">
        <f t="shared" si="3"/>
        <v>554</v>
      </c>
      <c r="AR22" s="20">
        <f t="shared" si="3"/>
        <v>40687</v>
      </c>
      <c r="AS22" s="34">
        <v>1</v>
      </c>
      <c r="AT22" s="23">
        <f>AS22+'28.05'!AT22</f>
        <v>15</v>
      </c>
      <c r="AU22" s="34">
        <v>1</v>
      </c>
      <c r="AV22" s="23">
        <f>AU22+'28.05'!AV22</f>
        <v>13</v>
      </c>
      <c r="AW22" s="34">
        <v>0</v>
      </c>
      <c r="AX22" s="23">
        <f>AW22+'28.05'!AX22</f>
        <v>2</v>
      </c>
      <c r="AY22" s="34">
        <v>0</v>
      </c>
      <c r="AZ22" s="23">
        <f>AY22+'28.05'!AZ22</f>
        <v>1</v>
      </c>
      <c r="BA22" s="34">
        <v>552</v>
      </c>
      <c r="BB22" s="23">
        <f>BA22+'28.05'!BB22</f>
        <v>40656</v>
      </c>
      <c r="BC22" s="19">
        <f t="shared" si="5"/>
        <v>5377</v>
      </c>
      <c r="BD22" s="20">
        <f t="shared" si="5"/>
        <v>194609</v>
      </c>
      <c r="BE22" s="22">
        <v>11</v>
      </c>
      <c r="BF22" s="23">
        <f>BE22+'28.05'!BF22</f>
        <v>189</v>
      </c>
      <c r="BG22" s="34">
        <v>71</v>
      </c>
      <c r="BH22" s="23">
        <f>BG22+'28.05'!BH22</f>
        <v>1800</v>
      </c>
      <c r="BI22" s="22">
        <v>2729</v>
      </c>
      <c r="BJ22" s="23">
        <f>BI22+'28.05'!BJ22</f>
        <v>120826</v>
      </c>
      <c r="BK22" s="22">
        <v>2504</v>
      </c>
      <c r="BL22" s="23">
        <f>BK22+'28.05'!BL22</f>
        <v>70140</v>
      </c>
      <c r="BM22" s="22">
        <v>62</v>
      </c>
      <c r="BN22" s="23">
        <f>BM22+'28.05'!BN22</f>
        <v>1654</v>
      </c>
      <c r="BO22" s="36">
        <v>26</v>
      </c>
      <c r="BP22" s="37">
        <v>1</v>
      </c>
      <c r="BQ22" s="23">
        <f>BP22+'28.05'!BQ22</f>
        <v>1725</v>
      </c>
    </row>
    <row r="23" spans="1:69" ht="27.75" customHeight="1" thickBot="1">
      <c r="A23" s="62" t="s">
        <v>12</v>
      </c>
      <c r="B23" s="63">
        <f t="shared" si="0"/>
        <v>94991</v>
      </c>
      <c r="C23" s="64">
        <f t="shared" si="0"/>
        <v>4208</v>
      </c>
      <c r="D23" s="65">
        <f t="shared" si="0"/>
        <v>117000</v>
      </c>
      <c r="E23" s="66">
        <f>+E18+E19+E22+E17+E16+E15+E14+E13+E12+E11+E10+E9+E8</f>
        <v>7282</v>
      </c>
      <c r="F23" s="67">
        <f t="shared" ref="F23:J23" si="7">SUM(F8:F22)</f>
        <v>1433</v>
      </c>
      <c r="G23" s="68">
        <f t="shared" si="7"/>
        <v>43346</v>
      </c>
      <c r="H23" s="66">
        <f>+H18+H19+H22+H17+H16+H15+H14+H13+H12+H11+H10+H9+H8</f>
        <v>271</v>
      </c>
      <c r="I23" s="67">
        <f t="shared" si="7"/>
        <v>1</v>
      </c>
      <c r="J23" s="68">
        <f t="shared" si="7"/>
        <v>342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8</v>
      </c>
      <c r="P23" s="68">
        <f t="shared" si="8"/>
        <v>3964</v>
      </c>
      <c r="Q23" s="66">
        <f>+Q18+Q19+Q22+Q17+Q16+Q15+Q14+Q13+Q12+Q11+Q10+Q9+Q8</f>
        <v>7474</v>
      </c>
      <c r="R23" s="67">
        <f t="shared" ref="R23:V23" si="9">SUM(R8:R22)</f>
        <v>0</v>
      </c>
      <c r="S23" s="68">
        <f t="shared" si="9"/>
        <v>179</v>
      </c>
      <c r="T23" s="66">
        <f>+T18+T19+T22+T17+T16+T15+T14+T13+T12+T11+T10+T9+T8</f>
        <v>4115</v>
      </c>
      <c r="U23" s="67">
        <f t="shared" si="9"/>
        <v>13</v>
      </c>
      <c r="V23" s="68">
        <f t="shared" si="9"/>
        <v>1000</v>
      </c>
      <c r="W23" s="66">
        <f>+W18+W19+W22+W17+W16+W15+W14+W13+W12+W11+W10+W9+W8</f>
        <v>604</v>
      </c>
      <c r="X23" s="67">
        <f t="shared" ref="X23:AB23" si="10">SUM(X8:X22)</f>
        <v>502</v>
      </c>
      <c r="Y23" s="68">
        <f t="shared" si="10"/>
        <v>12415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87</v>
      </c>
      <c r="AC23" s="66">
        <f>+AC18+AC19+AC22+AC17+AC16+AC15+AC14+AC13+AC12+AC11+AC10+AC9+AC8</f>
        <v>64846</v>
      </c>
      <c r="AD23" s="67">
        <f t="shared" ref="AD23:AO23" si="11">SUM(AD8:AD22)</f>
        <v>2250</v>
      </c>
      <c r="AE23" s="68">
        <f t="shared" si="11"/>
        <v>55627</v>
      </c>
      <c r="AF23" s="64">
        <f t="shared" si="11"/>
        <v>5485946</v>
      </c>
      <c r="AG23" s="64">
        <f t="shared" si="11"/>
        <v>131014573</v>
      </c>
      <c r="AH23" s="67">
        <f t="shared" si="11"/>
        <v>22300</v>
      </c>
      <c r="AI23" s="68">
        <f t="shared" si="11"/>
        <v>902998</v>
      </c>
      <c r="AJ23" s="67">
        <f t="shared" si="11"/>
        <v>613578</v>
      </c>
      <c r="AK23" s="68">
        <f t="shared" si="11"/>
        <v>7943190</v>
      </c>
      <c r="AL23" s="67">
        <f t="shared" si="11"/>
        <v>969288</v>
      </c>
      <c r="AM23" s="68">
        <f t="shared" si="11"/>
        <v>38144408</v>
      </c>
      <c r="AN23" s="67">
        <f t="shared" si="11"/>
        <v>3880780</v>
      </c>
      <c r="AO23" s="68">
        <f t="shared" si="11"/>
        <v>84023977</v>
      </c>
      <c r="AP23" s="62" t="s">
        <v>12</v>
      </c>
      <c r="AQ23" s="64">
        <f t="shared" ref="AQ23:BP23" si="12">SUM(AQ8:AQ22)</f>
        <v>778</v>
      </c>
      <c r="AR23" s="64">
        <f t="shared" si="12"/>
        <v>54241</v>
      </c>
      <c r="AS23" s="67">
        <f t="shared" si="12"/>
        <v>4</v>
      </c>
      <c r="AT23" s="68">
        <f t="shared" si="12"/>
        <v>132</v>
      </c>
      <c r="AU23" s="67">
        <f t="shared" si="12"/>
        <v>18</v>
      </c>
      <c r="AV23" s="68">
        <f t="shared" si="12"/>
        <v>184</v>
      </c>
      <c r="AW23" s="67">
        <f t="shared" si="12"/>
        <v>1</v>
      </c>
      <c r="AX23" s="68">
        <f t="shared" si="12"/>
        <v>27</v>
      </c>
      <c r="AY23" s="67">
        <f t="shared" si="12"/>
        <v>1</v>
      </c>
      <c r="AZ23" s="68">
        <f t="shared" si="12"/>
        <v>6</v>
      </c>
      <c r="BA23" s="67">
        <f t="shared" si="12"/>
        <v>754</v>
      </c>
      <c r="BB23" s="68">
        <f t="shared" si="12"/>
        <v>53892</v>
      </c>
      <c r="BC23" s="64">
        <f t="shared" si="12"/>
        <v>43899</v>
      </c>
      <c r="BD23" s="64">
        <f t="shared" si="12"/>
        <v>1163956</v>
      </c>
      <c r="BE23" s="67">
        <f t="shared" si="12"/>
        <v>2166</v>
      </c>
      <c r="BF23" s="68">
        <f t="shared" si="12"/>
        <v>43631</v>
      </c>
      <c r="BG23" s="67">
        <f t="shared" si="12"/>
        <v>115</v>
      </c>
      <c r="BH23" s="68">
        <f t="shared" si="12"/>
        <v>3742</v>
      </c>
      <c r="BI23" s="67">
        <f t="shared" si="12"/>
        <v>33027</v>
      </c>
      <c r="BJ23" s="68">
        <f t="shared" si="12"/>
        <v>888567</v>
      </c>
      <c r="BK23" s="67">
        <f t="shared" si="12"/>
        <v>8329</v>
      </c>
      <c r="BL23" s="68">
        <f t="shared" si="12"/>
        <v>221487</v>
      </c>
      <c r="BM23" s="67">
        <f t="shared" si="12"/>
        <v>262</v>
      </c>
      <c r="BN23" s="68">
        <f t="shared" si="12"/>
        <v>6529</v>
      </c>
      <c r="BO23" s="69">
        <f t="shared" si="12"/>
        <v>37704</v>
      </c>
      <c r="BP23" s="70">
        <f t="shared" si="12"/>
        <v>8</v>
      </c>
      <c r="BQ23" s="23">
        <f>BP23+'20.04'!BP23</f>
        <v>34</v>
      </c>
    </row>
  </sheetData>
  <mergeCells count="44">
    <mergeCell ref="A1:AO1"/>
    <mergeCell ref="AP1:BQ1"/>
    <mergeCell ref="A2:AO2"/>
    <mergeCell ref="AP2:BQ2"/>
    <mergeCell ref="A3:AO3"/>
    <mergeCell ref="AP3:BQ3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BM6:BN6"/>
    <mergeCell ref="BO6:BQ6"/>
    <mergeCell ref="BA6:BB6"/>
    <mergeCell ref="BC6:BD6"/>
    <mergeCell ref="BE6:BF6"/>
    <mergeCell ref="BG6:BH6"/>
    <mergeCell ref="BI6:BJ6"/>
    <mergeCell ref="BK6:BL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7030A0"/>
  </sheetPr>
  <dimension ref="A1:BQ23"/>
  <sheetViews>
    <sheetView zoomScale="85" zoomScaleNormal="85" workbookViewId="0">
      <pane xSplit="4" ySplit="8" topLeftCell="E12" activePane="bottomRight" state="frozen"/>
      <selection activeCell="BP12" sqref="BP12"/>
      <selection pane="topRight" activeCell="BP12" sqref="BP12"/>
      <selection pane="bottomLeft" activeCell="BP12" sqref="BP12"/>
      <selection pane="bottomRight" activeCell="AS21" sqref="AS21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" customWidth="1"/>
    <col min="5" max="6" width="6.28515625" customWidth="1"/>
    <col min="7" max="7" width="8.42578125" customWidth="1"/>
    <col min="8" max="24" width="6.28515625" customWidth="1"/>
    <col min="25" max="25" width="11.42578125" customWidth="1"/>
    <col min="26" max="28" width="6.28515625" customWidth="1"/>
    <col min="29" max="29" width="7.7109375" customWidth="1"/>
    <col min="30" max="30" width="6.28515625" customWidth="1"/>
    <col min="31" max="31" width="11.140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7" width="10.28515625" customWidth="1"/>
    <col min="38" max="38" width="10.85546875" customWidth="1"/>
    <col min="39" max="39" width="15.28515625" customWidth="1"/>
    <col min="40" max="40" width="12.42578125" customWidth="1"/>
    <col min="41" max="41" width="13.42578125" customWidth="1"/>
    <col min="42" max="42" width="22.28515625" customWidth="1"/>
    <col min="56" max="56" width="12.5703125" customWidth="1"/>
  </cols>
  <sheetData>
    <row r="1" spans="1:69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69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69" ht="16.5" thickBot="1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69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69" ht="29.25" customHeight="1" thickBo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69" ht="29.25" customHeight="1" thickBo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69" ht="46.5" customHeight="1" thickBo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61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69" ht="83.25" customHeight="1" thickBo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69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 t="shared" ref="AF8:AG22" si="1">AH8+AJ8+AL8+AN8</f>
        <v>0</v>
      </c>
      <c r="AG8" s="20">
        <f t="shared" si="1"/>
        <v>0</v>
      </c>
      <c r="AH8" s="24"/>
      <c r="AI8" s="23">
        <f t="shared" ref="AI8:AM8" si="2">AH8</f>
        <v>0</v>
      </c>
      <c r="AJ8" s="24"/>
      <c r="AK8" s="23">
        <f t="shared" si="2"/>
        <v>0</v>
      </c>
      <c r="AL8" s="22"/>
      <c r="AM8" s="23">
        <f t="shared" si="2"/>
        <v>0</v>
      </c>
      <c r="AN8" s="22"/>
      <c r="AO8" s="23">
        <f>AN8</f>
        <v>0</v>
      </c>
      <c r="AP8" s="17" t="s">
        <v>42</v>
      </c>
      <c r="AQ8" s="19">
        <f t="shared" ref="AQ8:AR22" si="3">AS8+AU8+AW8+AY8+BA8</f>
        <v>0</v>
      </c>
      <c r="AR8" s="20">
        <f t="shared" si="3"/>
        <v>0</v>
      </c>
      <c r="AS8" s="22"/>
      <c r="AT8" s="23">
        <f t="shared" ref="AT8:AX8" si="4">AS8</f>
        <v>0</v>
      </c>
      <c r="AU8" s="22"/>
      <c r="AV8" s="23">
        <f t="shared" si="4"/>
        <v>0</v>
      </c>
      <c r="AW8" s="22"/>
      <c r="AX8" s="23">
        <f t="shared" si="4"/>
        <v>0</v>
      </c>
      <c r="AY8" s="22"/>
      <c r="AZ8" s="23">
        <f>AY8</f>
        <v>0</v>
      </c>
      <c r="BA8" s="22"/>
      <c r="BB8" s="23">
        <f>BA8</f>
        <v>0</v>
      </c>
      <c r="BC8" s="19">
        <f t="shared" ref="BC8:BD22" si="5">BE8+BG8+BI8+BK8+BM8</f>
        <v>0</v>
      </c>
      <c r="BD8" s="20">
        <f t="shared" si="5"/>
        <v>0</v>
      </c>
      <c r="BE8" s="22"/>
      <c r="BF8" s="23">
        <f t="shared" ref="BF8:BJ8" si="6">BE8</f>
        <v>0</v>
      </c>
      <c r="BG8" s="22"/>
      <c r="BH8" s="23">
        <f t="shared" si="6"/>
        <v>0</v>
      </c>
      <c r="BI8" s="22"/>
      <c r="BJ8" s="23">
        <f t="shared" si="6"/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69" ht="27.75" customHeight="1">
      <c r="A9" s="28" t="s">
        <v>43</v>
      </c>
      <c r="B9" s="29">
        <f t="shared" si="0"/>
        <v>3841</v>
      </c>
      <c r="C9" s="30">
        <f t="shared" si="0"/>
        <v>14</v>
      </c>
      <c r="D9" s="31">
        <f t="shared" si="0"/>
        <v>159</v>
      </c>
      <c r="E9" s="32">
        <v>452</v>
      </c>
      <c r="F9" s="22">
        <v>2</v>
      </c>
      <c r="G9" s="23">
        <f>F9+'29.05'!G9</f>
        <v>74</v>
      </c>
      <c r="H9" s="33">
        <v>12</v>
      </c>
      <c r="I9" s="34">
        <v>0</v>
      </c>
      <c r="J9" s="23">
        <f>I9+'29.05'!J9</f>
        <v>22</v>
      </c>
      <c r="K9" s="33">
        <v>2</v>
      </c>
      <c r="L9" s="22">
        <v>0</v>
      </c>
      <c r="M9" s="23">
        <f>L9+'29.05'!M9</f>
        <v>0</v>
      </c>
      <c r="N9" s="33">
        <v>735</v>
      </c>
      <c r="O9" s="22">
        <v>0</v>
      </c>
      <c r="P9" s="23">
        <f>O9+'29.05'!P9</f>
        <v>0</v>
      </c>
      <c r="Q9" s="33">
        <v>502</v>
      </c>
      <c r="R9" s="22">
        <v>0</v>
      </c>
      <c r="S9" s="23">
        <f>R9+'29.05'!S9</f>
        <v>0</v>
      </c>
      <c r="T9" s="33">
        <v>197</v>
      </c>
      <c r="U9" s="22">
        <v>0</v>
      </c>
      <c r="V9" s="23">
        <f>U9+'29.05'!V9</f>
        <v>0</v>
      </c>
      <c r="W9" s="33">
        <v>47</v>
      </c>
      <c r="X9" s="22">
        <v>0</v>
      </c>
      <c r="Y9" s="23">
        <f>X9+'29.05'!Y9</f>
        <v>29</v>
      </c>
      <c r="Z9" s="33">
        <v>34</v>
      </c>
      <c r="AA9" s="22">
        <v>0</v>
      </c>
      <c r="AB9" s="23">
        <f>AA9+'29.05'!AB9</f>
        <v>0</v>
      </c>
      <c r="AC9" s="33">
        <v>1860</v>
      </c>
      <c r="AD9" s="22">
        <v>12</v>
      </c>
      <c r="AE9" s="23">
        <f>AD9+'29.05'!AE9</f>
        <v>34</v>
      </c>
      <c r="AF9" s="19">
        <f t="shared" si="1"/>
        <v>10930</v>
      </c>
      <c r="AG9" s="20">
        <f t="shared" si="1"/>
        <v>259546</v>
      </c>
      <c r="AH9" s="24">
        <v>150</v>
      </c>
      <c r="AI9" s="23">
        <f>AH9+'29.05'!AI9</f>
        <v>3561</v>
      </c>
      <c r="AJ9" s="24">
        <v>2350</v>
      </c>
      <c r="AK9" s="23">
        <f>AJ9+'29.05'!AK9</f>
        <v>25552</v>
      </c>
      <c r="AL9" s="22">
        <v>1200</v>
      </c>
      <c r="AM9" s="23">
        <f>AL9+'29.05'!AM9</f>
        <v>40085</v>
      </c>
      <c r="AN9" s="22">
        <v>7230</v>
      </c>
      <c r="AO9" s="23">
        <f>AN9+'29.05'!AO9</f>
        <v>190348</v>
      </c>
      <c r="AP9" s="28" t="s">
        <v>43</v>
      </c>
      <c r="AQ9" s="19">
        <f t="shared" si="3"/>
        <v>128</v>
      </c>
      <c r="AR9" s="20">
        <f t="shared" si="3"/>
        <v>3559</v>
      </c>
      <c r="AS9" s="34">
        <v>0</v>
      </c>
      <c r="AT9" s="23">
        <f>AS9+'29.05'!AT9</f>
        <v>13</v>
      </c>
      <c r="AU9" s="34">
        <v>0</v>
      </c>
      <c r="AV9" s="23">
        <f>AU9+'29.05'!AV9</f>
        <v>14</v>
      </c>
      <c r="AW9" s="34">
        <v>0</v>
      </c>
      <c r="AX9" s="23">
        <f>AW9+'29.05'!AX9</f>
        <v>7</v>
      </c>
      <c r="AY9" s="34">
        <v>0</v>
      </c>
      <c r="AZ9" s="23">
        <f>AY9+'29.05'!AZ9</f>
        <v>0</v>
      </c>
      <c r="BA9" s="34">
        <v>128</v>
      </c>
      <c r="BB9" s="23">
        <f>BA9+'29.05'!BB9</f>
        <v>3525</v>
      </c>
      <c r="BC9" s="19">
        <f t="shared" si="5"/>
        <v>1504</v>
      </c>
      <c r="BD9" s="20">
        <f t="shared" si="5"/>
        <v>14244</v>
      </c>
      <c r="BE9" s="22">
        <v>1</v>
      </c>
      <c r="BF9" s="23">
        <f>BE9+'29.05'!BF9</f>
        <v>41</v>
      </c>
      <c r="BG9" s="34">
        <v>0</v>
      </c>
      <c r="BH9" s="23">
        <f>BG9+'29.05'!BH9</f>
        <v>0</v>
      </c>
      <c r="BI9" s="22">
        <v>1500</v>
      </c>
      <c r="BJ9" s="23">
        <f>BI9+'29.05'!BJ9</f>
        <v>14160</v>
      </c>
      <c r="BK9" s="22">
        <v>0</v>
      </c>
      <c r="BL9" s="23">
        <f>BK9+'29.05'!BL9</f>
        <v>0</v>
      </c>
      <c r="BM9" s="22">
        <v>3</v>
      </c>
      <c r="BN9" s="23">
        <f>BM9+'29.05'!BN9</f>
        <v>43</v>
      </c>
      <c r="BO9" s="36">
        <v>14</v>
      </c>
      <c r="BP9" s="37"/>
      <c r="BQ9" s="23">
        <f>BP9+'29.05'!BQ9</f>
        <v>8</v>
      </c>
    </row>
    <row r="10" spans="1:69" ht="27.75" customHeight="1">
      <c r="A10" s="28" t="s">
        <v>44</v>
      </c>
      <c r="B10" s="29">
        <f t="shared" si="0"/>
        <v>3627</v>
      </c>
      <c r="C10" s="30">
        <f t="shared" si="0"/>
        <v>161</v>
      </c>
      <c r="D10" s="31">
        <f t="shared" si="0"/>
        <v>3506</v>
      </c>
      <c r="E10" s="32">
        <v>585</v>
      </c>
      <c r="F10" s="22">
        <v>4</v>
      </c>
      <c r="G10" s="23">
        <f>F10+'29.05'!G10</f>
        <v>325</v>
      </c>
      <c r="H10" s="33">
        <v>93</v>
      </c>
      <c r="I10" s="34">
        <v>0</v>
      </c>
      <c r="J10" s="23">
        <f>I10+'29.05'!J10</f>
        <v>42</v>
      </c>
      <c r="K10" s="33">
        <v>34</v>
      </c>
      <c r="L10" s="22">
        <v>0</v>
      </c>
      <c r="M10" s="23">
        <f>L10+'29.05'!M10</f>
        <v>19</v>
      </c>
      <c r="N10" s="33">
        <v>352</v>
      </c>
      <c r="O10" s="22">
        <v>0</v>
      </c>
      <c r="P10" s="23">
        <f>O10+'29.05'!P10</f>
        <v>267</v>
      </c>
      <c r="Q10" s="33">
        <v>549</v>
      </c>
      <c r="R10" s="22">
        <v>0</v>
      </c>
      <c r="S10" s="23">
        <f>R10+'29.05'!S10</f>
        <v>151</v>
      </c>
      <c r="T10" s="33">
        <v>198</v>
      </c>
      <c r="U10" s="22">
        <v>0</v>
      </c>
      <c r="V10" s="23">
        <f>U10+'29.05'!V10</f>
        <v>126</v>
      </c>
      <c r="W10" s="38">
        <v>55</v>
      </c>
      <c r="X10" s="22">
        <v>5</v>
      </c>
      <c r="Y10" s="23">
        <f>X10+'29.05'!Y10</f>
        <v>95</v>
      </c>
      <c r="Z10" s="38">
        <v>71</v>
      </c>
      <c r="AA10" s="22">
        <v>0</v>
      </c>
      <c r="AB10" s="23">
        <f>AA10+'29.05'!AB10</f>
        <v>41</v>
      </c>
      <c r="AC10" s="38">
        <v>1690</v>
      </c>
      <c r="AD10" s="22">
        <v>152</v>
      </c>
      <c r="AE10" s="23">
        <f>AD10+'29.05'!AE10</f>
        <v>2440</v>
      </c>
      <c r="AF10" s="19">
        <f t="shared" si="1"/>
        <v>106724</v>
      </c>
      <c r="AG10" s="20">
        <f t="shared" si="1"/>
        <v>3146869</v>
      </c>
      <c r="AH10" s="24">
        <v>471</v>
      </c>
      <c r="AI10" s="23">
        <f>AH10+'29.05'!AI10</f>
        <v>31452</v>
      </c>
      <c r="AJ10" s="24">
        <v>3228</v>
      </c>
      <c r="AK10" s="23">
        <f>AJ10+'29.05'!AK10</f>
        <v>139474</v>
      </c>
      <c r="AL10" s="22">
        <v>10838</v>
      </c>
      <c r="AM10" s="23">
        <f>AL10+'29.05'!AM10</f>
        <v>355016</v>
      </c>
      <c r="AN10" s="22">
        <v>92187</v>
      </c>
      <c r="AO10" s="23">
        <f>AN10+'29.05'!AO10</f>
        <v>2620927</v>
      </c>
      <c r="AP10" s="28" t="s">
        <v>44</v>
      </c>
      <c r="AQ10" s="19">
        <f t="shared" si="3"/>
        <v>1</v>
      </c>
      <c r="AR10" s="20">
        <f t="shared" si="3"/>
        <v>106</v>
      </c>
      <c r="AS10" s="34">
        <v>0</v>
      </c>
      <c r="AT10" s="23">
        <f>AS10+'29.05'!AT10</f>
        <v>5</v>
      </c>
      <c r="AU10" s="34">
        <v>0</v>
      </c>
      <c r="AV10" s="23">
        <f>AU10+'29.05'!AV10</f>
        <v>4</v>
      </c>
      <c r="AW10" s="34">
        <v>0</v>
      </c>
      <c r="AX10" s="23">
        <f>AW10+'29.05'!AX10</f>
        <v>0</v>
      </c>
      <c r="AY10" s="34">
        <v>0</v>
      </c>
      <c r="AZ10" s="23">
        <f>AY10+'29.05'!AZ10</f>
        <v>1</v>
      </c>
      <c r="BA10" s="34">
        <v>1</v>
      </c>
      <c r="BB10" s="23">
        <f>BA10+'29.05'!BB10</f>
        <v>96</v>
      </c>
      <c r="BC10" s="19">
        <f t="shared" si="5"/>
        <v>3334</v>
      </c>
      <c r="BD10" s="20">
        <f t="shared" si="5"/>
        <v>131133</v>
      </c>
      <c r="BE10" s="22">
        <v>493</v>
      </c>
      <c r="BF10" s="23">
        <f>BE10+'29.05'!BF10</f>
        <v>14941</v>
      </c>
      <c r="BG10" s="34">
        <v>0</v>
      </c>
      <c r="BH10" s="23">
        <f>BG10+'29.05'!BH10</f>
        <v>30</v>
      </c>
      <c r="BI10" s="22">
        <v>2034</v>
      </c>
      <c r="BJ10" s="23">
        <f>BI10+'29.05'!BJ10</f>
        <v>70192</v>
      </c>
      <c r="BK10" s="22">
        <v>807</v>
      </c>
      <c r="BL10" s="23">
        <f>BK10+'29.05'!BL10</f>
        <v>45967</v>
      </c>
      <c r="BM10" s="22">
        <v>0</v>
      </c>
      <c r="BN10" s="23">
        <f>BM10+'29.05'!BN10</f>
        <v>3</v>
      </c>
      <c r="BO10" s="36">
        <v>32</v>
      </c>
      <c r="BP10" s="37">
        <v>0</v>
      </c>
      <c r="BQ10" s="23">
        <f>BP10+'29.05'!BQ10</f>
        <v>16</v>
      </c>
    </row>
    <row r="11" spans="1:69" ht="27.75" customHeight="1">
      <c r="A11" s="28" t="s">
        <v>45</v>
      </c>
      <c r="B11" s="29">
        <f t="shared" si="0"/>
        <v>15381</v>
      </c>
      <c r="C11" s="30">
        <f t="shared" si="0"/>
        <v>32</v>
      </c>
      <c r="D11" s="31">
        <f t="shared" si="0"/>
        <v>1092</v>
      </c>
      <c r="E11" s="32">
        <v>883</v>
      </c>
      <c r="F11" s="22">
        <v>16</v>
      </c>
      <c r="G11" s="23">
        <f>F11+'29.05'!G11</f>
        <v>526</v>
      </c>
      <c r="H11" s="33">
        <v>16</v>
      </c>
      <c r="I11" s="34">
        <v>0</v>
      </c>
      <c r="J11" s="23">
        <f>I11+'29.05'!J11</f>
        <v>0</v>
      </c>
      <c r="K11" s="33">
        <v>3</v>
      </c>
      <c r="L11" s="22">
        <v>0</v>
      </c>
      <c r="M11" s="23">
        <f>L11+'29.05'!M11</f>
        <v>0</v>
      </c>
      <c r="N11" s="33">
        <v>875</v>
      </c>
      <c r="O11" s="22">
        <v>0</v>
      </c>
      <c r="P11" s="23">
        <f>O11+'29.05'!P11</f>
        <v>0</v>
      </c>
      <c r="Q11" s="33">
        <v>2424</v>
      </c>
      <c r="R11" s="22">
        <v>0</v>
      </c>
      <c r="S11" s="23">
        <f>R11+'29.05'!S11</f>
        <v>0</v>
      </c>
      <c r="T11" s="33">
        <v>69</v>
      </c>
      <c r="U11" s="22">
        <v>0</v>
      </c>
      <c r="V11" s="23">
        <f>U11+'29.05'!V11</f>
        <v>0</v>
      </c>
      <c r="W11" s="38">
        <v>133</v>
      </c>
      <c r="X11" s="22">
        <v>15</v>
      </c>
      <c r="Y11" s="23">
        <f>X11+'29.05'!Y11</f>
        <v>517</v>
      </c>
      <c r="Z11" s="38">
        <v>1116</v>
      </c>
      <c r="AA11" s="22">
        <v>0</v>
      </c>
      <c r="AB11" s="23">
        <f>AA11+'29.05'!AB11</f>
        <v>0</v>
      </c>
      <c r="AC11" s="38">
        <v>9862</v>
      </c>
      <c r="AD11" s="22">
        <v>1</v>
      </c>
      <c r="AE11" s="23">
        <f>AD11+'29.05'!AE11</f>
        <v>49</v>
      </c>
      <c r="AF11" s="19">
        <f t="shared" si="1"/>
        <v>16900</v>
      </c>
      <c r="AG11" s="20">
        <f t="shared" si="1"/>
        <v>562400</v>
      </c>
      <c r="AH11" s="24">
        <v>2700</v>
      </c>
      <c r="AI11" s="23">
        <f>AH11+'29.05'!AI11</f>
        <v>70600</v>
      </c>
      <c r="AJ11" s="24">
        <v>4200</v>
      </c>
      <c r="AK11" s="23">
        <f>AJ11+'29.05'!AK11</f>
        <v>93900</v>
      </c>
      <c r="AL11" s="22">
        <v>2800</v>
      </c>
      <c r="AM11" s="23">
        <f>AL11+'29.05'!AM11</f>
        <v>119600</v>
      </c>
      <c r="AN11" s="22">
        <v>7200</v>
      </c>
      <c r="AO11" s="23">
        <f>AN11+'29.05'!AO11</f>
        <v>278300</v>
      </c>
      <c r="AP11" s="28" t="s">
        <v>45</v>
      </c>
      <c r="AQ11" s="19">
        <f t="shared" si="3"/>
        <v>2</v>
      </c>
      <c r="AR11" s="20">
        <f t="shared" si="3"/>
        <v>80</v>
      </c>
      <c r="AS11" s="34">
        <v>0</v>
      </c>
      <c r="AT11" s="23">
        <f>AS11+'29.05'!AT11</f>
        <v>0</v>
      </c>
      <c r="AU11" s="34">
        <v>0</v>
      </c>
      <c r="AV11" s="23">
        <f>AU11+'29.05'!AV11</f>
        <v>0</v>
      </c>
      <c r="AW11" s="34">
        <v>0</v>
      </c>
      <c r="AX11" s="23">
        <f>AW11+'29.05'!AX11</f>
        <v>0</v>
      </c>
      <c r="AY11" s="34">
        <v>0</v>
      </c>
      <c r="AZ11" s="23">
        <f>AY11+'29.05'!AZ11</f>
        <v>0</v>
      </c>
      <c r="BA11" s="34">
        <v>2</v>
      </c>
      <c r="BB11" s="23">
        <f>BA11+'29.05'!BB11</f>
        <v>80</v>
      </c>
      <c r="BC11" s="19">
        <f t="shared" si="5"/>
        <v>425</v>
      </c>
      <c r="BD11" s="20">
        <f t="shared" si="5"/>
        <v>17769</v>
      </c>
      <c r="BE11" s="22">
        <v>5</v>
      </c>
      <c r="BF11" s="23">
        <f>BE11+'29.05'!BF11</f>
        <v>77</v>
      </c>
      <c r="BG11" s="34">
        <v>3</v>
      </c>
      <c r="BH11" s="23">
        <f>BG11+'29.05'!BH11</f>
        <v>90</v>
      </c>
      <c r="BI11" s="22">
        <v>410</v>
      </c>
      <c r="BJ11" s="23">
        <f>BI11+'29.05'!BJ11</f>
        <v>17133</v>
      </c>
      <c r="BK11" s="22">
        <v>4</v>
      </c>
      <c r="BL11" s="23">
        <f>BK11+'29.05'!BL11</f>
        <v>402</v>
      </c>
      <c r="BM11" s="22">
        <v>3</v>
      </c>
      <c r="BN11" s="23">
        <f>BM11+'29.05'!BN11</f>
        <v>67</v>
      </c>
      <c r="BO11" s="36">
        <v>11506</v>
      </c>
      <c r="BP11" s="37">
        <v>3</v>
      </c>
      <c r="BQ11" s="23" t="e">
        <f>BP11+'29.05'!BQ11</f>
        <v>#VALUE!</v>
      </c>
    </row>
    <row r="12" spans="1:69" ht="27.75" customHeight="1">
      <c r="A12" s="28" t="s">
        <v>46</v>
      </c>
      <c r="B12" s="29">
        <f t="shared" si="0"/>
        <v>30164</v>
      </c>
      <c r="C12" s="30">
        <f t="shared" si="0"/>
        <v>187</v>
      </c>
      <c r="D12" s="31">
        <f t="shared" si="0"/>
        <v>6884</v>
      </c>
      <c r="E12" s="32">
        <v>909</v>
      </c>
      <c r="F12" s="22">
        <v>48</v>
      </c>
      <c r="G12" s="23">
        <f>F12+'29.05'!G12</f>
        <v>1669</v>
      </c>
      <c r="H12" s="33">
        <v>80</v>
      </c>
      <c r="I12" s="34">
        <v>0</v>
      </c>
      <c r="J12" s="23">
        <f>I12+'29.05'!J12</f>
        <v>74</v>
      </c>
      <c r="K12" s="33">
        <v>5</v>
      </c>
      <c r="L12" s="22">
        <v>0</v>
      </c>
      <c r="M12" s="23">
        <f>L12+'29.05'!M12</f>
        <v>0</v>
      </c>
      <c r="N12" s="33">
        <v>820</v>
      </c>
      <c r="O12" s="22">
        <v>0</v>
      </c>
      <c r="P12" s="23">
        <f>O12+'29.05'!P12</f>
        <v>507</v>
      </c>
      <c r="Q12" s="33">
        <v>549</v>
      </c>
      <c r="R12" s="22">
        <v>0</v>
      </c>
      <c r="S12" s="23">
        <f>R12+'29.05'!S12</f>
        <v>0</v>
      </c>
      <c r="T12" s="33">
        <v>992</v>
      </c>
      <c r="U12" s="22">
        <v>0</v>
      </c>
      <c r="V12" s="23">
        <f>U12+'29.05'!V12</f>
        <v>0</v>
      </c>
      <c r="W12" s="33">
        <v>38</v>
      </c>
      <c r="X12" s="22">
        <v>124</v>
      </c>
      <c r="Y12" s="23">
        <f>X12+'29.05'!Y12</f>
        <v>3513</v>
      </c>
      <c r="Z12" s="33">
        <v>68</v>
      </c>
      <c r="AA12" s="22">
        <v>0</v>
      </c>
      <c r="AB12" s="23">
        <f>AA12+'29.05'!AB12</f>
        <v>0</v>
      </c>
      <c r="AC12" s="33">
        <v>26703</v>
      </c>
      <c r="AD12" s="22">
        <v>15</v>
      </c>
      <c r="AE12" s="23">
        <f>AD12+'29.05'!AE12</f>
        <v>1121</v>
      </c>
      <c r="AF12" s="19">
        <f t="shared" si="1"/>
        <v>21598</v>
      </c>
      <c r="AG12" s="20">
        <f t="shared" si="1"/>
        <v>477076</v>
      </c>
      <c r="AH12" s="24">
        <v>3261</v>
      </c>
      <c r="AI12" s="23">
        <f>AH12+'29.05'!AI12</f>
        <v>73856</v>
      </c>
      <c r="AJ12" s="24">
        <v>9237</v>
      </c>
      <c r="AK12" s="23">
        <f>AJ12+'29.05'!AK12</f>
        <v>153736</v>
      </c>
      <c r="AL12" s="22">
        <v>4550</v>
      </c>
      <c r="AM12" s="23">
        <f>AL12+'29.05'!AM12</f>
        <v>124739</v>
      </c>
      <c r="AN12" s="22">
        <v>4550</v>
      </c>
      <c r="AO12" s="23">
        <f>AN12+'29.05'!AO12</f>
        <v>124745</v>
      </c>
      <c r="AP12" s="28" t="s">
        <v>46</v>
      </c>
      <c r="AQ12" s="19">
        <f t="shared" si="3"/>
        <v>39</v>
      </c>
      <c r="AR12" s="20">
        <f t="shared" si="3"/>
        <v>2486</v>
      </c>
      <c r="AS12" s="34">
        <v>0</v>
      </c>
      <c r="AT12" s="23">
        <f>AS12+'29.05'!AT12</f>
        <v>0</v>
      </c>
      <c r="AU12" s="34">
        <v>0</v>
      </c>
      <c r="AV12" s="23">
        <f>AU12+'29.05'!AV12</f>
        <v>0</v>
      </c>
      <c r="AW12" s="34">
        <v>0</v>
      </c>
      <c r="AX12" s="23">
        <f>AW12+'29.05'!AX12</f>
        <v>0</v>
      </c>
      <c r="AY12" s="34">
        <v>0</v>
      </c>
      <c r="AZ12" s="23">
        <f>AY12+'29.05'!AZ12</f>
        <v>0</v>
      </c>
      <c r="BA12" s="34">
        <v>39</v>
      </c>
      <c r="BB12" s="23">
        <f>BA12+'29.05'!BB12</f>
        <v>2486</v>
      </c>
      <c r="BC12" s="19">
        <f t="shared" si="5"/>
        <v>2481</v>
      </c>
      <c r="BD12" s="20">
        <f t="shared" si="5"/>
        <v>84207</v>
      </c>
      <c r="BE12" s="22">
        <v>132</v>
      </c>
      <c r="BF12" s="23">
        <f>BE12+'29.05'!BF12</f>
        <v>5582</v>
      </c>
      <c r="BG12" s="34">
        <v>2</v>
      </c>
      <c r="BH12" s="23">
        <f>BG12+'29.05'!BH12</f>
        <v>278</v>
      </c>
      <c r="BI12" s="22">
        <v>2000</v>
      </c>
      <c r="BJ12" s="23">
        <f>BI12+'29.05'!BJ12</f>
        <v>68000</v>
      </c>
      <c r="BK12" s="22">
        <v>300</v>
      </c>
      <c r="BL12" s="23">
        <f>BK12+'29.05'!BL12</f>
        <v>8850</v>
      </c>
      <c r="BM12" s="22">
        <v>47</v>
      </c>
      <c r="BN12" s="23">
        <f>BM12+'29.05'!BN12</f>
        <v>1497</v>
      </c>
      <c r="BO12" s="36"/>
      <c r="BP12" s="37">
        <v>1</v>
      </c>
      <c r="BQ12" s="23">
        <f>BP12+'29.05'!BQ12</f>
        <v>49</v>
      </c>
    </row>
    <row r="13" spans="1:69" ht="27.75" customHeight="1">
      <c r="A13" s="28" t="s">
        <v>47</v>
      </c>
      <c r="B13" s="29">
        <f t="shared" si="0"/>
        <v>2044</v>
      </c>
      <c r="C13" s="30">
        <f t="shared" si="0"/>
        <v>2</v>
      </c>
      <c r="D13" s="31">
        <f t="shared" si="0"/>
        <v>426</v>
      </c>
      <c r="E13" s="32">
        <v>516</v>
      </c>
      <c r="F13" s="22">
        <v>0</v>
      </c>
      <c r="G13" s="23">
        <f>F13+'29.05'!G13</f>
        <v>32</v>
      </c>
      <c r="H13" s="33">
        <v>10</v>
      </c>
      <c r="I13" s="34">
        <v>0</v>
      </c>
      <c r="J13" s="23">
        <f>I13+'29.05'!J13</f>
        <v>16</v>
      </c>
      <c r="K13" s="33">
        <v>38</v>
      </c>
      <c r="L13" s="22">
        <v>0</v>
      </c>
      <c r="M13" s="23">
        <f>L13+'29.05'!M13</f>
        <v>0</v>
      </c>
      <c r="N13" s="33">
        <v>581</v>
      </c>
      <c r="O13" s="22">
        <v>0</v>
      </c>
      <c r="P13" s="23">
        <f>O13+'29.05'!P13</f>
        <v>11</v>
      </c>
      <c r="Q13" s="33">
        <v>525</v>
      </c>
      <c r="R13" s="22">
        <v>0</v>
      </c>
      <c r="S13" s="23">
        <f>R13+'29.05'!S13</f>
        <v>0</v>
      </c>
      <c r="T13" s="33">
        <v>263</v>
      </c>
      <c r="U13" s="22">
        <v>0</v>
      </c>
      <c r="V13" s="23">
        <f>U13+'29.05'!V13</f>
        <v>0</v>
      </c>
      <c r="W13" s="33">
        <v>43</v>
      </c>
      <c r="X13" s="22">
        <v>0</v>
      </c>
      <c r="Y13" s="23">
        <f>X13+'29.05'!Y13</f>
        <v>1</v>
      </c>
      <c r="Z13" s="33">
        <v>17</v>
      </c>
      <c r="AA13" s="22">
        <v>0</v>
      </c>
      <c r="AB13" s="23">
        <f>AA13+'29.05'!AB13</f>
        <v>0</v>
      </c>
      <c r="AC13" s="33">
        <v>51</v>
      </c>
      <c r="AD13" s="22">
        <v>2</v>
      </c>
      <c r="AE13" s="23">
        <f>AD13+'29.05'!AE13</f>
        <v>366</v>
      </c>
      <c r="AF13" s="19">
        <f t="shared" si="1"/>
        <v>235000</v>
      </c>
      <c r="AG13" s="20">
        <f t="shared" si="1"/>
        <v>8085000</v>
      </c>
      <c r="AH13" s="24">
        <v>2000</v>
      </c>
      <c r="AI13" s="23">
        <f>AH13+'29.05'!AI13</f>
        <v>79500</v>
      </c>
      <c r="AJ13" s="24">
        <v>13000</v>
      </c>
      <c r="AK13" s="23">
        <f>AJ13+'29.05'!AK13</f>
        <v>566500</v>
      </c>
      <c r="AL13" s="22">
        <v>20000</v>
      </c>
      <c r="AM13" s="23">
        <f>AL13+'29.05'!AM13</f>
        <v>1780000</v>
      </c>
      <c r="AN13" s="22">
        <v>200000</v>
      </c>
      <c r="AO13" s="23">
        <f>AN13+'29.05'!AO13</f>
        <v>5659000</v>
      </c>
      <c r="AP13" s="28" t="s">
        <v>47</v>
      </c>
      <c r="AQ13" s="19">
        <f t="shared" si="3"/>
        <v>6</v>
      </c>
      <c r="AR13" s="20">
        <f t="shared" si="3"/>
        <v>550</v>
      </c>
      <c r="AS13" s="34">
        <v>1</v>
      </c>
      <c r="AT13" s="23">
        <f>AS13+'29.05'!AT13</f>
        <v>27</v>
      </c>
      <c r="AU13" s="34">
        <v>1</v>
      </c>
      <c r="AV13" s="23">
        <f>AU13+'29.05'!AV13</f>
        <v>23</v>
      </c>
      <c r="AW13" s="34">
        <v>0</v>
      </c>
      <c r="AX13" s="23">
        <f>AW13+'29.05'!AX13</f>
        <v>6</v>
      </c>
      <c r="AY13" s="34">
        <v>0</v>
      </c>
      <c r="AZ13" s="23">
        <f>AY13+'29.05'!AZ13</f>
        <v>1</v>
      </c>
      <c r="BA13" s="34">
        <v>4</v>
      </c>
      <c r="BB13" s="23">
        <f>BA13+'29.05'!BB13</f>
        <v>493</v>
      </c>
      <c r="BC13" s="19">
        <f t="shared" si="5"/>
        <v>7757</v>
      </c>
      <c r="BD13" s="20">
        <f t="shared" si="5"/>
        <v>307419</v>
      </c>
      <c r="BE13" s="22">
        <v>516</v>
      </c>
      <c r="BF13" s="23">
        <f>BE13+'29.05'!BF13</f>
        <v>15480</v>
      </c>
      <c r="BG13" s="34">
        <v>31</v>
      </c>
      <c r="BH13" s="23">
        <f>BG13+'29.05'!BH13</f>
        <v>1070</v>
      </c>
      <c r="BI13" s="22">
        <v>7000</v>
      </c>
      <c r="BJ13" s="23">
        <f>BI13+'29.05'!BJ13</f>
        <v>283500</v>
      </c>
      <c r="BK13" s="22">
        <v>200</v>
      </c>
      <c r="BL13" s="23">
        <f>BK13+'29.05'!BL13</f>
        <v>6020</v>
      </c>
      <c r="BM13" s="22">
        <v>10</v>
      </c>
      <c r="BN13" s="23">
        <f>BM13+'29.05'!BN13</f>
        <v>1349</v>
      </c>
      <c r="BO13" s="36"/>
      <c r="BP13" s="37">
        <v>1</v>
      </c>
      <c r="BQ13" s="23">
        <f>BP13+'29.05'!BQ13</f>
        <v>18</v>
      </c>
    </row>
    <row r="14" spans="1:69" ht="27.75" customHeight="1" thickBot="1">
      <c r="A14" s="39" t="s">
        <v>48</v>
      </c>
      <c r="B14" s="40">
        <f t="shared" si="0"/>
        <v>3916</v>
      </c>
      <c r="C14" s="41">
        <f t="shared" si="0"/>
        <v>102</v>
      </c>
      <c r="D14" s="42">
        <f t="shared" si="0"/>
        <v>3333</v>
      </c>
      <c r="E14" s="43">
        <v>304</v>
      </c>
      <c r="F14" s="22">
        <v>92</v>
      </c>
      <c r="G14" s="23">
        <f>F14+'29.05'!G14</f>
        <v>2866</v>
      </c>
      <c r="H14" s="44">
        <v>5</v>
      </c>
      <c r="I14" s="45">
        <v>0</v>
      </c>
      <c r="J14" s="23">
        <f>I14+'29.05'!J14</f>
        <v>0</v>
      </c>
      <c r="K14" s="44">
        <v>34</v>
      </c>
      <c r="L14" s="22">
        <v>0</v>
      </c>
      <c r="M14" s="23">
        <f>L14+'29.05'!M14</f>
        <v>0</v>
      </c>
      <c r="N14" s="44">
        <v>583</v>
      </c>
      <c r="O14" s="22">
        <v>0</v>
      </c>
      <c r="P14" s="23">
        <f>O14+'29.05'!P14</f>
        <v>0</v>
      </c>
      <c r="Q14" s="44">
        <v>254</v>
      </c>
      <c r="R14" s="22">
        <v>0</v>
      </c>
      <c r="S14" s="23">
        <f>R14+'29.05'!S14</f>
        <v>0</v>
      </c>
      <c r="T14" s="44">
        <v>196</v>
      </c>
      <c r="U14" s="22">
        <v>0</v>
      </c>
      <c r="V14" s="23">
        <f>U14+'29.05'!V14</f>
        <v>0</v>
      </c>
      <c r="W14" s="44">
        <v>30</v>
      </c>
      <c r="X14" s="22">
        <v>10</v>
      </c>
      <c r="Y14" s="23">
        <f>X14+'29.05'!Y14</f>
        <v>341</v>
      </c>
      <c r="Z14" s="44">
        <v>10</v>
      </c>
      <c r="AA14" s="22">
        <v>0</v>
      </c>
      <c r="AB14" s="23">
        <f>AA14+'29.05'!AB14</f>
        <v>0</v>
      </c>
      <c r="AC14" s="44">
        <v>2500</v>
      </c>
      <c r="AD14" s="22">
        <v>0</v>
      </c>
      <c r="AE14" s="23">
        <f>AD14+'29.05'!AE14</f>
        <v>126</v>
      </c>
      <c r="AF14" s="19">
        <f t="shared" si="1"/>
        <v>116100</v>
      </c>
      <c r="AG14" s="20">
        <f t="shared" si="1"/>
        <v>3346640</v>
      </c>
      <c r="AH14" s="24">
        <v>2400</v>
      </c>
      <c r="AI14" s="23">
        <f>AH14+'29.05'!AI14</f>
        <v>90110</v>
      </c>
      <c r="AJ14" s="24">
        <v>7100</v>
      </c>
      <c r="AK14" s="23">
        <f>AJ14+'29.05'!AK14</f>
        <v>199850</v>
      </c>
      <c r="AL14" s="22">
        <v>8200</v>
      </c>
      <c r="AM14" s="23">
        <f>AL14+'29.05'!AM14</f>
        <v>230650</v>
      </c>
      <c r="AN14" s="22">
        <v>98400</v>
      </c>
      <c r="AO14" s="23">
        <f>AN14+'29.05'!AO14</f>
        <v>2826030</v>
      </c>
      <c r="AP14" s="39" t="s">
        <v>48</v>
      </c>
      <c r="AQ14" s="19">
        <f t="shared" si="3"/>
        <v>2</v>
      </c>
      <c r="AR14" s="20">
        <f t="shared" si="3"/>
        <v>98</v>
      </c>
      <c r="AS14" s="45">
        <v>0</v>
      </c>
      <c r="AT14" s="23">
        <f>AS14+'29.05'!AT14</f>
        <v>0</v>
      </c>
      <c r="AU14" s="45">
        <v>0</v>
      </c>
      <c r="AV14" s="23">
        <f>AU14+'29.05'!AV14</f>
        <v>4</v>
      </c>
      <c r="AW14" s="45">
        <v>0</v>
      </c>
      <c r="AX14" s="23">
        <f>AW14+'29.05'!AX14</f>
        <v>4</v>
      </c>
      <c r="AY14" s="45">
        <v>0</v>
      </c>
      <c r="AZ14" s="23">
        <f>AY14+'29.05'!AZ14</f>
        <v>2</v>
      </c>
      <c r="BA14" s="45">
        <v>2</v>
      </c>
      <c r="BB14" s="23">
        <f>BA14+'29.05'!BB14</f>
        <v>88</v>
      </c>
      <c r="BC14" s="19">
        <f t="shared" si="5"/>
        <v>807</v>
      </c>
      <c r="BD14" s="20">
        <f t="shared" si="5"/>
        <v>56766</v>
      </c>
      <c r="BE14" s="22">
        <v>2</v>
      </c>
      <c r="BF14" s="23">
        <f>BE14+'29.05'!BF14</f>
        <v>91</v>
      </c>
      <c r="BG14" s="45">
        <v>1</v>
      </c>
      <c r="BH14" s="23">
        <f>BG14+'29.05'!BH14</f>
        <v>44</v>
      </c>
      <c r="BI14" s="22">
        <v>800</v>
      </c>
      <c r="BJ14" s="23">
        <f>BI14+'29.05'!BJ14</f>
        <v>56430</v>
      </c>
      <c r="BK14" s="22">
        <v>2</v>
      </c>
      <c r="BL14" s="23">
        <f>BK14+'29.05'!BL14</f>
        <v>131</v>
      </c>
      <c r="BM14" s="22">
        <v>2</v>
      </c>
      <c r="BN14" s="23">
        <f>BM14+'29.05'!BN14</f>
        <v>70</v>
      </c>
      <c r="BO14" s="48">
        <v>22</v>
      </c>
      <c r="BP14" s="49">
        <v>0</v>
      </c>
      <c r="BQ14" s="23">
        <f>BP14+'29.05'!BQ14</f>
        <v>0</v>
      </c>
    </row>
    <row r="15" spans="1:69" s="1" customFormat="1" ht="27.75" customHeight="1">
      <c r="A15" s="50" t="s">
        <v>49</v>
      </c>
      <c r="B15" s="51">
        <f t="shared" si="0"/>
        <v>3897</v>
      </c>
      <c r="C15" s="52">
        <f t="shared" si="0"/>
        <v>418</v>
      </c>
      <c r="D15" s="53">
        <f t="shared" si="0"/>
        <v>13476</v>
      </c>
      <c r="E15" s="54">
        <v>776</v>
      </c>
      <c r="F15" s="55">
        <v>329</v>
      </c>
      <c r="G15" s="23">
        <f>F15+'29.05'!G15</f>
        <v>10750</v>
      </c>
      <c r="H15" s="56">
        <v>9</v>
      </c>
      <c r="I15" s="57">
        <v>0</v>
      </c>
      <c r="J15" s="23">
        <f>I15+'29.05'!J15</f>
        <v>0</v>
      </c>
      <c r="K15" s="56">
        <v>6</v>
      </c>
      <c r="L15" s="55">
        <v>0</v>
      </c>
      <c r="M15" s="23">
        <f>L15+'29.05'!M15</f>
        <v>0</v>
      </c>
      <c r="N15" s="56">
        <v>1305</v>
      </c>
      <c r="O15" s="55">
        <v>0</v>
      </c>
      <c r="P15" s="23">
        <f>O15+'29.05'!P15</f>
        <v>0</v>
      </c>
      <c r="Q15" s="56">
        <v>447</v>
      </c>
      <c r="R15" s="55">
        <v>0</v>
      </c>
      <c r="S15" s="23">
        <f>R15+'29.05'!S15</f>
        <v>0</v>
      </c>
      <c r="T15" s="56">
        <v>337</v>
      </c>
      <c r="U15" s="55">
        <v>0</v>
      </c>
      <c r="V15" s="23">
        <f>U15+'29.05'!V15</f>
        <v>0</v>
      </c>
      <c r="W15" s="56">
        <v>78</v>
      </c>
      <c r="X15" s="55">
        <v>0</v>
      </c>
      <c r="Y15" s="23">
        <f>X15+'29.05'!Y15</f>
        <v>0</v>
      </c>
      <c r="Z15" s="56">
        <v>141</v>
      </c>
      <c r="AA15" s="55">
        <v>0</v>
      </c>
      <c r="AB15" s="23">
        <f>AA15+'29.05'!AB15</f>
        <v>0</v>
      </c>
      <c r="AC15" s="56">
        <v>798</v>
      </c>
      <c r="AD15" s="55">
        <v>89</v>
      </c>
      <c r="AE15" s="23">
        <f>AD15+'29.05'!AE15</f>
        <v>2726</v>
      </c>
      <c r="AF15" s="58">
        <f t="shared" si="1"/>
        <v>1699204</v>
      </c>
      <c r="AG15" s="59">
        <f t="shared" si="1"/>
        <v>61741036</v>
      </c>
      <c r="AH15" s="60">
        <v>712</v>
      </c>
      <c r="AI15" s="23">
        <f>AH15+'29.05'!AI15</f>
        <v>25048</v>
      </c>
      <c r="AJ15" s="60">
        <v>2615</v>
      </c>
      <c r="AK15" s="23">
        <f>AJ15+'29.05'!AK15</f>
        <v>84530</v>
      </c>
      <c r="AL15" s="55">
        <v>847938</v>
      </c>
      <c r="AM15" s="23">
        <f>AL15+'29.05'!AM15</f>
        <v>35167229</v>
      </c>
      <c r="AN15" s="55">
        <v>847939</v>
      </c>
      <c r="AO15" s="23">
        <f>AN15+'29.05'!AO15</f>
        <v>26464229</v>
      </c>
      <c r="AP15" s="50" t="s">
        <v>49</v>
      </c>
      <c r="AQ15" s="58">
        <f t="shared" si="3"/>
        <v>3</v>
      </c>
      <c r="AR15" s="59">
        <f t="shared" si="3"/>
        <v>76</v>
      </c>
      <c r="AS15" s="57">
        <v>0</v>
      </c>
      <c r="AT15" s="23">
        <f>AS15+'29.05'!AT15</f>
        <v>2</v>
      </c>
      <c r="AU15" s="57">
        <v>0</v>
      </c>
      <c r="AV15" s="23">
        <f>AU15+'29.05'!AV15</f>
        <v>6</v>
      </c>
      <c r="AW15" s="57">
        <v>0</v>
      </c>
      <c r="AX15" s="23">
        <f>AW15+'29.05'!AX15</f>
        <v>6</v>
      </c>
      <c r="AY15" s="57">
        <v>0</v>
      </c>
      <c r="AZ15" s="23">
        <f>AY15+'29.05'!AZ15</f>
        <v>1</v>
      </c>
      <c r="BA15" s="57">
        <v>3</v>
      </c>
      <c r="BB15" s="23">
        <f>BA15+'29.05'!BB15</f>
        <v>61</v>
      </c>
      <c r="BC15" s="58">
        <f t="shared" si="5"/>
        <v>1480</v>
      </c>
      <c r="BD15" s="59">
        <f t="shared" si="5"/>
        <v>48563</v>
      </c>
      <c r="BE15" s="55">
        <v>89</v>
      </c>
      <c r="BF15" s="23">
        <f>BE15+'29.05'!BF15</f>
        <v>2363</v>
      </c>
      <c r="BG15" s="57">
        <v>1</v>
      </c>
      <c r="BH15" s="23">
        <f>BG15+'29.05'!BH15</f>
        <v>41</v>
      </c>
      <c r="BI15" s="55">
        <v>690</v>
      </c>
      <c r="BJ15" s="23">
        <f>BI15+'29.05'!BJ15</f>
        <v>23149</v>
      </c>
      <c r="BK15" s="55">
        <v>690</v>
      </c>
      <c r="BL15" s="23">
        <f>BK15+'29.05'!BL15</f>
        <v>22544</v>
      </c>
      <c r="BM15" s="55">
        <v>10</v>
      </c>
      <c r="BN15" s="23">
        <f>BM15+'29.05'!BN15</f>
        <v>466</v>
      </c>
      <c r="BO15" s="36">
        <v>6274</v>
      </c>
      <c r="BP15" s="37">
        <v>0</v>
      </c>
      <c r="BQ15" s="23">
        <f>BP15+'29.05'!BQ15</f>
        <v>16</v>
      </c>
    </row>
    <row r="16" spans="1:69" ht="27.75" customHeight="1">
      <c r="A16" s="28" t="s">
        <v>51</v>
      </c>
      <c r="B16" s="29">
        <f t="shared" si="0"/>
        <v>19901</v>
      </c>
      <c r="C16" s="30">
        <f t="shared" si="0"/>
        <v>141</v>
      </c>
      <c r="D16" s="31">
        <f t="shared" si="0"/>
        <v>4164</v>
      </c>
      <c r="E16" s="32">
        <v>310</v>
      </c>
      <c r="F16" s="22">
        <v>43</v>
      </c>
      <c r="G16" s="23">
        <f>F16+'29.05'!G16</f>
        <v>1423</v>
      </c>
      <c r="H16" s="33">
        <v>5</v>
      </c>
      <c r="I16" s="34">
        <v>0</v>
      </c>
      <c r="J16" s="23">
        <f>I16+'29.05'!J16</f>
        <v>0</v>
      </c>
      <c r="K16" s="33">
        <v>3</v>
      </c>
      <c r="L16" s="22">
        <v>0</v>
      </c>
      <c r="M16" s="23">
        <f>L16+'29.05'!M16</f>
        <v>0</v>
      </c>
      <c r="N16" s="33">
        <v>384</v>
      </c>
      <c r="O16" s="22">
        <v>0</v>
      </c>
      <c r="P16" s="23">
        <f>O16+'29.05'!P16</f>
        <v>0</v>
      </c>
      <c r="Q16" s="33">
        <v>245</v>
      </c>
      <c r="R16" s="22">
        <v>0</v>
      </c>
      <c r="S16" s="23">
        <f>R16+'29.05'!S16</f>
        <v>0</v>
      </c>
      <c r="T16" s="33">
        <v>397</v>
      </c>
      <c r="U16" s="22">
        <v>0</v>
      </c>
      <c r="V16" s="23">
        <f>U16+'29.05'!V16</f>
        <v>0</v>
      </c>
      <c r="W16" s="33">
        <v>24</v>
      </c>
      <c r="X16" s="22">
        <v>46</v>
      </c>
      <c r="Y16" s="23">
        <f>X16+'29.05'!Y16</f>
        <v>1447</v>
      </c>
      <c r="Z16" s="33">
        <v>18</v>
      </c>
      <c r="AA16" s="22">
        <v>0</v>
      </c>
      <c r="AB16" s="23">
        <f>AA16+'29.05'!AB16</f>
        <v>0</v>
      </c>
      <c r="AC16" s="33">
        <v>18515</v>
      </c>
      <c r="AD16" s="22">
        <v>52</v>
      </c>
      <c r="AE16" s="23">
        <f>AD16+'29.05'!AE16</f>
        <v>1294</v>
      </c>
      <c r="AF16" s="19">
        <f t="shared" si="1"/>
        <v>53226</v>
      </c>
      <c r="AG16" s="20">
        <f t="shared" si="1"/>
        <v>1771868</v>
      </c>
      <c r="AH16" s="24">
        <v>151</v>
      </c>
      <c r="AI16" s="23">
        <f>AH16+'29.05'!AI16</f>
        <v>4764</v>
      </c>
      <c r="AJ16" s="24">
        <v>1341</v>
      </c>
      <c r="AK16" s="23">
        <f>AJ16+'29.05'!AK16</f>
        <v>41634</v>
      </c>
      <c r="AL16" s="22">
        <v>1387</v>
      </c>
      <c r="AM16" s="23">
        <f>AL16+'29.05'!AM16</f>
        <v>46555</v>
      </c>
      <c r="AN16" s="22">
        <v>50347</v>
      </c>
      <c r="AO16" s="23">
        <f>AN16+'29.05'!AO16</f>
        <v>1678915</v>
      </c>
      <c r="AP16" s="28" t="s">
        <v>51</v>
      </c>
      <c r="AQ16" s="19">
        <f t="shared" si="3"/>
        <v>72</v>
      </c>
      <c r="AR16" s="20">
        <f t="shared" si="3"/>
        <v>2363</v>
      </c>
      <c r="AS16" s="34">
        <v>0</v>
      </c>
      <c r="AT16" s="23">
        <f>AS16+'29.05'!AT16</f>
        <v>3</v>
      </c>
      <c r="AU16" s="34">
        <v>0</v>
      </c>
      <c r="AV16" s="23">
        <f>AU16+'29.05'!AV16</f>
        <v>0</v>
      </c>
      <c r="AW16" s="34">
        <v>0</v>
      </c>
      <c r="AX16" s="23">
        <f>AW16+'29.05'!AX16</f>
        <v>0</v>
      </c>
      <c r="AY16" s="34">
        <v>0</v>
      </c>
      <c r="AZ16" s="23">
        <f>AY16+'29.05'!AZ16</f>
        <v>0</v>
      </c>
      <c r="BA16" s="34">
        <v>72</v>
      </c>
      <c r="BB16" s="23">
        <f>BA16+'29.05'!BB16</f>
        <v>2360</v>
      </c>
      <c r="BC16" s="19">
        <f t="shared" si="5"/>
        <v>1219</v>
      </c>
      <c r="BD16" s="20">
        <f t="shared" si="5"/>
        <v>40799</v>
      </c>
      <c r="BE16" s="22">
        <v>84</v>
      </c>
      <c r="BF16" s="23">
        <f>BE16+'29.05'!BF16</f>
        <v>2290</v>
      </c>
      <c r="BG16" s="34">
        <v>0</v>
      </c>
      <c r="BH16" s="23">
        <f>BG16+'29.05'!BH16</f>
        <v>0</v>
      </c>
      <c r="BI16" s="22">
        <v>1097</v>
      </c>
      <c r="BJ16" s="23">
        <f>BI16+'29.05'!BJ16</f>
        <v>37057</v>
      </c>
      <c r="BK16" s="22">
        <v>32</v>
      </c>
      <c r="BL16" s="23">
        <f>BK16+'29.05'!BL16</f>
        <v>1253</v>
      </c>
      <c r="BM16" s="22">
        <v>6</v>
      </c>
      <c r="BN16" s="23">
        <f>BM16+'29.05'!BN16</f>
        <v>199</v>
      </c>
      <c r="BO16" s="36">
        <v>2546</v>
      </c>
      <c r="BP16" s="37">
        <v>0</v>
      </c>
      <c r="BQ16" s="23">
        <f>BP16+'29.05'!BQ16</f>
        <v>0</v>
      </c>
    </row>
    <row r="17" spans="1:69" ht="27.75" customHeight="1">
      <c r="A17" s="28" t="s">
        <v>52</v>
      </c>
      <c r="B17" s="29">
        <f t="shared" si="0"/>
        <v>5602</v>
      </c>
      <c r="C17" s="30">
        <f t="shared" si="0"/>
        <v>6</v>
      </c>
      <c r="D17" s="31">
        <f t="shared" si="0"/>
        <v>4378</v>
      </c>
      <c r="E17" s="32">
        <v>754</v>
      </c>
      <c r="F17" s="22">
        <v>0</v>
      </c>
      <c r="G17" s="23">
        <f>F17+'29.05'!G17</f>
        <v>3720</v>
      </c>
      <c r="H17" s="33">
        <v>9</v>
      </c>
      <c r="I17" s="34">
        <v>0</v>
      </c>
      <c r="J17" s="23">
        <f>I17+'29.05'!J17</f>
        <v>0</v>
      </c>
      <c r="K17" s="33">
        <v>5</v>
      </c>
      <c r="L17" s="22">
        <v>0</v>
      </c>
      <c r="M17" s="23">
        <f>L17+'29.05'!M17</f>
        <v>0</v>
      </c>
      <c r="N17" s="33">
        <v>768</v>
      </c>
      <c r="O17" s="22">
        <v>0</v>
      </c>
      <c r="P17" s="23">
        <f>O17+'29.05'!P17</f>
        <v>0</v>
      </c>
      <c r="Q17" s="33">
        <v>624</v>
      </c>
      <c r="R17" s="22">
        <v>0</v>
      </c>
      <c r="S17" s="23">
        <f>R17+'29.05'!S17</f>
        <v>0</v>
      </c>
      <c r="T17" s="33">
        <v>742</v>
      </c>
      <c r="U17" s="22">
        <v>0</v>
      </c>
      <c r="V17" s="23">
        <f>U17+'29.05'!V17</f>
        <v>0</v>
      </c>
      <c r="W17" s="33">
        <v>54</v>
      </c>
      <c r="X17" s="22">
        <v>5</v>
      </c>
      <c r="Y17" s="23">
        <f>X17+'29.05'!Y17</f>
        <v>350</v>
      </c>
      <c r="Z17" s="33">
        <v>66</v>
      </c>
      <c r="AA17" s="22">
        <v>0</v>
      </c>
      <c r="AB17" s="23">
        <f>AA17+'29.05'!AB17</f>
        <v>10</v>
      </c>
      <c r="AC17" s="33">
        <v>2580</v>
      </c>
      <c r="AD17" s="22">
        <v>1</v>
      </c>
      <c r="AE17" s="23">
        <f>AD17+'29.05'!AE17</f>
        <v>298</v>
      </c>
      <c r="AF17" s="19">
        <f t="shared" si="1"/>
        <v>22850</v>
      </c>
      <c r="AG17" s="20">
        <f t="shared" si="1"/>
        <v>2783550</v>
      </c>
      <c r="AH17" s="24">
        <v>100</v>
      </c>
      <c r="AI17" s="23">
        <f>AH17+'29.05'!AI17</f>
        <v>180650</v>
      </c>
      <c r="AJ17" s="24">
        <v>750</v>
      </c>
      <c r="AK17" s="23">
        <f>AJ17+'29.05'!AK17</f>
        <v>279500</v>
      </c>
      <c r="AL17" s="22">
        <v>8000</v>
      </c>
      <c r="AM17" s="23">
        <f>AL17+'29.05'!AM17</f>
        <v>597100</v>
      </c>
      <c r="AN17" s="22">
        <v>14000</v>
      </c>
      <c r="AO17" s="23">
        <f>AN17+'29.05'!AO17</f>
        <v>1726300</v>
      </c>
      <c r="AP17" s="28" t="s">
        <v>52</v>
      </c>
      <c r="AQ17" s="19">
        <f t="shared" si="3"/>
        <v>10</v>
      </c>
      <c r="AR17" s="20">
        <f t="shared" si="3"/>
        <v>568</v>
      </c>
      <c r="AS17" s="34">
        <v>0</v>
      </c>
      <c r="AT17" s="23">
        <f>AS17+'29.05'!AT17</f>
        <v>19</v>
      </c>
      <c r="AU17" s="34">
        <v>0</v>
      </c>
      <c r="AV17" s="23">
        <f>AU17+'29.05'!AV17</f>
        <v>53</v>
      </c>
      <c r="AW17" s="34">
        <v>0</v>
      </c>
      <c r="AX17" s="23">
        <f>AW17+'29.05'!AX17</f>
        <v>0</v>
      </c>
      <c r="AY17" s="34">
        <v>0</v>
      </c>
      <c r="AZ17" s="23">
        <f>AY17+'29.05'!AZ17</f>
        <v>0</v>
      </c>
      <c r="BA17" s="34">
        <v>10</v>
      </c>
      <c r="BB17" s="23">
        <f>BA17+'29.05'!BB17</f>
        <v>496</v>
      </c>
      <c r="BC17" s="19">
        <f t="shared" si="5"/>
        <v>1052</v>
      </c>
      <c r="BD17" s="20">
        <f t="shared" si="5"/>
        <v>82983</v>
      </c>
      <c r="BE17" s="22">
        <v>650</v>
      </c>
      <c r="BF17" s="23">
        <f>BE17+'29.05'!BF17</f>
        <v>2319</v>
      </c>
      <c r="BG17" s="34">
        <v>0</v>
      </c>
      <c r="BH17" s="23">
        <f>BG17+'29.05'!BH17</f>
        <v>30</v>
      </c>
      <c r="BI17" s="22">
        <v>400</v>
      </c>
      <c r="BJ17" s="23">
        <f>BI17+'29.05'!BJ17</f>
        <v>73500</v>
      </c>
      <c r="BK17" s="22">
        <v>0</v>
      </c>
      <c r="BL17" s="23">
        <f>BK17+'29.05'!BL17</f>
        <v>6880</v>
      </c>
      <c r="BM17" s="22">
        <v>2</v>
      </c>
      <c r="BN17" s="23">
        <f>BM17+'29.05'!BN17</f>
        <v>254</v>
      </c>
      <c r="BO17" s="36">
        <v>8022</v>
      </c>
      <c r="BP17" s="37">
        <v>0</v>
      </c>
      <c r="BQ17" s="23">
        <f>BP17+'29.05'!BQ17</f>
        <v>75</v>
      </c>
    </row>
    <row r="18" spans="1:69" ht="27.75" customHeight="1">
      <c r="A18" s="17" t="s">
        <v>53</v>
      </c>
      <c r="B18" s="18">
        <f t="shared" si="0"/>
        <v>3791</v>
      </c>
      <c r="C18" s="19">
        <f t="shared" si="0"/>
        <v>291</v>
      </c>
      <c r="D18" s="20">
        <f t="shared" si="0"/>
        <v>7842</v>
      </c>
      <c r="E18" s="21">
        <v>1063</v>
      </c>
      <c r="F18" s="22">
        <v>137</v>
      </c>
      <c r="G18" s="23">
        <f>F18+'29.05'!G18</f>
        <v>4535</v>
      </c>
      <c r="H18" s="21">
        <v>19</v>
      </c>
      <c r="I18" s="22">
        <v>0</v>
      </c>
      <c r="J18" s="23">
        <f>I18+'29.05'!J18</f>
        <v>0</v>
      </c>
      <c r="K18" s="21">
        <v>8</v>
      </c>
      <c r="L18" s="22">
        <v>0</v>
      </c>
      <c r="M18" s="23">
        <f>L18+'29.05'!M18</f>
        <v>0</v>
      </c>
      <c r="N18" s="21">
        <v>1331</v>
      </c>
      <c r="O18" s="22">
        <v>0</v>
      </c>
      <c r="P18" s="23">
        <f>O18+'29.05'!P18</f>
        <v>0</v>
      </c>
      <c r="Q18" s="21">
        <v>777</v>
      </c>
      <c r="R18" s="22">
        <v>0</v>
      </c>
      <c r="S18" s="23">
        <f>R18+'29.05'!S18</f>
        <v>0</v>
      </c>
      <c r="T18" s="21">
        <v>318</v>
      </c>
      <c r="U18" s="22">
        <v>0</v>
      </c>
      <c r="V18" s="23">
        <f>U18+'29.05'!V18</f>
        <v>81</v>
      </c>
      <c r="W18" s="21">
        <v>60</v>
      </c>
      <c r="X18" s="22">
        <v>154</v>
      </c>
      <c r="Y18" s="23">
        <f>X18+'29.05'!Y18</f>
        <v>3226</v>
      </c>
      <c r="Z18" s="21">
        <v>72</v>
      </c>
      <c r="AA18" s="22">
        <v>0</v>
      </c>
      <c r="AB18" s="23">
        <f>AA18+'29.05'!AB18</f>
        <v>0</v>
      </c>
      <c r="AC18" s="21">
        <v>143</v>
      </c>
      <c r="AD18" s="22">
        <v>0</v>
      </c>
      <c r="AE18" s="23">
        <f>AD18+'29.05'!AE18</f>
        <v>0</v>
      </c>
      <c r="AF18" s="19">
        <f t="shared" si="1"/>
        <v>117542</v>
      </c>
      <c r="AG18" s="20">
        <f t="shared" si="1"/>
        <v>3962068</v>
      </c>
      <c r="AH18" s="24">
        <v>178</v>
      </c>
      <c r="AI18" s="23">
        <f>AH18+'29.05'!AI18</f>
        <v>6627</v>
      </c>
      <c r="AJ18" s="24">
        <v>1886</v>
      </c>
      <c r="AK18" s="23">
        <f>AJ18+'29.05'!AK18</f>
        <v>59432</v>
      </c>
      <c r="AL18" s="22">
        <v>1388</v>
      </c>
      <c r="AM18" s="23">
        <f>AL18+'29.05'!AM18</f>
        <v>64202</v>
      </c>
      <c r="AN18" s="22">
        <v>114090</v>
      </c>
      <c r="AO18" s="23">
        <f>AN18+'29.05'!AO18</f>
        <v>3831807</v>
      </c>
      <c r="AP18" s="17" t="s">
        <v>53</v>
      </c>
      <c r="AQ18" s="19">
        <f t="shared" si="3"/>
        <v>3</v>
      </c>
      <c r="AR18" s="20">
        <f t="shared" si="3"/>
        <v>68</v>
      </c>
      <c r="AS18" s="22">
        <v>1</v>
      </c>
      <c r="AT18" s="23">
        <f>AS18+'29.05'!AT18</f>
        <v>18</v>
      </c>
      <c r="AU18" s="22">
        <v>0</v>
      </c>
      <c r="AV18" s="23">
        <f>AU18+'29.05'!AV18</f>
        <v>0</v>
      </c>
      <c r="AW18" s="22">
        <v>0</v>
      </c>
      <c r="AX18" s="23">
        <f>AW18+'29.05'!AX18</f>
        <v>0</v>
      </c>
      <c r="AY18" s="22">
        <v>0</v>
      </c>
      <c r="AZ18" s="23">
        <f>AY18+'29.05'!AZ18</f>
        <v>0</v>
      </c>
      <c r="BA18" s="22">
        <v>2</v>
      </c>
      <c r="BB18" s="23">
        <f>BA18+'29.05'!BB18</f>
        <v>50</v>
      </c>
      <c r="BC18" s="19">
        <f t="shared" si="5"/>
        <v>1789</v>
      </c>
      <c r="BD18" s="20">
        <f t="shared" si="5"/>
        <v>25793</v>
      </c>
      <c r="BE18" s="22">
        <v>27</v>
      </c>
      <c r="BF18" s="23">
        <f>BE18+'29.05'!BF18</f>
        <v>202</v>
      </c>
      <c r="BG18" s="22">
        <v>0</v>
      </c>
      <c r="BH18" s="23">
        <f>BG18+'29.05'!BH18</f>
        <v>388</v>
      </c>
      <c r="BI18" s="22">
        <v>1162</v>
      </c>
      <c r="BJ18" s="23">
        <f>BI18+'29.05'!BJ18</f>
        <v>18831</v>
      </c>
      <c r="BK18" s="22">
        <v>573</v>
      </c>
      <c r="BL18" s="23">
        <f>BK18+'29.05'!BL18</f>
        <v>5833</v>
      </c>
      <c r="BM18" s="22">
        <v>27</v>
      </c>
      <c r="BN18" s="23">
        <f>BM18+'29.05'!BN18</f>
        <v>539</v>
      </c>
      <c r="BO18" s="36">
        <v>442</v>
      </c>
      <c r="BP18" s="37">
        <v>0</v>
      </c>
      <c r="BQ18" s="23">
        <f>BP18+'29.05'!BQ18</f>
        <v>0</v>
      </c>
    </row>
    <row r="19" spans="1:69" ht="27.75" customHeight="1">
      <c r="A19" s="28" t="s">
        <v>54</v>
      </c>
      <c r="B19" s="29">
        <f t="shared" si="0"/>
        <v>1043</v>
      </c>
      <c r="C19" s="30">
        <f t="shared" si="0"/>
        <v>135</v>
      </c>
      <c r="D19" s="31">
        <f t="shared" si="0"/>
        <v>1595</v>
      </c>
      <c r="E19" s="33">
        <v>221</v>
      </c>
      <c r="F19" s="22">
        <v>120</v>
      </c>
      <c r="G19" s="23">
        <f>F19+'29.05'!G19</f>
        <v>565</v>
      </c>
      <c r="H19" s="33">
        <v>8</v>
      </c>
      <c r="I19" s="34">
        <v>0</v>
      </c>
      <c r="J19" s="23">
        <f>I19+'29.05'!J19</f>
        <v>0</v>
      </c>
      <c r="K19" s="33">
        <v>4</v>
      </c>
      <c r="L19" s="22">
        <v>0</v>
      </c>
      <c r="M19" s="23">
        <f>L19+'29.05'!M19</f>
        <v>0</v>
      </c>
      <c r="N19" s="33">
        <v>313</v>
      </c>
      <c r="O19" s="22">
        <v>0</v>
      </c>
      <c r="P19" s="23">
        <f>O19+'29.05'!P19</f>
        <v>227</v>
      </c>
      <c r="Q19" s="33">
        <v>203</v>
      </c>
      <c r="R19" s="22">
        <v>0</v>
      </c>
      <c r="S19" s="23">
        <f>R19+'29.05'!S19</f>
        <v>0</v>
      </c>
      <c r="T19" s="33">
        <v>241</v>
      </c>
      <c r="U19" s="22">
        <v>0</v>
      </c>
      <c r="V19" s="23">
        <f>U19+'29.05'!V19</f>
        <v>0</v>
      </c>
      <c r="W19" s="33">
        <v>14</v>
      </c>
      <c r="X19" s="22">
        <v>0</v>
      </c>
      <c r="Y19" s="23">
        <f>X19+'29.05'!Y19</f>
        <v>487</v>
      </c>
      <c r="Z19" s="33">
        <v>7</v>
      </c>
      <c r="AA19" s="22">
        <v>0</v>
      </c>
      <c r="AB19" s="23">
        <f>AA19+'29.05'!AB19</f>
        <v>0</v>
      </c>
      <c r="AC19" s="33">
        <v>32</v>
      </c>
      <c r="AD19" s="22">
        <v>15</v>
      </c>
      <c r="AE19" s="23">
        <f>AD19+'29.05'!AE19</f>
        <v>316</v>
      </c>
      <c r="AF19" s="19">
        <f t="shared" si="1"/>
        <v>1270000</v>
      </c>
      <c r="AG19" s="20">
        <f t="shared" si="1"/>
        <v>3702800</v>
      </c>
      <c r="AH19" s="24">
        <v>1200</v>
      </c>
      <c r="AI19" s="23">
        <f>AH19+'29.05'!AI19</f>
        <v>17340</v>
      </c>
      <c r="AJ19" s="24">
        <v>268800</v>
      </c>
      <c r="AK19" s="23">
        <f>AJ19+'29.05'!AK19</f>
        <v>730390</v>
      </c>
      <c r="AL19" s="22">
        <v>10000</v>
      </c>
      <c r="AM19" s="23">
        <f>AL19+'29.05'!AM19</f>
        <v>62535</v>
      </c>
      <c r="AN19" s="22">
        <v>990000</v>
      </c>
      <c r="AO19" s="23">
        <f>AN19+'29.05'!AO19</f>
        <v>2892535</v>
      </c>
      <c r="AP19" s="28" t="s">
        <v>54</v>
      </c>
      <c r="AQ19" s="19">
        <f t="shared" si="3"/>
        <v>7</v>
      </c>
      <c r="AR19" s="20">
        <f t="shared" si="3"/>
        <v>27</v>
      </c>
      <c r="AS19" s="34">
        <v>0</v>
      </c>
      <c r="AT19" s="23">
        <f>AS19+'29.05'!AT19</f>
        <v>0</v>
      </c>
      <c r="AU19" s="34">
        <v>7</v>
      </c>
      <c r="AV19" s="23">
        <f>AU19+'29.05'!AV19</f>
        <v>24</v>
      </c>
      <c r="AW19" s="34">
        <v>0</v>
      </c>
      <c r="AX19" s="23">
        <f>AW19+'29.05'!AX19</f>
        <v>1</v>
      </c>
      <c r="AY19" s="34">
        <v>0</v>
      </c>
      <c r="AZ19" s="23">
        <f>AY19+'29.05'!AZ19</f>
        <v>0</v>
      </c>
      <c r="BA19" s="34"/>
      <c r="BB19" s="23">
        <f>BA19+'29.05'!BB19</f>
        <v>2</v>
      </c>
      <c r="BC19" s="19">
        <f t="shared" si="5"/>
        <v>0</v>
      </c>
      <c r="BD19" s="20">
        <f t="shared" si="5"/>
        <v>32464</v>
      </c>
      <c r="BE19" s="22"/>
      <c r="BF19" s="23">
        <f>BE19+'29.05'!BF19</f>
        <v>458</v>
      </c>
      <c r="BG19" s="34"/>
      <c r="BH19" s="23">
        <f>BG19+'29.05'!BH19</f>
        <v>9</v>
      </c>
      <c r="BI19" s="22"/>
      <c r="BJ19" s="23">
        <f>BI19+'29.05'!BJ19</f>
        <v>28700</v>
      </c>
      <c r="BK19" s="22"/>
      <c r="BL19" s="23">
        <f>BK19+'29.05'!BL19</f>
        <v>3120</v>
      </c>
      <c r="BM19" s="22"/>
      <c r="BN19" s="23">
        <f>BM19+'29.05'!BN19</f>
        <v>177</v>
      </c>
      <c r="BO19" s="36">
        <v>2898</v>
      </c>
      <c r="BP19" s="37"/>
      <c r="BQ19" s="23">
        <f>BP19+'29.05'!BQ19</f>
        <v>8</v>
      </c>
    </row>
    <row r="20" spans="1:69" ht="27.75" customHeight="1">
      <c r="A20" s="28" t="s">
        <v>55</v>
      </c>
      <c r="B20" s="29">
        <f t="shared" si="0"/>
        <v>5228</v>
      </c>
      <c r="C20" s="30">
        <f t="shared" si="0"/>
        <v>135</v>
      </c>
      <c r="D20" s="31">
        <f t="shared" si="0"/>
        <v>6801</v>
      </c>
      <c r="E20" s="32">
        <v>723</v>
      </c>
      <c r="F20" s="22">
        <v>83</v>
      </c>
      <c r="G20" s="23">
        <f>F20+'29.05'!G20</f>
        <v>3288</v>
      </c>
      <c r="H20" s="33">
        <v>5</v>
      </c>
      <c r="I20" s="34">
        <v>0</v>
      </c>
      <c r="J20" s="23">
        <f>I20+'29.05'!J20</f>
        <v>27</v>
      </c>
      <c r="K20" s="33">
        <v>3</v>
      </c>
      <c r="L20" s="22">
        <v>0</v>
      </c>
      <c r="M20" s="23">
        <f>L20+'29.05'!M20</f>
        <v>0</v>
      </c>
      <c r="N20" s="33">
        <v>975</v>
      </c>
      <c r="O20" s="22">
        <v>0</v>
      </c>
      <c r="P20" s="23">
        <f>O20+'29.05'!P20</f>
        <v>1534</v>
      </c>
      <c r="Q20" s="61">
        <v>1862</v>
      </c>
      <c r="R20" s="22">
        <v>0</v>
      </c>
      <c r="S20" s="23">
        <f>R20+'29.05'!S20</f>
        <v>28</v>
      </c>
      <c r="T20" s="33">
        <v>35</v>
      </c>
      <c r="U20" s="22">
        <v>1</v>
      </c>
      <c r="V20" s="23">
        <f>U20+'29.05'!V20</f>
        <v>29</v>
      </c>
      <c r="W20" s="33">
        <v>64</v>
      </c>
      <c r="X20" s="22">
        <v>1</v>
      </c>
      <c r="Y20" s="23">
        <f>X20+'29.05'!Y20</f>
        <v>32</v>
      </c>
      <c r="Z20" s="33">
        <v>15</v>
      </c>
      <c r="AA20" s="22">
        <v>1</v>
      </c>
      <c r="AB20" s="23">
        <f>AA20+'29.05'!AB20</f>
        <v>35</v>
      </c>
      <c r="AC20" s="33">
        <v>1546</v>
      </c>
      <c r="AD20" s="22">
        <v>49</v>
      </c>
      <c r="AE20" s="23">
        <f>AD20+'29.05'!AE20</f>
        <v>1828</v>
      </c>
      <c r="AF20" s="19">
        <f t="shared" si="1"/>
        <v>21420</v>
      </c>
      <c r="AG20" s="20">
        <f t="shared" si="1"/>
        <v>551846</v>
      </c>
      <c r="AH20" s="24">
        <v>13510</v>
      </c>
      <c r="AI20" s="23">
        <f>AH20+'29.05'!AI20</f>
        <v>253214</v>
      </c>
      <c r="AJ20" s="24">
        <v>6910</v>
      </c>
      <c r="AK20" s="23">
        <f>AJ20+'29.05'!AK20</f>
        <v>272122</v>
      </c>
      <c r="AL20" s="22">
        <v>500</v>
      </c>
      <c r="AM20" s="23">
        <f>AL20+'29.05'!AM20</f>
        <v>14250</v>
      </c>
      <c r="AN20" s="22">
        <v>500</v>
      </c>
      <c r="AO20" s="23">
        <f>AN20+'29.05'!AO20</f>
        <v>12260</v>
      </c>
      <c r="AP20" s="28" t="s">
        <v>55</v>
      </c>
      <c r="AQ20" s="19">
        <f t="shared" si="3"/>
        <v>1951</v>
      </c>
      <c r="AR20" s="20">
        <f t="shared" si="3"/>
        <v>5648</v>
      </c>
      <c r="AS20" s="34">
        <v>1</v>
      </c>
      <c r="AT20" s="23">
        <f>AS20+'29.05'!AT20</f>
        <v>30</v>
      </c>
      <c r="AU20" s="34">
        <v>0</v>
      </c>
      <c r="AV20" s="23">
        <f>AU20+'29.05'!AV20</f>
        <v>0</v>
      </c>
      <c r="AW20" s="34">
        <v>0</v>
      </c>
      <c r="AX20" s="23">
        <f>AW20+'29.05'!AX20</f>
        <v>0</v>
      </c>
      <c r="AY20" s="34">
        <v>0</v>
      </c>
      <c r="AZ20" s="23">
        <f>AY20+'29.05'!AZ20</f>
        <v>0</v>
      </c>
      <c r="BA20" s="34">
        <v>1950</v>
      </c>
      <c r="BB20" s="23">
        <f>BA20+'29.05'!BB20</f>
        <v>5618</v>
      </c>
      <c r="BC20" s="19">
        <f t="shared" si="5"/>
        <v>3678</v>
      </c>
      <c r="BD20" s="20">
        <f t="shared" si="5"/>
        <v>106182</v>
      </c>
      <c r="BE20" s="22">
        <v>2</v>
      </c>
      <c r="BF20" s="23">
        <f>BE20+'29.05'!BF20</f>
        <v>60</v>
      </c>
      <c r="BG20" s="34">
        <v>0</v>
      </c>
      <c r="BH20" s="23">
        <f>BG20+'29.05'!BH20</f>
        <v>0</v>
      </c>
      <c r="BI20" s="22">
        <v>1365</v>
      </c>
      <c r="BJ20" s="23">
        <f>BI20+'29.05'!BJ20</f>
        <v>50797</v>
      </c>
      <c r="BK20" s="22">
        <v>2310</v>
      </c>
      <c r="BL20" s="23">
        <f>BK20+'29.05'!BL20</f>
        <v>55265</v>
      </c>
      <c r="BM20" s="22">
        <v>1</v>
      </c>
      <c r="BN20" s="23">
        <f>BM20+'29.05'!BN20</f>
        <v>60</v>
      </c>
      <c r="BO20" s="36">
        <v>5854</v>
      </c>
      <c r="BP20" s="37">
        <v>0</v>
      </c>
      <c r="BQ20" s="23">
        <f>BP20+'29.05'!BQ20</f>
        <v>2</v>
      </c>
    </row>
    <row r="21" spans="1:69" ht="27.75" customHeight="1">
      <c r="A21" s="28" t="s">
        <v>58</v>
      </c>
      <c r="B21" s="29">
        <f t="shared" si="0"/>
        <v>3266</v>
      </c>
      <c r="C21" s="30">
        <f t="shared" si="0"/>
        <v>205</v>
      </c>
      <c r="D21" s="31">
        <f t="shared" si="0"/>
        <v>6368</v>
      </c>
      <c r="E21" s="32">
        <v>1017</v>
      </c>
      <c r="F21" s="22">
        <v>170</v>
      </c>
      <c r="G21" s="23">
        <f>F21+'29.05'!G21</f>
        <v>4454</v>
      </c>
      <c r="H21" s="33">
        <v>8</v>
      </c>
      <c r="I21" s="34">
        <v>0</v>
      </c>
      <c r="J21" s="23">
        <f>I21+'29.05'!J21</f>
        <v>137</v>
      </c>
      <c r="K21" s="33">
        <v>4</v>
      </c>
      <c r="L21" s="22">
        <v>0</v>
      </c>
      <c r="M21" s="23">
        <f>L21+'29.05'!M21</f>
        <v>21</v>
      </c>
      <c r="N21" s="33">
        <v>963</v>
      </c>
      <c r="O21" s="22">
        <v>0</v>
      </c>
      <c r="P21" s="23">
        <f>O21+'29.05'!P21</f>
        <v>57</v>
      </c>
      <c r="Q21" s="33">
        <v>912</v>
      </c>
      <c r="R21" s="22">
        <v>0</v>
      </c>
      <c r="S21" s="23">
        <f>R21+'29.05'!S21</f>
        <v>0</v>
      </c>
      <c r="T21" s="33">
        <v>199</v>
      </c>
      <c r="U21" s="22">
        <v>0</v>
      </c>
      <c r="V21" s="23">
        <f>U21+'29.05'!V21</f>
        <v>100</v>
      </c>
      <c r="W21" s="33">
        <v>101</v>
      </c>
      <c r="X21" s="22">
        <v>11</v>
      </c>
      <c r="Y21" s="23">
        <f>X21+'29.05'!Y21</f>
        <v>358</v>
      </c>
      <c r="Z21" s="33">
        <v>42</v>
      </c>
      <c r="AA21" s="22">
        <v>0</v>
      </c>
      <c r="AB21" s="23">
        <f>AA21+'29.05'!AB21</f>
        <v>2</v>
      </c>
      <c r="AC21" s="33">
        <v>20</v>
      </c>
      <c r="AD21" s="22">
        <v>24</v>
      </c>
      <c r="AE21" s="23">
        <f>AD21+'29.05'!AE21</f>
        <v>1239</v>
      </c>
      <c r="AF21" s="19">
        <f t="shared" si="1"/>
        <v>1180000</v>
      </c>
      <c r="AG21" s="20">
        <f t="shared" si="1"/>
        <v>33665440</v>
      </c>
      <c r="AH21" s="24">
        <v>1000</v>
      </c>
      <c r="AI21" s="23">
        <f>AH21+'29.05'!AI21</f>
        <v>35510</v>
      </c>
      <c r="AJ21" s="24">
        <v>179000</v>
      </c>
      <c r="AK21" s="23">
        <f>AJ21+'29.05'!AK21</f>
        <v>5594600</v>
      </c>
      <c r="AL21" s="22">
        <v>30000</v>
      </c>
      <c r="AM21" s="23">
        <f>AL21+'29.05'!AM21</f>
        <v>153630</v>
      </c>
      <c r="AN21" s="22">
        <v>970000</v>
      </c>
      <c r="AO21" s="23">
        <f>AN21+'29.05'!AO21</f>
        <v>27881700</v>
      </c>
      <c r="AP21" s="28" t="s">
        <v>58</v>
      </c>
      <c r="AQ21" s="19">
        <f t="shared" si="3"/>
        <v>11</v>
      </c>
      <c r="AR21" s="20">
        <f t="shared" si="3"/>
        <v>160</v>
      </c>
      <c r="AS21" s="34">
        <v>0</v>
      </c>
      <c r="AT21" s="23">
        <f>AS21+'29.05'!AT21</f>
        <v>3</v>
      </c>
      <c r="AU21" s="34">
        <v>7</v>
      </c>
      <c r="AV21" s="23">
        <f>AU21+'29.05'!AV21</f>
        <v>58</v>
      </c>
      <c r="AW21" s="34">
        <v>0</v>
      </c>
      <c r="AX21" s="23">
        <f>AW21+'29.05'!AX21</f>
        <v>1</v>
      </c>
      <c r="AY21" s="34">
        <v>0</v>
      </c>
      <c r="AZ21" s="23">
        <f>AY21+'29.05'!AZ21</f>
        <v>0</v>
      </c>
      <c r="BA21" s="34">
        <v>4</v>
      </c>
      <c r="BB21" s="23">
        <f>BA21+'29.05'!BB21</f>
        <v>98</v>
      </c>
      <c r="BC21" s="19">
        <f t="shared" si="5"/>
        <v>1550</v>
      </c>
      <c r="BD21" s="20">
        <f t="shared" si="5"/>
        <v>48101</v>
      </c>
      <c r="BE21" s="22">
        <v>40</v>
      </c>
      <c r="BF21" s="23">
        <f>BE21+'29.05'!BF21</f>
        <v>1579</v>
      </c>
      <c r="BG21" s="34">
        <v>0</v>
      </c>
      <c r="BH21" s="23">
        <f>BG21+'29.05'!BH21</f>
        <v>0</v>
      </c>
      <c r="BI21" s="22">
        <v>1500</v>
      </c>
      <c r="BJ21" s="23">
        <f>BI21+'29.05'!BJ21</f>
        <v>46250</v>
      </c>
      <c r="BK21" s="22">
        <v>0</v>
      </c>
      <c r="BL21" s="23">
        <f>BK21+'29.05'!BL21</f>
        <v>0</v>
      </c>
      <c r="BM21" s="22">
        <v>10</v>
      </c>
      <c r="BN21" s="23">
        <f>BM21+'29.05'!BN21</f>
        <v>272</v>
      </c>
      <c r="BO21" s="36">
        <v>68</v>
      </c>
      <c r="BP21" s="37">
        <v>1</v>
      </c>
      <c r="BQ21" s="23">
        <f>BP21+'29.05'!BQ21</f>
        <v>35</v>
      </c>
    </row>
    <row r="22" spans="1:69" ht="27.75" customHeight="1" thickBot="1">
      <c r="A22" s="28" t="s">
        <v>59</v>
      </c>
      <c r="B22" s="29">
        <f t="shared" si="0"/>
        <v>1787</v>
      </c>
      <c r="C22" s="30">
        <f t="shared" si="0"/>
        <v>1896</v>
      </c>
      <c r="D22" s="31">
        <f t="shared" si="0"/>
        <v>60701</v>
      </c>
      <c r="E22" s="32">
        <v>509</v>
      </c>
      <c r="F22" s="22">
        <v>403</v>
      </c>
      <c r="G22" s="23">
        <f>F22+'29.05'!G22</f>
        <v>10566</v>
      </c>
      <c r="H22" s="33">
        <v>8</v>
      </c>
      <c r="I22" s="34">
        <v>0</v>
      </c>
      <c r="J22" s="23">
        <f>I22+'29.05'!J22</f>
        <v>24</v>
      </c>
      <c r="K22" s="33">
        <v>21</v>
      </c>
      <c r="L22" s="22">
        <v>0</v>
      </c>
      <c r="M22" s="23">
        <f>L22+'29.05'!M22</f>
        <v>0</v>
      </c>
      <c r="N22" s="33">
        <v>560</v>
      </c>
      <c r="O22" s="22">
        <v>0</v>
      </c>
      <c r="P22" s="23">
        <f>O22+'29.05'!P22</f>
        <v>1361</v>
      </c>
      <c r="Q22" s="33">
        <v>375</v>
      </c>
      <c r="R22" s="22">
        <v>0</v>
      </c>
      <c r="S22" s="23">
        <f>R22+'29.05'!S22</f>
        <v>0</v>
      </c>
      <c r="T22" s="33">
        <v>165</v>
      </c>
      <c r="U22" s="22">
        <v>17</v>
      </c>
      <c r="V22" s="23">
        <f>U22+'29.05'!V22</f>
        <v>682</v>
      </c>
      <c r="W22" s="33">
        <v>28</v>
      </c>
      <c r="X22" s="22">
        <v>108</v>
      </c>
      <c r="Y22" s="23">
        <f>X22+'29.05'!Y22</f>
        <v>2498</v>
      </c>
      <c r="Z22" s="33">
        <v>9</v>
      </c>
      <c r="AA22" s="22">
        <v>0</v>
      </c>
      <c r="AB22" s="23">
        <f>AA22+'29.05'!AB22</f>
        <v>0</v>
      </c>
      <c r="AC22" s="33">
        <v>112</v>
      </c>
      <c r="AD22" s="22">
        <v>1368</v>
      </c>
      <c r="AE22" s="23">
        <f>AD22+'29.05'!AE22</f>
        <v>45570</v>
      </c>
      <c r="AF22" s="19">
        <f t="shared" si="1"/>
        <v>410752</v>
      </c>
      <c r="AG22" s="20">
        <f t="shared" si="1"/>
        <v>12240680</v>
      </c>
      <c r="AH22" s="24">
        <v>1107</v>
      </c>
      <c r="AI22" s="23">
        <f>AH22+'29.05'!AI22</f>
        <v>59706</v>
      </c>
      <c r="AJ22" s="24">
        <v>7528</v>
      </c>
      <c r="AK22" s="23">
        <f>AJ22+'29.05'!AK22</f>
        <v>209915</v>
      </c>
      <c r="AL22" s="22">
        <v>11127</v>
      </c>
      <c r="AM22" s="23">
        <f>AL22+'29.05'!AM22</f>
        <v>346745</v>
      </c>
      <c r="AN22" s="22">
        <v>390990</v>
      </c>
      <c r="AO22" s="23">
        <f>AN22+'29.05'!AO22</f>
        <v>11624314</v>
      </c>
      <c r="AP22" s="28" t="s">
        <v>59</v>
      </c>
      <c r="AQ22" s="19">
        <f t="shared" si="3"/>
        <v>274</v>
      </c>
      <c r="AR22" s="20">
        <f t="shared" si="3"/>
        <v>40960</v>
      </c>
      <c r="AS22" s="34">
        <v>1</v>
      </c>
      <c r="AT22" s="23">
        <f>AS22+'29.05'!AT22</f>
        <v>16</v>
      </c>
      <c r="AU22" s="34">
        <v>1</v>
      </c>
      <c r="AV22" s="23">
        <f>AU22+'29.05'!AV22</f>
        <v>14</v>
      </c>
      <c r="AW22" s="34">
        <v>0</v>
      </c>
      <c r="AX22" s="23">
        <f>AU22</f>
        <v>1</v>
      </c>
      <c r="AY22" s="34">
        <v>0</v>
      </c>
      <c r="AZ22" s="23">
        <f>AY22+'29.05'!AZ22</f>
        <v>1</v>
      </c>
      <c r="BA22" s="34">
        <v>272</v>
      </c>
      <c r="BB22" s="23">
        <f>BA22+'29.05'!BB22</f>
        <v>40928</v>
      </c>
      <c r="BC22" s="19">
        <f t="shared" si="5"/>
        <v>7231</v>
      </c>
      <c r="BD22" s="20">
        <f t="shared" si="5"/>
        <v>201840</v>
      </c>
      <c r="BE22" s="22">
        <v>11</v>
      </c>
      <c r="BF22" s="23">
        <f>BE22+'29.05'!BF22</f>
        <v>200</v>
      </c>
      <c r="BG22" s="34">
        <v>62</v>
      </c>
      <c r="BH22" s="23">
        <f>BG22+'29.05'!BH22</f>
        <v>1862</v>
      </c>
      <c r="BI22" s="22">
        <v>4093</v>
      </c>
      <c r="BJ22" s="23">
        <f>BI22+'29.05'!BJ22</f>
        <v>124919</v>
      </c>
      <c r="BK22" s="22">
        <v>3001</v>
      </c>
      <c r="BL22" s="23">
        <f>BK22+'29.05'!BL22</f>
        <v>73141</v>
      </c>
      <c r="BM22" s="22">
        <v>64</v>
      </c>
      <c r="BN22" s="23">
        <f>BM22+'29.05'!BN22</f>
        <v>1718</v>
      </c>
      <c r="BO22" s="36">
        <v>26</v>
      </c>
      <c r="BP22" s="37">
        <v>2</v>
      </c>
      <c r="BQ22" s="23">
        <f>BP22+'29.05'!BQ22</f>
        <v>1727</v>
      </c>
    </row>
    <row r="23" spans="1:69" ht="27.75" customHeight="1" thickBot="1">
      <c r="A23" s="62" t="s">
        <v>12</v>
      </c>
      <c r="B23" s="63">
        <f t="shared" si="0"/>
        <v>94994</v>
      </c>
      <c r="C23" s="64">
        <f t="shared" si="0"/>
        <v>3725</v>
      </c>
      <c r="D23" s="65">
        <f t="shared" si="0"/>
        <v>120725</v>
      </c>
      <c r="E23" s="66">
        <f>+E18+E19+E22+E17+E16+E15+E14+E13+E12+E11+E10+E9+E8</f>
        <v>7282</v>
      </c>
      <c r="F23" s="67">
        <f t="shared" ref="F23:J23" si="7">SUM(F8:F22)</f>
        <v>1447</v>
      </c>
      <c r="G23" s="68">
        <f t="shared" si="7"/>
        <v>44793</v>
      </c>
      <c r="H23" s="66">
        <f>+H18+H19+H22+H17+H16+H15+H14+H13+H12+H11+H10+H9+H8</f>
        <v>274</v>
      </c>
      <c r="I23" s="67">
        <f t="shared" si="7"/>
        <v>0</v>
      </c>
      <c r="J23" s="68">
        <f t="shared" si="7"/>
        <v>342</v>
      </c>
      <c r="K23" s="66">
        <f>+K18+K19+K22+K17+K16+K15+K14+K13+K12+K11+K10+K9+K8</f>
        <v>163</v>
      </c>
      <c r="L23" s="67">
        <f t="shared" ref="L23:P23" si="8">SUM(L8:L22)</f>
        <v>0</v>
      </c>
      <c r="M23" s="68">
        <f t="shared" si="8"/>
        <v>40</v>
      </c>
      <c r="N23" s="66">
        <f>+N18+N19+N22+N17+N16+N15+N14+N13+N12+N11+N10+N9+N8</f>
        <v>8607</v>
      </c>
      <c r="O23" s="67">
        <f t="shared" si="8"/>
        <v>0</v>
      </c>
      <c r="P23" s="68">
        <f t="shared" si="8"/>
        <v>3964</v>
      </c>
      <c r="Q23" s="66">
        <f>+Q18+Q19+Q22+Q17+Q16+Q15+Q14+Q13+Q12+Q11+Q10+Q9+Q8</f>
        <v>7474</v>
      </c>
      <c r="R23" s="67">
        <f t="shared" ref="R23:V23" si="9">SUM(R8:R22)</f>
        <v>0</v>
      </c>
      <c r="S23" s="68">
        <f t="shared" si="9"/>
        <v>179</v>
      </c>
      <c r="T23" s="66">
        <f>+T18+T19+T22+T17+T16+T15+T14+T13+T12+T11+T10+T9+T8</f>
        <v>4115</v>
      </c>
      <c r="U23" s="67">
        <f t="shared" si="9"/>
        <v>18</v>
      </c>
      <c r="V23" s="68">
        <f t="shared" si="9"/>
        <v>1018</v>
      </c>
      <c r="W23" s="66">
        <f>+W18+W19+W22+W17+W16+W15+W14+W13+W12+W11+W10+W9+W8</f>
        <v>604</v>
      </c>
      <c r="X23" s="67">
        <f t="shared" ref="X23:AB23" si="10">SUM(X8:X22)</f>
        <v>479</v>
      </c>
      <c r="Y23" s="68">
        <f t="shared" si="10"/>
        <v>12894</v>
      </c>
      <c r="Z23" s="66">
        <f>+Z18+Z19+Z22+Z17+Z16+Z15+Z14+Z13+Z12+Z11+Z10+Z9+Z8</f>
        <v>1629</v>
      </c>
      <c r="AA23" s="67">
        <f t="shared" si="10"/>
        <v>1</v>
      </c>
      <c r="AB23" s="68">
        <f t="shared" si="10"/>
        <v>88</v>
      </c>
      <c r="AC23" s="66">
        <f>+AC18+AC19+AC22+AC17+AC16+AC15+AC14+AC13+AC12+AC11+AC10+AC9+AC8</f>
        <v>64846</v>
      </c>
      <c r="AD23" s="67">
        <f t="shared" ref="AD23:AO23" si="11">SUM(AD8:AD22)</f>
        <v>1780</v>
      </c>
      <c r="AE23" s="68">
        <f t="shared" si="11"/>
        <v>57407</v>
      </c>
      <c r="AF23" s="64">
        <f t="shared" si="11"/>
        <v>5282246</v>
      </c>
      <c r="AG23" s="64">
        <f t="shared" si="11"/>
        <v>136296819</v>
      </c>
      <c r="AH23" s="67">
        <f t="shared" si="11"/>
        <v>28940</v>
      </c>
      <c r="AI23" s="68">
        <f t="shared" si="11"/>
        <v>931938</v>
      </c>
      <c r="AJ23" s="67">
        <f t="shared" si="11"/>
        <v>507945</v>
      </c>
      <c r="AK23" s="68">
        <f t="shared" si="11"/>
        <v>8451135</v>
      </c>
      <c r="AL23" s="67">
        <f t="shared" si="11"/>
        <v>957928</v>
      </c>
      <c r="AM23" s="68">
        <f t="shared" si="11"/>
        <v>39102336</v>
      </c>
      <c r="AN23" s="67">
        <f t="shared" si="11"/>
        <v>3787433</v>
      </c>
      <c r="AO23" s="68">
        <f t="shared" si="11"/>
        <v>87811410</v>
      </c>
      <c r="AP23" s="62" t="s">
        <v>12</v>
      </c>
      <c r="AQ23" s="64">
        <f t="shared" ref="AQ23:BP23" si="12">SUM(AQ8:AQ22)</f>
        <v>2509</v>
      </c>
      <c r="AR23" s="64">
        <f t="shared" si="12"/>
        <v>56749</v>
      </c>
      <c r="AS23" s="67">
        <f t="shared" si="12"/>
        <v>4</v>
      </c>
      <c r="AT23" s="68">
        <f t="shared" si="12"/>
        <v>136</v>
      </c>
      <c r="AU23" s="67">
        <f t="shared" si="12"/>
        <v>16</v>
      </c>
      <c r="AV23" s="68">
        <f t="shared" si="12"/>
        <v>200</v>
      </c>
      <c r="AW23" s="67">
        <f t="shared" si="12"/>
        <v>0</v>
      </c>
      <c r="AX23" s="68">
        <f t="shared" si="12"/>
        <v>26</v>
      </c>
      <c r="AY23" s="67">
        <f t="shared" si="12"/>
        <v>0</v>
      </c>
      <c r="AZ23" s="68">
        <f t="shared" si="12"/>
        <v>6</v>
      </c>
      <c r="BA23" s="67">
        <f t="shared" si="12"/>
        <v>2489</v>
      </c>
      <c r="BB23" s="68">
        <f t="shared" si="12"/>
        <v>56381</v>
      </c>
      <c r="BC23" s="64">
        <f t="shared" si="12"/>
        <v>34307</v>
      </c>
      <c r="BD23" s="64">
        <f t="shared" si="12"/>
        <v>1198263</v>
      </c>
      <c r="BE23" s="67">
        <f t="shared" si="12"/>
        <v>2052</v>
      </c>
      <c r="BF23" s="68">
        <f t="shared" si="12"/>
        <v>45683</v>
      </c>
      <c r="BG23" s="67">
        <f t="shared" si="12"/>
        <v>100</v>
      </c>
      <c r="BH23" s="68">
        <f t="shared" si="12"/>
        <v>3842</v>
      </c>
      <c r="BI23" s="67">
        <f t="shared" si="12"/>
        <v>24051</v>
      </c>
      <c r="BJ23" s="68">
        <f t="shared" si="12"/>
        <v>912618</v>
      </c>
      <c r="BK23" s="67">
        <f t="shared" si="12"/>
        <v>7919</v>
      </c>
      <c r="BL23" s="68">
        <f t="shared" si="12"/>
        <v>229406</v>
      </c>
      <c r="BM23" s="67">
        <f t="shared" si="12"/>
        <v>185</v>
      </c>
      <c r="BN23" s="68">
        <f t="shared" si="12"/>
        <v>6714</v>
      </c>
      <c r="BO23" s="69">
        <f t="shared" si="12"/>
        <v>37704</v>
      </c>
      <c r="BP23" s="70">
        <f t="shared" si="12"/>
        <v>8</v>
      </c>
      <c r="BQ23" s="23">
        <f>BP23+'20.04'!BP23</f>
        <v>34</v>
      </c>
    </row>
  </sheetData>
  <mergeCells count="44">
    <mergeCell ref="A1:AO1"/>
    <mergeCell ref="AP1:BQ1"/>
    <mergeCell ref="A2:AO2"/>
    <mergeCell ref="AP2:BQ2"/>
    <mergeCell ref="A3:AO3"/>
    <mergeCell ref="AP3:BQ3"/>
    <mergeCell ref="A4:A7"/>
    <mergeCell ref="B4:AE4"/>
    <mergeCell ref="AF4:AO4"/>
    <mergeCell ref="AP4:AP7"/>
    <mergeCell ref="AQ4:BB4"/>
    <mergeCell ref="AC5:AE6"/>
    <mergeCell ref="AF5:AG6"/>
    <mergeCell ref="AH5:AK5"/>
    <mergeCell ref="AL5:AO5"/>
    <mergeCell ref="AQ6:AR6"/>
    <mergeCell ref="AS6:AT6"/>
    <mergeCell ref="AU6:AV6"/>
    <mergeCell ref="AW6:AX6"/>
    <mergeCell ref="AY6:AZ6"/>
    <mergeCell ref="BO4:BQ4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BC4:BN4"/>
    <mergeCell ref="BO5:BQ5"/>
    <mergeCell ref="AH6:AI6"/>
    <mergeCell ref="AJ6:AK6"/>
    <mergeCell ref="AL6:AM6"/>
    <mergeCell ref="AN6:AO6"/>
    <mergeCell ref="BM6:BN6"/>
    <mergeCell ref="BO6:BQ6"/>
    <mergeCell ref="BA6:BB6"/>
    <mergeCell ref="BC6:BD6"/>
    <mergeCell ref="BE6:BF6"/>
    <mergeCell ref="BG6:BH6"/>
    <mergeCell ref="BI6:BJ6"/>
    <mergeCell ref="BK6:BL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512E-2B21-40FA-BC0C-3E115449E274}">
  <sheetPr>
    <tabColor rgb="FFFFFF00"/>
  </sheetPr>
  <dimension ref="A1:BE25"/>
  <sheetViews>
    <sheetView tabSelected="1" zoomScale="70" zoomScaleNormal="70" workbookViewId="0">
      <pane xSplit="5" ySplit="7" topLeftCell="F8" activePane="bottomRight" state="frozen"/>
      <selection activeCell="AL15" sqref="AL15"/>
      <selection pane="topRight" activeCell="AL15" sqref="AL15"/>
      <selection pane="bottomLeft" activeCell="AL15" sqref="AL15"/>
      <selection pane="bottomRight" activeCell="AH9" sqref="AH9"/>
    </sheetView>
  </sheetViews>
  <sheetFormatPr defaultColWidth="9" defaultRowHeight="15"/>
  <cols>
    <col min="1" max="1" width="5.28515625" customWidth="1"/>
    <col min="2" max="2" width="22.42578125" customWidth="1"/>
    <col min="3" max="3" width="20.42578125" customWidth="1"/>
    <col min="4" max="5" width="6.85546875" customWidth="1"/>
    <col min="6" max="6" width="8.140625" customWidth="1"/>
    <col min="7" max="25" width="5.7109375" customWidth="1"/>
    <col min="26" max="27" width="8" hidden="1" customWidth="1"/>
    <col min="28" max="29" width="9.85546875" customWidth="1"/>
    <col min="30" max="33" width="11.140625" customWidth="1"/>
    <col min="34" max="34" width="31.42578125" customWidth="1"/>
    <col min="35" max="43" width="7.5703125" customWidth="1"/>
    <col min="44" max="45" width="9.5703125" customWidth="1"/>
    <col min="46" max="46" width="9.85546875" customWidth="1"/>
    <col min="47" max="54" width="7.5703125" customWidth="1"/>
    <col min="55" max="55" width="10.28515625" customWidth="1"/>
    <col min="56" max="56" width="16" customWidth="1"/>
  </cols>
  <sheetData>
    <row r="1" spans="1:57" ht="19.5" customHeight="1">
      <c r="A1" s="162" t="s">
        <v>89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203"/>
      <c r="BA1" s="203"/>
      <c r="BB1" s="203"/>
      <c r="BC1" s="203"/>
    </row>
    <row r="2" spans="1:57" ht="19.5" customHeight="1">
      <c r="B2" s="162" t="s">
        <v>2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106"/>
      <c r="BB2" s="106"/>
      <c r="BC2" s="106"/>
    </row>
    <row r="3" spans="1:57" ht="15.75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204"/>
      <c r="AF3" s="204"/>
      <c r="AG3" s="204"/>
      <c r="AH3" s="104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205" t="e">
        <f>+#REF!</f>
        <v>#REF!</v>
      </c>
      <c r="AZ3" s="205"/>
      <c r="BA3" s="205"/>
      <c r="BB3" s="205"/>
      <c r="BC3" s="205"/>
    </row>
    <row r="4" spans="1:57" ht="29.25" customHeight="1">
      <c r="A4" s="195" t="s">
        <v>88</v>
      </c>
      <c r="B4" s="198" t="s">
        <v>6</v>
      </c>
      <c r="C4" s="183" t="s">
        <v>98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5"/>
      <c r="AB4" s="199" t="s">
        <v>90</v>
      </c>
      <c r="AC4" s="199"/>
      <c r="AD4" s="199"/>
      <c r="AE4" s="199"/>
      <c r="AF4" s="199"/>
      <c r="AG4" s="199"/>
      <c r="AH4" s="198" t="s">
        <v>6</v>
      </c>
      <c r="AI4" s="172" t="s">
        <v>9</v>
      </c>
      <c r="AJ4" s="173"/>
      <c r="AK4" s="173"/>
      <c r="AL4" s="173"/>
      <c r="AM4" s="173"/>
      <c r="AN4" s="173"/>
      <c r="AO4" s="173"/>
      <c r="AP4" s="173"/>
      <c r="AQ4" s="174"/>
      <c r="AR4" s="171" t="s">
        <v>10</v>
      </c>
      <c r="AS4" s="171"/>
      <c r="AT4" s="171"/>
      <c r="AU4" s="171"/>
      <c r="AV4" s="171"/>
      <c r="AW4" s="171"/>
      <c r="AX4" s="171"/>
      <c r="AY4" s="186" t="s">
        <v>96</v>
      </c>
      <c r="AZ4" s="188"/>
      <c r="BA4" s="186" t="s">
        <v>97</v>
      </c>
      <c r="BB4" s="188"/>
      <c r="BC4" s="187"/>
      <c r="BD4" s="181" t="s">
        <v>102</v>
      </c>
      <c r="BE4" s="182"/>
    </row>
    <row r="5" spans="1:57" ht="29.25" customHeight="1">
      <c r="A5" s="196"/>
      <c r="B5" s="198"/>
      <c r="C5" s="168" t="s">
        <v>80</v>
      </c>
      <c r="D5" s="200" t="s">
        <v>81</v>
      </c>
      <c r="E5" s="201"/>
      <c r="F5" s="169" t="s">
        <v>85</v>
      </c>
      <c r="G5" s="169"/>
      <c r="H5" s="169" t="s">
        <v>83</v>
      </c>
      <c r="I5" s="169"/>
      <c r="J5" s="169" t="s">
        <v>91</v>
      </c>
      <c r="K5" s="169"/>
      <c r="L5" s="169" t="s">
        <v>18</v>
      </c>
      <c r="M5" s="169"/>
      <c r="N5" s="169" t="s">
        <v>92</v>
      </c>
      <c r="O5" s="169"/>
      <c r="P5" s="169" t="s">
        <v>93</v>
      </c>
      <c r="Q5" s="169"/>
      <c r="R5" s="169" t="s">
        <v>95</v>
      </c>
      <c r="S5" s="169"/>
      <c r="T5" s="169" t="s">
        <v>94</v>
      </c>
      <c r="U5" s="169"/>
      <c r="V5" s="175" t="s">
        <v>82</v>
      </c>
      <c r="W5" s="175"/>
      <c r="X5" s="169" t="s">
        <v>21</v>
      </c>
      <c r="Y5" s="169"/>
      <c r="Z5" s="176" t="s">
        <v>86</v>
      </c>
      <c r="AA5" s="177"/>
      <c r="AB5" s="168" t="s">
        <v>12</v>
      </c>
      <c r="AC5" s="168"/>
      <c r="AD5" s="180"/>
      <c r="AE5" s="180"/>
      <c r="AF5" s="180"/>
      <c r="AG5" s="180"/>
      <c r="AH5" s="198"/>
      <c r="AI5" s="168" t="s">
        <v>26</v>
      </c>
      <c r="AJ5" s="168"/>
      <c r="AK5" s="169"/>
      <c r="AL5" s="169"/>
      <c r="AM5" s="169"/>
      <c r="AN5" s="170"/>
      <c r="AO5" s="171"/>
      <c r="AP5" s="171"/>
      <c r="AQ5" s="171"/>
      <c r="AR5" s="183" t="s">
        <v>87</v>
      </c>
      <c r="AS5" s="184"/>
      <c r="AT5" s="184"/>
      <c r="AU5" s="184"/>
      <c r="AV5" s="184"/>
      <c r="AW5" s="184"/>
      <c r="AX5" s="185"/>
      <c r="AY5" s="189"/>
      <c r="AZ5" s="191"/>
      <c r="BA5" s="189"/>
      <c r="BB5" s="191"/>
      <c r="BC5" s="190"/>
      <c r="BD5" s="181"/>
      <c r="BE5" s="182"/>
    </row>
    <row r="6" spans="1:57" ht="67.5" customHeight="1">
      <c r="A6" s="196"/>
      <c r="B6" s="198"/>
      <c r="C6" s="168"/>
      <c r="D6" s="107" t="s">
        <v>100</v>
      </c>
      <c r="E6" s="108" t="s">
        <v>99</v>
      </c>
      <c r="F6" s="169"/>
      <c r="G6" s="169"/>
      <c r="H6" s="202" t="s">
        <v>84</v>
      </c>
      <c r="I6" s="167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75"/>
      <c r="W6" s="175"/>
      <c r="X6" s="169"/>
      <c r="Y6" s="169"/>
      <c r="Z6" s="178"/>
      <c r="AA6" s="179"/>
      <c r="AB6" s="168"/>
      <c r="AC6" s="168"/>
      <c r="AD6" s="117"/>
      <c r="AE6" s="117"/>
      <c r="AF6" s="117"/>
      <c r="AG6" s="117"/>
      <c r="AH6" s="198"/>
      <c r="AI6" s="168"/>
      <c r="AJ6" s="168"/>
      <c r="AK6" s="169"/>
      <c r="AL6" s="169"/>
      <c r="AM6" s="169"/>
      <c r="AN6" s="170"/>
      <c r="AO6" s="118"/>
      <c r="AP6" s="118"/>
      <c r="AQ6" s="118"/>
      <c r="AR6" s="168" t="s">
        <v>26</v>
      </c>
      <c r="AS6" s="168"/>
      <c r="AT6" s="117"/>
      <c r="AU6" s="117"/>
      <c r="AV6" s="117"/>
      <c r="AW6" s="117"/>
      <c r="AX6" s="117"/>
      <c r="AY6" s="192"/>
      <c r="AZ6" s="194"/>
      <c r="BA6" s="192"/>
      <c r="BB6" s="194"/>
      <c r="BC6" s="193"/>
      <c r="BD6" s="181"/>
      <c r="BE6" s="182"/>
    </row>
    <row r="7" spans="1:57" ht="93.75" customHeight="1">
      <c r="A7" s="197"/>
      <c r="B7" s="198"/>
      <c r="C7" s="98" t="s">
        <v>38</v>
      </c>
      <c r="D7" s="76"/>
      <c r="E7" s="77"/>
      <c r="F7" s="75" t="s">
        <v>38</v>
      </c>
      <c r="G7" s="77" t="s">
        <v>39</v>
      </c>
      <c r="H7" s="75" t="s">
        <v>38</v>
      </c>
      <c r="I7" s="77" t="s">
        <v>39</v>
      </c>
      <c r="J7" s="75" t="s">
        <v>38</v>
      </c>
      <c r="K7" s="77" t="s">
        <v>39</v>
      </c>
      <c r="L7" s="75" t="s">
        <v>38</v>
      </c>
      <c r="M7" s="77" t="s">
        <v>39</v>
      </c>
      <c r="N7" s="75" t="s">
        <v>38</v>
      </c>
      <c r="O7" s="77" t="s">
        <v>39</v>
      </c>
      <c r="P7" s="75" t="s">
        <v>38</v>
      </c>
      <c r="Q7" s="77" t="s">
        <v>39</v>
      </c>
      <c r="R7" s="75" t="s">
        <v>38</v>
      </c>
      <c r="S7" s="77" t="s">
        <v>39</v>
      </c>
      <c r="T7" s="75" t="s">
        <v>38</v>
      </c>
      <c r="U7" s="77" t="s">
        <v>39</v>
      </c>
      <c r="V7" s="75" t="s">
        <v>38</v>
      </c>
      <c r="W7" s="77" t="s">
        <v>39</v>
      </c>
      <c r="X7" s="75" t="s">
        <v>38</v>
      </c>
      <c r="Y7" s="77" t="s">
        <v>39</v>
      </c>
      <c r="Z7" s="89" t="s">
        <v>40</v>
      </c>
      <c r="AA7" s="95" t="s">
        <v>39</v>
      </c>
      <c r="AB7" s="99" t="s">
        <v>40</v>
      </c>
      <c r="AC7" s="99" t="s">
        <v>39</v>
      </c>
      <c r="AD7" s="77" t="s">
        <v>39</v>
      </c>
      <c r="AE7" s="77" t="s">
        <v>39</v>
      </c>
      <c r="AF7" s="77" t="s">
        <v>39</v>
      </c>
      <c r="AG7" s="77" t="s">
        <v>39</v>
      </c>
      <c r="AH7" s="198"/>
      <c r="AI7" s="96" t="s">
        <v>40</v>
      </c>
      <c r="AJ7" s="96" t="s">
        <v>39</v>
      </c>
      <c r="AK7" s="77" t="s">
        <v>39</v>
      </c>
      <c r="AL7" s="77" t="s">
        <v>39</v>
      </c>
      <c r="AM7" s="77" t="s">
        <v>39</v>
      </c>
      <c r="AN7" s="94" t="s">
        <v>39</v>
      </c>
      <c r="AO7" s="77" t="s">
        <v>39</v>
      </c>
      <c r="AP7" s="77" t="s">
        <v>39</v>
      </c>
      <c r="AQ7" s="77" t="s">
        <v>39</v>
      </c>
      <c r="AR7" s="96" t="s">
        <v>40</v>
      </c>
      <c r="AS7" s="96" t="s">
        <v>39</v>
      </c>
      <c r="AT7" s="77" t="s">
        <v>39</v>
      </c>
      <c r="AU7" s="77" t="s">
        <v>39</v>
      </c>
      <c r="AV7" s="77" t="s">
        <v>39</v>
      </c>
      <c r="AW7" s="77" t="s">
        <v>39</v>
      </c>
      <c r="AX7" s="77" t="s">
        <v>39</v>
      </c>
      <c r="AY7" s="78" t="s">
        <v>41</v>
      </c>
      <c r="AZ7" s="77" t="s">
        <v>39</v>
      </c>
      <c r="BA7" s="78" t="s">
        <v>41</v>
      </c>
      <c r="BB7" s="77" t="s">
        <v>39</v>
      </c>
      <c r="BC7" s="111" t="s">
        <v>39</v>
      </c>
      <c r="BD7" s="115"/>
    </row>
    <row r="8" spans="1:57" ht="27.75" customHeight="1">
      <c r="A8" s="92">
        <v>1</v>
      </c>
      <c r="B8" s="100" t="s">
        <v>101</v>
      </c>
      <c r="C8" s="109"/>
      <c r="D8" s="80"/>
      <c r="E8" s="34"/>
      <c r="F8" s="79"/>
      <c r="G8" s="34"/>
      <c r="H8" s="75"/>
      <c r="I8" s="34"/>
      <c r="J8" s="81"/>
      <c r="K8" s="34"/>
      <c r="L8" s="81"/>
      <c r="M8" s="34"/>
      <c r="N8" s="82"/>
      <c r="O8" s="34"/>
      <c r="P8" s="81"/>
      <c r="Q8" s="34"/>
      <c r="R8" s="81"/>
      <c r="S8" s="34"/>
      <c r="T8" s="81"/>
      <c r="U8" s="34"/>
      <c r="V8" s="82"/>
      <c r="W8" s="34"/>
      <c r="X8" s="82"/>
      <c r="Y8" s="34"/>
      <c r="Z8" s="80"/>
      <c r="AA8" s="34"/>
      <c r="AB8" s="97"/>
      <c r="AC8" s="97"/>
      <c r="AD8" s="34"/>
      <c r="AE8" s="34"/>
      <c r="AF8" s="34"/>
      <c r="AG8" s="34"/>
      <c r="AH8" s="90"/>
      <c r="AI8" s="97"/>
      <c r="AJ8" s="97"/>
      <c r="AK8" s="34"/>
      <c r="AL8" s="34"/>
      <c r="AM8" s="34"/>
      <c r="AN8" s="88"/>
      <c r="AO8" s="34"/>
      <c r="AP8" s="34"/>
      <c r="AQ8" s="34"/>
      <c r="AR8" s="97"/>
      <c r="AS8" s="97"/>
      <c r="AT8" s="34"/>
      <c r="AU8" s="34"/>
      <c r="AV8" s="34"/>
      <c r="AW8" s="34"/>
      <c r="AX8" s="34"/>
      <c r="AY8" s="83"/>
      <c r="AZ8" s="34"/>
      <c r="BA8" s="83"/>
      <c r="BB8" s="34"/>
      <c r="BC8" s="112"/>
      <c r="BD8" s="115"/>
    </row>
    <row r="9" spans="1:57" ht="27.75" customHeight="1">
      <c r="A9" s="92">
        <v>1</v>
      </c>
      <c r="B9" s="100" t="s">
        <v>44</v>
      </c>
      <c r="C9" s="109"/>
      <c r="D9" s="80"/>
      <c r="E9" s="34"/>
      <c r="F9" s="79"/>
      <c r="G9" s="34"/>
      <c r="H9" s="75"/>
      <c r="I9" s="34"/>
      <c r="J9" s="81"/>
      <c r="K9" s="34"/>
      <c r="L9" s="81"/>
      <c r="M9" s="34"/>
      <c r="N9" s="82"/>
      <c r="O9" s="34"/>
      <c r="P9" s="81"/>
      <c r="Q9" s="34"/>
      <c r="R9" s="81"/>
      <c r="S9" s="34"/>
      <c r="T9" s="81"/>
      <c r="U9" s="34"/>
      <c r="V9" s="82"/>
      <c r="W9" s="34"/>
      <c r="X9" s="82"/>
      <c r="Y9" s="34"/>
      <c r="Z9" s="80"/>
      <c r="AA9" s="34"/>
      <c r="AB9" s="97"/>
      <c r="AC9" s="97"/>
      <c r="AD9" s="34"/>
      <c r="AE9" s="34"/>
      <c r="AF9" s="34"/>
      <c r="AG9" s="34"/>
      <c r="AH9" s="90"/>
      <c r="AI9" s="97"/>
      <c r="AJ9" s="97"/>
      <c r="AK9" s="34"/>
      <c r="AL9" s="34"/>
      <c r="AM9" s="34"/>
      <c r="AN9" s="88"/>
      <c r="AO9" s="34"/>
      <c r="AP9" s="34"/>
      <c r="AQ9" s="34"/>
      <c r="AR9" s="97"/>
      <c r="AS9" s="97"/>
      <c r="AT9" s="34"/>
      <c r="AU9" s="34"/>
      <c r="AV9" s="34"/>
      <c r="AW9" s="34"/>
      <c r="AX9" s="34"/>
      <c r="AY9" s="83"/>
      <c r="AZ9" s="34"/>
      <c r="BA9" s="83"/>
      <c r="BB9" s="34"/>
      <c r="BC9" s="112"/>
      <c r="BD9" s="115"/>
    </row>
    <row r="10" spans="1:57" ht="27.75" customHeight="1">
      <c r="A10" s="92">
        <v>2</v>
      </c>
      <c r="B10" s="100" t="s">
        <v>45</v>
      </c>
      <c r="C10" s="109"/>
      <c r="D10" s="80"/>
      <c r="E10" s="34"/>
      <c r="F10" s="79"/>
      <c r="G10" s="34"/>
      <c r="H10" s="75"/>
      <c r="I10" s="34"/>
      <c r="J10" s="81"/>
      <c r="K10" s="34"/>
      <c r="L10" s="81"/>
      <c r="M10" s="34"/>
      <c r="N10" s="82"/>
      <c r="O10" s="34"/>
      <c r="P10" s="81"/>
      <c r="Q10" s="34"/>
      <c r="R10" s="81"/>
      <c r="S10" s="34"/>
      <c r="T10" s="81"/>
      <c r="U10" s="34"/>
      <c r="V10" s="82"/>
      <c r="W10" s="34"/>
      <c r="X10" s="82"/>
      <c r="Y10" s="34"/>
      <c r="Z10" s="80"/>
      <c r="AA10" s="34"/>
      <c r="AB10" s="97"/>
      <c r="AC10" s="97"/>
      <c r="AD10" s="34"/>
      <c r="AE10" s="34"/>
      <c r="AF10" s="34"/>
      <c r="AG10" s="34"/>
      <c r="AH10" s="90"/>
      <c r="AI10" s="97"/>
      <c r="AJ10" s="97"/>
      <c r="AK10" s="34"/>
      <c r="AL10" s="34"/>
      <c r="AM10" s="34"/>
      <c r="AN10" s="88"/>
      <c r="AO10" s="34"/>
      <c r="AP10" s="34"/>
      <c r="AQ10" s="34"/>
      <c r="AR10" s="97"/>
      <c r="AS10" s="97"/>
      <c r="AT10" s="34"/>
      <c r="AU10" s="34"/>
      <c r="AV10" s="34"/>
      <c r="AW10" s="34"/>
      <c r="AX10" s="34"/>
      <c r="AY10" s="83"/>
      <c r="AZ10" s="34"/>
      <c r="BA10" s="83"/>
      <c r="BB10" s="34"/>
      <c r="BC10" s="112"/>
      <c r="BD10" s="115"/>
    </row>
    <row r="11" spans="1:57" ht="27.75" customHeight="1">
      <c r="A11" s="92">
        <v>3</v>
      </c>
      <c r="B11" s="100" t="s">
        <v>46</v>
      </c>
      <c r="C11" s="109"/>
      <c r="D11" s="80"/>
      <c r="E11" s="34"/>
      <c r="F11" s="79"/>
      <c r="G11" s="34"/>
      <c r="H11" s="75"/>
      <c r="I11" s="34"/>
      <c r="J11" s="81"/>
      <c r="K11" s="34"/>
      <c r="L11" s="81"/>
      <c r="M11" s="34"/>
      <c r="N11" s="81"/>
      <c r="O11" s="34"/>
      <c r="P11" s="81"/>
      <c r="Q11" s="34"/>
      <c r="R11" s="81"/>
      <c r="S11" s="34"/>
      <c r="T11" s="81"/>
      <c r="U11" s="34"/>
      <c r="V11" s="81"/>
      <c r="W11" s="34"/>
      <c r="X11" s="81"/>
      <c r="Y11" s="34"/>
      <c r="Z11" s="80"/>
      <c r="AA11" s="34"/>
      <c r="AB11" s="97"/>
      <c r="AC11" s="97"/>
      <c r="AD11" s="34"/>
      <c r="AE11" s="34"/>
      <c r="AF11" s="34"/>
      <c r="AG11" s="34"/>
      <c r="AH11" s="90"/>
      <c r="AI11" s="97"/>
      <c r="AJ11" s="97"/>
      <c r="AK11" s="34"/>
      <c r="AL11" s="34"/>
      <c r="AM11" s="34"/>
      <c r="AN11" s="88"/>
      <c r="AO11" s="34"/>
      <c r="AP11" s="34"/>
      <c r="AQ11" s="34"/>
      <c r="AR11" s="97"/>
      <c r="AS11" s="97"/>
      <c r="AT11" s="34"/>
      <c r="AU11" s="34"/>
      <c r="AV11" s="34"/>
      <c r="AW11" s="34"/>
      <c r="AX11" s="34"/>
      <c r="AY11" s="83"/>
      <c r="AZ11" s="34"/>
      <c r="BA11" s="83"/>
      <c r="BB11" s="34"/>
      <c r="BC11" s="112"/>
      <c r="BD11" s="115"/>
    </row>
    <row r="12" spans="1:57" ht="27.75" customHeight="1">
      <c r="A12" s="92">
        <v>4</v>
      </c>
      <c r="B12" s="100" t="s">
        <v>47</v>
      </c>
      <c r="C12" s="109"/>
      <c r="D12" s="80"/>
      <c r="E12" s="34"/>
      <c r="F12" s="79"/>
      <c r="G12" s="34"/>
      <c r="H12" s="75"/>
      <c r="I12" s="34"/>
      <c r="J12" s="81"/>
      <c r="K12" s="34"/>
      <c r="L12" s="81"/>
      <c r="M12" s="34"/>
      <c r="N12" s="81"/>
      <c r="O12" s="34"/>
      <c r="P12" s="81"/>
      <c r="Q12" s="34"/>
      <c r="R12" s="81"/>
      <c r="S12" s="34"/>
      <c r="T12" s="81"/>
      <c r="U12" s="34"/>
      <c r="V12" s="81"/>
      <c r="W12" s="34"/>
      <c r="X12" s="81"/>
      <c r="Y12" s="34"/>
      <c r="Z12" s="80"/>
      <c r="AA12" s="34"/>
      <c r="AB12" s="97"/>
      <c r="AC12" s="97"/>
      <c r="AD12" s="34"/>
      <c r="AE12" s="34"/>
      <c r="AF12" s="34"/>
      <c r="AG12" s="34"/>
      <c r="AH12" s="90"/>
      <c r="AI12" s="97"/>
      <c r="AJ12" s="97"/>
      <c r="AK12" s="34"/>
      <c r="AL12" s="34"/>
      <c r="AM12" s="34"/>
      <c r="AN12" s="88"/>
      <c r="AO12" s="34"/>
      <c r="AP12" s="34"/>
      <c r="AQ12" s="34"/>
      <c r="AR12" s="97"/>
      <c r="AS12" s="97"/>
      <c r="AT12" s="34"/>
      <c r="AU12" s="34"/>
      <c r="AV12" s="34"/>
      <c r="AW12" s="34"/>
      <c r="AX12" s="34"/>
      <c r="AY12" s="83"/>
      <c r="AZ12" s="34"/>
      <c r="BA12" s="83"/>
      <c r="BB12" s="34"/>
      <c r="BC12" s="112"/>
      <c r="BD12" s="114"/>
    </row>
    <row r="13" spans="1:57" ht="27.75" customHeight="1">
      <c r="A13" s="92">
        <v>5</v>
      </c>
      <c r="B13" s="100" t="s">
        <v>48</v>
      </c>
      <c r="C13" s="109"/>
      <c r="D13" s="80"/>
      <c r="E13" s="34"/>
      <c r="F13" s="79"/>
      <c r="G13" s="34"/>
      <c r="H13" s="75"/>
      <c r="I13" s="34"/>
      <c r="J13" s="81"/>
      <c r="K13" s="34"/>
      <c r="L13" s="81"/>
      <c r="M13" s="34"/>
      <c r="N13" s="81"/>
      <c r="O13" s="34"/>
      <c r="P13" s="81"/>
      <c r="Q13" s="34"/>
      <c r="R13" s="81"/>
      <c r="S13" s="34"/>
      <c r="T13" s="81"/>
      <c r="U13" s="34"/>
      <c r="V13" s="81"/>
      <c r="W13" s="34"/>
      <c r="X13" s="81"/>
      <c r="Y13" s="34"/>
      <c r="Z13" s="80"/>
      <c r="AA13" s="34"/>
      <c r="AB13" s="97"/>
      <c r="AC13" s="97"/>
      <c r="AD13" s="34"/>
      <c r="AE13" s="34"/>
      <c r="AF13" s="34"/>
      <c r="AG13" s="34"/>
      <c r="AH13" s="90"/>
      <c r="AI13" s="97"/>
      <c r="AJ13" s="97"/>
      <c r="AK13" s="34"/>
      <c r="AL13" s="34"/>
      <c r="AM13" s="34"/>
      <c r="AN13" s="88"/>
      <c r="AO13" s="34"/>
      <c r="AP13" s="34"/>
      <c r="AQ13" s="34"/>
      <c r="AR13" s="97"/>
      <c r="AS13" s="97"/>
      <c r="AT13" s="34"/>
      <c r="AU13" s="34"/>
      <c r="AV13" s="34"/>
      <c r="AW13" s="34"/>
      <c r="AX13" s="34"/>
      <c r="AY13" s="83"/>
      <c r="AZ13" s="34"/>
      <c r="BA13" s="83"/>
      <c r="BB13" s="34"/>
      <c r="BC13" s="112"/>
      <c r="BD13" s="115"/>
    </row>
    <row r="14" spans="1:57" s="1" customFormat="1" ht="27.75" customHeight="1">
      <c r="A14" s="92">
        <v>6</v>
      </c>
      <c r="B14" s="101" t="s">
        <v>49</v>
      </c>
      <c r="C14" s="109"/>
      <c r="D14" s="80"/>
      <c r="E14" s="34"/>
      <c r="F14" s="84"/>
      <c r="G14" s="34"/>
      <c r="H14" s="75"/>
      <c r="I14" s="34"/>
      <c r="J14" s="85"/>
      <c r="K14" s="34"/>
      <c r="L14" s="85"/>
      <c r="M14" s="34"/>
      <c r="N14" s="85"/>
      <c r="O14" s="34"/>
      <c r="P14" s="85"/>
      <c r="Q14" s="34"/>
      <c r="R14" s="85"/>
      <c r="S14" s="34"/>
      <c r="T14" s="85"/>
      <c r="U14" s="34"/>
      <c r="V14" s="85"/>
      <c r="W14" s="34"/>
      <c r="X14" s="85"/>
      <c r="Y14" s="34"/>
      <c r="Z14" s="80"/>
      <c r="AA14" s="34"/>
      <c r="AB14" s="97"/>
      <c r="AC14" s="97"/>
      <c r="AD14" s="34"/>
      <c r="AE14" s="34"/>
      <c r="AF14" s="34"/>
      <c r="AG14" s="34"/>
      <c r="AH14" s="91"/>
      <c r="AI14" s="97"/>
      <c r="AJ14" s="97"/>
      <c r="AK14" s="34"/>
      <c r="AL14" s="34"/>
      <c r="AM14" s="34"/>
      <c r="AN14" s="88"/>
      <c r="AO14" s="34"/>
      <c r="AP14" s="34"/>
      <c r="AQ14" s="34"/>
      <c r="AR14" s="97"/>
      <c r="AS14" s="97"/>
      <c r="AT14" s="34"/>
      <c r="AU14" s="34"/>
      <c r="AV14" s="34"/>
      <c r="AW14" s="34"/>
      <c r="AX14" s="34"/>
      <c r="AY14" s="83"/>
      <c r="AZ14" s="34"/>
      <c r="BA14" s="83"/>
      <c r="BB14" s="34"/>
      <c r="BC14" s="112"/>
      <c r="BD14" s="116"/>
    </row>
    <row r="15" spans="1:57" ht="27.75" customHeight="1">
      <c r="A15" s="92">
        <v>7</v>
      </c>
      <c r="B15" s="100" t="s">
        <v>51</v>
      </c>
      <c r="C15" s="109"/>
      <c r="D15" s="80"/>
      <c r="E15" s="34"/>
      <c r="F15" s="79"/>
      <c r="G15" s="34"/>
      <c r="H15" s="75"/>
      <c r="I15" s="34"/>
      <c r="J15" s="81"/>
      <c r="K15" s="34"/>
      <c r="L15" s="81"/>
      <c r="M15" s="34"/>
      <c r="N15" s="81"/>
      <c r="O15" s="34"/>
      <c r="P15" s="81"/>
      <c r="Q15" s="34"/>
      <c r="R15" s="81"/>
      <c r="S15" s="34"/>
      <c r="T15" s="81"/>
      <c r="U15" s="34"/>
      <c r="V15" s="81"/>
      <c r="W15" s="34"/>
      <c r="X15" s="81"/>
      <c r="Y15" s="34"/>
      <c r="Z15" s="80"/>
      <c r="AA15" s="34"/>
      <c r="AB15" s="97"/>
      <c r="AC15" s="97"/>
      <c r="AD15" s="34"/>
      <c r="AE15" s="34"/>
      <c r="AF15" s="34"/>
      <c r="AG15" s="34"/>
      <c r="AH15" s="90"/>
      <c r="AI15" s="97"/>
      <c r="AJ15" s="97"/>
      <c r="AK15" s="34"/>
      <c r="AL15" s="34"/>
      <c r="AM15" s="34"/>
      <c r="AN15" s="88"/>
      <c r="AO15" s="34"/>
      <c r="AP15" s="34"/>
      <c r="AQ15" s="34"/>
      <c r="AR15" s="97"/>
      <c r="AS15" s="97"/>
      <c r="AT15" s="34"/>
      <c r="AU15" s="34"/>
      <c r="AV15" s="34"/>
      <c r="AW15" s="34"/>
      <c r="AX15" s="34"/>
      <c r="AY15" s="83"/>
      <c r="AZ15" s="34"/>
      <c r="BA15" s="83"/>
      <c r="BB15" s="34"/>
      <c r="BC15" s="112"/>
      <c r="BD15" s="115"/>
    </row>
    <row r="16" spans="1:57" ht="27.75" customHeight="1">
      <c r="A16" s="92">
        <v>8</v>
      </c>
      <c r="B16" s="100" t="s">
        <v>52</v>
      </c>
      <c r="C16" s="109"/>
      <c r="D16" s="80"/>
      <c r="E16" s="34"/>
      <c r="F16" s="79"/>
      <c r="G16" s="34"/>
      <c r="H16" s="75"/>
      <c r="I16" s="34"/>
      <c r="J16" s="81"/>
      <c r="K16" s="34"/>
      <c r="L16" s="81"/>
      <c r="M16" s="34"/>
      <c r="N16" s="81"/>
      <c r="O16" s="34"/>
      <c r="P16" s="81"/>
      <c r="Q16" s="34"/>
      <c r="R16" s="81"/>
      <c r="S16" s="34"/>
      <c r="T16" s="81"/>
      <c r="U16" s="34"/>
      <c r="V16" s="81"/>
      <c r="W16" s="34"/>
      <c r="X16" s="81"/>
      <c r="Y16" s="34"/>
      <c r="Z16" s="80"/>
      <c r="AA16" s="34"/>
      <c r="AB16" s="97"/>
      <c r="AC16" s="97"/>
      <c r="AD16" s="34"/>
      <c r="AE16" s="34"/>
      <c r="AF16" s="34"/>
      <c r="AG16" s="34"/>
      <c r="AH16" s="90"/>
      <c r="AI16" s="97"/>
      <c r="AJ16" s="97"/>
      <c r="AK16" s="34"/>
      <c r="AL16" s="34"/>
      <c r="AM16" s="34"/>
      <c r="AN16" s="88"/>
      <c r="AO16" s="34"/>
      <c r="AP16" s="34"/>
      <c r="AQ16" s="34"/>
      <c r="AR16" s="97"/>
      <c r="AS16" s="97"/>
      <c r="AT16" s="34"/>
      <c r="AU16" s="34"/>
      <c r="AV16" s="34"/>
      <c r="AW16" s="34"/>
      <c r="AX16" s="34"/>
      <c r="AY16" s="83"/>
      <c r="AZ16" s="34"/>
      <c r="BA16" s="83"/>
      <c r="BB16" s="34"/>
      <c r="BC16" s="112"/>
      <c r="BD16" s="115"/>
    </row>
    <row r="17" spans="1:56" ht="27.75" customHeight="1">
      <c r="A17" s="92">
        <v>9</v>
      </c>
      <c r="B17" s="100" t="s">
        <v>53</v>
      </c>
      <c r="C17" s="109"/>
      <c r="D17" s="80"/>
      <c r="E17" s="34"/>
      <c r="F17" s="81"/>
      <c r="G17" s="34"/>
      <c r="H17" s="75"/>
      <c r="I17" s="34"/>
      <c r="J17" s="81"/>
      <c r="K17" s="34"/>
      <c r="L17" s="81"/>
      <c r="M17" s="34"/>
      <c r="N17" s="81"/>
      <c r="O17" s="34"/>
      <c r="P17" s="81"/>
      <c r="Q17" s="34"/>
      <c r="R17" s="81"/>
      <c r="S17" s="34"/>
      <c r="T17" s="81"/>
      <c r="U17" s="34"/>
      <c r="V17" s="81"/>
      <c r="W17" s="34"/>
      <c r="X17" s="81"/>
      <c r="Y17" s="34"/>
      <c r="Z17" s="80"/>
      <c r="AA17" s="34"/>
      <c r="AB17" s="97"/>
      <c r="AC17" s="97"/>
      <c r="AD17" s="34"/>
      <c r="AE17" s="34"/>
      <c r="AF17" s="34"/>
      <c r="AG17" s="34"/>
      <c r="AH17" s="90"/>
      <c r="AI17" s="97"/>
      <c r="AJ17" s="97"/>
      <c r="AK17" s="34"/>
      <c r="AL17" s="34"/>
      <c r="AM17" s="34"/>
      <c r="AN17" s="88"/>
      <c r="AO17" s="34"/>
      <c r="AP17" s="34"/>
      <c r="AQ17" s="34"/>
      <c r="AR17" s="97"/>
      <c r="AS17" s="97"/>
      <c r="AT17" s="34"/>
      <c r="AU17" s="34"/>
      <c r="AV17" s="34"/>
      <c r="AW17" s="34"/>
      <c r="AX17" s="34"/>
      <c r="AY17" s="83"/>
      <c r="AZ17" s="34"/>
      <c r="BA17" s="83"/>
      <c r="BB17" s="34"/>
      <c r="BC17" s="112"/>
      <c r="BD17" s="115"/>
    </row>
    <row r="18" spans="1:56" ht="27.75" customHeight="1">
      <c r="A18" s="92">
        <v>10</v>
      </c>
      <c r="B18" s="100" t="s">
        <v>54</v>
      </c>
      <c r="C18" s="109"/>
      <c r="D18" s="80"/>
      <c r="E18" s="34"/>
      <c r="F18" s="81"/>
      <c r="G18" s="34"/>
      <c r="H18" s="75"/>
      <c r="I18" s="34"/>
      <c r="J18" s="81"/>
      <c r="K18" s="34"/>
      <c r="L18" s="81"/>
      <c r="M18" s="34"/>
      <c r="N18" s="81"/>
      <c r="O18" s="34"/>
      <c r="P18" s="81"/>
      <c r="Q18" s="34"/>
      <c r="R18" s="81"/>
      <c r="S18" s="34"/>
      <c r="T18" s="81"/>
      <c r="U18" s="34"/>
      <c r="V18" s="81"/>
      <c r="W18" s="34"/>
      <c r="X18" s="81"/>
      <c r="Y18" s="34"/>
      <c r="Z18" s="80"/>
      <c r="AA18" s="34"/>
      <c r="AB18" s="97"/>
      <c r="AC18" s="97"/>
      <c r="AD18" s="34"/>
      <c r="AE18" s="34"/>
      <c r="AF18" s="34"/>
      <c r="AG18" s="34"/>
      <c r="AH18" s="90"/>
      <c r="AI18" s="97"/>
      <c r="AJ18" s="97"/>
      <c r="AK18" s="34"/>
      <c r="AL18" s="34"/>
      <c r="AM18" s="34"/>
      <c r="AN18" s="88"/>
      <c r="AO18" s="34"/>
      <c r="AP18" s="34"/>
      <c r="AQ18" s="34"/>
      <c r="AR18" s="97"/>
      <c r="AS18" s="97"/>
      <c r="AT18" s="34"/>
      <c r="AU18" s="34"/>
      <c r="AV18" s="34"/>
      <c r="AW18" s="34"/>
      <c r="AX18" s="34"/>
      <c r="AY18" s="83"/>
      <c r="AZ18" s="34"/>
      <c r="BA18" s="83"/>
      <c r="BB18" s="34"/>
      <c r="BC18" s="112"/>
      <c r="BD18" s="115"/>
    </row>
    <row r="19" spans="1:56" ht="27.75" customHeight="1">
      <c r="A19" s="92">
        <v>11</v>
      </c>
      <c r="B19" s="100" t="s">
        <v>55</v>
      </c>
      <c r="C19" s="109"/>
      <c r="D19" s="80"/>
      <c r="E19" s="34"/>
      <c r="F19" s="79"/>
      <c r="G19" s="34"/>
      <c r="H19" s="75"/>
      <c r="I19" s="34"/>
      <c r="J19" s="81"/>
      <c r="K19" s="34"/>
      <c r="L19" s="81"/>
      <c r="M19" s="34"/>
      <c r="N19" s="81"/>
      <c r="O19" s="34"/>
      <c r="P19" s="81"/>
      <c r="Q19" s="34"/>
      <c r="R19" s="81"/>
      <c r="S19" s="34"/>
      <c r="T19" s="81"/>
      <c r="U19" s="34"/>
      <c r="V19" s="81"/>
      <c r="W19" s="34"/>
      <c r="X19" s="81"/>
      <c r="Y19" s="34"/>
      <c r="Z19" s="80"/>
      <c r="AA19" s="34"/>
      <c r="AB19" s="97"/>
      <c r="AC19" s="97"/>
      <c r="AD19" s="34"/>
      <c r="AE19" s="34"/>
      <c r="AF19" s="34"/>
      <c r="AG19" s="34"/>
      <c r="AH19" s="90"/>
      <c r="AI19" s="97"/>
      <c r="AJ19" s="97"/>
      <c r="AK19" s="34"/>
      <c r="AL19" s="34"/>
      <c r="AM19" s="34"/>
      <c r="AN19" s="88"/>
      <c r="AO19" s="34"/>
      <c r="AP19" s="34"/>
      <c r="AQ19" s="34"/>
      <c r="AR19" s="97"/>
      <c r="AS19" s="97"/>
      <c r="AT19" s="34"/>
      <c r="AU19" s="34"/>
      <c r="AV19" s="34"/>
      <c r="AW19" s="34"/>
      <c r="AX19" s="34"/>
      <c r="AY19" s="83"/>
      <c r="AZ19" s="34"/>
      <c r="BA19" s="83"/>
      <c r="BB19" s="34"/>
      <c r="BC19" s="112"/>
      <c r="BD19" s="115"/>
    </row>
    <row r="20" spans="1:56" ht="27.75" customHeight="1">
      <c r="A20" s="92">
        <v>12</v>
      </c>
      <c r="B20" s="100" t="s">
        <v>58</v>
      </c>
      <c r="C20" s="109"/>
      <c r="D20" s="80"/>
      <c r="E20" s="34"/>
      <c r="F20" s="79"/>
      <c r="G20" s="34"/>
      <c r="H20" s="75"/>
      <c r="I20" s="34"/>
      <c r="J20" s="81"/>
      <c r="K20" s="34"/>
      <c r="L20" s="81"/>
      <c r="M20" s="34"/>
      <c r="N20" s="81"/>
      <c r="O20" s="34"/>
      <c r="P20" s="81"/>
      <c r="Q20" s="34"/>
      <c r="R20" s="81"/>
      <c r="S20" s="34"/>
      <c r="T20" s="81"/>
      <c r="U20" s="34"/>
      <c r="V20" s="81"/>
      <c r="W20" s="34"/>
      <c r="X20" s="81"/>
      <c r="Y20" s="34"/>
      <c r="Z20" s="80"/>
      <c r="AA20" s="34"/>
      <c r="AB20" s="97"/>
      <c r="AC20" s="97"/>
      <c r="AD20" s="34"/>
      <c r="AE20" s="34"/>
      <c r="AF20" s="34"/>
      <c r="AG20" s="34"/>
      <c r="AH20" s="90"/>
      <c r="AI20" s="97"/>
      <c r="AJ20" s="97"/>
      <c r="AK20" s="34"/>
      <c r="AL20" s="34"/>
      <c r="AM20" s="34"/>
      <c r="AN20" s="88"/>
      <c r="AO20" s="34"/>
      <c r="AP20" s="34"/>
      <c r="AQ20" s="34"/>
      <c r="AR20" s="97"/>
      <c r="AS20" s="97"/>
      <c r="AT20" s="34"/>
      <c r="AU20" s="34"/>
      <c r="AV20" s="34"/>
      <c r="AW20" s="34"/>
      <c r="AX20" s="34"/>
      <c r="AY20" s="83"/>
      <c r="AZ20" s="34"/>
      <c r="BA20" s="83"/>
      <c r="BB20" s="34"/>
      <c r="BC20" s="112"/>
      <c r="BD20" s="115"/>
    </row>
    <row r="21" spans="1:56" ht="27.75" customHeight="1">
      <c r="A21" s="92">
        <v>13</v>
      </c>
      <c r="B21" s="100" t="s">
        <v>59</v>
      </c>
      <c r="C21" s="109"/>
      <c r="D21" s="80"/>
      <c r="E21" s="34"/>
      <c r="F21" s="79"/>
      <c r="G21" s="34"/>
      <c r="H21" s="75"/>
      <c r="I21" s="34"/>
      <c r="J21" s="81"/>
      <c r="K21" s="34"/>
      <c r="L21" s="81"/>
      <c r="M21" s="34"/>
      <c r="N21" s="81"/>
      <c r="O21" s="34"/>
      <c r="P21" s="81"/>
      <c r="Q21" s="34"/>
      <c r="R21" s="81"/>
      <c r="S21" s="34"/>
      <c r="T21" s="81"/>
      <c r="U21" s="34"/>
      <c r="V21" s="81"/>
      <c r="W21" s="34"/>
      <c r="X21" s="81"/>
      <c r="Y21" s="34"/>
      <c r="Z21" s="80"/>
      <c r="AA21" s="34"/>
      <c r="AB21" s="97"/>
      <c r="AC21" s="97"/>
      <c r="AD21" s="34"/>
      <c r="AE21" s="34"/>
      <c r="AF21" s="34"/>
      <c r="AG21" s="34"/>
      <c r="AH21" s="90"/>
      <c r="AI21" s="97"/>
      <c r="AJ21" s="97"/>
      <c r="AK21" s="34"/>
      <c r="AL21" s="34"/>
      <c r="AM21" s="34"/>
      <c r="AN21" s="88"/>
      <c r="AO21" s="34"/>
      <c r="AP21" s="34"/>
      <c r="AQ21" s="34"/>
      <c r="AR21" s="97"/>
      <c r="AS21" s="97"/>
      <c r="AT21" s="34"/>
      <c r="AU21" s="34"/>
      <c r="AV21" s="34"/>
      <c r="AW21" s="34"/>
      <c r="AX21" s="34"/>
      <c r="AY21" s="83"/>
      <c r="AZ21" s="34"/>
      <c r="BA21" s="83"/>
      <c r="BB21" s="34"/>
      <c r="BC21" s="112"/>
      <c r="BD21" s="115"/>
    </row>
    <row r="22" spans="1:56" ht="27.75" customHeight="1">
      <c r="A22" s="92"/>
      <c r="B22" s="86" t="s">
        <v>12</v>
      </c>
      <c r="C22" s="110">
        <f>+SUM(C8:C21)</f>
        <v>0</v>
      </c>
      <c r="D22" s="87">
        <f>+SUM(D8:D21)</f>
        <v>0</v>
      </c>
      <c r="E22" s="87">
        <f t="shared" ref="E22:AT22" si="0">+SUM(E8:E21)</f>
        <v>0</v>
      </c>
      <c r="F22" s="87">
        <f t="shared" si="0"/>
        <v>0</v>
      </c>
      <c r="G22" s="87">
        <f t="shared" si="0"/>
        <v>0</v>
      </c>
      <c r="H22" s="87">
        <f t="shared" si="0"/>
        <v>0</v>
      </c>
      <c r="I22" s="87">
        <f t="shared" si="0"/>
        <v>0</v>
      </c>
      <c r="J22" s="87">
        <f t="shared" si="0"/>
        <v>0</v>
      </c>
      <c r="K22" s="87">
        <f t="shared" si="0"/>
        <v>0</v>
      </c>
      <c r="L22" s="87">
        <f t="shared" si="0"/>
        <v>0</v>
      </c>
      <c r="M22" s="87">
        <f t="shared" si="0"/>
        <v>0</v>
      </c>
      <c r="N22" s="87">
        <f t="shared" si="0"/>
        <v>0</v>
      </c>
      <c r="O22" s="87">
        <f t="shared" si="0"/>
        <v>0</v>
      </c>
      <c r="P22" s="87">
        <f t="shared" si="0"/>
        <v>0</v>
      </c>
      <c r="Q22" s="87">
        <f t="shared" si="0"/>
        <v>0</v>
      </c>
      <c r="R22" s="87">
        <f t="shared" si="0"/>
        <v>0</v>
      </c>
      <c r="S22" s="87">
        <f t="shared" si="0"/>
        <v>0</v>
      </c>
      <c r="T22" s="87">
        <f t="shared" si="0"/>
        <v>0</v>
      </c>
      <c r="U22" s="87">
        <f t="shared" si="0"/>
        <v>0</v>
      </c>
      <c r="V22" s="87">
        <f t="shared" si="0"/>
        <v>0</v>
      </c>
      <c r="W22" s="87">
        <f t="shared" si="0"/>
        <v>0</v>
      </c>
      <c r="X22" s="87">
        <f t="shared" si="0"/>
        <v>0</v>
      </c>
      <c r="Y22" s="87">
        <f t="shared" si="0"/>
        <v>0</v>
      </c>
      <c r="Z22" s="87">
        <f t="shared" si="0"/>
        <v>0</v>
      </c>
      <c r="AA22" s="87">
        <f t="shared" si="0"/>
        <v>0</v>
      </c>
      <c r="AB22" s="87">
        <f t="shared" si="0"/>
        <v>0</v>
      </c>
      <c r="AC22" s="87">
        <f t="shared" si="0"/>
        <v>0</v>
      </c>
      <c r="AD22" s="87">
        <f t="shared" si="0"/>
        <v>0</v>
      </c>
      <c r="AE22" s="87">
        <f t="shared" si="0"/>
        <v>0</v>
      </c>
      <c r="AF22" s="87">
        <f t="shared" si="0"/>
        <v>0</v>
      </c>
      <c r="AG22" s="87">
        <f t="shared" si="0"/>
        <v>0</v>
      </c>
      <c r="AH22" s="87">
        <f t="shared" si="0"/>
        <v>0</v>
      </c>
      <c r="AI22" s="87">
        <f t="shared" si="0"/>
        <v>0</v>
      </c>
      <c r="AJ22" s="87">
        <f t="shared" si="0"/>
        <v>0</v>
      </c>
      <c r="AK22" s="87">
        <f t="shared" si="0"/>
        <v>0</v>
      </c>
      <c r="AL22" s="87">
        <f t="shared" si="0"/>
        <v>0</v>
      </c>
      <c r="AM22" s="87">
        <f t="shared" si="0"/>
        <v>0</v>
      </c>
      <c r="AN22" s="87">
        <f t="shared" si="0"/>
        <v>0</v>
      </c>
      <c r="AO22" s="87">
        <f t="shared" si="0"/>
        <v>0</v>
      </c>
      <c r="AP22" s="87">
        <f t="shared" si="0"/>
        <v>0</v>
      </c>
      <c r="AQ22" s="87">
        <f t="shared" si="0"/>
        <v>0</v>
      </c>
      <c r="AR22" s="87">
        <f t="shared" si="0"/>
        <v>0</v>
      </c>
      <c r="AS22" s="87">
        <f t="shared" si="0"/>
        <v>0</v>
      </c>
      <c r="AT22" s="87">
        <f t="shared" si="0"/>
        <v>0</v>
      </c>
      <c r="AU22" s="87">
        <f t="shared" ref="AU22:BC22" si="1">+SUM(AU8:AU21)</f>
        <v>0</v>
      </c>
      <c r="AV22" s="87">
        <f t="shared" si="1"/>
        <v>0</v>
      </c>
      <c r="AW22" s="87">
        <f t="shared" si="1"/>
        <v>0</v>
      </c>
      <c r="AX22" s="87">
        <f t="shared" si="1"/>
        <v>0</v>
      </c>
      <c r="AY22" s="87">
        <f t="shared" si="1"/>
        <v>0</v>
      </c>
      <c r="AZ22" s="87">
        <f t="shared" si="1"/>
        <v>0</v>
      </c>
      <c r="BA22" s="87">
        <f t="shared" si="1"/>
        <v>0</v>
      </c>
      <c r="BB22" s="87">
        <f t="shared" si="1"/>
        <v>0</v>
      </c>
      <c r="BC22" s="113">
        <f t="shared" si="1"/>
        <v>0</v>
      </c>
      <c r="BD22" s="115"/>
    </row>
    <row r="25" spans="1:56">
      <c r="AO25">
        <v>110</v>
      </c>
    </row>
  </sheetData>
  <mergeCells count="43">
    <mergeCell ref="A1:AG1"/>
    <mergeCell ref="AZ1:BC1"/>
    <mergeCell ref="B2:AG2"/>
    <mergeCell ref="AH2:AZ2"/>
    <mergeCell ref="AE3:AG3"/>
    <mergeCell ref="AY3:BC3"/>
    <mergeCell ref="A4:A7"/>
    <mergeCell ref="B4:B7"/>
    <mergeCell ref="C4:AA4"/>
    <mergeCell ref="AB4:AG4"/>
    <mergeCell ref="AH4:AH7"/>
    <mergeCell ref="C5:C6"/>
    <mergeCell ref="D5:E5"/>
    <mergeCell ref="F5:G6"/>
    <mergeCell ref="H5:I5"/>
    <mergeCell ref="T5:U6"/>
    <mergeCell ref="H6:I6"/>
    <mergeCell ref="BD4:BD6"/>
    <mergeCell ref="BE4:BE6"/>
    <mergeCell ref="AR5:AX5"/>
    <mergeCell ref="AR6:AS6"/>
    <mergeCell ref="AR4:AX4"/>
    <mergeCell ref="AY4:AZ6"/>
    <mergeCell ref="BA4:BB6"/>
    <mergeCell ref="BC4:BC6"/>
    <mergeCell ref="AI4:AQ4"/>
    <mergeCell ref="J5:K6"/>
    <mergeCell ref="L5:M6"/>
    <mergeCell ref="N5:O6"/>
    <mergeCell ref="P5:Q6"/>
    <mergeCell ref="R5:S6"/>
    <mergeCell ref="V5:W6"/>
    <mergeCell ref="X5:Y6"/>
    <mergeCell ref="Z5:AA6"/>
    <mergeCell ref="AB5:AC6"/>
    <mergeCell ref="AD5:AE5"/>
    <mergeCell ref="AF5:AG5"/>
    <mergeCell ref="AI5:AJ6"/>
    <mergeCell ref="AK5:AK6"/>
    <mergeCell ref="AL5:AL6"/>
    <mergeCell ref="AM5:AM6"/>
    <mergeCell ref="AN5:AN6"/>
    <mergeCell ref="AO5:AQ5"/>
  </mergeCells>
  <pageMargins left="0.31496062992125984" right="0.31496062992125984" top="0.55118110236220474" bottom="0.35433070866141736" header="0.31496062992125984" footer="0.31496062992125984"/>
  <pageSetup paperSize="9" scale="55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U23"/>
  <sheetViews>
    <sheetView zoomScale="70" zoomScaleNormal="70" workbookViewId="0">
      <pane ySplit="1" topLeftCell="A2" activePane="bottomLeft" state="frozen"/>
      <selection pane="bottomLef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39" width="9.42578125" customWidth="1"/>
    <col min="40" max="40" width="17.85546875" customWidth="1"/>
    <col min="41" max="41" width="12.1406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29" t="s">
        <v>76</v>
      </c>
      <c r="BF6" s="130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3</v>
      </c>
      <c r="D9" s="31">
        <f t="shared" si="0"/>
        <v>3</v>
      </c>
      <c r="E9" s="32">
        <v>452</v>
      </c>
      <c r="F9" s="22">
        <v>1</v>
      </c>
      <c r="G9" s="23">
        <f>F9+'01.04.'!G9</f>
        <v>1</v>
      </c>
      <c r="H9" s="33">
        <v>12</v>
      </c>
      <c r="I9" s="34">
        <v>0</v>
      </c>
      <c r="J9" s="23">
        <f>I9+'01.04.'!J9</f>
        <v>0</v>
      </c>
      <c r="K9" s="33">
        <v>2</v>
      </c>
      <c r="L9" s="22">
        <v>0</v>
      </c>
      <c r="M9" s="23">
        <f>L9+'01.04.'!M9</f>
        <v>0</v>
      </c>
      <c r="N9" s="33">
        <v>735</v>
      </c>
      <c r="O9" s="22">
        <v>0</v>
      </c>
      <c r="P9" s="23">
        <f>O9+'01.04.'!P9</f>
        <v>0</v>
      </c>
      <c r="Q9" s="33">
        <v>502</v>
      </c>
      <c r="R9" s="22">
        <v>0</v>
      </c>
      <c r="S9" s="23">
        <f>R9+'01.04.'!S9</f>
        <v>0</v>
      </c>
      <c r="T9" s="33">
        <v>197</v>
      </c>
      <c r="U9" s="22">
        <v>0</v>
      </c>
      <c r="V9" s="23">
        <f>U9+'01.04.'!V9</f>
        <v>0</v>
      </c>
      <c r="W9" s="33">
        <v>47</v>
      </c>
      <c r="X9" s="22">
        <v>2</v>
      </c>
      <c r="Y9" s="35">
        <f>X9+'01.04.'!Y9</f>
        <v>2</v>
      </c>
      <c r="Z9" s="33">
        <v>34</v>
      </c>
      <c r="AA9" s="22">
        <v>0</v>
      </c>
      <c r="AB9" s="35">
        <f>AA9+'01.04.'!AB9</f>
        <v>0</v>
      </c>
      <c r="AC9" s="33">
        <v>1860</v>
      </c>
      <c r="AD9" s="22">
        <v>0</v>
      </c>
      <c r="AE9" s="35">
        <f>AD9+'01.04.'!AE9</f>
        <v>0</v>
      </c>
      <c r="AF9" s="19">
        <f t="shared" ref="AF9:AG22" si="1">AH9+AJ9+AL9+AN9</f>
        <v>5660</v>
      </c>
      <c r="AG9" s="20">
        <f>AI9+AK9+AM9+AO9</f>
        <v>5660</v>
      </c>
      <c r="AH9" s="24">
        <v>20</v>
      </c>
      <c r="AI9" s="35">
        <f>AH9+'01.04.'!AI9</f>
        <v>20</v>
      </c>
      <c r="AJ9" s="24">
        <v>395</v>
      </c>
      <c r="AK9" s="35">
        <f>AJ9+'01.04.'!AK9</f>
        <v>395</v>
      </c>
      <c r="AL9" s="22">
        <v>890</v>
      </c>
      <c r="AM9" s="35">
        <f>AL9+'01.04.'!AM9</f>
        <v>890</v>
      </c>
      <c r="AN9" s="22">
        <v>4355</v>
      </c>
      <c r="AO9" s="35">
        <f>AN9+'01.04.'!AO9</f>
        <v>4355</v>
      </c>
      <c r="AP9" s="28" t="s">
        <v>43</v>
      </c>
      <c r="AQ9" s="19">
        <f t="shared" ref="AQ9:AR22" si="2">AS9+AU9+AW9+AY9+BA9</f>
        <v>71</v>
      </c>
      <c r="AR9" s="20">
        <f t="shared" si="2"/>
        <v>71</v>
      </c>
      <c r="AS9" s="34">
        <v>0</v>
      </c>
      <c r="AT9" s="35">
        <f>AS9+'01.04.'!AT9</f>
        <v>0</v>
      </c>
      <c r="AU9" s="34">
        <v>0</v>
      </c>
      <c r="AV9" s="35">
        <f>AU9+'01.04.'!AV9</f>
        <v>0</v>
      </c>
      <c r="AW9" s="34">
        <v>0</v>
      </c>
      <c r="AX9" s="35">
        <f>AW9+'01.04.'!AX9</f>
        <v>0</v>
      </c>
      <c r="AY9" s="34">
        <v>0</v>
      </c>
      <c r="AZ9" s="35">
        <f>AY9+'01.04.'!AZ9</f>
        <v>0</v>
      </c>
      <c r="BA9" s="34">
        <v>71</v>
      </c>
      <c r="BB9" s="35">
        <f>BA9+'01.04.'!BB9</f>
        <v>71</v>
      </c>
      <c r="BC9" s="19">
        <f t="shared" ref="BC9:BD22" si="3">BE9+BG9+BI9+BK9+BM9</f>
        <v>1200</v>
      </c>
      <c r="BD9" s="20">
        <f t="shared" si="3"/>
        <v>1200</v>
      </c>
      <c r="BE9" s="22">
        <v>0</v>
      </c>
      <c r="BF9" s="35">
        <f>BE9+'01.04.'!BF9</f>
        <v>0</v>
      </c>
      <c r="BG9" s="34">
        <v>0</v>
      </c>
      <c r="BH9" s="35">
        <f>BG9+'01.04.'!BH9</f>
        <v>0</v>
      </c>
      <c r="BI9" s="22">
        <v>1200</v>
      </c>
      <c r="BJ9" s="35">
        <f>BI9+'01.04.'!BJ9</f>
        <v>1200</v>
      </c>
      <c r="BK9" s="22">
        <v>0</v>
      </c>
      <c r="BL9" s="35">
        <f>BK9+'01.04.'!BL9</f>
        <v>0</v>
      </c>
      <c r="BM9" s="22">
        <v>0</v>
      </c>
      <c r="BN9" s="35">
        <f>BM9+'01.04.'!BN9</f>
        <v>0</v>
      </c>
      <c r="BO9" s="36">
        <v>14</v>
      </c>
      <c r="BP9" s="37">
        <v>0</v>
      </c>
      <c r="BQ9" s="35">
        <f>BP9+'01.04.'!BQ9</f>
        <v>0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17</v>
      </c>
      <c r="D10" s="31">
        <f t="shared" si="0"/>
        <v>17</v>
      </c>
      <c r="E10" s="32">
        <v>585</v>
      </c>
      <c r="F10" s="22">
        <v>1</v>
      </c>
      <c r="G10" s="23">
        <f>F10+'01.04.'!G10</f>
        <v>1</v>
      </c>
      <c r="H10" s="33">
        <v>93</v>
      </c>
      <c r="I10" s="34">
        <v>0</v>
      </c>
      <c r="J10" s="23">
        <f>I10+'01.04.'!J10</f>
        <v>0</v>
      </c>
      <c r="K10" s="33">
        <v>34</v>
      </c>
      <c r="L10" s="22">
        <v>0</v>
      </c>
      <c r="M10" s="23">
        <f>L10+'01.04.'!M10</f>
        <v>0</v>
      </c>
      <c r="N10" s="33">
        <v>352</v>
      </c>
      <c r="O10" s="22">
        <v>0</v>
      </c>
      <c r="P10" s="23">
        <f>O10+'01.04.'!P10</f>
        <v>0</v>
      </c>
      <c r="Q10" s="33">
        <v>549</v>
      </c>
      <c r="R10" s="22">
        <v>0</v>
      </c>
      <c r="S10" s="23">
        <f>R10+'01.04.'!S10</f>
        <v>0</v>
      </c>
      <c r="T10" s="33">
        <v>198</v>
      </c>
      <c r="U10" s="22">
        <v>0</v>
      </c>
      <c r="V10" s="23">
        <f>U10+'01.04.'!V10</f>
        <v>0</v>
      </c>
      <c r="W10" s="38">
        <v>55</v>
      </c>
      <c r="X10" s="22">
        <v>12</v>
      </c>
      <c r="Y10" s="35">
        <f>X10+'01.04.'!Y10</f>
        <v>12</v>
      </c>
      <c r="Z10" s="38">
        <v>71</v>
      </c>
      <c r="AA10" s="22">
        <v>0</v>
      </c>
      <c r="AB10" s="35">
        <f>AA10+'01.04.'!AB10</f>
        <v>0</v>
      </c>
      <c r="AC10" s="38">
        <v>1690</v>
      </c>
      <c r="AD10" s="22">
        <v>4</v>
      </c>
      <c r="AE10" s="35">
        <f>AD10+'01.04.'!AE10</f>
        <v>4</v>
      </c>
      <c r="AF10" s="19">
        <f t="shared" si="1"/>
        <v>114854</v>
      </c>
      <c r="AG10" s="20">
        <f t="shared" si="1"/>
        <v>114854</v>
      </c>
      <c r="AH10" s="24">
        <v>1949</v>
      </c>
      <c r="AI10" s="35">
        <f>AH10+'01.04.'!AI10</f>
        <v>1949</v>
      </c>
      <c r="AJ10" s="24">
        <v>11257</v>
      </c>
      <c r="AK10" s="35">
        <f>AJ10+'01.04.'!AK10</f>
        <v>11257</v>
      </c>
      <c r="AL10" s="22">
        <v>10272</v>
      </c>
      <c r="AM10" s="35">
        <f>AL10+'01.04.'!AM10</f>
        <v>10272</v>
      </c>
      <c r="AN10" s="22">
        <v>91376</v>
      </c>
      <c r="AO10" s="35">
        <f>AN10+'01.04.'!AO10</f>
        <v>91376</v>
      </c>
      <c r="AP10" s="28" t="s">
        <v>44</v>
      </c>
      <c r="AQ10" s="19">
        <f t="shared" si="2"/>
        <v>1</v>
      </c>
      <c r="AR10" s="20">
        <f t="shared" si="2"/>
        <v>1</v>
      </c>
      <c r="AS10" s="34">
        <v>0</v>
      </c>
      <c r="AT10" s="35">
        <f>AS10+'01.04.'!AT10</f>
        <v>0</v>
      </c>
      <c r="AU10" s="34">
        <v>0</v>
      </c>
      <c r="AV10" s="35">
        <f>AU10+'01.04.'!AV10</f>
        <v>0</v>
      </c>
      <c r="AW10" s="34">
        <v>0</v>
      </c>
      <c r="AX10" s="35">
        <f>AW10+'01.04.'!AX10</f>
        <v>0</v>
      </c>
      <c r="AY10" s="34">
        <v>0</v>
      </c>
      <c r="AZ10" s="35">
        <f>AY10+'01.04.'!AZ10</f>
        <v>0</v>
      </c>
      <c r="BA10" s="34">
        <v>1</v>
      </c>
      <c r="BB10" s="35">
        <f>BA10+'01.04.'!BB10</f>
        <v>1</v>
      </c>
      <c r="BC10" s="19">
        <f t="shared" si="3"/>
        <v>5339</v>
      </c>
      <c r="BD10" s="20">
        <f t="shared" si="3"/>
        <v>5339</v>
      </c>
      <c r="BE10" s="22">
        <v>447</v>
      </c>
      <c r="BF10" s="35">
        <f>BE10+'01.04.'!BF10</f>
        <v>447</v>
      </c>
      <c r="BG10" s="34">
        <v>0</v>
      </c>
      <c r="BH10" s="35">
        <f>BG10+'01.04.'!BH10</f>
        <v>0</v>
      </c>
      <c r="BI10" s="22">
        <v>3604</v>
      </c>
      <c r="BJ10" s="35">
        <f>BI10+'01.04.'!BJ10</f>
        <v>3604</v>
      </c>
      <c r="BK10" s="22">
        <v>1288</v>
      </c>
      <c r="BL10" s="35">
        <f>BK10+'01.04.'!BL10</f>
        <v>1288</v>
      </c>
      <c r="BM10" s="22">
        <v>0</v>
      </c>
      <c r="BN10" s="35">
        <f>BM10+'01.04.'!BN10</f>
        <v>0</v>
      </c>
      <c r="BO10" s="36">
        <v>32</v>
      </c>
      <c r="BP10" s="37">
        <v>0</v>
      </c>
      <c r="BQ10" s="35">
        <f>BP10+'01.04.'!BQ10</f>
        <v>0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177</v>
      </c>
      <c r="D11" s="31">
        <f t="shared" si="0"/>
        <v>332</v>
      </c>
      <c r="E11" s="32">
        <v>883</v>
      </c>
      <c r="F11" s="22">
        <v>94</v>
      </c>
      <c r="G11" s="23">
        <f>F11+'01.04.'!G11</f>
        <v>149</v>
      </c>
      <c r="H11" s="33">
        <v>16</v>
      </c>
      <c r="I11" s="34">
        <v>0</v>
      </c>
      <c r="J11" s="23">
        <f>I11+'01.04.'!J11</f>
        <v>0</v>
      </c>
      <c r="K11" s="33">
        <v>3</v>
      </c>
      <c r="L11" s="22">
        <v>0</v>
      </c>
      <c r="M11" s="23">
        <f>L11+'01.04.'!M11</f>
        <v>0</v>
      </c>
      <c r="N11" s="33">
        <v>875</v>
      </c>
      <c r="O11" s="22">
        <v>0</v>
      </c>
      <c r="P11" s="23">
        <f>O11+'01.04.'!P11</f>
        <v>0</v>
      </c>
      <c r="Q11" s="33">
        <v>2424</v>
      </c>
      <c r="R11" s="22">
        <v>0</v>
      </c>
      <c r="S11" s="23">
        <f>R11+'01.04.'!S11</f>
        <v>0</v>
      </c>
      <c r="T11" s="33">
        <v>69</v>
      </c>
      <c r="U11" s="22">
        <v>0</v>
      </c>
      <c r="V11" s="23">
        <f>U11+'01.04.'!V11</f>
        <v>0</v>
      </c>
      <c r="W11" s="38">
        <v>133</v>
      </c>
      <c r="X11" s="22">
        <v>68</v>
      </c>
      <c r="Y11" s="35">
        <f>X11+'01.04.'!Y11</f>
        <v>159</v>
      </c>
      <c r="Z11" s="38">
        <v>1116</v>
      </c>
      <c r="AA11" s="22">
        <v>0</v>
      </c>
      <c r="AB11" s="35">
        <f>AA11+'01.04.'!AB11</f>
        <v>0</v>
      </c>
      <c r="AC11" s="38">
        <v>9862</v>
      </c>
      <c r="AD11" s="22">
        <v>15</v>
      </c>
      <c r="AE11" s="35">
        <f>AD11+'01.04.'!AE11</f>
        <v>24</v>
      </c>
      <c r="AF11" s="19">
        <f t="shared" si="1"/>
        <v>147450</v>
      </c>
      <c r="AG11" s="20">
        <f t="shared" si="1"/>
        <v>320650</v>
      </c>
      <c r="AH11" s="24">
        <v>6800</v>
      </c>
      <c r="AI11" s="35">
        <f>AH11+'01.04.'!AI11</f>
        <v>13000</v>
      </c>
      <c r="AJ11" s="24">
        <v>10650</v>
      </c>
      <c r="AK11" s="35">
        <f>AJ11+'01.04.'!AK11</f>
        <v>19650</v>
      </c>
      <c r="AL11" s="22">
        <v>65000</v>
      </c>
      <c r="AM11" s="35">
        <f>AL11+'01.04.'!AM11</f>
        <v>118000</v>
      </c>
      <c r="AN11" s="22">
        <v>65000</v>
      </c>
      <c r="AO11" s="35">
        <f>AN11+'01.04.'!AO11</f>
        <v>170000</v>
      </c>
      <c r="AP11" s="28" t="s">
        <v>45</v>
      </c>
      <c r="AQ11" s="19">
        <f t="shared" si="2"/>
        <v>8</v>
      </c>
      <c r="AR11" s="20">
        <f t="shared" si="2"/>
        <v>19</v>
      </c>
      <c r="AS11" s="34">
        <v>0</v>
      </c>
      <c r="AT11" s="35">
        <f>AS11+'01.04.'!AT11</f>
        <v>0</v>
      </c>
      <c r="AU11" s="34">
        <v>0</v>
      </c>
      <c r="AV11" s="35">
        <f>AU11+'01.04.'!AV11</f>
        <v>0</v>
      </c>
      <c r="AW11" s="34">
        <v>0</v>
      </c>
      <c r="AX11" s="35">
        <f>AW11+'01.04.'!AX11</f>
        <v>0</v>
      </c>
      <c r="AY11" s="34">
        <v>0</v>
      </c>
      <c r="AZ11" s="35">
        <f>AY11+'01.04.'!AZ11</f>
        <v>0</v>
      </c>
      <c r="BA11" s="34">
        <v>8</v>
      </c>
      <c r="BB11" s="35">
        <f>BA11+'01.04.'!BB11</f>
        <v>19</v>
      </c>
      <c r="BC11" s="19">
        <f t="shared" si="3"/>
        <v>3804</v>
      </c>
      <c r="BD11" s="20">
        <f t="shared" si="3"/>
        <v>10147</v>
      </c>
      <c r="BE11" s="22">
        <v>19</v>
      </c>
      <c r="BF11" s="35">
        <f>BE11+'01.04.'!BF11</f>
        <v>31</v>
      </c>
      <c r="BG11" s="34">
        <v>3600</v>
      </c>
      <c r="BH11" s="35">
        <f>BG11+'01.04.'!BH11</f>
        <v>3606</v>
      </c>
      <c r="BI11" s="22">
        <v>185</v>
      </c>
      <c r="BJ11" s="35">
        <f>BI11+'01.04.'!BJ11</f>
        <v>6385</v>
      </c>
      <c r="BK11" s="22">
        <v>0</v>
      </c>
      <c r="BL11" s="35">
        <f>BK11+'01.04.'!BL11</f>
        <v>125</v>
      </c>
      <c r="BM11" s="22">
        <v>0</v>
      </c>
      <c r="BN11" s="35">
        <f>BM11+'01.04.'!BN11</f>
        <v>0</v>
      </c>
      <c r="BO11" s="36">
        <v>11506</v>
      </c>
      <c r="BP11" s="37">
        <v>8</v>
      </c>
      <c r="BQ11" s="35">
        <f>BP11+'01.04.'!BQ11</f>
        <v>16</v>
      </c>
    </row>
    <row r="12" spans="1:70" ht="27.75" customHeight="1">
      <c r="A12" s="50" t="s">
        <v>46</v>
      </c>
      <c r="B12" s="29">
        <f t="shared" si="0"/>
        <v>30164</v>
      </c>
      <c r="C12" s="30">
        <f t="shared" si="0"/>
        <v>169</v>
      </c>
      <c r="D12" s="31">
        <f t="shared" si="0"/>
        <v>406</v>
      </c>
      <c r="E12" s="32">
        <v>909</v>
      </c>
      <c r="F12" s="22">
        <v>136</v>
      </c>
      <c r="G12" s="23">
        <f>F12+'01.04.'!G12</f>
        <v>184</v>
      </c>
      <c r="H12" s="33">
        <v>80</v>
      </c>
      <c r="I12" s="34">
        <v>0</v>
      </c>
      <c r="J12" s="23">
        <f>I12+'01.04.'!J12</f>
        <v>5</v>
      </c>
      <c r="K12" s="33">
        <v>5</v>
      </c>
      <c r="L12" s="22">
        <v>0</v>
      </c>
      <c r="M12" s="23">
        <f>L12+'01.04.'!M12</f>
        <v>0</v>
      </c>
      <c r="N12" s="33">
        <v>820</v>
      </c>
      <c r="O12" s="22">
        <v>0</v>
      </c>
      <c r="P12" s="23">
        <f>O12+'01.04.'!P12</f>
        <v>22</v>
      </c>
      <c r="Q12" s="33">
        <v>549</v>
      </c>
      <c r="R12" s="22">
        <v>0</v>
      </c>
      <c r="S12" s="23">
        <f>R12+'01.04.'!S12</f>
        <v>0</v>
      </c>
      <c r="T12" s="33">
        <v>992</v>
      </c>
      <c r="U12" s="22">
        <v>0</v>
      </c>
      <c r="V12" s="23">
        <f>U12+'01.04.'!V12</f>
        <v>0</v>
      </c>
      <c r="W12" s="33">
        <v>38</v>
      </c>
      <c r="X12" s="22">
        <v>19</v>
      </c>
      <c r="Y12" s="35">
        <f>X12+'01.04.'!Y12</f>
        <v>150</v>
      </c>
      <c r="Z12" s="33">
        <v>68</v>
      </c>
      <c r="AA12" s="22">
        <v>0</v>
      </c>
      <c r="AB12" s="35">
        <f>AA12+'01.04.'!AB12</f>
        <v>0</v>
      </c>
      <c r="AC12" s="33">
        <v>26703</v>
      </c>
      <c r="AD12" s="22">
        <v>14</v>
      </c>
      <c r="AE12" s="35">
        <f>AD12+'01.04.'!AE12</f>
        <v>45</v>
      </c>
      <c r="AF12" s="19">
        <f t="shared" si="1"/>
        <v>10380</v>
      </c>
      <c r="AG12" s="20">
        <f t="shared" si="1"/>
        <v>40580</v>
      </c>
      <c r="AH12" s="24">
        <v>1308</v>
      </c>
      <c r="AI12" s="35">
        <f>AH12+'01.04.'!AI12</f>
        <v>9308</v>
      </c>
      <c r="AJ12" s="24">
        <v>3472</v>
      </c>
      <c r="AK12" s="35">
        <f>AJ12+'01.04.'!AK12</f>
        <v>12972</v>
      </c>
      <c r="AL12" s="22">
        <v>5600</v>
      </c>
      <c r="AM12" s="35">
        <f>AL12+'01.04.'!AM12</f>
        <v>11950</v>
      </c>
      <c r="AN12" s="22">
        <v>0</v>
      </c>
      <c r="AO12" s="35">
        <f>AN12+'01.04.'!AO12</f>
        <v>6350</v>
      </c>
      <c r="AP12" s="28" t="s">
        <v>46</v>
      </c>
      <c r="AQ12" s="19">
        <f t="shared" si="2"/>
        <v>9</v>
      </c>
      <c r="AR12" s="20">
        <f t="shared" si="2"/>
        <v>137</v>
      </c>
      <c r="AS12" s="34">
        <v>0</v>
      </c>
      <c r="AT12" s="35">
        <f>AS12+'01.04.'!AT12</f>
        <v>0</v>
      </c>
      <c r="AU12" s="34">
        <v>0</v>
      </c>
      <c r="AV12" s="35">
        <f>AU12+'01.04.'!AV12</f>
        <v>0</v>
      </c>
      <c r="AW12" s="34">
        <v>0</v>
      </c>
      <c r="AX12" s="35">
        <f>AW12+'01.04.'!AX12</f>
        <v>0</v>
      </c>
      <c r="AY12" s="34">
        <v>0</v>
      </c>
      <c r="AZ12" s="35">
        <f>AY12+'01.04.'!AZ12</f>
        <v>0</v>
      </c>
      <c r="BA12" s="34">
        <v>9</v>
      </c>
      <c r="BB12" s="35">
        <f>BA12+'01.04.'!BB12</f>
        <v>137</v>
      </c>
      <c r="BC12" s="19">
        <f t="shared" si="3"/>
        <v>1235</v>
      </c>
      <c r="BD12" s="20">
        <f t="shared" si="3"/>
        <v>5037</v>
      </c>
      <c r="BE12" s="22">
        <v>49</v>
      </c>
      <c r="BF12" s="35">
        <f>BE12+'01.04.'!BF12</f>
        <v>138</v>
      </c>
      <c r="BG12" s="34">
        <v>8</v>
      </c>
      <c r="BH12" s="35">
        <f>BG12+'01.04.'!BH12</f>
        <v>21</v>
      </c>
      <c r="BI12" s="22">
        <v>980</v>
      </c>
      <c r="BJ12" s="35">
        <f>BI12+'01.04.'!BJ12</f>
        <v>4180</v>
      </c>
      <c r="BK12" s="22">
        <v>198</v>
      </c>
      <c r="BL12" s="35">
        <f>BK12+'01.04.'!BL12</f>
        <v>698</v>
      </c>
      <c r="BM12" s="22">
        <v>0</v>
      </c>
      <c r="BN12" s="35">
        <f>BM12+'01.04.'!BN12</f>
        <v>0</v>
      </c>
      <c r="BO12" s="36"/>
      <c r="BP12" s="37">
        <v>0</v>
      </c>
      <c r="BQ12" s="35">
        <f>BP12+'01.04.'!BQ12</f>
        <v>2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17</v>
      </c>
      <c r="D13" s="31">
        <f t="shared" si="0"/>
        <v>22</v>
      </c>
      <c r="E13" s="32">
        <v>516</v>
      </c>
      <c r="F13" s="22">
        <v>15</v>
      </c>
      <c r="G13" s="23">
        <f>F13+'01.04.'!G13</f>
        <v>17</v>
      </c>
      <c r="H13" s="33">
        <v>10</v>
      </c>
      <c r="I13" s="34">
        <v>0</v>
      </c>
      <c r="J13" s="23">
        <f>I13+'01.04.'!J13</f>
        <v>0</v>
      </c>
      <c r="K13" s="33">
        <v>38</v>
      </c>
      <c r="L13" s="22">
        <v>0</v>
      </c>
      <c r="M13" s="23">
        <f>L13+'01.04.'!M13</f>
        <v>0</v>
      </c>
      <c r="N13" s="33">
        <v>581</v>
      </c>
      <c r="O13" s="22">
        <v>0</v>
      </c>
      <c r="P13" s="23">
        <f>O13+'01.04.'!P13</f>
        <v>1</v>
      </c>
      <c r="Q13" s="33">
        <v>525</v>
      </c>
      <c r="R13" s="22">
        <v>0</v>
      </c>
      <c r="S13" s="23">
        <f>R13+'01.04.'!S13</f>
        <v>0</v>
      </c>
      <c r="T13" s="33">
        <v>263</v>
      </c>
      <c r="U13" s="22">
        <v>0</v>
      </c>
      <c r="V13" s="23">
        <f>U13+'01.04.'!V13</f>
        <v>0</v>
      </c>
      <c r="W13" s="33">
        <v>43</v>
      </c>
      <c r="X13" s="22">
        <v>2</v>
      </c>
      <c r="Y13" s="35">
        <f>X13+'01.04.'!Y13</f>
        <v>2</v>
      </c>
      <c r="Z13" s="33">
        <v>17</v>
      </c>
      <c r="AA13" s="22">
        <v>0</v>
      </c>
      <c r="AB13" s="35">
        <f>AA13+'01.04.'!AB13</f>
        <v>0</v>
      </c>
      <c r="AC13" s="33">
        <v>51</v>
      </c>
      <c r="AD13" s="22">
        <v>0</v>
      </c>
      <c r="AE13" s="35">
        <f>AD13+'01.04.'!AE13</f>
        <v>2</v>
      </c>
      <c r="AF13" s="19">
        <f t="shared" si="1"/>
        <v>372500</v>
      </c>
      <c r="AG13" s="20">
        <f t="shared" si="1"/>
        <v>600500</v>
      </c>
      <c r="AH13" s="24">
        <v>4000</v>
      </c>
      <c r="AI13" s="35">
        <f>AH13+'01.04.'!AI13</f>
        <v>4700</v>
      </c>
      <c r="AJ13" s="24">
        <v>8500</v>
      </c>
      <c r="AK13" s="35">
        <f>AJ13+'01.04.'!AK13</f>
        <v>15800</v>
      </c>
      <c r="AL13" s="22">
        <v>20000</v>
      </c>
      <c r="AM13" s="35">
        <f>AL13+'01.04.'!AM13</f>
        <v>40000</v>
      </c>
      <c r="AN13" s="22">
        <v>340000</v>
      </c>
      <c r="AO13" s="35">
        <f>AN13+'01.04.'!AO13</f>
        <v>540000</v>
      </c>
      <c r="AP13" s="28" t="s">
        <v>47</v>
      </c>
      <c r="AQ13" s="19">
        <f t="shared" si="2"/>
        <v>34</v>
      </c>
      <c r="AR13" s="20">
        <f t="shared" si="2"/>
        <v>46</v>
      </c>
      <c r="AS13" s="34">
        <v>0</v>
      </c>
      <c r="AT13" s="35">
        <f>AS13+'01.04.'!AT13</f>
        <v>1</v>
      </c>
      <c r="AU13" s="34">
        <v>2</v>
      </c>
      <c r="AV13" s="35">
        <f>AU13+'01.04.'!AV13</f>
        <v>3</v>
      </c>
      <c r="AW13" s="34">
        <v>0</v>
      </c>
      <c r="AX13" s="35">
        <f>AW13+'01.04.'!AX13</f>
        <v>0</v>
      </c>
      <c r="AY13" s="34">
        <v>0</v>
      </c>
      <c r="AZ13" s="35">
        <f>AY13+'01.04.'!AZ13</f>
        <v>0</v>
      </c>
      <c r="BA13" s="34">
        <v>32</v>
      </c>
      <c r="BB13" s="35">
        <f>BA13+'01.04.'!BB13</f>
        <v>42</v>
      </c>
      <c r="BC13" s="19">
        <f t="shared" si="3"/>
        <v>11566</v>
      </c>
      <c r="BD13" s="20">
        <f t="shared" si="3"/>
        <v>19870</v>
      </c>
      <c r="BE13" s="22">
        <v>516</v>
      </c>
      <c r="BF13" s="35">
        <f>BE13+'01.04.'!BF13</f>
        <v>716</v>
      </c>
      <c r="BG13" s="34">
        <v>50</v>
      </c>
      <c r="BH13" s="35">
        <f>BG13+'01.04.'!BH13</f>
        <v>54</v>
      </c>
      <c r="BI13" s="22">
        <v>8000</v>
      </c>
      <c r="BJ13" s="35">
        <f>BI13+'01.04.'!BJ13</f>
        <v>16000</v>
      </c>
      <c r="BK13" s="22">
        <v>3000</v>
      </c>
      <c r="BL13" s="35">
        <f>BK13+'01.04.'!BL13</f>
        <v>3100</v>
      </c>
      <c r="BM13" s="22"/>
      <c r="BN13" s="35">
        <f>BM13+'01.04.'!BN13</f>
        <v>0</v>
      </c>
      <c r="BO13" s="36"/>
      <c r="BP13" s="37"/>
      <c r="BQ13" s="35">
        <f>BP13+'01.04.'!BQ13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110</v>
      </c>
      <c r="D14" s="42">
        <f t="shared" si="0"/>
        <v>256</v>
      </c>
      <c r="E14" s="43">
        <v>304</v>
      </c>
      <c r="F14" s="22">
        <v>80</v>
      </c>
      <c r="G14" s="23">
        <f>F14+'01.04.'!G14</f>
        <v>197</v>
      </c>
      <c r="H14" s="44">
        <v>5</v>
      </c>
      <c r="I14" s="45">
        <v>0</v>
      </c>
      <c r="J14" s="23">
        <f>I14+'01.04.'!J14</f>
        <v>0</v>
      </c>
      <c r="K14" s="44">
        <v>34</v>
      </c>
      <c r="L14" s="22">
        <v>0</v>
      </c>
      <c r="M14" s="23">
        <f>L14+'01.04.'!M14</f>
        <v>0</v>
      </c>
      <c r="N14" s="44">
        <v>583</v>
      </c>
      <c r="O14" s="22">
        <v>0</v>
      </c>
      <c r="P14" s="23">
        <f>O14+'01.04.'!P14</f>
        <v>0</v>
      </c>
      <c r="Q14" s="44">
        <v>254</v>
      </c>
      <c r="R14" s="22">
        <v>0</v>
      </c>
      <c r="S14" s="23">
        <f>R14+'01.04.'!S14</f>
        <v>0</v>
      </c>
      <c r="T14" s="44">
        <v>196</v>
      </c>
      <c r="U14" s="22">
        <v>0</v>
      </c>
      <c r="V14" s="23">
        <f>U14+'01.04.'!V14</f>
        <v>0</v>
      </c>
      <c r="W14" s="44">
        <v>30</v>
      </c>
      <c r="X14" s="22">
        <v>25</v>
      </c>
      <c r="Y14" s="35">
        <f>X14+'01.04.'!Y14</f>
        <v>50</v>
      </c>
      <c r="Z14" s="44">
        <v>10</v>
      </c>
      <c r="AA14" s="22">
        <v>0</v>
      </c>
      <c r="AB14" s="35">
        <f>AA14+'01.04.'!AB14</f>
        <v>0</v>
      </c>
      <c r="AC14" s="44">
        <v>2500</v>
      </c>
      <c r="AD14" s="22">
        <v>5</v>
      </c>
      <c r="AE14" s="35">
        <f>AD14+'01.04.'!AE14</f>
        <v>9</v>
      </c>
      <c r="AF14" s="19">
        <f t="shared" si="1"/>
        <v>291050</v>
      </c>
      <c r="AG14" s="20">
        <f t="shared" si="1"/>
        <v>481340</v>
      </c>
      <c r="AH14" s="24">
        <v>3000</v>
      </c>
      <c r="AI14" s="35">
        <f>AH14+'01.04.'!AI14</f>
        <v>4420</v>
      </c>
      <c r="AJ14" s="24">
        <v>7800</v>
      </c>
      <c r="AK14" s="35">
        <f>AJ14+'01.04.'!AK14</f>
        <v>20320</v>
      </c>
      <c r="AL14" s="22">
        <v>18000</v>
      </c>
      <c r="AM14" s="35">
        <f>AL14+'01.04.'!AM14</f>
        <v>29220</v>
      </c>
      <c r="AN14" s="22">
        <v>262250</v>
      </c>
      <c r="AO14" s="35">
        <f>AN14+'01.04.'!AO14</f>
        <v>427380</v>
      </c>
      <c r="AP14" s="39" t="s">
        <v>48</v>
      </c>
      <c r="AQ14" s="19">
        <f t="shared" si="2"/>
        <v>5</v>
      </c>
      <c r="AR14" s="20">
        <f t="shared" si="2"/>
        <v>17</v>
      </c>
      <c r="AS14" s="45">
        <v>0</v>
      </c>
      <c r="AT14" s="35">
        <f>AS14+'01.04.'!AT14</f>
        <v>1</v>
      </c>
      <c r="AU14" s="45">
        <v>0</v>
      </c>
      <c r="AV14" s="35">
        <f>AU14+'01.04.'!AV14</f>
        <v>0</v>
      </c>
      <c r="AW14" s="45">
        <v>0</v>
      </c>
      <c r="AX14" s="35">
        <f>AW14+'01.04.'!AX14</f>
        <v>1</v>
      </c>
      <c r="AY14" s="45">
        <v>0</v>
      </c>
      <c r="AZ14" s="35">
        <f>AY14+'01.04.'!AZ14</f>
        <v>0</v>
      </c>
      <c r="BA14" s="45">
        <v>5</v>
      </c>
      <c r="BB14" s="35">
        <f>BA14+'01.04.'!BB14</f>
        <v>15</v>
      </c>
      <c r="BC14" s="19">
        <f t="shared" si="3"/>
        <v>2390</v>
      </c>
      <c r="BD14" s="20">
        <f t="shared" si="3"/>
        <v>7692</v>
      </c>
      <c r="BE14" s="22"/>
      <c r="BF14" s="35">
        <f>BE14+'01.04.'!BF14</f>
        <v>12</v>
      </c>
      <c r="BG14" s="45">
        <v>10</v>
      </c>
      <c r="BH14" s="35">
        <f>BG14+'01.04.'!BH14</f>
        <v>15</v>
      </c>
      <c r="BI14" s="22">
        <v>2200</v>
      </c>
      <c r="BJ14" s="35">
        <f>BI14+'01.04.'!BJ14</f>
        <v>7440</v>
      </c>
      <c r="BK14" s="22">
        <v>180</v>
      </c>
      <c r="BL14" s="35">
        <f>BK14+'01.04.'!BL14</f>
        <v>225</v>
      </c>
      <c r="BM14" s="22"/>
      <c r="BN14" s="35">
        <f>BM14+'01.04.'!BN14</f>
        <v>0</v>
      </c>
      <c r="BO14" s="48">
        <v>2</v>
      </c>
      <c r="BP14" s="49">
        <v>1</v>
      </c>
      <c r="BQ14" s="35">
        <f>BP14+'01.04.'!BQ14</f>
        <v>2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264</v>
      </c>
      <c r="D15" s="53">
        <f t="shared" si="0"/>
        <v>760</v>
      </c>
      <c r="E15" s="54">
        <v>776</v>
      </c>
      <c r="F15" s="55">
        <v>192</v>
      </c>
      <c r="G15" s="23">
        <f>F15+'01.04.'!G15</f>
        <v>508</v>
      </c>
      <c r="H15" s="56">
        <v>9</v>
      </c>
      <c r="I15" s="57">
        <v>0</v>
      </c>
      <c r="J15" s="23">
        <f>I15+'01.04.'!J15</f>
        <v>0</v>
      </c>
      <c r="K15" s="56">
        <v>6</v>
      </c>
      <c r="L15" s="55">
        <v>0</v>
      </c>
      <c r="M15" s="23">
        <f>L15+'01.04.'!M15</f>
        <v>0</v>
      </c>
      <c r="N15" s="56">
        <v>1305</v>
      </c>
      <c r="O15" s="55">
        <v>0</v>
      </c>
      <c r="P15" s="23">
        <f>O15+'01.04.'!P15</f>
        <v>0</v>
      </c>
      <c r="Q15" s="56">
        <v>447</v>
      </c>
      <c r="R15" s="55">
        <v>0</v>
      </c>
      <c r="S15" s="23">
        <f>R15+'01.04.'!S15</f>
        <v>0</v>
      </c>
      <c r="T15" s="56">
        <v>337</v>
      </c>
      <c r="U15" s="55">
        <v>0</v>
      </c>
      <c r="V15" s="23">
        <f>U15+'01.04.'!V15</f>
        <v>0</v>
      </c>
      <c r="W15" s="56">
        <v>78</v>
      </c>
      <c r="X15" s="55">
        <v>0</v>
      </c>
      <c r="Y15" s="35">
        <f>X15+'01.04.'!Y15</f>
        <v>0</v>
      </c>
      <c r="Z15" s="56">
        <v>141</v>
      </c>
      <c r="AA15" s="55">
        <v>0</v>
      </c>
      <c r="AB15" s="35">
        <f>AA15+'01.04.'!AB15</f>
        <v>0</v>
      </c>
      <c r="AC15" s="56">
        <v>798</v>
      </c>
      <c r="AD15" s="55">
        <v>72</v>
      </c>
      <c r="AE15" s="35">
        <f>AD15+'01.04.'!AE15</f>
        <v>252</v>
      </c>
      <c r="AF15" s="58">
        <f t="shared" si="1"/>
        <v>1429598</v>
      </c>
      <c r="AG15" s="59">
        <f t="shared" si="1"/>
        <v>2995271</v>
      </c>
      <c r="AH15" s="60">
        <v>1241</v>
      </c>
      <c r="AI15" s="35">
        <f>AH15+'01.04.'!AI15</f>
        <v>2290</v>
      </c>
      <c r="AJ15" s="60">
        <v>1357</v>
      </c>
      <c r="AK15" s="35">
        <f>AJ15+'01.04.'!AK15</f>
        <v>1357</v>
      </c>
      <c r="AL15" s="55">
        <v>427000</v>
      </c>
      <c r="AM15" s="35">
        <f>AL15+'01.04.'!AM15</f>
        <v>1209312</v>
      </c>
      <c r="AN15" s="55">
        <v>1000000</v>
      </c>
      <c r="AO15" s="35">
        <f>AN15+'01.04.'!AO15</f>
        <v>1782312</v>
      </c>
      <c r="AP15" s="50" t="s">
        <v>49</v>
      </c>
      <c r="AQ15" s="58">
        <f t="shared" si="2"/>
        <v>0</v>
      </c>
      <c r="AR15" s="59">
        <f t="shared" si="2"/>
        <v>4</v>
      </c>
      <c r="AS15" s="57">
        <v>0</v>
      </c>
      <c r="AT15" s="35">
        <f>AS15+'01.04.'!AT15</f>
        <v>0</v>
      </c>
      <c r="AU15" s="57">
        <v>0</v>
      </c>
      <c r="AV15" s="35">
        <f>AU15+'01.04.'!AV15</f>
        <v>0</v>
      </c>
      <c r="AW15" s="57">
        <v>0</v>
      </c>
      <c r="AX15" s="35">
        <f>AW15+'01.04.'!AX15</f>
        <v>0</v>
      </c>
      <c r="AY15" s="57">
        <v>0</v>
      </c>
      <c r="AZ15" s="35">
        <f>AY15+'01.04.'!AZ15</f>
        <v>0</v>
      </c>
      <c r="BA15" s="57">
        <v>0</v>
      </c>
      <c r="BB15" s="35">
        <f>BA15+'01.04.'!BB15</f>
        <v>4</v>
      </c>
      <c r="BC15" s="58">
        <f t="shared" si="3"/>
        <v>1290</v>
      </c>
      <c r="BD15" s="59">
        <f t="shared" si="3"/>
        <v>5784</v>
      </c>
      <c r="BE15" s="55"/>
      <c r="BF15" s="35">
        <f>BE15+'01.04.'!BF15</f>
        <v>88</v>
      </c>
      <c r="BG15" s="57">
        <v>645</v>
      </c>
      <c r="BH15" s="35">
        <f>BG15+'01.04.'!BH15</f>
        <v>651</v>
      </c>
      <c r="BI15" s="55">
        <v>645</v>
      </c>
      <c r="BJ15" s="35">
        <f>BI15+'01.04.'!BJ15</f>
        <v>2845</v>
      </c>
      <c r="BK15" s="55">
        <v>0</v>
      </c>
      <c r="BL15" s="35">
        <f>BK15+'01.04.'!BL15</f>
        <v>2200</v>
      </c>
      <c r="BM15" s="55">
        <v>0</v>
      </c>
      <c r="BN15" s="35">
        <f>BM15+'01.04.'!BN15</f>
        <v>0</v>
      </c>
      <c r="BO15" s="36">
        <v>6274</v>
      </c>
      <c r="BP15" s="37">
        <v>4</v>
      </c>
      <c r="BQ15" s="35">
        <f>BP15+'01.04.'!BQ15</f>
        <v>6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187</v>
      </c>
      <c r="D16" s="31">
        <f t="shared" si="0"/>
        <v>341</v>
      </c>
      <c r="E16" s="32">
        <v>310</v>
      </c>
      <c r="F16" s="22">
        <v>35</v>
      </c>
      <c r="G16" s="23">
        <f>F16+'01.04.'!G16</f>
        <v>96</v>
      </c>
      <c r="H16" s="33">
        <v>5</v>
      </c>
      <c r="I16" s="34">
        <v>0</v>
      </c>
      <c r="J16" s="23">
        <f>I16+'01.04.'!J16</f>
        <v>0</v>
      </c>
      <c r="K16" s="33">
        <v>3</v>
      </c>
      <c r="L16" s="22">
        <v>0</v>
      </c>
      <c r="M16" s="23">
        <f>L16+'01.04.'!M16</f>
        <v>0</v>
      </c>
      <c r="N16" s="33">
        <v>384</v>
      </c>
      <c r="O16" s="22">
        <v>0</v>
      </c>
      <c r="P16" s="23">
        <f>O16+'01.04.'!P16</f>
        <v>0</v>
      </c>
      <c r="Q16" s="33">
        <v>245</v>
      </c>
      <c r="R16" s="22">
        <v>0</v>
      </c>
      <c r="S16" s="23">
        <f>R16+'01.04.'!S16</f>
        <v>0</v>
      </c>
      <c r="T16" s="33">
        <v>397</v>
      </c>
      <c r="U16" s="22">
        <v>0</v>
      </c>
      <c r="V16" s="23">
        <f>U16+'01.04.'!V16</f>
        <v>0</v>
      </c>
      <c r="W16" s="33">
        <v>24</v>
      </c>
      <c r="X16" s="22">
        <v>79</v>
      </c>
      <c r="Y16" s="35">
        <f>X16+'01.04.'!Y16</f>
        <v>115</v>
      </c>
      <c r="Z16" s="33">
        <v>18</v>
      </c>
      <c r="AA16" s="22">
        <v>0</v>
      </c>
      <c r="AB16" s="35">
        <f>AA16+'01.04.'!AB16</f>
        <v>0</v>
      </c>
      <c r="AC16" s="33">
        <v>18515</v>
      </c>
      <c r="AD16" s="22">
        <v>73</v>
      </c>
      <c r="AE16" s="35">
        <f>AD16+'01.04.'!AE16</f>
        <v>130</v>
      </c>
      <c r="AF16" s="19">
        <f t="shared" si="1"/>
        <v>66750</v>
      </c>
      <c r="AG16" s="20">
        <f t="shared" si="1"/>
        <v>132212</v>
      </c>
      <c r="AH16" s="24">
        <v>350</v>
      </c>
      <c r="AI16" s="35">
        <f>AH16+'01.04.'!AI16</f>
        <v>666</v>
      </c>
      <c r="AJ16" s="24">
        <v>900</v>
      </c>
      <c r="AK16" s="35">
        <f>AJ16+'01.04.'!AK16</f>
        <v>2126</v>
      </c>
      <c r="AL16" s="22">
        <v>3500</v>
      </c>
      <c r="AM16" s="35">
        <f>AL16+'01.04.'!AM16</f>
        <v>7730</v>
      </c>
      <c r="AN16" s="22">
        <v>62000</v>
      </c>
      <c r="AO16" s="35">
        <f>AN16+'01.04.'!AO16</f>
        <v>121690</v>
      </c>
      <c r="AP16" s="28" t="s">
        <v>51</v>
      </c>
      <c r="AQ16" s="19">
        <f t="shared" si="2"/>
        <v>47</v>
      </c>
      <c r="AR16" s="20">
        <f t="shared" si="2"/>
        <v>122</v>
      </c>
      <c r="AS16" s="34">
        <v>0</v>
      </c>
      <c r="AT16" s="35">
        <f>AS16+'01.04.'!AT16</f>
        <v>0</v>
      </c>
      <c r="AU16" s="34">
        <v>0</v>
      </c>
      <c r="AV16" s="35">
        <f>AU16+'01.04.'!AV16</f>
        <v>0</v>
      </c>
      <c r="AW16" s="34">
        <v>0</v>
      </c>
      <c r="AX16" s="35">
        <f>AW16+'01.04.'!AX16</f>
        <v>0</v>
      </c>
      <c r="AY16" s="34">
        <v>0</v>
      </c>
      <c r="AZ16" s="35">
        <f>AY16+'01.04.'!AZ16</f>
        <v>0</v>
      </c>
      <c r="BA16" s="34">
        <v>47</v>
      </c>
      <c r="BB16" s="35">
        <f>BA16+'01.04.'!BB16</f>
        <v>122</v>
      </c>
      <c r="BC16" s="19">
        <f t="shared" si="3"/>
        <v>945</v>
      </c>
      <c r="BD16" s="20">
        <f t="shared" si="3"/>
        <v>2512</v>
      </c>
      <c r="BE16" s="22">
        <v>27</v>
      </c>
      <c r="BF16" s="35">
        <f>BE16+'01.04.'!BF16</f>
        <v>112</v>
      </c>
      <c r="BG16" s="34">
        <v>8</v>
      </c>
      <c r="BH16" s="35">
        <f>BG16+'01.04.'!BH16</f>
        <v>10</v>
      </c>
      <c r="BI16" s="22">
        <v>910</v>
      </c>
      <c r="BJ16" s="35">
        <f>BI16+'01.04.'!BJ16</f>
        <v>2140</v>
      </c>
      <c r="BK16" s="22">
        <v>0</v>
      </c>
      <c r="BL16" s="35">
        <f>BK16+'01.04.'!BL16</f>
        <v>250</v>
      </c>
      <c r="BM16" s="22">
        <v>0</v>
      </c>
      <c r="BN16" s="35">
        <f>BM16+'01.04.'!BN16</f>
        <v>0</v>
      </c>
      <c r="BO16" s="36">
        <v>2546</v>
      </c>
      <c r="BP16" s="37">
        <v>0</v>
      </c>
      <c r="BQ16" s="35">
        <f>BP16+'01.04.'!BQ16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165</v>
      </c>
      <c r="D17" s="31">
        <f t="shared" si="0"/>
        <v>321</v>
      </c>
      <c r="E17" s="32">
        <v>754</v>
      </c>
      <c r="F17" s="22">
        <v>123</v>
      </c>
      <c r="G17" s="23">
        <f>F17+'01.04.'!G17</f>
        <v>209</v>
      </c>
      <c r="H17" s="33">
        <v>9</v>
      </c>
      <c r="I17" s="34">
        <v>0</v>
      </c>
      <c r="J17" s="23">
        <f>I17+'01.04.'!J17</f>
        <v>0</v>
      </c>
      <c r="K17" s="33">
        <v>5</v>
      </c>
      <c r="L17" s="22">
        <v>0</v>
      </c>
      <c r="M17" s="23">
        <f>L17+'01.04.'!M17</f>
        <v>0</v>
      </c>
      <c r="N17" s="33">
        <v>768</v>
      </c>
      <c r="O17" s="22">
        <v>0</v>
      </c>
      <c r="P17" s="23">
        <f>O17+'01.04.'!P17</f>
        <v>0</v>
      </c>
      <c r="Q17" s="33">
        <v>624</v>
      </c>
      <c r="R17" s="22">
        <v>0</v>
      </c>
      <c r="S17" s="23">
        <f>R17+'01.04.'!S17</f>
        <v>0</v>
      </c>
      <c r="T17" s="33">
        <v>742</v>
      </c>
      <c r="U17" s="22">
        <v>0</v>
      </c>
      <c r="V17" s="23">
        <f>U17+'01.04.'!V17</f>
        <v>0</v>
      </c>
      <c r="W17" s="33">
        <v>54</v>
      </c>
      <c r="X17" s="22">
        <v>32</v>
      </c>
      <c r="Y17" s="35">
        <f>X17+'01.04.'!Y17</f>
        <v>32</v>
      </c>
      <c r="Z17" s="33">
        <v>66</v>
      </c>
      <c r="AA17" s="22">
        <v>0</v>
      </c>
      <c r="AB17" s="35">
        <f>AA17+'01.04.'!AB17</f>
        <v>0</v>
      </c>
      <c r="AC17" s="33">
        <v>2580</v>
      </c>
      <c r="AD17" s="22">
        <v>10</v>
      </c>
      <c r="AE17" s="35">
        <f>AD17+'01.04.'!AE17</f>
        <v>80</v>
      </c>
      <c r="AF17" s="19">
        <f t="shared" si="1"/>
        <v>208500</v>
      </c>
      <c r="AG17" s="20">
        <f t="shared" si="1"/>
        <v>382800</v>
      </c>
      <c r="AH17" s="24">
        <v>8000</v>
      </c>
      <c r="AI17" s="35">
        <f>AH17+'01.04.'!AI17</f>
        <v>17500</v>
      </c>
      <c r="AJ17" s="24">
        <v>10500</v>
      </c>
      <c r="AK17" s="35">
        <f>AJ17+'01.04.'!AK17</f>
        <v>20300</v>
      </c>
      <c r="AL17" s="22">
        <v>33000</v>
      </c>
      <c r="AM17" s="35">
        <f>AL17+'01.04.'!AM17</f>
        <v>113000</v>
      </c>
      <c r="AN17" s="22">
        <v>157000</v>
      </c>
      <c r="AO17" s="35">
        <f>AN17+'01.04.'!AO17</f>
        <v>232000</v>
      </c>
      <c r="AP17" s="28" t="s">
        <v>52</v>
      </c>
      <c r="AQ17" s="19">
        <f t="shared" si="2"/>
        <v>9</v>
      </c>
      <c r="AR17" s="20">
        <f t="shared" si="2"/>
        <v>24</v>
      </c>
      <c r="AS17" s="34">
        <v>0</v>
      </c>
      <c r="AT17" s="35">
        <f>AS17+'01.04.'!AT17</f>
        <v>1</v>
      </c>
      <c r="AU17" s="34">
        <v>0</v>
      </c>
      <c r="AV17" s="35">
        <f>AU17+'01.04.'!AV17</f>
        <v>0</v>
      </c>
      <c r="AW17" s="34">
        <v>0</v>
      </c>
      <c r="AX17" s="35">
        <f>AW17+'01.04.'!AX17</f>
        <v>0</v>
      </c>
      <c r="AY17" s="34">
        <v>0</v>
      </c>
      <c r="AZ17" s="35">
        <f>AY17+'01.04.'!AZ17</f>
        <v>0</v>
      </c>
      <c r="BA17" s="34">
        <v>9</v>
      </c>
      <c r="BB17" s="35">
        <f>BA17+'01.04.'!BB17</f>
        <v>23</v>
      </c>
      <c r="BC17" s="19">
        <f t="shared" si="3"/>
        <v>3226</v>
      </c>
      <c r="BD17" s="20">
        <f t="shared" si="3"/>
        <v>4618</v>
      </c>
      <c r="BE17" s="22">
        <v>30</v>
      </c>
      <c r="BF17" s="35">
        <f>BE17+'01.04.'!BF17</f>
        <v>68</v>
      </c>
      <c r="BG17" s="34">
        <v>11</v>
      </c>
      <c r="BH17" s="35">
        <f>BG17+'01.04.'!BH17</f>
        <v>15</v>
      </c>
      <c r="BI17" s="22">
        <v>3000</v>
      </c>
      <c r="BJ17" s="35">
        <f>BI17+'01.04.'!BJ17</f>
        <v>4200</v>
      </c>
      <c r="BK17" s="22">
        <v>185</v>
      </c>
      <c r="BL17" s="35">
        <f>BK17+'01.04.'!BL17</f>
        <v>335</v>
      </c>
      <c r="BM17" s="22"/>
      <c r="BN17" s="35">
        <f>BM17+'01.04.'!BN17</f>
        <v>0</v>
      </c>
      <c r="BO17" s="36">
        <v>8022</v>
      </c>
      <c r="BP17" s="37">
        <v>10</v>
      </c>
      <c r="BQ17" s="35">
        <f>BP17+'01.04.'!BQ17</f>
        <v>10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457</v>
      </c>
      <c r="D18" s="20">
        <f t="shared" si="0"/>
        <v>1041</v>
      </c>
      <c r="E18" s="21">
        <v>1063</v>
      </c>
      <c r="F18" s="22">
        <v>253</v>
      </c>
      <c r="G18" s="23">
        <f>F18+'01.04.'!G18</f>
        <v>664</v>
      </c>
      <c r="H18" s="21">
        <v>19</v>
      </c>
      <c r="I18" s="22">
        <v>0</v>
      </c>
      <c r="J18" s="23">
        <f>I18+'01.04.'!J18</f>
        <v>0</v>
      </c>
      <c r="K18" s="21">
        <v>8</v>
      </c>
      <c r="L18" s="22">
        <v>0</v>
      </c>
      <c r="M18" s="23">
        <f>L18+'01.04.'!M18</f>
        <v>0</v>
      </c>
      <c r="N18" s="21">
        <v>1331</v>
      </c>
      <c r="O18" s="22">
        <v>0</v>
      </c>
      <c r="P18" s="23">
        <f>O18+'01.04.'!P18</f>
        <v>0</v>
      </c>
      <c r="Q18" s="21">
        <v>777</v>
      </c>
      <c r="R18" s="22">
        <v>0</v>
      </c>
      <c r="S18" s="23">
        <f>R18+'01.04.'!S18</f>
        <v>0</v>
      </c>
      <c r="T18" s="21">
        <v>318</v>
      </c>
      <c r="U18" s="22">
        <v>0</v>
      </c>
      <c r="V18" s="23">
        <f>U18+'01.04.'!V18</f>
        <v>0</v>
      </c>
      <c r="W18" s="21">
        <v>60</v>
      </c>
      <c r="X18" s="22">
        <v>200</v>
      </c>
      <c r="Y18" s="35">
        <f>X18+'01.04.'!Y18</f>
        <v>373</v>
      </c>
      <c r="Z18" s="21">
        <v>72</v>
      </c>
      <c r="AA18" s="22">
        <v>0</v>
      </c>
      <c r="AB18" s="35">
        <f>AA18+'01.04.'!AB18</f>
        <v>0</v>
      </c>
      <c r="AC18" s="21">
        <v>143</v>
      </c>
      <c r="AD18" s="22">
        <v>4</v>
      </c>
      <c r="AE18" s="35">
        <f>AD18+'01.04.'!AE18</f>
        <v>4</v>
      </c>
      <c r="AF18" s="19">
        <f t="shared" si="1"/>
        <v>630578</v>
      </c>
      <c r="AG18" s="20">
        <f t="shared" si="1"/>
        <v>1049227</v>
      </c>
      <c r="AH18" s="24">
        <v>1225</v>
      </c>
      <c r="AI18" s="35">
        <f>AH18+'01.04.'!AI18</f>
        <v>2435</v>
      </c>
      <c r="AJ18" s="24">
        <v>4028</v>
      </c>
      <c r="AK18" s="35">
        <f>AJ18+'01.04.'!AK18</f>
        <v>10042</v>
      </c>
      <c r="AL18" s="22">
        <v>15255</v>
      </c>
      <c r="AM18" s="35">
        <f>AL18+'01.04.'!AM18</f>
        <v>32510</v>
      </c>
      <c r="AN18" s="22">
        <v>610070</v>
      </c>
      <c r="AO18" s="35">
        <f>AN18+'01.04.'!AO18</f>
        <v>1004240</v>
      </c>
      <c r="AP18" s="17" t="s">
        <v>53</v>
      </c>
      <c r="AQ18" s="19">
        <f>AS18+AU18+AW18+AY18+BA18</f>
        <v>10</v>
      </c>
      <c r="AR18" s="20">
        <f t="shared" si="2"/>
        <v>26</v>
      </c>
      <c r="AS18" s="22">
        <v>2</v>
      </c>
      <c r="AT18" s="35">
        <f>AS18+'01.04.'!AT18</f>
        <v>3</v>
      </c>
      <c r="AU18" s="22">
        <v>0</v>
      </c>
      <c r="AV18" s="35">
        <f>AU18+'01.04.'!AV18</f>
        <v>0</v>
      </c>
      <c r="AW18" s="22">
        <v>0</v>
      </c>
      <c r="AX18" s="35">
        <f>AW18+'01.04.'!AX18</f>
        <v>0</v>
      </c>
      <c r="AY18" s="22">
        <v>0</v>
      </c>
      <c r="AZ18" s="35">
        <f>AY18+'01.04.'!AZ18</f>
        <v>0</v>
      </c>
      <c r="BA18" s="22">
        <v>8</v>
      </c>
      <c r="BB18" s="35">
        <f>BA18+'01.04.'!BB18</f>
        <v>23</v>
      </c>
      <c r="BC18" s="19">
        <f t="shared" si="3"/>
        <v>1520</v>
      </c>
      <c r="BD18" s="20">
        <f>BF18+BH18+BJ18+BL18+BN18</f>
        <v>7089</v>
      </c>
      <c r="BE18" s="22">
        <v>10</v>
      </c>
      <c r="BF18" s="35">
        <f>BE18+'01.04.'!BF18</f>
        <v>10</v>
      </c>
      <c r="BG18" s="22">
        <v>0</v>
      </c>
      <c r="BH18" s="35">
        <f>BG18+'01.04.'!BH18</f>
        <v>0</v>
      </c>
      <c r="BI18" s="22">
        <v>1255</v>
      </c>
      <c r="BJ18" s="35">
        <f>BI18+'01.04.'!BJ18</f>
        <v>6470</v>
      </c>
      <c r="BK18" s="22">
        <v>255</v>
      </c>
      <c r="BL18" s="35">
        <f>BK18+'01.04.'!BL18</f>
        <v>609</v>
      </c>
      <c r="BM18" s="22"/>
      <c r="BN18" s="35">
        <f>BM18+'01.04.'!BN18</f>
        <v>0</v>
      </c>
      <c r="BO18" s="36">
        <v>442</v>
      </c>
      <c r="BP18" s="37">
        <v>3</v>
      </c>
      <c r="BQ18" s="35">
        <f>BP18+'01.04.'!BQ18</f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0</v>
      </c>
      <c r="D19" s="31">
        <f t="shared" si="0"/>
        <v>28</v>
      </c>
      <c r="E19" s="33">
        <v>221</v>
      </c>
      <c r="F19" s="22"/>
      <c r="G19" s="23">
        <f>F19+'01.04.'!G19</f>
        <v>8</v>
      </c>
      <c r="H19" s="33">
        <v>5</v>
      </c>
      <c r="I19" s="34"/>
      <c r="J19" s="23">
        <f>I19+'01.04.'!J19</f>
        <v>0</v>
      </c>
      <c r="K19" s="33">
        <v>4</v>
      </c>
      <c r="L19" s="22"/>
      <c r="M19" s="23">
        <f>L19+'01.04.'!M19</f>
        <v>0</v>
      </c>
      <c r="N19" s="33">
        <v>313</v>
      </c>
      <c r="O19" s="22"/>
      <c r="P19" s="23">
        <f>O19+'01.04.'!P19</f>
        <v>0</v>
      </c>
      <c r="Q19" s="33">
        <v>203</v>
      </c>
      <c r="R19" s="22"/>
      <c r="S19" s="23">
        <f>R19+'01.04.'!S19</f>
        <v>0</v>
      </c>
      <c r="T19" s="33">
        <v>241</v>
      </c>
      <c r="U19" s="22"/>
      <c r="V19" s="23">
        <f>U19+'01.04.'!V19</f>
        <v>0</v>
      </c>
      <c r="W19" s="33">
        <v>14</v>
      </c>
      <c r="X19" s="22"/>
      <c r="Y19" s="35">
        <f>X19+'01.04.'!Y19</f>
        <v>7</v>
      </c>
      <c r="Z19" s="33">
        <v>7</v>
      </c>
      <c r="AA19" s="22"/>
      <c r="AB19" s="35">
        <f>AA19+'01.04.'!AB19</f>
        <v>0</v>
      </c>
      <c r="AC19" s="33">
        <v>32</v>
      </c>
      <c r="AD19" s="22"/>
      <c r="AE19" s="35">
        <f>AD19+'01.04.'!AE19</f>
        <v>13</v>
      </c>
      <c r="AF19" s="19">
        <f t="shared" si="1"/>
        <v>0</v>
      </c>
      <c r="AG19" s="20">
        <f t="shared" si="1"/>
        <v>4000</v>
      </c>
      <c r="AH19" s="24"/>
      <c r="AI19" s="35">
        <f>AH19+'01.04.'!AI19</f>
        <v>600</v>
      </c>
      <c r="AJ19" s="24"/>
      <c r="AK19" s="35">
        <f>AJ19+'01.04.'!AK19</f>
        <v>600</v>
      </c>
      <c r="AL19" s="22"/>
      <c r="AM19" s="35">
        <f>AL19+'01.04.'!AM19</f>
        <v>1400</v>
      </c>
      <c r="AN19" s="22"/>
      <c r="AO19" s="35">
        <f>AN19+'01.04.'!AO19</f>
        <v>1400</v>
      </c>
      <c r="AP19" s="28" t="s">
        <v>54</v>
      </c>
      <c r="AQ19" s="19">
        <f t="shared" ref="AQ19:AQ22" si="4">AS19+AU19+AW19+AY19+BA19</f>
        <v>0</v>
      </c>
      <c r="AR19" s="20">
        <f t="shared" si="2"/>
        <v>0</v>
      </c>
      <c r="AS19" s="34"/>
      <c r="AT19" s="35">
        <f>AS19+'01.04.'!AT19</f>
        <v>0</v>
      </c>
      <c r="AU19" s="34"/>
      <c r="AV19" s="35">
        <f>AU19+'01.04.'!AV19</f>
        <v>0</v>
      </c>
      <c r="AW19" s="34"/>
      <c r="AX19" s="35">
        <f>AW19+'01.04.'!AX19</f>
        <v>0</v>
      </c>
      <c r="AY19" s="34"/>
      <c r="AZ19" s="35">
        <f>AY19+'01.04.'!AZ19</f>
        <v>0</v>
      </c>
      <c r="BA19" s="34"/>
      <c r="BB19" s="35">
        <f>BA19+'01.04.'!BB19</f>
        <v>0</v>
      </c>
      <c r="BC19" s="19">
        <f t="shared" si="3"/>
        <v>0</v>
      </c>
      <c r="BD19" s="20">
        <f t="shared" si="3"/>
        <v>0</v>
      </c>
      <c r="BE19" s="22"/>
      <c r="BF19" s="35">
        <f>BE19+'01.04.'!BF19</f>
        <v>0</v>
      </c>
      <c r="BG19" s="34"/>
      <c r="BH19" s="35">
        <f>BG19+'01.04.'!BH19</f>
        <v>0</v>
      </c>
      <c r="BI19" s="22"/>
      <c r="BJ19" s="35">
        <f>BI19+'01.04.'!BJ19</f>
        <v>0</v>
      </c>
      <c r="BK19" s="22"/>
      <c r="BL19" s="35">
        <f>BK19+'01.04.'!BL19</f>
        <v>0</v>
      </c>
      <c r="BM19" s="22"/>
      <c r="BN19" s="35">
        <f>BM19+'01.04.'!BN19</f>
        <v>0</v>
      </c>
      <c r="BO19" s="36">
        <v>2898</v>
      </c>
      <c r="BP19" s="37"/>
      <c r="BQ19" s="35">
        <f>BP19+'01.04.'!BQ19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146</v>
      </c>
      <c r="D20" s="31">
        <f t="shared" si="0"/>
        <v>521</v>
      </c>
      <c r="E20" s="32">
        <v>723</v>
      </c>
      <c r="F20" s="22">
        <v>112</v>
      </c>
      <c r="G20" s="23">
        <f>F20+'01.04.'!G20</f>
        <v>331</v>
      </c>
      <c r="H20" s="33">
        <v>5</v>
      </c>
      <c r="I20" s="34">
        <v>0</v>
      </c>
      <c r="J20" s="23">
        <f>I20+'01.04.'!J20</f>
        <v>1</v>
      </c>
      <c r="K20" s="33">
        <v>3</v>
      </c>
      <c r="L20" s="22">
        <v>0</v>
      </c>
      <c r="M20" s="23">
        <f>L20+'01.04.'!M20</f>
        <v>0</v>
      </c>
      <c r="N20" s="33">
        <v>975</v>
      </c>
      <c r="O20" s="22">
        <v>0</v>
      </c>
      <c r="P20" s="23">
        <f>O20+'01.04.'!P20</f>
        <v>80</v>
      </c>
      <c r="Q20" s="61">
        <v>1862</v>
      </c>
      <c r="R20" s="22">
        <v>0</v>
      </c>
      <c r="S20" s="23">
        <f>R20+'01.04.'!S20</f>
        <v>4</v>
      </c>
      <c r="T20" s="33">
        <v>35</v>
      </c>
      <c r="U20" s="22">
        <v>3</v>
      </c>
      <c r="V20" s="23">
        <f>U20+'01.04.'!V20</f>
        <v>7</v>
      </c>
      <c r="W20" s="33">
        <v>64</v>
      </c>
      <c r="X20" s="22">
        <v>22</v>
      </c>
      <c r="Y20" s="35">
        <f>X20+'01.04.'!Y20</f>
        <v>28</v>
      </c>
      <c r="Z20" s="33">
        <v>15</v>
      </c>
      <c r="AA20" s="22">
        <v>1</v>
      </c>
      <c r="AB20" s="35">
        <f>AA20+'01.04.'!AB20</f>
        <v>2</v>
      </c>
      <c r="AC20" s="33">
        <v>1546</v>
      </c>
      <c r="AD20" s="22">
        <v>8</v>
      </c>
      <c r="AE20" s="35">
        <f>AD20+'01.04.'!AE20</f>
        <v>68</v>
      </c>
      <c r="AF20" s="19">
        <f t="shared" si="1"/>
        <v>4658</v>
      </c>
      <c r="AG20" s="20">
        <f t="shared" si="1"/>
        <v>18638</v>
      </c>
      <c r="AH20" s="24">
        <v>3085</v>
      </c>
      <c r="AI20" s="35">
        <f>AH20+'01.04.'!AI20</f>
        <v>8975</v>
      </c>
      <c r="AJ20" s="24">
        <v>1073</v>
      </c>
      <c r="AK20" s="35">
        <f>AJ20+'01.04.'!AK20</f>
        <v>8563</v>
      </c>
      <c r="AL20" s="22">
        <v>0</v>
      </c>
      <c r="AM20" s="35">
        <f>AL20+'01.04.'!AM20</f>
        <v>450</v>
      </c>
      <c r="AN20" s="22">
        <v>500</v>
      </c>
      <c r="AO20" s="35">
        <f>AN20+'01.04.'!AO20</f>
        <v>650</v>
      </c>
      <c r="AP20" s="28" t="s">
        <v>55</v>
      </c>
      <c r="AQ20" s="19">
        <f t="shared" si="4"/>
        <v>61</v>
      </c>
      <c r="AR20" s="20">
        <f t="shared" si="2"/>
        <v>319</v>
      </c>
      <c r="AS20" s="34">
        <v>1</v>
      </c>
      <c r="AT20" s="35">
        <f>AS20+'01.04.'!AT20</f>
        <v>2</v>
      </c>
      <c r="AU20" s="34">
        <v>0</v>
      </c>
      <c r="AV20" s="35">
        <f>AU20+'01.04.'!AV20</f>
        <v>1</v>
      </c>
      <c r="AW20" s="34">
        <v>0</v>
      </c>
      <c r="AX20" s="35">
        <f>AW20+'01.04.'!AX20</f>
        <v>1</v>
      </c>
      <c r="AY20" s="34">
        <v>0</v>
      </c>
      <c r="AZ20" s="35">
        <f>AY20+'01.04.'!AZ20</f>
        <v>0</v>
      </c>
      <c r="BA20" s="34">
        <v>60</v>
      </c>
      <c r="BB20" s="35">
        <f>BA20+'01.04.'!BB20</f>
        <v>315</v>
      </c>
      <c r="BC20" s="19">
        <f t="shared" si="3"/>
        <v>7000</v>
      </c>
      <c r="BD20" s="20">
        <f t="shared" si="3"/>
        <v>9544</v>
      </c>
      <c r="BE20" s="22">
        <v>0</v>
      </c>
      <c r="BF20" s="35">
        <f>BE20+'01.04.'!BF20</f>
        <v>4</v>
      </c>
      <c r="BG20" s="34">
        <v>0</v>
      </c>
      <c r="BH20" s="35">
        <f>BG20+'01.04.'!BH20</f>
        <v>0</v>
      </c>
      <c r="BI20" s="22">
        <v>7000</v>
      </c>
      <c r="BJ20" s="35">
        <f>BI20+'01.04.'!BJ20</f>
        <v>8250</v>
      </c>
      <c r="BK20" s="22">
        <v>0</v>
      </c>
      <c r="BL20" s="35">
        <f>BK20+'01.04.'!BL20</f>
        <v>1290</v>
      </c>
      <c r="BM20" s="22">
        <v>0</v>
      </c>
      <c r="BN20" s="35">
        <f>BM20+'01.04.'!BN20</f>
        <v>0</v>
      </c>
      <c r="BO20" s="36">
        <v>5854</v>
      </c>
      <c r="BP20" s="37">
        <v>0</v>
      </c>
      <c r="BQ20" s="35">
        <f>BP20+'01.04.'!BQ20</f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286</v>
      </c>
      <c r="D21" s="31">
        <f t="shared" si="0"/>
        <v>512</v>
      </c>
      <c r="E21" s="32">
        <v>1017</v>
      </c>
      <c r="F21" s="22">
        <v>230</v>
      </c>
      <c r="G21" s="23">
        <f>F21+'01.04.'!G21</f>
        <v>450</v>
      </c>
      <c r="H21" s="33">
        <v>8</v>
      </c>
      <c r="I21" s="34">
        <v>0</v>
      </c>
      <c r="J21" s="23">
        <f>I21+'01.04.'!J21</f>
        <v>5</v>
      </c>
      <c r="K21" s="33">
        <v>4</v>
      </c>
      <c r="L21" s="22">
        <v>0</v>
      </c>
      <c r="M21" s="23">
        <f>L21+'01.04.'!M21</f>
        <v>0</v>
      </c>
      <c r="N21" s="33">
        <v>963</v>
      </c>
      <c r="O21" s="22">
        <v>0</v>
      </c>
      <c r="P21" s="23">
        <f>O21+'01.04.'!P21</f>
        <v>0</v>
      </c>
      <c r="Q21" s="33">
        <v>912</v>
      </c>
      <c r="R21" s="22">
        <v>0</v>
      </c>
      <c r="S21" s="23">
        <f>R21+'01.04.'!S21</f>
        <v>0</v>
      </c>
      <c r="T21" s="33">
        <v>199</v>
      </c>
      <c r="U21" s="22">
        <v>0</v>
      </c>
      <c r="V21" s="23">
        <f>U21+'01.04.'!V21</f>
        <v>0</v>
      </c>
      <c r="W21" s="33">
        <v>101</v>
      </c>
      <c r="X21" s="22">
        <v>56</v>
      </c>
      <c r="Y21" s="35">
        <f>X21+'01.04.'!Y21</f>
        <v>56</v>
      </c>
      <c r="Z21" s="33">
        <v>42</v>
      </c>
      <c r="AA21" s="22">
        <v>0</v>
      </c>
      <c r="AB21" s="35">
        <f>AA21+'01.04.'!AB21</f>
        <v>0</v>
      </c>
      <c r="AC21" s="33">
        <v>20</v>
      </c>
      <c r="AD21" s="22">
        <v>0</v>
      </c>
      <c r="AE21" s="35">
        <f>AD21+'01.04.'!AE21</f>
        <v>1</v>
      </c>
      <c r="AF21" s="19">
        <f t="shared" si="1"/>
        <v>126651</v>
      </c>
      <c r="AG21" s="20">
        <f t="shared" si="1"/>
        <v>386651</v>
      </c>
      <c r="AH21" s="24">
        <v>0</v>
      </c>
      <c r="AI21" s="35">
        <f>AH21+'01.04.'!AI21</f>
        <v>2000</v>
      </c>
      <c r="AJ21" s="24">
        <v>1651</v>
      </c>
      <c r="AK21" s="35">
        <f>AJ21+'01.04.'!AK21</f>
        <v>59651</v>
      </c>
      <c r="AL21" s="22">
        <v>5000</v>
      </c>
      <c r="AM21" s="35">
        <f>AL21+'01.04.'!AM21</f>
        <v>15000</v>
      </c>
      <c r="AN21" s="22">
        <v>120000</v>
      </c>
      <c r="AO21" s="35">
        <f>AN21+'01.04.'!AO21</f>
        <v>310000</v>
      </c>
      <c r="AP21" s="28" t="s">
        <v>58</v>
      </c>
      <c r="AQ21" s="19">
        <f t="shared" si="4"/>
        <v>27</v>
      </c>
      <c r="AR21" s="20">
        <f t="shared" si="2"/>
        <v>39</v>
      </c>
      <c r="AS21" s="34">
        <v>0</v>
      </c>
      <c r="AT21" s="35">
        <f>AS21+'01.04.'!AT21</f>
        <v>1</v>
      </c>
      <c r="AU21" s="34">
        <v>2</v>
      </c>
      <c r="AV21" s="35">
        <f>AU21+'01.04.'!AV21</f>
        <v>6</v>
      </c>
      <c r="AW21" s="34">
        <v>0</v>
      </c>
      <c r="AX21" s="35">
        <f>AW21+'01.04.'!AX21</f>
        <v>1</v>
      </c>
      <c r="AY21" s="34">
        <v>0</v>
      </c>
      <c r="AZ21" s="35">
        <f>AY21+'01.04.'!AZ21</f>
        <v>0</v>
      </c>
      <c r="BA21" s="34">
        <v>25</v>
      </c>
      <c r="BB21" s="35">
        <f>BA21+'01.04.'!BB21</f>
        <v>31</v>
      </c>
      <c r="BC21" s="19">
        <f t="shared" si="3"/>
        <v>1871</v>
      </c>
      <c r="BD21" s="20">
        <f t="shared" si="3"/>
        <v>1880</v>
      </c>
      <c r="BE21" s="22">
        <v>120</v>
      </c>
      <c r="BF21" s="35">
        <f>BE21+'01.04.'!BF21</f>
        <v>124</v>
      </c>
      <c r="BG21" s="34">
        <v>0</v>
      </c>
      <c r="BH21" s="35">
        <f>BG21+'01.04.'!BH21</f>
        <v>0</v>
      </c>
      <c r="BI21" s="22">
        <v>1651</v>
      </c>
      <c r="BJ21" s="35">
        <f>BI21+'01.04.'!BJ21</f>
        <v>1655</v>
      </c>
      <c r="BK21" s="22">
        <v>100</v>
      </c>
      <c r="BL21" s="35">
        <f>BK21+'01.04.'!BL21</f>
        <v>100</v>
      </c>
      <c r="BM21" s="22"/>
      <c r="BN21" s="35">
        <f>BM21+'01.04.'!BN21</f>
        <v>1</v>
      </c>
      <c r="BO21" s="36"/>
      <c r="BP21" s="37">
        <v>0</v>
      </c>
      <c r="BQ21" s="35">
        <f>BP21+'01.04.'!BQ21</f>
        <v>0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218</v>
      </c>
      <c r="D22" s="31">
        <f t="shared" si="0"/>
        <v>2171</v>
      </c>
      <c r="E22" s="32">
        <v>509</v>
      </c>
      <c r="F22" s="22">
        <v>0</v>
      </c>
      <c r="G22" s="23">
        <f>F22+'01.04.'!G22</f>
        <v>422</v>
      </c>
      <c r="H22" s="33">
        <v>8</v>
      </c>
      <c r="I22" s="34">
        <v>8</v>
      </c>
      <c r="J22" s="23">
        <f>I22+'01.04.'!J22</f>
        <v>249</v>
      </c>
      <c r="K22" s="33">
        <v>21</v>
      </c>
      <c r="L22" s="22">
        <v>0</v>
      </c>
      <c r="M22" s="23">
        <f>L22+'01.04.'!M22</f>
        <v>0</v>
      </c>
      <c r="N22" s="33">
        <v>560</v>
      </c>
      <c r="O22" s="22">
        <v>0</v>
      </c>
      <c r="P22" s="23">
        <f>O22+'01.04.'!P22</f>
        <v>0</v>
      </c>
      <c r="Q22" s="33">
        <v>375</v>
      </c>
      <c r="R22" s="22">
        <v>0</v>
      </c>
      <c r="S22" s="23">
        <f>R22+'01.04.'!S22</f>
        <v>0</v>
      </c>
      <c r="T22" s="33">
        <v>165</v>
      </c>
      <c r="U22" s="22">
        <v>5</v>
      </c>
      <c r="V22" s="23">
        <f>U22+'01.04.'!V22</f>
        <v>47</v>
      </c>
      <c r="W22" s="33">
        <v>28</v>
      </c>
      <c r="X22" s="22">
        <v>54</v>
      </c>
      <c r="Y22" s="35">
        <f>X22+'01.04.'!Y22</f>
        <v>144</v>
      </c>
      <c r="Z22" s="33">
        <v>9</v>
      </c>
      <c r="AA22" s="22">
        <v>2</v>
      </c>
      <c r="AB22" s="35">
        <f>AA22+'01.04.'!AB22</f>
        <v>2</v>
      </c>
      <c r="AC22" s="33">
        <v>112</v>
      </c>
      <c r="AD22" s="22">
        <v>149</v>
      </c>
      <c r="AE22" s="35">
        <f>AD22+'01.04.'!AE22</f>
        <v>1307</v>
      </c>
      <c r="AF22" s="19">
        <f t="shared" si="1"/>
        <v>11285</v>
      </c>
      <c r="AG22" s="20">
        <f t="shared" si="1"/>
        <v>1004848</v>
      </c>
      <c r="AH22" s="24">
        <v>85</v>
      </c>
      <c r="AI22" s="35">
        <f>AH22+'01.04.'!AI22</f>
        <v>869</v>
      </c>
      <c r="AJ22" s="24">
        <v>2800</v>
      </c>
      <c r="AK22" s="35">
        <f>AJ22+'01.04.'!AK22</f>
        <v>10038</v>
      </c>
      <c r="AL22" s="22">
        <v>400</v>
      </c>
      <c r="AM22" s="35">
        <f>AL22+'01.04.'!AM22</f>
        <v>5812</v>
      </c>
      <c r="AN22" s="22">
        <v>8000</v>
      </c>
      <c r="AO22" s="35">
        <f>AN22+'01.04.'!AO22</f>
        <v>988129</v>
      </c>
      <c r="AP22" s="28" t="s">
        <v>59</v>
      </c>
      <c r="AQ22" s="19">
        <f t="shared" si="4"/>
        <v>2</v>
      </c>
      <c r="AR22" s="20">
        <f t="shared" si="2"/>
        <v>637</v>
      </c>
      <c r="AS22" s="34">
        <v>0</v>
      </c>
      <c r="AT22" s="35">
        <f>AS22+'01.04.'!AT22</f>
        <v>0</v>
      </c>
      <c r="AU22" s="34">
        <v>0</v>
      </c>
      <c r="AV22" s="35">
        <f>AU22+'01.04.'!AV22</f>
        <v>0</v>
      </c>
      <c r="AW22" s="34">
        <v>0</v>
      </c>
      <c r="AX22" s="35">
        <f>AW22+'01.04.'!AX22</f>
        <v>0</v>
      </c>
      <c r="AY22" s="34">
        <v>0</v>
      </c>
      <c r="AZ22" s="35">
        <f>AY22+'01.04.'!AZ22</f>
        <v>0</v>
      </c>
      <c r="BA22" s="34">
        <v>2</v>
      </c>
      <c r="BB22" s="35">
        <f>BA22+'01.04.'!BB22</f>
        <v>637</v>
      </c>
      <c r="BC22" s="19">
        <f t="shared" si="3"/>
        <v>2630</v>
      </c>
      <c r="BD22" s="20">
        <f t="shared" si="3"/>
        <v>9119</v>
      </c>
      <c r="BE22" s="22">
        <v>0</v>
      </c>
      <c r="BF22" s="35">
        <f>BE22+'01.04.'!BF22</f>
        <v>31</v>
      </c>
      <c r="BG22" s="34">
        <v>127</v>
      </c>
      <c r="BH22" s="35">
        <f>BG22+'01.04.'!BH22</f>
        <v>127</v>
      </c>
      <c r="BI22" s="22">
        <v>2503</v>
      </c>
      <c r="BJ22" s="35">
        <f>BI22+'01.04.'!BJ22</f>
        <v>8903</v>
      </c>
      <c r="BK22" s="22">
        <v>0</v>
      </c>
      <c r="BL22" s="35">
        <f>BK22+'01.04.'!BL22</f>
        <v>58</v>
      </c>
      <c r="BM22" s="22"/>
      <c r="BN22" s="35">
        <f>BM22+'01.04.'!BN22</f>
        <v>0</v>
      </c>
      <c r="BO22" s="36">
        <v>26</v>
      </c>
      <c r="BP22" s="37">
        <v>2</v>
      </c>
      <c r="BQ22" s="35">
        <f>BP22+'01.04.'!BQ22</f>
        <v>228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2216</v>
      </c>
      <c r="D23" s="65">
        <f t="shared" si="0"/>
        <v>6731</v>
      </c>
      <c r="E23" s="66">
        <f>+E18+E19+E22+E17+E16+E15+E14+E13+E12+E11+E10+E9+E8</f>
        <v>7282</v>
      </c>
      <c r="F23" s="67">
        <f>SUM(F8:F22)</f>
        <v>1272</v>
      </c>
      <c r="G23" s="68">
        <f>SUM(G8:G22)</f>
        <v>3237</v>
      </c>
      <c r="H23" s="66">
        <f>+H18+H19+H22+H17+H16+H15+H14+H13+H12+H11+H10+H9+H8</f>
        <v>271</v>
      </c>
      <c r="I23" s="67">
        <f>SUM(I8:I22)</f>
        <v>8</v>
      </c>
      <c r="J23" s="68">
        <f>SUM(J8:J22)</f>
        <v>260</v>
      </c>
      <c r="K23" s="66">
        <f>+K18+K19+K22+K17+K16+K15+K14+K13+K12+K11+K10+K9+K8</f>
        <v>163</v>
      </c>
      <c r="L23" s="67">
        <f>SUM(L8:L22)</f>
        <v>0</v>
      </c>
      <c r="M23" s="68">
        <f>SUM(M8:M22)</f>
        <v>0</v>
      </c>
      <c r="N23" s="66">
        <f>+N18+N19+N22+N17+N16+N15+N14+N13+N12+N11+N10+N9+N8</f>
        <v>8607</v>
      </c>
      <c r="O23" s="67">
        <f>SUM(O8:O22)</f>
        <v>0</v>
      </c>
      <c r="P23" s="68">
        <f>SUM(P8:P22)</f>
        <v>103</v>
      </c>
      <c r="Q23" s="66">
        <f>+Q18+Q19+Q22+Q17+Q16+Q15+Q14+Q13+Q12+Q11+Q10+Q9+Q8</f>
        <v>7474</v>
      </c>
      <c r="R23" s="67">
        <f>SUM(R8:R22)</f>
        <v>0</v>
      </c>
      <c r="S23" s="68">
        <f>SUM(S8:S22)</f>
        <v>4</v>
      </c>
      <c r="T23" s="66">
        <f>+T18+T19+T22+T17+T16+T15+T14+T13+T12+T11+T10+T9+T8</f>
        <v>4115</v>
      </c>
      <c r="U23" s="67">
        <f>SUM(U8:U22)</f>
        <v>8</v>
      </c>
      <c r="V23" s="68">
        <f>SUM(V8:V22)</f>
        <v>54</v>
      </c>
      <c r="W23" s="66">
        <f>+W18+W19+W22+W17+W16+W15+W14+W13+W12+W11+W10+W9+W8</f>
        <v>604</v>
      </c>
      <c r="X23" s="67">
        <f>SUM(X8:X22)</f>
        <v>571</v>
      </c>
      <c r="Y23" s="68">
        <f>SUM(Y8:Y22)</f>
        <v>1130</v>
      </c>
      <c r="Z23" s="66">
        <f>+Z18+Z19+Z22+Z17+Z16+Z15+Z14+Z13+Z12+Z11+Z10+Z9+Z8</f>
        <v>1629</v>
      </c>
      <c r="AA23" s="67">
        <f>SUM(AA8:AA22)</f>
        <v>3</v>
      </c>
      <c r="AB23" s="68">
        <f>SUM(AB8:AB22)</f>
        <v>4</v>
      </c>
      <c r="AC23" s="66">
        <f>+AC18+AC19+AC22+AC17+AC16+AC15+AC14+AC13+AC12+AC11+AC10+AC9+AC8</f>
        <v>64846</v>
      </c>
      <c r="AD23" s="67">
        <f t="shared" ref="AD23:AO23" si="5">SUM(AD8:AD22)</f>
        <v>354</v>
      </c>
      <c r="AE23" s="68">
        <f t="shared" si="5"/>
        <v>1939</v>
      </c>
      <c r="AF23" s="64">
        <f t="shared" si="5"/>
        <v>3419914</v>
      </c>
      <c r="AG23" s="64">
        <f t="shared" si="5"/>
        <v>7537231</v>
      </c>
      <c r="AH23" s="67">
        <f t="shared" si="5"/>
        <v>31063</v>
      </c>
      <c r="AI23" s="68">
        <f t="shared" si="5"/>
        <v>68732</v>
      </c>
      <c r="AJ23" s="67">
        <f t="shared" si="5"/>
        <v>64383</v>
      </c>
      <c r="AK23" s="68">
        <f t="shared" si="5"/>
        <v>193071</v>
      </c>
      <c r="AL23" s="67">
        <f t="shared" si="5"/>
        <v>603917</v>
      </c>
      <c r="AM23" s="68">
        <f t="shared" si="5"/>
        <v>1595546</v>
      </c>
      <c r="AN23" s="67">
        <f t="shared" si="5"/>
        <v>2720551</v>
      </c>
      <c r="AO23" s="68">
        <f t="shared" si="5"/>
        <v>5679882</v>
      </c>
      <c r="AP23" s="62" t="s">
        <v>12</v>
      </c>
      <c r="AQ23" s="64">
        <f t="shared" ref="AQ23:BQ23" si="6">SUM(AQ8:AQ22)</f>
        <v>284</v>
      </c>
      <c r="AR23" s="64">
        <f t="shared" si="6"/>
        <v>1462</v>
      </c>
      <c r="AS23" s="67">
        <f t="shared" si="6"/>
        <v>3</v>
      </c>
      <c r="AT23" s="68">
        <f t="shared" si="6"/>
        <v>9</v>
      </c>
      <c r="AU23" s="67">
        <f t="shared" si="6"/>
        <v>4</v>
      </c>
      <c r="AV23" s="68">
        <f t="shared" si="6"/>
        <v>10</v>
      </c>
      <c r="AW23" s="67">
        <f t="shared" si="6"/>
        <v>0</v>
      </c>
      <c r="AX23" s="68">
        <f t="shared" si="6"/>
        <v>3</v>
      </c>
      <c r="AY23" s="67">
        <f t="shared" si="6"/>
        <v>0</v>
      </c>
      <c r="AZ23" s="68">
        <f t="shared" si="6"/>
        <v>0</v>
      </c>
      <c r="BA23" s="67">
        <f t="shared" si="6"/>
        <v>277</v>
      </c>
      <c r="BB23" s="68">
        <f t="shared" si="6"/>
        <v>1440</v>
      </c>
      <c r="BC23" s="64">
        <f t="shared" si="6"/>
        <v>44016</v>
      </c>
      <c r="BD23" s="64">
        <f t="shared" si="6"/>
        <v>89831</v>
      </c>
      <c r="BE23" s="67">
        <f t="shared" si="6"/>
        <v>1218</v>
      </c>
      <c r="BF23" s="68">
        <f t="shared" si="6"/>
        <v>1781</v>
      </c>
      <c r="BG23" s="67">
        <f t="shared" si="6"/>
        <v>4459</v>
      </c>
      <c r="BH23" s="68">
        <f t="shared" si="6"/>
        <v>4499</v>
      </c>
      <c r="BI23" s="67">
        <f t="shared" si="6"/>
        <v>33133</v>
      </c>
      <c r="BJ23" s="68">
        <f t="shared" si="6"/>
        <v>73272</v>
      </c>
      <c r="BK23" s="67">
        <f t="shared" si="6"/>
        <v>5206</v>
      </c>
      <c r="BL23" s="68">
        <f t="shared" si="6"/>
        <v>10278</v>
      </c>
      <c r="BM23" s="67">
        <f t="shared" si="6"/>
        <v>0</v>
      </c>
      <c r="BN23" s="68">
        <f t="shared" si="6"/>
        <v>1</v>
      </c>
      <c r="BO23" s="69">
        <f t="shared" si="6"/>
        <v>37616</v>
      </c>
      <c r="BP23" s="70">
        <f t="shared" si="6"/>
        <v>28</v>
      </c>
      <c r="BQ23" s="71">
        <f t="shared" si="6"/>
        <v>268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U23"/>
  <sheetViews>
    <sheetView zoomScale="70" zoomScaleNormal="70" workbookViewId="0">
      <pane ySplit="1" topLeftCell="A5" activePane="bottomLeft" state="frozen"/>
      <selection pane="bottomLef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39" width="9.42578125" customWidth="1"/>
    <col min="40" max="40" width="12" customWidth="1"/>
    <col min="41" max="41" width="12.140625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206" t="s">
        <v>60</v>
      </c>
      <c r="BF6" s="207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4</v>
      </c>
      <c r="D9" s="31">
        <f t="shared" si="0"/>
        <v>7</v>
      </c>
      <c r="E9" s="32">
        <v>452</v>
      </c>
      <c r="F9" s="22">
        <v>2</v>
      </c>
      <c r="G9" s="23">
        <f>F9+'22.03'!G9</f>
        <v>3</v>
      </c>
      <c r="H9" s="33">
        <v>12</v>
      </c>
      <c r="I9" s="34">
        <v>1</v>
      </c>
      <c r="J9" s="23">
        <f>I9+'22.03'!J9</f>
        <v>1</v>
      </c>
      <c r="K9" s="33">
        <v>2</v>
      </c>
      <c r="L9" s="22">
        <v>0</v>
      </c>
      <c r="M9" s="23">
        <f>L9+'22.03'!M9</f>
        <v>0</v>
      </c>
      <c r="N9" s="33">
        <v>735</v>
      </c>
      <c r="O9" s="22">
        <v>1</v>
      </c>
      <c r="P9" s="23">
        <f>O9+'22.03'!P9</f>
        <v>1</v>
      </c>
      <c r="Q9" s="33">
        <v>502</v>
      </c>
      <c r="R9" s="22">
        <v>0</v>
      </c>
      <c r="S9" s="23">
        <f>R9+'22.03'!S9</f>
        <v>0</v>
      </c>
      <c r="T9" s="33">
        <v>197</v>
      </c>
      <c r="U9" s="22">
        <v>0</v>
      </c>
      <c r="V9" s="23">
        <f>U9+'22.03'!V9</f>
        <v>0</v>
      </c>
      <c r="W9" s="33">
        <v>47</v>
      </c>
      <c r="X9" s="22">
        <v>0</v>
      </c>
      <c r="Y9" s="35">
        <f>X9+'22.03'!Y9</f>
        <v>2</v>
      </c>
      <c r="Z9" s="33">
        <v>34</v>
      </c>
      <c r="AA9" s="22">
        <v>0</v>
      </c>
      <c r="AB9" s="35">
        <f>AA9+'22.03'!AB9</f>
        <v>0</v>
      </c>
      <c r="AC9" s="33">
        <v>1860</v>
      </c>
      <c r="AD9" s="22">
        <v>0</v>
      </c>
      <c r="AE9" s="35">
        <f>AD9+'22.03'!AE9</f>
        <v>0</v>
      </c>
      <c r="AF9" s="19">
        <f t="shared" ref="AF9:AG22" si="1">AH9+AJ9+AL9+AN9</f>
        <v>5278</v>
      </c>
      <c r="AG9" s="20">
        <f>AI9+AK9+AM9+AO9</f>
        <v>10938</v>
      </c>
      <c r="AH9" s="24">
        <v>120</v>
      </c>
      <c r="AI9" s="35">
        <f>AH9+'22.03'!AI9</f>
        <v>140</v>
      </c>
      <c r="AJ9" s="24">
        <v>308</v>
      </c>
      <c r="AK9" s="35">
        <f>AJ9+'22.03'!AK9</f>
        <v>703</v>
      </c>
      <c r="AL9" s="22">
        <v>1200</v>
      </c>
      <c r="AM9" s="35">
        <f>AL9+'22.03'!AM9</f>
        <v>2090</v>
      </c>
      <c r="AN9" s="22">
        <v>3650</v>
      </c>
      <c r="AO9" s="35">
        <f>AN9+'22.03'!AO9</f>
        <v>8005</v>
      </c>
      <c r="AP9" s="28" t="s">
        <v>43</v>
      </c>
      <c r="AQ9" s="19">
        <f t="shared" ref="AQ9:AR22" si="2">AS9+AU9+AW9+AY9+BA9</f>
        <v>27</v>
      </c>
      <c r="AR9" s="20">
        <f t="shared" si="2"/>
        <v>98</v>
      </c>
      <c r="AS9" s="34">
        <v>1</v>
      </c>
      <c r="AT9" s="35">
        <f>AS9+'22.03'!AT9</f>
        <v>1</v>
      </c>
      <c r="AU9" s="34">
        <v>0</v>
      </c>
      <c r="AV9" s="35">
        <f>AU9+'22.03'!AV9</f>
        <v>0</v>
      </c>
      <c r="AW9" s="34">
        <v>0</v>
      </c>
      <c r="AX9" s="35">
        <f>AW9+'22.03'!AX9</f>
        <v>0</v>
      </c>
      <c r="AY9" s="34">
        <v>0</v>
      </c>
      <c r="AZ9" s="35">
        <f>AY9+'22.03'!AZ9</f>
        <v>0</v>
      </c>
      <c r="BA9" s="34">
        <v>26</v>
      </c>
      <c r="BB9" s="35">
        <f>BA9+'22.03'!BB9</f>
        <v>97</v>
      </c>
      <c r="BC9" s="19">
        <f t="shared" ref="BC9:BD22" si="3">BE9+BG9+BI9+BK9+BM9</f>
        <v>101</v>
      </c>
      <c r="BD9" s="20">
        <f t="shared" si="3"/>
        <v>1301</v>
      </c>
      <c r="BE9" s="22">
        <v>1</v>
      </c>
      <c r="BF9" s="35">
        <f>BE9+'22.03'!BF9</f>
        <v>1</v>
      </c>
      <c r="BG9" s="34">
        <v>0</v>
      </c>
      <c r="BH9" s="35">
        <f>BG9+'22.03'!BH9</f>
        <v>0</v>
      </c>
      <c r="BI9" s="22">
        <v>100</v>
      </c>
      <c r="BJ9" s="35">
        <f>BI9+'22.03'!BJ9</f>
        <v>1300</v>
      </c>
      <c r="BK9" s="22">
        <v>0</v>
      </c>
      <c r="BL9" s="35">
        <f>BK9+'22.03'!BL9</f>
        <v>0</v>
      </c>
      <c r="BM9" s="22">
        <v>0</v>
      </c>
      <c r="BN9" s="35">
        <f>BM9+'22.03'!BN9</f>
        <v>0</v>
      </c>
      <c r="BO9" s="36">
        <v>14</v>
      </c>
      <c r="BP9" s="37">
        <v>1</v>
      </c>
      <c r="BQ9" s="35">
        <f>BP9+'22.03'!BQ9</f>
        <v>1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135</v>
      </c>
      <c r="D10" s="31">
        <f t="shared" si="0"/>
        <v>152</v>
      </c>
      <c r="E10" s="32">
        <v>585</v>
      </c>
      <c r="F10" s="22">
        <v>7</v>
      </c>
      <c r="G10" s="23">
        <f>F10+'22.03'!G10</f>
        <v>8</v>
      </c>
      <c r="H10" s="33">
        <v>93</v>
      </c>
      <c r="I10" s="34"/>
      <c r="J10" s="23">
        <f>I10+'22.03'!J10</f>
        <v>0</v>
      </c>
      <c r="K10" s="33">
        <v>34</v>
      </c>
      <c r="L10" s="22"/>
      <c r="M10" s="23">
        <f>L10+'22.03'!M10</f>
        <v>0</v>
      </c>
      <c r="N10" s="33">
        <v>352</v>
      </c>
      <c r="O10" s="22">
        <v>7</v>
      </c>
      <c r="P10" s="23">
        <f>O10+'22.03'!P10</f>
        <v>7</v>
      </c>
      <c r="Q10" s="33">
        <v>549</v>
      </c>
      <c r="R10" s="22"/>
      <c r="S10" s="23">
        <f>R10+'22.03'!S10</f>
        <v>0</v>
      </c>
      <c r="T10" s="33">
        <v>198</v>
      </c>
      <c r="U10" s="22">
        <v>6</v>
      </c>
      <c r="V10" s="23">
        <f>U10+'22.03'!V10</f>
        <v>6</v>
      </c>
      <c r="W10" s="38">
        <v>55</v>
      </c>
      <c r="X10" s="22">
        <v>3</v>
      </c>
      <c r="Y10" s="35">
        <f>X10+'22.03'!Y10</f>
        <v>15</v>
      </c>
      <c r="Z10" s="38">
        <v>71</v>
      </c>
      <c r="AA10" s="22">
        <v>1</v>
      </c>
      <c r="AB10" s="35">
        <f>AA10+'22.03'!AB10</f>
        <v>1</v>
      </c>
      <c r="AC10" s="38">
        <v>1690</v>
      </c>
      <c r="AD10" s="22">
        <v>111</v>
      </c>
      <c r="AE10" s="35">
        <f>AD10+'22.03'!AE10</f>
        <v>115</v>
      </c>
      <c r="AF10" s="19">
        <f t="shared" si="1"/>
        <v>18926</v>
      </c>
      <c r="AG10" s="20">
        <f t="shared" si="1"/>
        <v>133780</v>
      </c>
      <c r="AH10" s="24">
        <v>1746</v>
      </c>
      <c r="AI10" s="35">
        <f>AH10+'22.03'!AI10</f>
        <v>3695</v>
      </c>
      <c r="AJ10" s="24">
        <v>580</v>
      </c>
      <c r="AK10" s="35">
        <f>AJ10+'22.03'!AK10</f>
        <v>11837</v>
      </c>
      <c r="AL10" s="22">
        <v>2400</v>
      </c>
      <c r="AM10" s="35">
        <f>AL10+'22.03'!AM10</f>
        <v>12672</v>
      </c>
      <c r="AN10" s="22">
        <v>14200</v>
      </c>
      <c r="AO10" s="35">
        <f>AN10+'22.03'!AO10</f>
        <v>105576</v>
      </c>
      <c r="AP10" s="28" t="s">
        <v>44</v>
      </c>
      <c r="AQ10" s="19">
        <f t="shared" si="2"/>
        <v>4</v>
      </c>
      <c r="AR10" s="20">
        <f t="shared" si="2"/>
        <v>5</v>
      </c>
      <c r="AS10" s="34"/>
      <c r="AT10" s="35">
        <f>AS10+'22.03'!AT10</f>
        <v>0</v>
      </c>
      <c r="AU10" s="34"/>
      <c r="AV10" s="35">
        <f>AU10+'22.03'!AV10</f>
        <v>0</v>
      </c>
      <c r="AW10" s="34"/>
      <c r="AX10" s="35">
        <f>AW10+'22.03'!AX10</f>
        <v>0</v>
      </c>
      <c r="AY10" s="34"/>
      <c r="AZ10" s="35">
        <f>AY10+'22.03'!AZ10</f>
        <v>0</v>
      </c>
      <c r="BA10" s="34">
        <v>4</v>
      </c>
      <c r="BB10" s="35">
        <f>BA10+'22.03'!BB10</f>
        <v>5</v>
      </c>
      <c r="BC10" s="19">
        <f t="shared" si="3"/>
        <v>948</v>
      </c>
      <c r="BD10" s="20">
        <f t="shared" si="3"/>
        <v>6287</v>
      </c>
      <c r="BE10" s="22">
        <v>623</v>
      </c>
      <c r="BF10" s="35">
        <f>BE10+'22.03'!BF10</f>
        <v>1070</v>
      </c>
      <c r="BG10" s="34"/>
      <c r="BH10" s="35">
        <f>BG10+'22.03'!BH10</f>
        <v>0</v>
      </c>
      <c r="BI10" s="22">
        <v>35</v>
      </c>
      <c r="BJ10" s="35">
        <f>BI10+'22.03'!BJ10</f>
        <v>3639</v>
      </c>
      <c r="BK10" s="22">
        <v>290</v>
      </c>
      <c r="BL10" s="35">
        <f>BK10+'22.03'!BL10</f>
        <v>1578</v>
      </c>
      <c r="BM10" s="22">
        <v>0</v>
      </c>
      <c r="BN10" s="35">
        <f>BM10+'22.03'!BN10</f>
        <v>0</v>
      </c>
      <c r="BO10" s="36">
        <v>32</v>
      </c>
      <c r="BP10" s="37">
        <v>12</v>
      </c>
      <c r="BQ10" s="35">
        <f>BP10+'22.03'!BQ10</f>
        <v>12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195</v>
      </c>
      <c r="D11" s="31">
        <f t="shared" si="0"/>
        <v>527</v>
      </c>
      <c r="E11" s="32">
        <v>883</v>
      </c>
      <c r="F11" s="22">
        <v>84</v>
      </c>
      <c r="G11" s="23">
        <f>F11+'22.03'!G11</f>
        <v>233</v>
      </c>
      <c r="H11" s="33">
        <v>16</v>
      </c>
      <c r="I11" s="34">
        <v>0</v>
      </c>
      <c r="J11" s="23">
        <f>I11+'22.03'!J11</f>
        <v>0</v>
      </c>
      <c r="K11" s="33">
        <v>3</v>
      </c>
      <c r="L11" s="22">
        <v>0</v>
      </c>
      <c r="M11" s="23">
        <f>L11+'22.03'!M11</f>
        <v>0</v>
      </c>
      <c r="N11" s="33">
        <v>875</v>
      </c>
      <c r="O11" s="22">
        <v>0</v>
      </c>
      <c r="P11" s="23">
        <f>O11+'22.03'!P11</f>
        <v>0</v>
      </c>
      <c r="Q11" s="33">
        <v>2424</v>
      </c>
      <c r="R11" s="22">
        <v>0</v>
      </c>
      <c r="S11" s="23">
        <f>R11+'22.03'!S11</f>
        <v>0</v>
      </c>
      <c r="T11" s="33">
        <v>69</v>
      </c>
      <c r="U11" s="22">
        <v>0</v>
      </c>
      <c r="V11" s="23">
        <f>U11+'22.03'!V11</f>
        <v>0</v>
      </c>
      <c r="W11" s="38">
        <v>133</v>
      </c>
      <c r="X11" s="22">
        <v>91</v>
      </c>
      <c r="Y11" s="35">
        <f>X11+'22.03'!Y11</f>
        <v>250</v>
      </c>
      <c r="Z11" s="38">
        <v>1116</v>
      </c>
      <c r="AA11" s="22">
        <v>0</v>
      </c>
      <c r="AB11" s="35">
        <f>AA11+'22.03'!AB11</f>
        <v>0</v>
      </c>
      <c r="AC11" s="38">
        <v>9862</v>
      </c>
      <c r="AD11" s="22">
        <v>20</v>
      </c>
      <c r="AE11" s="35">
        <f>AD11+'22.03'!AE11</f>
        <v>44</v>
      </c>
      <c r="AF11" s="19">
        <f t="shared" si="1"/>
        <v>172800</v>
      </c>
      <c r="AG11" s="20">
        <f t="shared" si="1"/>
        <v>493450</v>
      </c>
      <c r="AH11" s="24">
        <v>5800</v>
      </c>
      <c r="AI11" s="35">
        <f>AH11+'22.03'!AI11</f>
        <v>18800</v>
      </c>
      <c r="AJ11" s="24">
        <v>12000</v>
      </c>
      <c r="AK11" s="35">
        <f>AJ11+'22.03'!AK11</f>
        <v>31650</v>
      </c>
      <c r="AL11" s="22">
        <v>25000</v>
      </c>
      <c r="AM11" s="35">
        <f>AL11+'22.03'!AM11</f>
        <v>143000</v>
      </c>
      <c r="AN11" s="22">
        <v>130000</v>
      </c>
      <c r="AO11" s="35">
        <f>AN11+'22.03'!AO11</f>
        <v>300000</v>
      </c>
      <c r="AP11" s="28" t="s">
        <v>45</v>
      </c>
      <c r="AQ11" s="19">
        <f t="shared" si="2"/>
        <v>9</v>
      </c>
      <c r="AR11" s="20">
        <f t="shared" si="2"/>
        <v>28</v>
      </c>
      <c r="AS11" s="34">
        <v>0</v>
      </c>
      <c r="AT11" s="35">
        <f>AS11+'22.03'!AT11</f>
        <v>0</v>
      </c>
      <c r="AU11" s="34">
        <v>0</v>
      </c>
      <c r="AV11" s="35">
        <f>AU11+'22.03'!AV11</f>
        <v>0</v>
      </c>
      <c r="AW11" s="34">
        <v>0</v>
      </c>
      <c r="AX11" s="35">
        <f>AW11+'22.03'!AX11</f>
        <v>0</v>
      </c>
      <c r="AY11" s="34">
        <v>0</v>
      </c>
      <c r="AZ11" s="35">
        <f>AY11+'22.03'!AZ11</f>
        <v>0</v>
      </c>
      <c r="BA11" s="34">
        <v>9</v>
      </c>
      <c r="BB11" s="35">
        <f>BA11+'22.03'!BB11</f>
        <v>28</v>
      </c>
      <c r="BC11" s="19">
        <f t="shared" si="3"/>
        <v>5013</v>
      </c>
      <c r="BD11" s="20">
        <f t="shared" si="3"/>
        <v>15160</v>
      </c>
      <c r="BE11" s="22">
        <v>15</v>
      </c>
      <c r="BF11" s="35">
        <f>BE11+'22.03'!BF11</f>
        <v>46</v>
      </c>
      <c r="BG11" s="34">
        <v>8</v>
      </c>
      <c r="BH11" s="35">
        <f>BG11+'22.03'!BH11</f>
        <v>3614</v>
      </c>
      <c r="BI11" s="22">
        <v>4800</v>
      </c>
      <c r="BJ11" s="35">
        <f>BI11+'22.03'!BJ11</f>
        <v>11185</v>
      </c>
      <c r="BK11" s="22">
        <v>190</v>
      </c>
      <c r="BL11" s="35">
        <f>BK11+'22.03'!BL11</f>
        <v>315</v>
      </c>
      <c r="BM11" s="22">
        <v>0</v>
      </c>
      <c r="BN11" s="35">
        <f>BM11+'22.03'!BN11</f>
        <v>0</v>
      </c>
      <c r="BO11" s="36">
        <v>11506</v>
      </c>
      <c r="BP11" s="37"/>
      <c r="BQ11" s="35">
        <f>BP11+'22.03'!BQ11</f>
        <v>16</v>
      </c>
    </row>
    <row r="12" spans="1:70" ht="27.75" customHeight="1">
      <c r="A12" s="50" t="s">
        <v>46</v>
      </c>
      <c r="B12" s="29">
        <f t="shared" si="0"/>
        <v>30164</v>
      </c>
      <c r="C12" s="30">
        <f t="shared" si="0"/>
        <v>263</v>
      </c>
      <c r="D12" s="31">
        <f t="shared" si="0"/>
        <v>669</v>
      </c>
      <c r="E12" s="32">
        <v>909</v>
      </c>
      <c r="F12" s="22">
        <v>142</v>
      </c>
      <c r="G12" s="23">
        <f>F12+'22.03'!G12</f>
        <v>326</v>
      </c>
      <c r="H12" s="33">
        <v>80</v>
      </c>
      <c r="I12" s="34">
        <v>2</v>
      </c>
      <c r="J12" s="23">
        <f>I12+'22.03'!J12</f>
        <v>7</v>
      </c>
      <c r="K12" s="33">
        <v>5</v>
      </c>
      <c r="L12" s="22">
        <v>0</v>
      </c>
      <c r="M12" s="23">
        <f>L12+'22.03'!M12</f>
        <v>0</v>
      </c>
      <c r="N12" s="33">
        <v>820</v>
      </c>
      <c r="O12" s="22">
        <v>39</v>
      </c>
      <c r="P12" s="23">
        <f>O12+'22.03'!P12</f>
        <v>61</v>
      </c>
      <c r="Q12" s="33">
        <v>549</v>
      </c>
      <c r="R12" s="22">
        <v>0</v>
      </c>
      <c r="S12" s="23">
        <f>R12+'22.03'!S12</f>
        <v>0</v>
      </c>
      <c r="T12" s="33">
        <v>992</v>
      </c>
      <c r="U12" s="22">
        <v>0</v>
      </c>
      <c r="V12" s="23">
        <f>U12+'22.03'!V12</f>
        <v>0</v>
      </c>
      <c r="W12" s="33">
        <v>38</v>
      </c>
      <c r="X12" s="22">
        <v>41</v>
      </c>
      <c r="Y12" s="35">
        <f>X12+'22.03'!Y12</f>
        <v>191</v>
      </c>
      <c r="Z12" s="33">
        <v>68</v>
      </c>
      <c r="AA12" s="22">
        <v>0</v>
      </c>
      <c r="AB12" s="35">
        <f>AA12+'22.03'!AB12</f>
        <v>0</v>
      </c>
      <c r="AC12" s="33">
        <v>26703</v>
      </c>
      <c r="AD12" s="22">
        <v>39</v>
      </c>
      <c r="AE12" s="35">
        <f>AD12+'22.03'!AE12</f>
        <v>84</v>
      </c>
      <c r="AF12" s="19">
        <f t="shared" si="1"/>
        <v>10411</v>
      </c>
      <c r="AG12" s="20">
        <f t="shared" si="1"/>
        <v>50991</v>
      </c>
      <c r="AH12" s="24">
        <v>1410</v>
      </c>
      <c r="AI12" s="35">
        <f>AH12+'22.03'!AI12</f>
        <v>10718</v>
      </c>
      <c r="AJ12" s="24">
        <v>3701</v>
      </c>
      <c r="AK12" s="35">
        <f>AJ12+'22.03'!AK12</f>
        <v>16673</v>
      </c>
      <c r="AL12" s="22">
        <v>5300</v>
      </c>
      <c r="AM12" s="35">
        <f>AL12+'22.03'!AM12</f>
        <v>17250</v>
      </c>
      <c r="AN12" s="22">
        <v>0</v>
      </c>
      <c r="AO12" s="35">
        <f>AN12+'22.03'!AO12</f>
        <v>6350</v>
      </c>
      <c r="AP12" s="28" t="s">
        <v>46</v>
      </c>
      <c r="AQ12" s="19">
        <f t="shared" si="2"/>
        <v>8</v>
      </c>
      <c r="AR12" s="20">
        <f t="shared" si="2"/>
        <v>145</v>
      </c>
      <c r="AS12" s="34">
        <v>0</v>
      </c>
      <c r="AT12" s="35">
        <f>AS12+'22.03'!AT12</f>
        <v>0</v>
      </c>
      <c r="AU12" s="34">
        <v>0</v>
      </c>
      <c r="AV12" s="35">
        <f>AU12+'22.03'!AV12</f>
        <v>0</v>
      </c>
      <c r="AW12" s="34">
        <v>0</v>
      </c>
      <c r="AX12" s="35">
        <f>AW12+'22.03'!AX12</f>
        <v>0</v>
      </c>
      <c r="AY12" s="34">
        <v>0</v>
      </c>
      <c r="AZ12" s="35">
        <f>AY12+'22.03'!AZ12</f>
        <v>0</v>
      </c>
      <c r="BA12" s="34">
        <v>8</v>
      </c>
      <c r="BB12" s="35">
        <f>BA12+'22.03'!BB12</f>
        <v>145</v>
      </c>
      <c r="BC12" s="19">
        <f t="shared" si="3"/>
        <v>1913</v>
      </c>
      <c r="BD12" s="20">
        <f t="shared" si="3"/>
        <v>6950</v>
      </c>
      <c r="BE12" s="22">
        <v>2</v>
      </c>
      <c r="BF12" s="35">
        <f>BE12+'22.03'!BF12</f>
        <v>140</v>
      </c>
      <c r="BG12" s="34">
        <v>11</v>
      </c>
      <c r="BH12" s="35">
        <f>BG12+'22.03'!BH12</f>
        <v>32</v>
      </c>
      <c r="BI12" s="22">
        <v>1650</v>
      </c>
      <c r="BJ12" s="35">
        <f>BI12+'22.03'!BJ12</f>
        <v>5830</v>
      </c>
      <c r="BK12" s="22">
        <v>250</v>
      </c>
      <c r="BL12" s="35">
        <f>BK12+'22.03'!BL12</f>
        <v>948</v>
      </c>
      <c r="BM12" s="22">
        <v>0</v>
      </c>
      <c r="BN12" s="35">
        <f>BM12+'22.03'!BN12</f>
        <v>0</v>
      </c>
      <c r="BO12" s="36"/>
      <c r="BP12" s="37">
        <v>1</v>
      </c>
      <c r="BQ12" s="35">
        <f>BP12+'22.03'!BQ12</f>
        <v>3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32</v>
      </c>
      <c r="D13" s="31">
        <f t="shared" si="0"/>
        <v>54</v>
      </c>
      <c r="E13" s="32">
        <v>516</v>
      </c>
      <c r="F13" s="22">
        <v>30</v>
      </c>
      <c r="G13" s="23">
        <f>F13+'22.03'!G13</f>
        <v>47</v>
      </c>
      <c r="H13" s="33">
        <v>10</v>
      </c>
      <c r="I13" s="34">
        <v>1</v>
      </c>
      <c r="J13" s="23">
        <f>I13+'22.03'!J13</f>
        <v>1</v>
      </c>
      <c r="K13" s="33">
        <v>38</v>
      </c>
      <c r="L13" s="22">
        <v>0</v>
      </c>
      <c r="M13" s="23">
        <f>L13+'22.03'!M13</f>
        <v>0</v>
      </c>
      <c r="N13" s="33">
        <v>581</v>
      </c>
      <c r="O13" s="22">
        <v>0</v>
      </c>
      <c r="P13" s="23">
        <f>O13+'22.03'!P13</f>
        <v>1</v>
      </c>
      <c r="Q13" s="33">
        <v>525</v>
      </c>
      <c r="R13" s="22">
        <v>0</v>
      </c>
      <c r="S13" s="23">
        <f>R13+'22.03'!S13</f>
        <v>0</v>
      </c>
      <c r="T13" s="33">
        <v>263</v>
      </c>
      <c r="U13" s="22">
        <v>0</v>
      </c>
      <c r="V13" s="23">
        <f>U13+'22.03'!V13</f>
        <v>0</v>
      </c>
      <c r="W13" s="33">
        <v>43</v>
      </c>
      <c r="X13" s="22">
        <v>0</v>
      </c>
      <c r="Y13" s="35">
        <f>X13+'22.03'!Y13</f>
        <v>2</v>
      </c>
      <c r="Z13" s="33">
        <v>17</v>
      </c>
      <c r="AA13" s="22">
        <v>0</v>
      </c>
      <c r="AB13" s="35">
        <f>AA13+'22.03'!AB13</f>
        <v>0</v>
      </c>
      <c r="AC13" s="33">
        <v>51</v>
      </c>
      <c r="AD13" s="22">
        <v>1</v>
      </c>
      <c r="AE13" s="35">
        <f>AD13+'22.03'!AE13</f>
        <v>3</v>
      </c>
      <c r="AF13" s="19">
        <f t="shared" si="1"/>
        <v>375500</v>
      </c>
      <c r="AG13" s="20">
        <f t="shared" si="1"/>
        <v>976000</v>
      </c>
      <c r="AH13" s="24">
        <v>2000</v>
      </c>
      <c r="AI13" s="35">
        <f>AH13+'22.03'!AI13</f>
        <v>6700</v>
      </c>
      <c r="AJ13" s="24">
        <v>13500</v>
      </c>
      <c r="AK13" s="35">
        <f>AJ13+'22.03'!AK13</f>
        <v>29300</v>
      </c>
      <c r="AL13" s="22">
        <v>20000</v>
      </c>
      <c r="AM13" s="35">
        <f>AL13+'22.03'!AM13</f>
        <v>60000</v>
      </c>
      <c r="AN13" s="22">
        <v>340000</v>
      </c>
      <c r="AO13" s="35">
        <f>AN13+'22.03'!AO13</f>
        <v>880000</v>
      </c>
      <c r="AP13" s="28" t="s">
        <v>47</v>
      </c>
      <c r="AQ13" s="19">
        <f t="shared" si="2"/>
        <v>53</v>
      </c>
      <c r="AR13" s="20">
        <f t="shared" si="2"/>
        <v>99</v>
      </c>
      <c r="AS13" s="34">
        <v>1</v>
      </c>
      <c r="AT13" s="35">
        <f>AS13+'22.03'!AT13</f>
        <v>2</v>
      </c>
      <c r="AU13" s="34">
        <v>2</v>
      </c>
      <c r="AV13" s="35">
        <f>AU13+'22.03'!AV13</f>
        <v>5</v>
      </c>
      <c r="AW13" s="34">
        <v>0</v>
      </c>
      <c r="AX13" s="35">
        <f>AW13+'22.03'!AX13</f>
        <v>0</v>
      </c>
      <c r="AY13" s="34">
        <v>0</v>
      </c>
      <c r="AZ13" s="35">
        <f>AY13+'22.03'!AZ13</f>
        <v>0</v>
      </c>
      <c r="BA13" s="34">
        <v>50</v>
      </c>
      <c r="BB13" s="35">
        <f>BA13+'22.03'!BB13</f>
        <v>92</v>
      </c>
      <c r="BC13" s="19">
        <f t="shared" si="3"/>
        <v>7105</v>
      </c>
      <c r="BD13" s="20">
        <f t="shared" si="3"/>
        <v>26975</v>
      </c>
      <c r="BE13" s="22">
        <v>5</v>
      </c>
      <c r="BF13" s="35">
        <f>BE13+'22.03'!BF13</f>
        <v>721</v>
      </c>
      <c r="BG13" s="34">
        <v>0</v>
      </c>
      <c r="BH13" s="35">
        <f>BG13+'22.03'!BH13</f>
        <v>54</v>
      </c>
      <c r="BI13" s="22">
        <v>7000</v>
      </c>
      <c r="BJ13" s="35">
        <f>BI13+'22.03'!BJ13</f>
        <v>23000</v>
      </c>
      <c r="BK13" s="22">
        <v>100</v>
      </c>
      <c r="BL13" s="35">
        <f>BK13+'22.03'!BL13</f>
        <v>3200</v>
      </c>
      <c r="BM13" s="22">
        <v>0</v>
      </c>
      <c r="BN13" s="35">
        <f>BM13+'22.03'!BN13</f>
        <v>0</v>
      </c>
      <c r="BO13" s="36"/>
      <c r="BP13" s="37"/>
      <c r="BQ13" s="35">
        <f>BP13+'22.03'!BQ13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121</v>
      </c>
      <c r="D14" s="42">
        <f t="shared" si="0"/>
        <v>377</v>
      </c>
      <c r="E14" s="43">
        <v>304</v>
      </c>
      <c r="F14" s="22">
        <v>85</v>
      </c>
      <c r="G14" s="23">
        <f>F14+'22.03'!G14</f>
        <v>282</v>
      </c>
      <c r="H14" s="44">
        <v>5</v>
      </c>
      <c r="I14" s="45">
        <v>0</v>
      </c>
      <c r="J14" s="23">
        <f>I14+'22.03'!J14</f>
        <v>0</v>
      </c>
      <c r="K14" s="44">
        <v>34</v>
      </c>
      <c r="L14" s="22">
        <v>0</v>
      </c>
      <c r="M14" s="23">
        <f>L14+'22.03'!M14</f>
        <v>0</v>
      </c>
      <c r="N14" s="44">
        <v>583</v>
      </c>
      <c r="O14" s="22">
        <v>0</v>
      </c>
      <c r="P14" s="23">
        <f>O14+'22.03'!P14</f>
        <v>0</v>
      </c>
      <c r="Q14" s="44">
        <v>254</v>
      </c>
      <c r="R14" s="22">
        <v>0</v>
      </c>
      <c r="S14" s="23">
        <f>R14+'22.03'!S14</f>
        <v>0</v>
      </c>
      <c r="T14" s="44">
        <v>196</v>
      </c>
      <c r="U14" s="22">
        <v>0</v>
      </c>
      <c r="V14" s="23">
        <f>U14+'22.03'!V14</f>
        <v>0</v>
      </c>
      <c r="W14" s="44">
        <v>30</v>
      </c>
      <c r="X14" s="22">
        <v>28</v>
      </c>
      <c r="Y14" s="35">
        <f>X14+'22.03'!Y14</f>
        <v>78</v>
      </c>
      <c r="Z14" s="44">
        <v>10</v>
      </c>
      <c r="AA14" s="22">
        <v>0</v>
      </c>
      <c r="AB14" s="35">
        <f>AA14+'22.03'!AB14</f>
        <v>0</v>
      </c>
      <c r="AC14" s="44">
        <v>2500</v>
      </c>
      <c r="AD14" s="22">
        <v>8</v>
      </c>
      <c r="AE14" s="35">
        <f>AD14+'22.03'!AE14</f>
        <v>17</v>
      </c>
      <c r="AF14" s="19">
        <f t="shared" si="1"/>
        <v>170400</v>
      </c>
      <c r="AG14" s="20">
        <f t="shared" si="1"/>
        <v>651740</v>
      </c>
      <c r="AH14" s="24">
        <v>5000</v>
      </c>
      <c r="AI14" s="35">
        <f>AH14+'22.03'!AI14</f>
        <v>9420</v>
      </c>
      <c r="AJ14" s="24">
        <v>10400</v>
      </c>
      <c r="AK14" s="35">
        <f>AJ14+'22.03'!AK14</f>
        <v>30720</v>
      </c>
      <c r="AL14" s="46">
        <v>20000</v>
      </c>
      <c r="AM14" s="35">
        <f>AL14+'22.03'!AM14</f>
        <v>49220</v>
      </c>
      <c r="AN14" s="46">
        <v>135000</v>
      </c>
      <c r="AO14" s="35">
        <f>AN14+'22.03'!AO14</f>
        <v>562380</v>
      </c>
      <c r="AP14" s="39" t="s">
        <v>48</v>
      </c>
      <c r="AQ14" s="19">
        <f t="shared" si="2"/>
        <v>6</v>
      </c>
      <c r="AR14" s="20">
        <f t="shared" si="2"/>
        <v>23</v>
      </c>
      <c r="AS14" s="45"/>
      <c r="AT14" s="35">
        <f>AS14+'22.03'!AT14</f>
        <v>1</v>
      </c>
      <c r="AU14" s="45"/>
      <c r="AV14" s="35">
        <f>AU14+'22.03'!AV14</f>
        <v>0</v>
      </c>
      <c r="AW14" s="45"/>
      <c r="AX14" s="35">
        <f>AW14+'22.03'!AX14</f>
        <v>1</v>
      </c>
      <c r="AY14" s="45"/>
      <c r="AZ14" s="35">
        <f>AY14+'22.03'!AZ14</f>
        <v>0</v>
      </c>
      <c r="BA14" s="45">
        <v>6</v>
      </c>
      <c r="BB14" s="35">
        <f>BA14+'22.03'!BB14</f>
        <v>21</v>
      </c>
      <c r="BC14" s="19">
        <f t="shared" si="3"/>
        <v>2380</v>
      </c>
      <c r="BD14" s="20">
        <f t="shared" si="3"/>
        <v>10072</v>
      </c>
      <c r="BE14" s="22"/>
      <c r="BF14" s="35">
        <f>BE14+'22.03'!BF14</f>
        <v>12</v>
      </c>
      <c r="BG14" s="45"/>
      <c r="BH14" s="35">
        <f>BG14+'22.03'!BH14</f>
        <v>15</v>
      </c>
      <c r="BI14" s="22">
        <v>2200</v>
      </c>
      <c r="BJ14" s="35">
        <f>BI14+'22.03'!BJ14</f>
        <v>9640</v>
      </c>
      <c r="BK14" s="22">
        <v>180</v>
      </c>
      <c r="BL14" s="35">
        <f>BK14+'22.03'!BL14</f>
        <v>405</v>
      </c>
      <c r="BM14" s="22">
        <v>0</v>
      </c>
      <c r="BN14" s="35">
        <f>BM14+'22.03'!BN14</f>
        <v>0</v>
      </c>
      <c r="BO14" s="48">
        <v>2</v>
      </c>
      <c r="BP14" s="49">
        <v>0</v>
      </c>
      <c r="BQ14" s="35">
        <f>BP14+'22.03'!BQ14</f>
        <v>2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254</v>
      </c>
      <c r="D15" s="53">
        <f t="shared" si="0"/>
        <v>1014</v>
      </c>
      <c r="E15" s="54">
        <v>776</v>
      </c>
      <c r="F15" s="55">
        <v>187</v>
      </c>
      <c r="G15" s="23">
        <f>F15+'22.03'!G15</f>
        <v>695</v>
      </c>
      <c r="H15" s="56">
        <v>9</v>
      </c>
      <c r="I15" s="57">
        <v>0</v>
      </c>
      <c r="J15" s="23">
        <f>I15+'22.03'!J15</f>
        <v>0</v>
      </c>
      <c r="K15" s="56">
        <v>6</v>
      </c>
      <c r="L15" s="55">
        <v>0</v>
      </c>
      <c r="M15" s="23">
        <f>L15+'22.03'!M15</f>
        <v>0</v>
      </c>
      <c r="N15" s="56">
        <v>1305</v>
      </c>
      <c r="O15" s="55">
        <v>0</v>
      </c>
      <c r="P15" s="23">
        <f>O15+'22.03'!P15</f>
        <v>0</v>
      </c>
      <c r="Q15" s="56">
        <v>447</v>
      </c>
      <c r="R15" s="55">
        <v>0</v>
      </c>
      <c r="S15" s="23">
        <f>R15+'22.03'!S15</f>
        <v>0</v>
      </c>
      <c r="T15" s="56">
        <v>337</v>
      </c>
      <c r="U15" s="55">
        <v>0</v>
      </c>
      <c r="V15" s="23">
        <f>U15+'22.03'!V15</f>
        <v>0</v>
      </c>
      <c r="W15" s="56">
        <v>78</v>
      </c>
      <c r="X15" s="55">
        <v>0</v>
      </c>
      <c r="Y15" s="35">
        <f>X15+'22.03'!Y15</f>
        <v>0</v>
      </c>
      <c r="Z15" s="56">
        <v>141</v>
      </c>
      <c r="AA15" s="55">
        <v>0</v>
      </c>
      <c r="AB15" s="35">
        <f>AA15+'22.03'!AB15</f>
        <v>0</v>
      </c>
      <c r="AC15" s="56">
        <v>798</v>
      </c>
      <c r="AD15" s="55">
        <v>67</v>
      </c>
      <c r="AE15" s="35">
        <f>AD15+'22.03'!AE15</f>
        <v>319</v>
      </c>
      <c r="AF15" s="58">
        <f t="shared" si="1"/>
        <v>879118</v>
      </c>
      <c r="AG15" s="59">
        <f t="shared" si="1"/>
        <v>3874389</v>
      </c>
      <c r="AH15" s="60">
        <v>640</v>
      </c>
      <c r="AI15" s="35">
        <f>AH15+'22.03'!AI15</f>
        <v>2930</v>
      </c>
      <c r="AJ15" s="60">
        <v>1424</v>
      </c>
      <c r="AK15" s="35">
        <f>AJ15+'22.03'!AK15</f>
        <v>2781</v>
      </c>
      <c r="AL15" s="55">
        <v>438527</v>
      </c>
      <c r="AM15" s="35">
        <f>AL15+'22.03'!AM15</f>
        <v>1647839</v>
      </c>
      <c r="AN15" s="55">
        <v>438527</v>
      </c>
      <c r="AO15" s="35">
        <f>AN15+'22.03'!AO15</f>
        <v>2220839</v>
      </c>
      <c r="AP15" s="50" t="s">
        <v>49</v>
      </c>
      <c r="AQ15" s="58">
        <f t="shared" si="2"/>
        <v>0</v>
      </c>
      <c r="AR15" s="59">
        <f t="shared" si="2"/>
        <v>4</v>
      </c>
      <c r="AS15" s="57">
        <v>0</v>
      </c>
      <c r="AT15" s="35">
        <f>AS15+'22.03'!AT15</f>
        <v>0</v>
      </c>
      <c r="AU15" s="57">
        <v>0</v>
      </c>
      <c r="AV15" s="35">
        <f>AU15+'22.03'!AV15</f>
        <v>0</v>
      </c>
      <c r="AW15" s="57">
        <v>0</v>
      </c>
      <c r="AX15" s="35">
        <f>AW15+'22.03'!AX15</f>
        <v>0</v>
      </c>
      <c r="AY15" s="57">
        <v>0</v>
      </c>
      <c r="AZ15" s="35">
        <f>AY15+'22.03'!AZ15</f>
        <v>0</v>
      </c>
      <c r="BA15" s="57">
        <v>0</v>
      </c>
      <c r="BB15" s="35">
        <f>BA15+'22.03'!BB15</f>
        <v>4</v>
      </c>
      <c r="BC15" s="58">
        <f t="shared" si="3"/>
        <v>1132</v>
      </c>
      <c r="BD15" s="59">
        <f t="shared" si="3"/>
        <v>6916</v>
      </c>
      <c r="BE15" s="55">
        <v>50</v>
      </c>
      <c r="BF15" s="35">
        <f>BE15+'22.03'!BF15</f>
        <v>138</v>
      </c>
      <c r="BG15" s="57">
        <v>2</v>
      </c>
      <c r="BH15" s="35">
        <f>BG15+'22.03'!BH15</f>
        <v>653</v>
      </c>
      <c r="BI15" s="55">
        <v>540</v>
      </c>
      <c r="BJ15" s="35">
        <f>BI15+'22.03'!BJ15</f>
        <v>3385</v>
      </c>
      <c r="BK15" s="55">
        <v>540</v>
      </c>
      <c r="BL15" s="35">
        <f>BK15+'22.03'!BL15</f>
        <v>2740</v>
      </c>
      <c r="BM15" s="55">
        <v>0</v>
      </c>
      <c r="BN15" s="35">
        <f>BM15+'22.03'!BN15</f>
        <v>0</v>
      </c>
      <c r="BO15" s="36">
        <v>6274</v>
      </c>
      <c r="BP15" s="37">
        <v>2</v>
      </c>
      <c r="BQ15" s="35">
        <f>BP15+'22.03'!BQ15</f>
        <v>8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163</v>
      </c>
      <c r="D16" s="31">
        <f t="shared" si="0"/>
        <v>504</v>
      </c>
      <c r="E16" s="32">
        <v>310</v>
      </c>
      <c r="F16" s="22">
        <v>36</v>
      </c>
      <c r="G16" s="23">
        <f>F16+'22.03'!G16</f>
        <v>132</v>
      </c>
      <c r="H16" s="33">
        <v>5</v>
      </c>
      <c r="I16" s="34">
        <v>0</v>
      </c>
      <c r="J16" s="23">
        <f>I16+'22.03'!J16</f>
        <v>0</v>
      </c>
      <c r="K16" s="33">
        <v>3</v>
      </c>
      <c r="L16" s="22">
        <v>0</v>
      </c>
      <c r="M16" s="23">
        <f>L16+'22.03'!M16</f>
        <v>0</v>
      </c>
      <c r="N16" s="33">
        <v>384</v>
      </c>
      <c r="O16" s="22">
        <v>0</v>
      </c>
      <c r="P16" s="23">
        <f>O16+'22.03'!P16</f>
        <v>0</v>
      </c>
      <c r="Q16" s="33">
        <v>245</v>
      </c>
      <c r="R16" s="22">
        <v>0</v>
      </c>
      <c r="S16" s="23">
        <f>R16+'22.03'!S16</f>
        <v>0</v>
      </c>
      <c r="T16" s="33">
        <v>397</v>
      </c>
      <c r="U16" s="22">
        <v>0</v>
      </c>
      <c r="V16" s="23">
        <f>U16+'22.03'!V16</f>
        <v>0</v>
      </c>
      <c r="W16" s="33">
        <v>24</v>
      </c>
      <c r="X16" s="22">
        <v>68</v>
      </c>
      <c r="Y16" s="35">
        <f>X16+'22.03'!Y16</f>
        <v>183</v>
      </c>
      <c r="Z16" s="33">
        <v>18</v>
      </c>
      <c r="AA16" s="22">
        <v>0</v>
      </c>
      <c r="AB16" s="35">
        <f>AA16+'22.03'!AB16</f>
        <v>0</v>
      </c>
      <c r="AC16" s="33">
        <v>18515</v>
      </c>
      <c r="AD16" s="22">
        <v>59</v>
      </c>
      <c r="AE16" s="35">
        <f>AD16+'22.03'!AE16</f>
        <v>189</v>
      </c>
      <c r="AF16" s="19">
        <f t="shared" si="1"/>
        <v>60510</v>
      </c>
      <c r="AG16" s="20">
        <f t="shared" si="1"/>
        <v>192722</v>
      </c>
      <c r="AH16" s="24">
        <v>250</v>
      </c>
      <c r="AI16" s="35">
        <f>AH16+'22.03'!AI16</f>
        <v>916</v>
      </c>
      <c r="AJ16" s="24">
        <v>1060</v>
      </c>
      <c r="AK16" s="35">
        <f>AJ16+'22.03'!AK16</f>
        <v>3186</v>
      </c>
      <c r="AL16" s="22">
        <v>2850</v>
      </c>
      <c r="AM16" s="35">
        <f>AL16+'22.03'!AM16</f>
        <v>10580</v>
      </c>
      <c r="AN16" s="22">
        <v>56350</v>
      </c>
      <c r="AO16" s="35">
        <f>AN16+'22.03'!AO16</f>
        <v>178040</v>
      </c>
      <c r="AP16" s="28" t="s">
        <v>51</v>
      </c>
      <c r="AQ16" s="19">
        <f t="shared" si="2"/>
        <v>28</v>
      </c>
      <c r="AR16" s="20">
        <f t="shared" si="2"/>
        <v>150</v>
      </c>
      <c r="AS16" s="34">
        <v>0</v>
      </c>
      <c r="AT16" s="35">
        <f>AS16+'22.03'!AT16</f>
        <v>0</v>
      </c>
      <c r="AU16" s="34">
        <v>0</v>
      </c>
      <c r="AV16" s="35">
        <f>AU16+'22.03'!AV16</f>
        <v>0</v>
      </c>
      <c r="AW16" s="34">
        <v>0</v>
      </c>
      <c r="AX16" s="35">
        <f>AW16+'22.03'!AX16</f>
        <v>0</v>
      </c>
      <c r="AY16" s="34">
        <v>0</v>
      </c>
      <c r="AZ16" s="35">
        <f>AY16+'22.03'!AZ16</f>
        <v>0</v>
      </c>
      <c r="BA16" s="34">
        <v>28</v>
      </c>
      <c r="BB16" s="35">
        <f>BA16+'22.03'!BB16</f>
        <v>150</v>
      </c>
      <c r="BC16" s="19">
        <f t="shared" si="3"/>
        <v>1439</v>
      </c>
      <c r="BD16" s="20">
        <f t="shared" si="3"/>
        <v>3951</v>
      </c>
      <c r="BE16" s="22">
        <v>310</v>
      </c>
      <c r="BF16" s="35">
        <f>BE16+'22.03'!BF16</f>
        <v>422</v>
      </c>
      <c r="BG16" s="34">
        <v>4</v>
      </c>
      <c r="BH16" s="35">
        <f>BG16+'22.03'!BH16</f>
        <v>14</v>
      </c>
      <c r="BI16" s="22">
        <v>975</v>
      </c>
      <c r="BJ16" s="35">
        <f>BI16+'22.03'!BJ16</f>
        <v>3115</v>
      </c>
      <c r="BK16" s="22">
        <v>150</v>
      </c>
      <c r="BL16" s="35">
        <f>BK16+'22.03'!BL16</f>
        <v>400</v>
      </c>
      <c r="BM16" s="22">
        <v>0</v>
      </c>
      <c r="BN16" s="35">
        <f>BM16+'22.03'!BN16</f>
        <v>0</v>
      </c>
      <c r="BO16" s="36">
        <v>2546</v>
      </c>
      <c r="BP16" s="37">
        <v>0</v>
      </c>
      <c r="BQ16" s="35">
        <f>BP16+'22.03'!BQ16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285</v>
      </c>
      <c r="D17" s="31">
        <f t="shared" si="0"/>
        <v>606</v>
      </c>
      <c r="E17" s="32">
        <v>754</v>
      </c>
      <c r="F17" s="22">
        <v>155</v>
      </c>
      <c r="G17" s="23">
        <f>F17+'22.03'!G17</f>
        <v>364</v>
      </c>
      <c r="H17" s="33">
        <v>9</v>
      </c>
      <c r="I17" s="34">
        <v>0</v>
      </c>
      <c r="J17" s="23">
        <f>I17+'22.03'!J17</f>
        <v>0</v>
      </c>
      <c r="K17" s="33">
        <v>5</v>
      </c>
      <c r="L17" s="22">
        <v>0</v>
      </c>
      <c r="M17" s="23">
        <f>L17+'22.03'!M17</f>
        <v>0</v>
      </c>
      <c r="N17" s="33">
        <v>768</v>
      </c>
      <c r="O17" s="22">
        <v>0</v>
      </c>
      <c r="P17" s="23">
        <f>O17+'22.03'!P17</f>
        <v>0</v>
      </c>
      <c r="Q17" s="33">
        <v>624</v>
      </c>
      <c r="R17" s="22">
        <v>0</v>
      </c>
      <c r="S17" s="23">
        <f>R17+'22.03'!S17</f>
        <v>0</v>
      </c>
      <c r="T17" s="33">
        <v>742</v>
      </c>
      <c r="U17" s="22">
        <v>0</v>
      </c>
      <c r="V17" s="23">
        <f>U17+'22.03'!V17</f>
        <v>0</v>
      </c>
      <c r="W17" s="33">
        <v>54</v>
      </c>
      <c r="X17" s="22">
        <v>130</v>
      </c>
      <c r="Y17" s="35">
        <f>X17+'22.03'!Y17</f>
        <v>162</v>
      </c>
      <c r="Z17" s="33">
        <v>66</v>
      </c>
      <c r="AA17" s="22">
        <v>0</v>
      </c>
      <c r="AB17" s="35">
        <f>AA17+'22.03'!AB17</f>
        <v>0</v>
      </c>
      <c r="AC17" s="33">
        <v>2580</v>
      </c>
      <c r="AD17" s="22">
        <v>0</v>
      </c>
      <c r="AE17" s="35">
        <f>AD17+'22.03'!AE17</f>
        <v>80</v>
      </c>
      <c r="AF17" s="19">
        <f t="shared" si="1"/>
        <v>194000</v>
      </c>
      <c r="AG17" s="20">
        <f t="shared" si="1"/>
        <v>576800</v>
      </c>
      <c r="AH17" s="24">
        <v>10000</v>
      </c>
      <c r="AI17" s="35">
        <f>AH17+'22.03'!AI17</f>
        <v>27500</v>
      </c>
      <c r="AJ17" s="24">
        <v>14000</v>
      </c>
      <c r="AK17" s="35">
        <f>AJ17+'22.03'!AK17</f>
        <v>34300</v>
      </c>
      <c r="AL17" s="22">
        <v>80000</v>
      </c>
      <c r="AM17" s="35">
        <f>AL17+'22.03'!AM17</f>
        <v>193000</v>
      </c>
      <c r="AN17" s="22">
        <v>90000</v>
      </c>
      <c r="AO17" s="35">
        <f>AN17+'22.03'!AO17</f>
        <v>322000</v>
      </c>
      <c r="AP17" s="28" t="s">
        <v>52</v>
      </c>
      <c r="AQ17" s="19">
        <f t="shared" si="2"/>
        <v>19</v>
      </c>
      <c r="AR17" s="20">
        <f t="shared" si="2"/>
        <v>43</v>
      </c>
      <c r="AS17" s="34">
        <v>4</v>
      </c>
      <c r="AT17" s="35">
        <f>AS17+'22.03'!AT17</f>
        <v>5</v>
      </c>
      <c r="AU17" s="34">
        <v>4</v>
      </c>
      <c r="AV17" s="35">
        <f>AU17+'22.03'!AV17</f>
        <v>4</v>
      </c>
      <c r="AW17" s="34">
        <v>0</v>
      </c>
      <c r="AX17" s="35">
        <f>AW17+'22.03'!AX17</f>
        <v>0</v>
      </c>
      <c r="AY17" s="34">
        <v>0</v>
      </c>
      <c r="AZ17" s="35">
        <f>AY17+'22.03'!AZ17</f>
        <v>0</v>
      </c>
      <c r="BA17" s="34">
        <v>11</v>
      </c>
      <c r="BB17" s="35">
        <f>BA17+'22.03'!BB17</f>
        <v>34</v>
      </c>
      <c r="BC17" s="19">
        <f t="shared" si="3"/>
        <v>2711</v>
      </c>
      <c r="BD17" s="20">
        <f t="shared" si="3"/>
        <v>7329</v>
      </c>
      <c r="BE17" s="22">
        <v>30</v>
      </c>
      <c r="BF17" s="35">
        <f>BE17+'22.03'!BF17</f>
        <v>98</v>
      </c>
      <c r="BG17" s="34">
        <v>11</v>
      </c>
      <c r="BH17" s="35">
        <f>BG17+'22.03'!BH17</f>
        <v>26</v>
      </c>
      <c r="BI17" s="22">
        <v>2500</v>
      </c>
      <c r="BJ17" s="35">
        <f>BI17+'22.03'!BJ17</f>
        <v>6700</v>
      </c>
      <c r="BK17" s="22">
        <v>170</v>
      </c>
      <c r="BL17" s="35">
        <f>BK17+'22.03'!BL17</f>
        <v>505</v>
      </c>
      <c r="BM17" s="22">
        <v>0</v>
      </c>
      <c r="BN17" s="35">
        <f>BM17+'22.03'!BN17</f>
        <v>0</v>
      </c>
      <c r="BO17" s="36">
        <v>8022</v>
      </c>
      <c r="BP17" s="37">
        <v>9</v>
      </c>
      <c r="BQ17" s="35">
        <f>BP17+'22.03'!BQ17</f>
        <v>19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369</v>
      </c>
      <c r="D18" s="20">
        <f t="shared" si="0"/>
        <v>1410</v>
      </c>
      <c r="E18" s="21">
        <v>1063</v>
      </c>
      <c r="F18" s="22">
        <v>284</v>
      </c>
      <c r="G18" s="23">
        <f>F18+'22.03'!G18</f>
        <v>948</v>
      </c>
      <c r="H18" s="21">
        <v>19</v>
      </c>
      <c r="I18" s="22">
        <v>0</v>
      </c>
      <c r="J18" s="23">
        <f>I18+'22.03'!J18</f>
        <v>0</v>
      </c>
      <c r="K18" s="21">
        <v>8</v>
      </c>
      <c r="L18" s="22">
        <v>0</v>
      </c>
      <c r="M18" s="23">
        <f>L18+'22.03'!M18</f>
        <v>0</v>
      </c>
      <c r="N18" s="21">
        <v>1331</v>
      </c>
      <c r="O18" s="22">
        <v>0</v>
      </c>
      <c r="P18" s="23">
        <f>O18+'22.03'!P18</f>
        <v>0</v>
      </c>
      <c r="Q18" s="21">
        <v>777</v>
      </c>
      <c r="R18" s="22">
        <v>0</v>
      </c>
      <c r="S18" s="23">
        <f>R18+'22.03'!S18</f>
        <v>0</v>
      </c>
      <c r="T18" s="21">
        <v>318</v>
      </c>
      <c r="U18" s="22">
        <v>0</v>
      </c>
      <c r="V18" s="23">
        <f>U18+'22.03'!V18</f>
        <v>0</v>
      </c>
      <c r="W18" s="21">
        <v>60</v>
      </c>
      <c r="X18" s="22">
        <v>85</v>
      </c>
      <c r="Y18" s="35">
        <f>X18+'22.03'!Y18</f>
        <v>458</v>
      </c>
      <c r="Z18" s="21">
        <v>72</v>
      </c>
      <c r="AA18" s="22">
        <v>0</v>
      </c>
      <c r="AB18" s="35">
        <f>AA18+'22.03'!AB18</f>
        <v>0</v>
      </c>
      <c r="AC18" s="21">
        <v>143</v>
      </c>
      <c r="AD18" s="22">
        <v>0</v>
      </c>
      <c r="AE18" s="35">
        <f>AD18+'22.03'!AE18</f>
        <v>4</v>
      </c>
      <c r="AF18" s="19">
        <f t="shared" si="1"/>
        <v>251196</v>
      </c>
      <c r="AG18" s="20">
        <f t="shared" si="1"/>
        <v>1300423</v>
      </c>
      <c r="AH18" s="24">
        <v>542</v>
      </c>
      <c r="AI18" s="35">
        <f>AH18+'22.03'!AI18</f>
        <v>2977</v>
      </c>
      <c r="AJ18" s="24">
        <v>4812</v>
      </c>
      <c r="AK18" s="35">
        <f>AJ18+'22.03'!AK18</f>
        <v>14854</v>
      </c>
      <c r="AL18" s="22">
        <v>9843</v>
      </c>
      <c r="AM18" s="35">
        <f>AL18+'22.03'!AM18</f>
        <v>42353</v>
      </c>
      <c r="AN18" s="22">
        <v>235999</v>
      </c>
      <c r="AO18" s="35">
        <f>AN18+'22.03'!AO18</f>
        <v>1240239</v>
      </c>
      <c r="AP18" s="17" t="s">
        <v>53</v>
      </c>
      <c r="AQ18" s="19">
        <f>AS18+AU18+AW18+AY18+BA18</f>
        <v>6</v>
      </c>
      <c r="AR18" s="20">
        <f t="shared" si="2"/>
        <v>32</v>
      </c>
      <c r="AS18" s="22"/>
      <c r="AT18" s="35">
        <f>AS18+'22.03'!AT18</f>
        <v>3</v>
      </c>
      <c r="AU18" s="22"/>
      <c r="AV18" s="35">
        <f>AU18+'22.03'!AV18</f>
        <v>0</v>
      </c>
      <c r="AW18" s="22"/>
      <c r="AX18" s="35">
        <f>AW18+'22.03'!AX18</f>
        <v>0</v>
      </c>
      <c r="AY18" s="22"/>
      <c r="AZ18" s="35">
        <f>AY18+'22.03'!AZ18</f>
        <v>0</v>
      </c>
      <c r="BA18" s="22">
        <v>6</v>
      </c>
      <c r="BB18" s="35">
        <f>BA18+'22.03'!BB18</f>
        <v>29</v>
      </c>
      <c r="BC18" s="19">
        <f t="shared" si="3"/>
        <v>1194</v>
      </c>
      <c r="BD18" s="20">
        <f>BF18+BH18+BJ18+BL18+BN18</f>
        <v>8283</v>
      </c>
      <c r="BE18" s="22">
        <v>0</v>
      </c>
      <c r="BF18" s="35">
        <f>BE18+'22.03'!BF18</f>
        <v>10</v>
      </c>
      <c r="BG18" s="22">
        <v>0</v>
      </c>
      <c r="BH18" s="35">
        <f>BG18+'22.03'!BH18</f>
        <v>0</v>
      </c>
      <c r="BI18" s="22">
        <v>938</v>
      </c>
      <c r="BJ18" s="35">
        <f>BI18+'22.03'!BJ18</f>
        <v>7408</v>
      </c>
      <c r="BK18" s="22">
        <v>248</v>
      </c>
      <c r="BL18" s="35">
        <f>BK18+'22.03'!BL18</f>
        <v>857</v>
      </c>
      <c r="BM18" s="22">
        <v>8</v>
      </c>
      <c r="BN18" s="35">
        <f>BM18+'22.03'!BN18</f>
        <v>8</v>
      </c>
      <c r="BO18" s="36">
        <v>442</v>
      </c>
      <c r="BP18" s="37">
        <v>0</v>
      </c>
      <c r="BQ18" s="35">
        <f>BP18+'22.03'!BQ18</f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0</v>
      </c>
      <c r="D19" s="31">
        <f t="shared" si="0"/>
        <v>28</v>
      </c>
      <c r="E19" s="33">
        <v>221</v>
      </c>
      <c r="F19" s="22"/>
      <c r="G19" s="23">
        <f>F19+'22.03'!G19</f>
        <v>8</v>
      </c>
      <c r="H19" s="33">
        <v>5</v>
      </c>
      <c r="I19" s="34"/>
      <c r="J19" s="23">
        <f>I19+'22.03'!J19</f>
        <v>0</v>
      </c>
      <c r="K19" s="33">
        <v>4</v>
      </c>
      <c r="L19" s="22"/>
      <c r="M19" s="23">
        <f>L19+'22.03'!M19</f>
        <v>0</v>
      </c>
      <c r="N19" s="33">
        <v>313</v>
      </c>
      <c r="O19" s="22"/>
      <c r="P19" s="23">
        <f>O19+'22.03'!P19</f>
        <v>0</v>
      </c>
      <c r="Q19" s="33">
        <v>203</v>
      </c>
      <c r="R19" s="22"/>
      <c r="S19" s="23">
        <f>R19+'22.03'!S19</f>
        <v>0</v>
      </c>
      <c r="T19" s="33">
        <v>241</v>
      </c>
      <c r="U19" s="22"/>
      <c r="V19" s="23">
        <f>U19+'22.03'!V19</f>
        <v>0</v>
      </c>
      <c r="W19" s="33">
        <v>14</v>
      </c>
      <c r="X19" s="22"/>
      <c r="Y19" s="35">
        <f>X19+'22.03'!Y19</f>
        <v>7</v>
      </c>
      <c r="Z19" s="33">
        <v>7</v>
      </c>
      <c r="AA19" s="22"/>
      <c r="AB19" s="35">
        <f>AA19+'22.03'!AB19</f>
        <v>0</v>
      </c>
      <c r="AC19" s="33">
        <v>32</v>
      </c>
      <c r="AD19" s="22"/>
      <c r="AE19" s="35">
        <f>AD19+'22.03'!AE19</f>
        <v>13</v>
      </c>
      <c r="AF19" s="19">
        <f t="shared" si="1"/>
        <v>0</v>
      </c>
      <c r="AG19" s="20">
        <f t="shared" si="1"/>
        <v>4000</v>
      </c>
      <c r="AH19" s="24"/>
      <c r="AI19" s="35">
        <f>AH19+'22.03'!AI19</f>
        <v>600</v>
      </c>
      <c r="AJ19" s="24"/>
      <c r="AK19" s="35">
        <f>AJ19+'22.03'!AK19</f>
        <v>600</v>
      </c>
      <c r="AL19" s="22"/>
      <c r="AM19" s="35">
        <f>AL19+'22.03'!AM19</f>
        <v>1400</v>
      </c>
      <c r="AN19" s="22"/>
      <c r="AO19" s="35">
        <f>AN19+'22.03'!AO19</f>
        <v>1400</v>
      </c>
      <c r="AP19" s="28" t="s">
        <v>54</v>
      </c>
      <c r="AQ19" s="19">
        <f t="shared" ref="AQ19:AQ22" si="4">AS19+AU19+AW19+AY19+BA19</f>
        <v>0</v>
      </c>
      <c r="AR19" s="20">
        <f t="shared" si="2"/>
        <v>0</v>
      </c>
      <c r="AS19" s="34"/>
      <c r="AT19" s="35">
        <f>AS19+'22.03'!AT19</f>
        <v>0</v>
      </c>
      <c r="AU19" s="34"/>
      <c r="AV19" s="35">
        <f>AU19+'22.03'!AV19</f>
        <v>0</v>
      </c>
      <c r="AW19" s="34"/>
      <c r="AX19" s="35">
        <f>AW19+'22.03'!AX19</f>
        <v>0</v>
      </c>
      <c r="AY19" s="34"/>
      <c r="AZ19" s="35">
        <f>AY19+'22.03'!AZ19</f>
        <v>0</v>
      </c>
      <c r="BA19" s="34"/>
      <c r="BB19" s="35">
        <f>BA19+'22.03'!BB19</f>
        <v>0</v>
      </c>
      <c r="BC19" s="19">
        <f t="shared" si="3"/>
        <v>0</v>
      </c>
      <c r="BD19" s="20">
        <f t="shared" si="3"/>
        <v>0</v>
      </c>
      <c r="BE19" s="22"/>
      <c r="BF19" s="35">
        <f>BE19+'22.03'!BF19</f>
        <v>0</v>
      </c>
      <c r="BG19" s="34"/>
      <c r="BH19" s="35">
        <f>BG19+'22.03'!BH19</f>
        <v>0</v>
      </c>
      <c r="BI19" s="22"/>
      <c r="BJ19" s="35">
        <f>BI19+'22.03'!BJ19</f>
        <v>0</v>
      </c>
      <c r="BK19" s="22"/>
      <c r="BL19" s="35">
        <f>BK19+'22.03'!BL19</f>
        <v>0</v>
      </c>
      <c r="BM19" s="22"/>
      <c r="BN19" s="35">
        <f>BM19+'22.03'!BN19</f>
        <v>0</v>
      </c>
      <c r="BO19" s="36">
        <v>2898</v>
      </c>
      <c r="BP19" s="37"/>
      <c r="BQ19" s="35">
        <f>BP19+'22.03'!BQ19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204</v>
      </c>
      <c r="D20" s="31">
        <f t="shared" si="0"/>
        <v>725</v>
      </c>
      <c r="E20" s="32">
        <v>723</v>
      </c>
      <c r="F20" s="22">
        <v>127</v>
      </c>
      <c r="G20" s="23">
        <f>F20+'22.03'!G20</f>
        <v>458</v>
      </c>
      <c r="H20" s="33">
        <v>5</v>
      </c>
      <c r="I20" s="34">
        <v>0</v>
      </c>
      <c r="J20" s="23">
        <f>I20+'22.03'!J20</f>
        <v>1</v>
      </c>
      <c r="K20" s="33">
        <v>3</v>
      </c>
      <c r="L20" s="22">
        <v>0</v>
      </c>
      <c r="M20" s="23">
        <f>L20+'22.03'!M20</f>
        <v>0</v>
      </c>
      <c r="N20" s="33">
        <v>975</v>
      </c>
      <c r="O20" s="22">
        <v>0</v>
      </c>
      <c r="P20" s="23">
        <f>O20+'22.03'!P20</f>
        <v>80</v>
      </c>
      <c r="Q20" s="61">
        <v>1862</v>
      </c>
      <c r="R20" s="22">
        <v>38</v>
      </c>
      <c r="S20" s="23">
        <f>R20+'22.03'!S20</f>
        <v>42</v>
      </c>
      <c r="T20" s="33">
        <v>35</v>
      </c>
      <c r="U20" s="22"/>
      <c r="V20" s="23">
        <f>U20+'22.03'!V20</f>
        <v>7</v>
      </c>
      <c r="W20" s="33">
        <v>64</v>
      </c>
      <c r="X20" s="22">
        <v>22</v>
      </c>
      <c r="Y20" s="35">
        <f>X20+'22.03'!Y20</f>
        <v>50</v>
      </c>
      <c r="Z20" s="33">
        <v>15</v>
      </c>
      <c r="AA20" s="22"/>
      <c r="AB20" s="35">
        <f>AA20+'22.03'!AB20</f>
        <v>2</v>
      </c>
      <c r="AC20" s="33">
        <v>1546</v>
      </c>
      <c r="AD20" s="22">
        <v>17</v>
      </c>
      <c r="AE20" s="35">
        <f>AD20+'22.03'!AE20</f>
        <v>85</v>
      </c>
      <c r="AF20" s="19">
        <f t="shared" si="1"/>
        <v>8085</v>
      </c>
      <c r="AG20" s="20">
        <f t="shared" si="1"/>
        <v>26723</v>
      </c>
      <c r="AH20" s="24">
        <v>3085</v>
      </c>
      <c r="AI20" s="35">
        <f>AH20+'22.03'!AI20</f>
        <v>12060</v>
      </c>
      <c r="AJ20" s="24">
        <v>5000</v>
      </c>
      <c r="AK20" s="35">
        <f>AJ20+'22.03'!AK20</f>
        <v>13563</v>
      </c>
      <c r="AL20" s="22">
        <v>0</v>
      </c>
      <c r="AM20" s="35">
        <f>AL20+'22.03'!AM20</f>
        <v>450</v>
      </c>
      <c r="AN20" s="22">
        <v>0</v>
      </c>
      <c r="AO20" s="35">
        <f>AN20+'22.03'!AO20</f>
        <v>650</v>
      </c>
      <c r="AP20" s="28" t="s">
        <v>55</v>
      </c>
      <c r="AQ20" s="19">
        <f t="shared" si="4"/>
        <v>157</v>
      </c>
      <c r="AR20" s="20">
        <f t="shared" si="2"/>
        <v>476</v>
      </c>
      <c r="AS20" s="34">
        <v>1</v>
      </c>
      <c r="AT20" s="35">
        <f>AS20+'22.03'!AT20</f>
        <v>3</v>
      </c>
      <c r="AU20" s="34">
        <v>1</v>
      </c>
      <c r="AV20" s="35">
        <f>AU20+'22.03'!AV20</f>
        <v>2</v>
      </c>
      <c r="AW20" s="34"/>
      <c r="AX20" s="35">
        <f>AW20+'22.03'!AX20</f>
        <v>1</v>
      </c>
      <c r="AY20" s="34"/>
      <c r="AZ20" s="35">
        <f>AY20+'22.03'!AZ20</f>
        <v>0</v>
      </c>
      <c r="BA20" s="34">
        <v>155</v>
      </c>
      <c r="BB20" s="35">
        <f>BA20+'22.03'!BB20</f>
        <v>470</v>
      </c>
      <c r="BC20" s="19">
        <f t="shared" si="3"/>
        <v>8154</v>
      </c>
      <c r="BD20" s="20">
        <f t="shared" si="3"/>
        <v>17698</v>
      </c>
      <c r="BE20" s="22">
        <v>154</v>
      </c>
      <c r="BF20" s="35">
        <f>BE20+'22.03'!BF20</f>
        <v>158</v>
      </c>
      <c r="BG20" s="34">
        <v>0</v>
      </c>
      <c r="BH20" s="35">
        <f>BG20+'22.03'!BH20</f>
        <v>0</v>
      </c>
      <c r="BI20" s="22">
        <v>8000</v>
      </c>
      <c r="BJ20" s="35">
        <f>BI20+'22.03'!BJ20</f>
        <v>16250</v>
      </c>
      <c r="BK20" s="22">
        <v>0</v>
      </c>
      <c r="BL20" s="35">
        <f>BK20+'22.03'!BL20</f>
        <v>1290</v>
      </c>
      <c r="BM20" s="22">
        <v>0</v>
      </c>
      <c r="BN20" s="35">
        <f>BM20+'22.03'!BN20</f>
        <v>0</v>
      </c>
      <c r="BO20" s="36">
        <v>5854</v>
      </c>
      <c r="BP20" s="37">
        <v>0</v>
      </c>
      <c r="BQ20" s="35">
        <f>BP20+'22.03'!BQ20</f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308</v>
      </c>
      <c r="D21" s="31">
        <f t="shared" si="0"/>
        <v>820</v>
      </c>
      <c r="E21" s="32">
        <v>1017</v>
      </c>
      <c r="F21" s="22">
        <v>255</v>
      </c>
      <c r="G21" s="23">
        <f>F21+'22.03'!G21</f>
        <v>705</v>
      </c>
      <c r="H21" s="33">
        <v>8</v>
      </c>
      <c r="I21" s="34">
        <v>2</v>
      </c>
      <c r="J21" s="23">
        <f>I21+'22.03'!J21</f>
        <v>7</v>
      </c>
      <c r="K21" s="33">
        <v>4</v>
      </c>
      <c r="L21" s="22">
        <v>0</v>
      </c>
      <c r="M21" s="23">
        <f>L21+'22.03'!M21</f>
        <v>0</v>
      </c>
      <c r="N21" s="33">
        <v>963</v>
      </c>
      <c r="O21" s="22">
        <v>0</v>
      </c>
      <c r="P21" s="23">
        <f>O21+'22.03'!P21</f>
        <v>0</v>
      </c>
      <c r="Q21" s="33">
        <v>912</v>
      </c>
      <c r="R21" s="22">
        <v>0</v>
      </c>
      <c r="S21" s="23">
        <f>R21+'22.03'!S21</f>
        <v>0</v>
      </c>
      <c r="T21" s="33">
        <v>199</v>
      </c>
      <c r="U21" s="22">
        <v>0</v>
      </c>
      <c r="V21" s="23">
        <f>U21+'22.03'!V21</f>
        <v>0</v>
      </c>
      <c r="W21" s="33">
        <v>101</v>
      </c>
      <c r="X21" s="22">
        <v>50</v>
      </c>
      <c r="Y21" s="35">
        <f>X21+'22.03'!Y21</f>
        <v>106</v>
      </c>
      <c r="Z21" s="33">
        <v>42</v>
      </c>
      <c r="AA21" s="22">
        <v>1</v>
      </c>
      <c r="AB21" s="35">
        <f>AA21+'22.03'!AB21</f>
        <v>1</v>
      </c>
      <c r="AC21" s="33">
        <v>20</v>
      </c>
      <c r="AD21" s="22">
        <v>0</v>
      </c>
      <c r="AE21" s="35">
        <f>AD21+'22.03'!AE21</f>
        <v>1</v>
      </c>
      <c r="AF21" s="19">
        <f t="shared" si="1"/>
        <v>152891</v>
      </c>
      <c r="AG21" s="20">
        <f t="shared" si="1"/>
        <v>539542</v>
      </c>
      <c r="AH21" s="24">
        <v>250</v>
      </c>
      <c r="AI21" s="35">
        <f>AH21+'22.03'!AI21</f>
        <v>2250</v>
      </c>
      <c r="AJ21" s="24">
        <v>1641</v>
      </c>
      <c r="AK21" s="35">
        <f>AJ21+'22.03'!AK21</f>
        <v>61292</v>
      </c>
      <c r="AL21" s="22">
        <v>7000</v>
      </c>
      <c r="AM21" s="35">
        <f>AL21+'22.03'!AM21</f>
        <v>22000</v>
      </c>
      <c r="AN21" s="22">
        <v>144000</v>
      </c>
      <c r="AO21" s="35">
        <f>AN21+'22.03'!AO21</f>
        <v>454000</v>
      </c>
      <c r="AP21" s="28" t="s">
        <v>58</v>
      </c>
      <c r="AQ21" s="19">
        <f t="shared" si="4"/>
        <v>33</v>
      </c>
      <c r="AR21" s="20">
        <f t="shared" si="2"/>
        <v>72</v>
      </c>
      <c r="AS21" s="34">
        <v>0</v>
      </c>
      <c r="AT21" s="35">
        <f>AS21+'22.03'!AT21</f>
        <v>1</v>
      </c>
      <c r="AU21" s="34">
        <v>2</v>
      </c>
      <c r="AV21" s="35">
        <f>AU21+'22.03'!AV21</f>
        <v>8</v>
      </c>
      <c r="AW21" s="34">
        <v>0</v>
      </c>
      <c r="AX21" s="35">
        <f>AW21+'22.03'!AX21</f>
        <v>1</v>
      </c>
      <c r="AY21" s="34">
        <v>0</v>
      </c>
      <c r="AZ21" s="35">
        <f>AY21+'22.03'!AZ21</f>
        <v>0</v>
      </c>
      <c r="BA21" s="34">
        <v>31</v>
      </c>
      <c r="BB21" s="35">
        <f>BA21+'22.03'!BB21</f>
        <v>62</v>
      </c>
      <c r="BC21" s="19">
        <f t="shared" si="3"/>
        <v>2730</v>
      </c>
      <c r="BD21" s="20">
        <f t="shared" si="3"/>
        <v>4610</v>
      </c>
      <c r="BE21" s="22">
        <v>1015</v>
      </c>
      <c r="BF21" s="35">
        <f>BE21+'22.03'!BF21</f>
        <v>1139</v>
      </c>
      <c r="BG21" s="34">
        <v>15</v>
      </c>
      <c r="BH21" s="35">
        <f>BG21+'22.03'!BH21</f>
        <v>15</v>
      </c>
      <c r="BI21" s="22">
        <v>1700</v>
      </c>
      <c r="BJ21" s="35">
        <f>BI21+'22.03'!BJ21</f>
        <v>3355</v>
      </c>
      <c r="BK21" s="22">
        <v>0</v>
      </c>
      <c r="BL21" s="35">
        <f>BK21+'22.03'!BL21</f>
        <v>100</v>
      </c>
      <c r="BM21" s="22">
        <v>0</v>
      </c>
      <c r="BN21" s="35">
        <f>BM21+'22.03'!BN21</f>
        <v>1</v>
      </c>
      <c r="BO21" s="36">
        <v>68</v>
      </c>
      <c r="BP21" s="37">
        <v>2</v>
      </c>
      <c r="BQ21" s="35">
        <f>BP21+'22.03'!BQ21</f>
        <v>2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7</v>
      </c>
      <c r="D22" s="31">
        <f t="shared" si="0"/>
        <v>2178</v>
      </c>
      <c r="E22" s="32">
        <v>509</v>
      </c>
      <c r="F22" s="22">
        <v>3</v>
      </c>
      <c r="G22" s="23">
        <f>F22+'22.03'!G22</f>
        <v>425</v>
      </c>
      <c r="H22" s="33">
        <v>8</v>
      </c>
      <c r="I22" s="34">
        <v>0</v>
      </c>
      <c r="J22" s="23">
        <f>I22+'22.03'!J22</f>
        <v>249</v>
      </c>
      <c r="K22" s="33">
        <v>21</v>
      </c>
      <c r="L22" s="22">
        <v>0</v>
      </c>
      <c r="M22" s="23">
        <f>L22+'22.03'!M22</f>
        <v>0</v>
      </c>
      <c r="N22" s="33">
        <v>560</v>
      </c>
      <c r="O22" s="22">
        <v>0</v>
      </c>
      <c r="P22" s="23">
        <f>O22+'22.03'!P22</f>
        <v>0</v>
      </c>
      <c r="Q22" s="33">
        <v>375</v>
      </c>
      <c r="R22" s="22">
        <v>0</v>
      </c>
      <c r="S22" s="23">
        <f>R22+'22.03'!S22</f>
        <v>0</v>
      </c>
      <c r="T22" s="33">
        <v>165</v>
      </c>
      <c r="U22" s="22">
        <v>1</v>
      </c>
      <c r="V22" s="23">
        <f>U22+'22.03'!V22</f>
        <v>48</v>
      </c>
      <c r="W22" s="33">
        <v>28</v>
      </c>
      <c r="X22" s="22">
        <v>2</v>
      </c>
      <c r="Y22" s="35">
        <f>X22+'22.03'!Y22</f>
        <v>146</v>
      </c>
      <c r="Z22" s="33">
        <v>9</v>
      </c>
      <c r="AA22" s="22">
        <v>0</v>
      </c>
      <c r="AB22" s="35">
        <f>AA22+'22.03'!AB22</f>
        <v>2</v>
      </c>
      <c r="AC22" s="33">
        <v>112</v>
      </c>
      <c r="AD22" s="22">
        <v>1</v>
      </c>
      <c r="AE22" s="35">
        <f>AD22+'22.03'!AE22</f>
        <v>1308</v>
      </c>
      <c r="AF22" s="19">
        <f t="shared" si="1"/>
        <v>684450</v>
      </c>
      <c r="AG22" s="20">
        <f t="shared" si="1"/>
        <v>1689298</v>
      </c>
      <c r="AH22" s="24">
        <v>30</v>
      </c>
      <c r="AI22" s="35">
        <f>AH22+'22.03'!AI22</f>
        <v>899</v>
      </c>
      <c r="AJ22" s="24">
        <v>420</v>
      </c>
      <c r="AK22" s="35">
        <f>AJ22+'22.03'!AK22</f>
        <v>10458</v>
      </c>
      <c r="AL22" s="22">
        <v>14000</v>
      </c>
      <c r="AM22" s="35">
        <f>AL22+'22.03'!AM22</f>
        <v>19812</v>
      </c>
      <c r="AN22" s="22">
        <v>670000</v>
      </c>
      <c r="AO22" s="35">
        <f>AN22+'22.03'!AO22</f>
        <v>1658129</v>
      </c>
      <c r="AP22" s="28" t="s">
        <v>59</v>
      </c>
      <c r="AQ22" s="19">
        <f t="shared" si="4"/>
        <v>17</v>
      </c>
      <c r="AR22" s="20">
        <f t="shared" si="2"/>
        <v>654</v>
      </c>
      <c r="AS22" s="34">
        <v>1</v>
      </c>
      <c r="AT22" s="35">
        <f>AS22+'22.03'!AT22</f>
        <v>1</v>
      </c>
      <c r="AU22" s="34">
        <v>1</v>
      </c>
      <c r="AV22" s="35">
        <f>AU22+'22.03'!AV22</f>
        <v>1</v>
      </c>
      <c r="AW22" s="34">
        <v>0</v>
      </c>
      <c r="AX22" s="35">
        <f>AW22+'22.03'!AX22</f>
        <v>0</v>
      </c>
      <c r="AY22" s="34">
        <v>0</v>
      </c>
      <c r="AZ22" s="35">
        <f>AY22+'22.03'!AZ22</f>
        <v>0</v>
      </c>
      <c r="BA22" s="34">
        <v>15</v>
      </c>
      <c r="BB22" s="35">
        <f>BA22+'22.03'!BB22</f>
        <v>652</v>
      </c>
      <c r="BC22" s="19">
        <f t="shared" si="3"/>
        <v>461</v>
      </c>
      <c r="BD22" s="20">
        <f t="shared" si="3"/>
        <v>9580</v>
      </c>
      <c r="BE22" s="22">
        <v>1</v>
      </c>
      <c r="BF22" s="35">
        <f>BE22+'22.03'!BF22</f>
        <v>32</v>
      </c>
      <c r="BG22" s="34">
        <v>450</v>
      </c>
      <c r="BH22" s="35">
        <f>BG22+'22.03'!BH22</f>
        <v>577</v>
      </c>
      <c r="BI22" s="22">
        <v>10</v>
      </c>
      <c r="BJ22" s="35">
        <f>BI22+'22.03'!BJ22</f>
        <v>8913</v>
      </c>
      <c r="BK22" s="22">
        <v>0</v>
      </c>
      <c r="BL22" s="35">
        <f>BK22+'22.03'!BL22</f>
        <v>58</v>
      </c>
      <c r="BM22" s="22">
        <v>0</v>
      </c>
      <c r="BN22" s="35">
        <f>BM22+'22.03'!BN22</f>
        <v>0</v>
      </c>
      <c r="BO22" s="36">
        <v>26</v>
      </c>
      <c r="BP22" s="37">
        <v>1</v>
      </c>
      <c r="BQ22" s="35">
        <f>BP22+'22.03'!BQ22</f>
        <v>229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2340</v>
      </c>
      <c r="D23" s="65">
        <f t="shared" si="0"/>
        <v>9071</v>
      </c>
      <c r="E23" s="66">
        <f>+E18+E19+E22+E17+E16+E15+E14+E13+E12+E11+E10+E9+E8</f>
        <v>7282</v>
      </c>
      <c r="F23" s="67">
        <f>SUM(F8:F22)</f>
        <v>1397</v>
      </c>
      <c r="G23" s="68">
        <f>SUM(G8:G22)</f>
        <v>4634</v>
      </c>
      <c r="H23" s="66">
        <f>+H18+H19+H22+H17+H16+H15+H14+H13+H12+H11+H10+H9+H8</f>
        <v>271</v>
      </c>
      <c r="I23" s="67">
        <f>SUM(I8:I22)</f>
        <v>6</v>
      </c>
      <c r="J23" s="68">
        <f>SUM(J8:J22)</f>
        <v>266</v>
      </c>
      <c r="K23" s="66">
        <f>+K18+K19+K22+K17+K16+K15+K14+K13+K12+K11+K10+K9+K8</f>
        <v>163</v>
      </c>
      <c r="L23" s="67">
        <f>SUM(L8:L22)</f>
        <v>0</v>
      </c>
      <c r="M23" s="68">
        <f>SUM(M8:M22)</f>
        <v>0</v>
      </c>
      <c r="N23" s="66">
        <f>+N18+N19+N22+N17+N16+N15+N14+N13+N12+N11+N10+N9+N8</f>
        <v>8607</v>
      </c>
      <c r="O23" s="67">
        <f>SUM(O8:O22)</f>
        <v>47</v>
      </c>
      <c r="P23" s="68">
        <f>SUM(P8:P22)</f>
        <v>150</v>
      </c>
      <c r="Q23" s="66">
        <f>+Q18+Q19+Q22+Q17+Q16+Q15+Q14+Q13+Q12+Q11+Q10+Q9+Q8</f>
        <v>7474</v>
      </c>
      <c r="R23" s="67">
        <f>SUM(R8:R22)</f>
        <v>38</v>
      </c>
      <c r="S23" s="68">
        <f>SUM(S8:S22)</f>
        <v>42</v>
      </c>
      <c r="T23" s="66">
        <f>+T18+T19+T22+T17+T16+T15+T14+T13+T12+T11+T10+T9+T8</f>
        <v>4115</v>
      </c>
      <c r="U23" s="67">
        <f>SUM(U8:U22)</f>
        <v>7</v>
      </c>
      <c r="V23" s="68">
        <f>SUM(V8:V22)</f>
        <v>61</v>
      </c>
      <c r="W23" s="66">
        <f>+W18+W19+W22+W17+W16+W15+W14+W13+W12+W11+W10+W9+W8</f>
        <v>604</v>
      </c>
      <c r="X23" s="67">
        <f>SUM(X8:X22)</f>
        <v>520</v>
      </c>
      <c r="Y23" s="68">
        <f>SUM(Y8:Y22)</f>
        <v>1650</v>
      </c>
      <c r="Z23" s="66">
        <f>+Z18+Z19+Z22+Z17+Z16+Z15+Z14+Z13+Z12+Z11+Z10+Z9+Z8</f>
        <v>1629</v>
      </c>
      <c r="AA23" s="67">
        <f>SUM(AA8:AA22)</f>
        <v>2</v>
      </c>
      <c r="AB23" s="68">
        <f>SUM(AB8:AB22)</f>
        <v>6</v>
      </c>
      <c r="AC23" s="66">
        <f>+AC18+AC19+AC22+AC17+AC16+AC15+AC14+AC13+AC12+AC11+AC10+AC9+AC8</f>
        <v>64846</v>
      </c>
      <c r="AD23" s="67">
        <f t="shared" ref="AD23:AO23" si="5">SUM(AD8:AD22)</f>
        <v>323</v>
      </c>
      <c r="AE23" s="68">
        <f t="shared" si="5"/>
        <v>2262</v>
      </c>
      <c r="AF23" s="64">
        <f t="shared" si="5"/>
        <v>2983565</v>
      </c>
      <c r="AG23" s="64">
        <f t="shared" si="5"/>
        <v>10520796</v>
      </c>
      <c r="AH23" s="67">
        <f t="shared" si="5"/>
        <v>30873</v>
      </c>
      <c r="AI23" s="68">
        <f t="shared" si="5"/>
        <v>99605</v>
      </c>
      <c r="AJ23" s="67">
        <f t="shared" si="5"/>
        <v>68846</v>
      </c>
      <c r="AK23" s="68">
        <f t="shared" si="5"/>
        <v>261917</v>
      </c>
      <c r="AL23" s="67">
        <f t="shared" si="5"/>
        <v>626120</v>
      </c>
      <c r="AM23" s="68">
        <f t="shared" si="5"/>
        <v>2221666</v>
      </c>
      <c r="AN23" s="67">
        <f t="shared" si="5"/>
        <v>2257726</v>
      </c>
      <c r="AO23" s="68">
        <f t="shared" si="5"/>
        <v>7937608</v>
      </c>
      <c r="AP23" s="62" t="s">
        <v>12</v>
      </c>
      <c r="AQ23" s="64">
        <f t="shared" ref="AQ23:BQ23" si="6">SUM(AQ8:AQ22)</f>
        <v>367</v>
      </c>
      <c r="AR23" s="64">
        <f t="shared" si="6"/>
        <v>1829</v>
      </c>
      <c r="AS23" s="67">
        <f t="shared" si="6"/>
        <v>8</v>
      </c>
      <c r="AT23" s="68">
        <f t="shared" si="6"/>
        <v>17</v>
      </c>
      <c r="AU23" s="67">
        <f t="shared" si="6"/>
        <v>10</v>
      </c>
      <c r="AV23" s="68">
        <f t="shared" si="6"/>
        <v>20</v>
      </c>
      <c r="AW23" s="67">
        <f t="shared" si="6"/>
        <v>0</v>
      </c>
      <c r="AX23" s="68">
        <f t="shared" si="6"/>
        <v>3</v>
      </c>
      <c r="AY23" s="67">
        <f t="shared" si="6"/>
        <v>0</v>
      </c>
      <c r="AZ23" s="68">
        <f t="shared" si="6"/>
        <v>0</v>
      </c>
      <c r="BA23" s="67">
        <f t="shared" si="6"/>
        <v>349</v>
      </c>
      <c r="BB23" s="68">
        <f t="shared" si="6"/>
        <v>1789</v>
      </c>
      <c r="BC23" s="64">
        <f t="shared" si="6"/>
        <v>35281</v>
      </c>
      <c r="BD23" s="64">
        <f t="shared" si="6"/>
        <v>125112</v>
      </c>
      <c r="BE23" s="67">
        <f t="shared" si="6"/>
        <v>2206</v>
      </c>
      <c r="BF23" s="68">
        <f t="shared" si="6"/>
        <v>3987</v>
      </c>
      <c r="BG23" s="67">
        <f t="shared" si="6"/>
        <v>501</v>
      </c>
      <c r="BH23" s="68">
        <f t="shared" si="6"/>
        <v>5000</v>
      </c>
      <c r="BI23" s="67">
        <f t="shared" si="6"/>
        <v>30448</v>
      </c>
      <c r="BJ23" s="68">
        <f t="shared" si="6"/>
        <v>103720</v>
      </c>
      <c r="BK23" s="67">
        <f t="shared" si="6"/>
        <v>2118</v>
      </c>
      <c r="BL23" s="68">
        <f t="shared" si="6"/>
        <v>12396</v>
      </c>
      <c r="BM23" s="67">
        <f t="shared" si="6"/>
        <v>8</v>
      </c>
      <c r="BN23" s="68">
        <f t="shared" si="6"/>
        <v>9</v>
      </c>
      <c r="BO23" s="69">
        <f t="shared" si="6"/>
        <v>37684</v>
      </c>
      <c r="BP23" s="70">
        <f t="shared" si="6"/>
        <v>28</v>
      </c>
      <c r="BQ23" s="71">
        <f t="shared" si="6"/>
        <v>296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U23"/>
  <sheetViews>
    <sheetView topLeftCell="AX1" zoomScale="70" zoomScaleNormal="70" workbookViewId="0">
      <pane ySplit="1" topLeftCell="A2" activePane="bottomLeft" state="frozen"/>
      <selection pane="bottomLef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0.85546875" customWidth="1"/>
    <col min="39" max="39" width="12.140625" customWidth="1"/>
    <col min="40" max="41" width="12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32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0</v>
      </c>
      <c r="D9" s="31">
        <f t="shared" si="0"/>
        <v>7</v>
      </c>
      <c r="E9" s="32">
        <v>452</v>
      </c>
      <c r="F9" s="22"/>
      <c r="G9" s="23">
        <f>F9+'23.03'!G9</f>
        <v>3</v>
      </c>
      <c r="H9" s="33">
        <v>12</v>
      </c>
      <c r="I9" s="34">
        <v>0</v>
      </c>
      <c r="J9" s="23">
        <f>I9+'23.03'!J9</f>
        <v>1</v>
      </c>
      <c r="K9" s="33">
        <v>2</v>
      </c>
      <c r="L9" s="22">
        <v>0</v>
      </c>
      <c r="M9" s="23">
        <f>L9+'23.03'!M9</f>
        <v>0</v>
      </c>
      <c r="N9" s="33">
        <v>735</v>
      </c>
      <c r="O9" s="22">
        <v>0</v>
      </c>
      <c r="P9" s="23">
        <f>O9+'23.03'!P9</f>
        <v>1</v>
      </c>
      <c r="Q9" s="33">
        <v>502</v>
      </c>
      <c r="R9" s="22">
        <v>0</v>
      </c>
      <c r="S9" s="23">
        <f>R9+'23.03'!S9</f>
        <v>0</v>
      </c>
      <c r="T9" s="33">
        <v>197</v>
      </c>
      <c r="U9" s="22">
        <v>0</v>
      </c>
      <c r="V9" s="23">
        <f>U9+'23.03'!V9</f>
        <v>0</v>
      </c>
      <c r="W9" s="33">
        <v>47</v>
      </c>
      <c r="X9" s="22"/>
      <c r="Y9" s="35">
        <f>X9+'23.03'!Y9</f>
        <v>2</v>
      </c>
      <c r="Z9" s="33">
        <v>34</v>
      </c>
      <c r="AA9" s="22">
        <v>0</v>
      </c>
      <c r="AB9" s="35">
        <f>AA9+'23.03'!AB9</f>
        <v>0</v>
      </c>
      <c r="AC9" s="33">
        <v>1860</v>
      </c>
      <c r="AD9" s="22"/>
      <c r="AE9" s="35">
        <f>AD9+'23.03'!AE9</f>
        <v>0</v>
      </c>
      <c r="AF9" s="19">
        <f t="shared" ref="AF9:AG22" si="1">AH9+AJ9+AL9+AN9</f>
        <v>0</v>
      </c>
      <c r="AG9" s="20">
        <f>AI9+AK9+AM9+AO9</f>
        <v>10938</v>
      </c>
      <c r="AH9" s="24"/>
      <c r="AI9" s="35">
        <f>AH9+'23.03'!AI9</f>
        <v>140</v>
      </c>
      <c r="AJ9" s="24"/>
      <c r="AK9" s="35">
        <f>AJ9+'23.03'!AK9</f>
        <v>703</v>
      </c>
      <c r="AL9" s="22"/>
      <c r="AM9" s="35">
        <f>AL9+'23.03'!AM9</f>
        <v>2090</v>
      </c>
      <c r="AN9" s="22"/>
      <c r="AO9" s="35">
        <f>AN9+'23.03'!AO9</f>
        <v>8005</v>
      </c>
      <c r="AP9" s="28" t="s">
        <v>43</v>
      </c>
      <c r="AQ9" s="19">
        <f t="shared" ref="AQ9:AR22" si="2">AS9+AU9+AW9+AY9+BA9</f>
        <v>0</v>
      </c>
      <c r="AR9" s="20">
        <f t="shared" si="2"/>
        <v>98</v>
      </c>
      <c r="AS9" s="34">
        <v>0</v>
      </c>
      <c r="AT9" s="35">
        <f>AS9+'23.03'!AT9</f>
        <v>1</v>
      </c>
      <c r="AU9" s="34">
        <v>0</v>
      </c>
      <c r="AV9" s="35">
        <f>AU9+'23.03'!AV9</f>
        <v>0</v>
      </c>
      <c r="AW9" s="34">
        <v>0</v>
      </c>
      <c r="AX9" s="35">
        <f>AW9+'23.03'!AX9</f>
        <v>0</v>
      </c>
      <c r="AY9" s="34">
        <v>0</v>
      </c>
      <c r="AZ9" s="35">
        <f>AY9+'23.03'!AZ9</f>
        <v>0</v>
      </c>
      <c r="BA9" s="34">
        <v>0</v>
      </c>
      <c r="BB9" s="35">
        <f>BA9+'23.03'!BB9</f>
        <v>97</v>
      </c>
      <c r="BC9" s="19">
        <f t="shared" ref="BC9:BD22" si="3">BE9+BG9+BI9+BK9+BM9</f>
        <v>0</v>
      </c>
      <c r="BD9" s="20">
        <f t="shared" si="3"/>
        <v>1301</v>
      </c>
      <c r="BE9" s="22"/>
      <c r="BF9" s="35">
        <f>BE9+'23.03'!BF9</f>
        <v>1</v>
      </c>
      <c r="BG9" s="34"/>
      <c r="BH9" s="35">
        <f>BG9+'23.03'!BH9</f>
        <v>0</v>
      </c>
      <c r="BI9" s="22"/>
      <c r="BJ9" s="35">
        <f>BI9+'23.03'!BJ9</f>
        <v>1300</v>
      </c>
      <c r="BK9" s="22"/>
      <c r="BL9" s="35">
        <f>BK9+'23.03'!BL9</f>
        <v>0</v>
      </c>
      <c r="BM9" s="22">
        <v>0</v>
      </c>
      <c r="BN9" s="35">
        <f>BM9+'23.03'!BN9</f>
        <v>0</v>
      </c>
      <c r="BO9" s="36">
        <v>14</v>
      </c>
      <c r="BP9" s="37">
        <v>0</v>
      </c>
      <c r="BQ9" s="35">
        <f>BP9+'23.03'!BQ9</f>
        <v>1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35</v>
      </c>
      <c r="D10" s="31">
        <f t="shared" si="0"/>
        <v>187</v>
      </c>
      <c r="E10" s="32">
        <v>585</v>
      </c>
      <c r="F10" s="22">
        <v>15</v>
      </c>
      <c r="G10" s="23">
        <f>F10+'23.03'!G10</f>
        <v>23</v>
      </c>
      <c r="H10" s="33">
        <v>93</v>
      </c>
      <c r="I10" s="34">
        <v>0</v>
      </c>
      <c r="J10" s="23">
        <f>I10+'23.03'!J10</f>
        <v>0</v>
      </c>
      <c r="K10" s="33">
        <v>34</v>
      </c>
      <c r="L10" s="22">
        <v>0</v>
      </c>
      <c r="M10" s="23">
        <f>L10+'23.03'!M10</f>
        <v>0</v>
      </c>
      <c r="N10" s="33">
        <v>352</v>
      </c>
      <c r="O10" s="22">
        <v>3</v>
      </c>
      <c r="P10" s="23">
        <f>O10+'23.03'!P10</f>
        <v>10</v>
      </c>
      <c r="Q10" s="33">
        <v>549</v>
      </c>
      <c r="R10" s="22">
        <v>7</v>
      </c>
      <c r="S10" s="23">
        <f>R10+'23.03'!S10</f>
        <v>7</v>
      </c>
      <c r="T10" s="33">
        <v>198</v>
      </c>
      <c r="U10" s="22">
        <v>2</v>
      </c>
      <c r="V10" s="23">
        <f>U10+'23.03'!V10</f>
        <v>8</v>
      </c>
      <c r="W10" s="38">
        <v>55</v>
      </c>
      <c r="X10" s="22">
        <v>4</v>
      </c>
      <c r="Y10" s="35">
        <f>X10+'23.03'!Y10</f>
        <v>19</v>
      </c>
      <c r="Z10" s="38">
        <v>71</v>
      </c>
      <c r="AA10" s="22">
        <v>4</v>
      </c>
      <c r="AB10" s="35">
        <f>AA10+'23.03'!AB10</f>
        <v>5</v>
      </c>
      <c r="AC10" s="38">
        <v>1690</v>
      </c>
      <c r="AD10" s="22">
        <v>0</v>
      </c>
      <c r="AE10" s="35">
        <f>AD10+'23.03'!AE10</f>
        <v>115</v>
      </c>
      <c r="AF10" s="19">
        <f t="shared" si="1"/>
        <v>236604</v>
      </c>
      <c r="AG10" s="20">
        <f t="shared" si="1"/>
        <v>370384</v>
      </c>
      <c r="AH10" s="24">
        <v>1060</v>
      </c>
      <c r="AI10" s="35">
        <f>AH10+'23.03'!AI10</f>
        <v>4755</v>
      </c>
      <c r="AJ10" s="24">
        <v>8498</v>
      </c>
      <c r="AK10" s="35">
        <f>AJ10+'23.03'!AK10</f>
        <v>20335</v>
      </c>
      <c r="AL10" s="22">
        <v>33165</v>
      </c>
      <c r="AM10" s="35">
        <f>AL10+'23.03'!AM10</f>
        <v>45837</v>
      </c>
      <c r="AN10" s="22">
        <v>193881</v>
      </c>
      <c r="AO10" s="35">
        <f>AN10+'23.03'!AO10</f>
        <v>299457</v>
      </c>
      <c r="AP10" s="28" t="s">
        <v>44</v>
      </c>
      <c r="AQ10" s="19">
        <f t="shared" si="2"/>
        <v>10</v>
      </c>
      <c r="AR10" s="20">
        <f t="shared" si="2"/>
        <v>15</v>
      </c>
      <c r="AS10" s="34"/>
      <c r="AT10" s="35">
        <f>AS10+'23.03'!AT10</f>
        <v>0</v>
      </c>
      <c r="AU10" s="34"/>
      <c r="AV10" s="35">
        <f>AU10+'23.03'!AV10</f>
        <v>0</v>
      </c>
      <c r="AW10" s="34"/>
      <c r="AX10" s="35">
        <f>AW10+'23.03'!AX10</f>
        <v>0</v>
      </c>
      <c r="AY10" s="34"/>
      <c r="AZ10" s="35">
        <f>AY10+'23.03'!AZ10</f>
        <v>0</v>
      </c>
      <c r="BA10" s="34">
        <v>10</v>
      </c>
      <c r="BB10" s="35">
        <f>BA10+'23.03'!BB10</f>
        <v>15</v>
      </c>
      <c r="BC10" s="19">
        <f t="shared" si="3"/>
        <v>11544</v>
      </c>
      <c r="BD10" s="20">
        <f t="shared" si="3"/>
        <v>17831</v>
      </c>
      <c r="BE10" s="22">
        <v>591</v>
      </c>
      <c r="BF10" s="35">
        <f>BE10+'23.03'!BF10</f>
        <v>1661</v>
      </c>
      <c r="BG10" s="34">
        <v>0</v>
      </c>
      <c r="BH10" s="35">
        <f>BG10+'23.03'!BH10</f>
        <v>0</v>
      </c>
      <c r="BI10" s="22">
        <v>6457</v>
      </c>
      <c r="BJ10" s="35">
        <f>BI10+'23.03'!BJ10</f>
        <v>10096</v>
      </c>
      <c r="BK10" s="22">
        <v>4496</v>
      </c>
      <c r="BL10" s="35">
        <f>BK10+'23.03'!BL10</f>
        <v>6074</v>
      </c>
      <c r="BM10" s="22">
        <v>0</v>
      </c>
      <c r="BN10" s="35">
        <f>BM10+'23.03'!BN10</f>
        <v>0</v>
      </c>
      <c r="BO10" s="36">
        <v>32</v>
      </c>
      <c r="BP10" s="37">
        <v>0</v>
      </c>
      <c r="BQ10" s="35">
        <f>BP10+'23.03'!BQ10</f>
        <v>12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164</v>
      </c>
      <c r="D11" s="31">
        <f t="shared" si="0"/>
        <v>691</v>
      </c>
      <c r="E11" s="32">
        <v>883</v>
      </c>
      <c r="F11" s="22">
        <v>79</v>
      </c>
      <c r="G11" s="23">
        <f>F11+'23.03'!G11</f>
        <v>312</v>
      </c>
      <c r="H11" s="33">
        <v>16</v>
      </c>
      <c r="I11" s="34">
        <v>0</v>
      </c>
      <c r="J11" s="23">
        <f>I11+'23.03'!J11</f>
        <v>0</v>
      </c>
      <c r="K11" s="33">
        <v>3</v>
      </c>
      <c r="L11" s="22">
        <v>0</v>
      </c>
      <c r="M11" s="23">
        <f>L11+'23.03'!M11</f>
        <v>0</v>
      </c>
      <c r="N11" s="33">
        <v>875</v>
      </c>
      <c r="O11" s="22">
        <v>0</v>
      </c>
      <c r="P11" s="23">
        <f>O11+'23.03'!P11</f>
        <v>0</v>
      </c>
      <c r="Q11" s="33">
        <v>2424</v>
      </c>
      <c r="R11" s="22">
        <v>0</v>
      </c>
      <c r="S11" s="23">
        <f>R11+'23.03'!S11</f>
        <v>0</v>
      </c>
      <c r="T11" s="33">
        <v>69</v>
      </c>
      <c r="U11" s="22">
        <v>0</v>
      </c>
      <c r="V11" s="23">
        <f>U11+'23.03'!V11</f>
        <v>0</v>
      </c>
      <c r="W11" s="38">
        <v>133</v>
      </c>
      <c r="X11" s="22">
        <v>74</v>
      </c>
      <c r="Y11" s="35">
        <f>X11+'23.03'!Y11</f>
        <v>324</v>
      </c>
      <c r="Z11" s="38">
        <v>1116</v>
      </c>
      <c r="AA11" s="22">
        <v>0</v>
      </c>
      <c r="AB11" s="35">
        <f>AA11+'23.03'!AB11</f>
        <v>0</v>
      </c>
      <c r="AC11" s="38">
        <v>9862</v>
      </c>
      <c r="AD11" s="22">
        <v>11</v>
      </c>
      <c r="AE11" s="35">
        <f>AD11+'23.03'!AE11</f>
        <v>55</v>
      </c>
      <c r="AF11" s="19">
        <f t="shared" si="1"/>
        <v>150500</v>
      </c>
      <c r="AG11" s="20">
        <f t="shared" si="1"/>
        <v>643950</v>
      </c>
      <c r="AH11" s="24">
        <v>6000</v>
      </c>
      <c r="AI11" s="35">
        <f>AH11+'23.03'!AI11</f>
        <v>24800</v>
      </c>
      <c r="AJ11" s="24">
        <v>12500</v>
      </c>
      <c r="AK11" s="35">
        <f>AJ11+'23.03'!AK11</f>
        <v>44150</v>
      </c>
      <c r="AL11" s="22">
        <v>22000</v>
      </c>
      <c r="AM11" s="35">
        <f>AL11+'23.03'!AM11</f>
        <v>165000</v>
      </c>
      <c r="AN11" s="22">
        <v>110000</v>
      </c>
      <c r="AO11" s="35">
        <f>AN11+'23.03'!AO11</f>
        <v>410000</v>
      </c>
      <c r="AP11" s="28" t="s">
        <v>45</v>
      </c>
      <c r="AQ11" s="19">
        <f t="shared" si="2"/>
        <v>6</v>
      </c>
      <c r="AR11" s="20">
        <f t="shared" si="2"/>
        <v>34</v>
      </c>
      <c r="AS11" s="34">
        <v>0</v>
      </c>
      <c r="AT11" s="35">
        <f>AS11+'23.03'!AT11</f>
        <v>0</v>
      </c>
      <c r="AU11" s="34">
        <v>0</v>
      </c>
      <c r="AV11" s="35">
        <f>AU11+'23.03'!AV11</f>
        <v>0</v>
      </c>
      <c r="AW11" s="34">
        <v>0</v>
      </c>
      <c r="AX11" s="35">
        <f>AW11+'23.03'!AX11</f>
        <v>0</v>
      </c>
      <c r="AY11" s="34">
        <v>0</v>
      </c>
      <c r="AZ11" s="35">
        <f>AY11+'23.03'!AZ11</f>
        <v>0</v>
      </c>
      <c r="BA11" s="34">
        <v>6</v>
      </c>
      <c r="BB11" s="35">
        <f>BA11+'23.03'!BB11</f>
        <v>34</v>
      </c>
      <c r="BC11" s="19">
        <f t="shared" si="3"/>
        <v>4733</v>
      </c>
      <c r="BD11" s="20">
        <f t="shared" si="3"/>
        <v>19893</v>
      </c>
      <c r="BE11" s="22">
        <v>9</v>
      </c>
      <c r="BF11" s="35">
        <f>BE11+'23.03'!BF11</f>
        <v>55</v>
      </c>
      <c r="BG11" s="34">
        <v>4</v>
      </c>
      <c r="BH11" s="35">
        <f>BG11+'23.03'!BH11</f>
        <v>3618</v>
      </c>
      <c r="BI11" s="22">
        <v>4600</v>
      </c>
      <c r="BJ11" s="35">
        <f>BI11+'23.03'!BJ11</f>
        <v>15785</v>
      </c>
      <c r="BK11" s="22">
        <v>120</v>
      </c>
      <c r="BL11" s="35">
        <f>BK11+'23.03'!BL11</f>
        <v>435</v>
      </c>
      <c r="BM11" s="22">
        <v>0</v>
      </c>
      <c r="BN11" s="35">
        <f>BM11+'23.03'!BN11</f>
        <v>0</v>
      </c>
      <c r="BO11" s="36">
        <v>11506</v>
      </c>
      <c r="BP11" s="37">
        <v>9</v>
      </c>
      <c r="BQ11" s="35">
        <f>BP11+'23.03'!BQ11</f>
        <v>25</v>
      </c>
    </row>
    <row r="12" spans="1:70" ht="27.75" customHeight="1">
      <c r="A12" s="50" t="s">
        <v>46</v>
      </c>
      <c r="B12" s="29">
        <f t="shared" si="0"/>
        <v>30164</v>
      </c>
      <c r="C12" s="30">
        <f t="shared" si="0"/>
        <v>226</v>
      </c>
      <c r="D12" s="31">
        <f t="shared" si="0"/>
        <v>895</v>
      </c>
      <c r="E12" s="32">
        <v>909</v>
      </c>
      <c r="F12" s="22">
        <v>106</v>
      </c>
      <c r="G12" s="23">
        <f>F12+'23.03'!G12</f>
        <v>432</v>
      </c>
      <c r="H12" s="33">
        <v>80</v>
      </c>
      <c r="I12" s="34">
        <v>0</v>
      </c>
      <c r="J12" s="23">
        <f>I12+'23.03'!J12</f>
        <v>7</v>
      </c>
      <c r="K12" s="33">
        <v>5</v>
      </c>
      <c r="L12" s="22">
        <v>0</v>
      </c>
      <c r="M12" s="23">
        <f>L12+'23.03'!M12</f>
        <v>0</v>
      </c>
      <c r="N12" s="33">
        <v>820</v>
      </c>
      <c r="O12" s="22">
        <v>43</v>
      </c>
      <c r="P12" s="23">
        <f>O12+'23.03'!P12</f>
        <v>104</v>
      </c>
      <c r="Q12" s="33">
        <v>549</v>
      </c>
      <c r="R12" s="22">
        <v>0</v>
      </c>
      <c r="S12" s="23">
        <f>R12+'23.03'!S12</f>
        <v>0</v>
      </c>
      <c r="T12" s="33">
        <v>992</v>
      </c>
      <c r="U12" s="22">
        <v>0</v>
      </c>
      <c r="V12" s="23">
        <f>U12+'23.03'!V12</f>
        <v>0</v>
      </c>
      <c r="W12" s="33">
        <v>38</v>
      </c>
      <c r="X12" s="22">
        <v>18</v>
      </c>
      <c r="Y12" s="35">
        <f>X12+'23.03'!Y12</f>
        <v>209</v>
      </c>
      <c r="Z12" s="33">
        <v>68</v>
      </c>
      <c r="AA12" s="22">
        <v>0</v>
      </c>
      <c r="AB12" s="35">
        <f>AA12+'23.03'!AB12</f>
        <v>0</v>
      </c>
      <c r="AC12" s="33">
        <v>26703</v>
      </c>
      <c r="AD12" s="22">
        <v>59</v>
      </c>
      <c r="AE12" s="35">
        <f>AD12+'23.03'!AE12</f>
        <v>143</v>
      </c>
      <c r="AF12" s="19">
        <f t="shared" si="1"/>
        <v>10010</v>
      </c>
      <c r="AG12" s="20">
        <f t="shared" si="1"/>
        <v>61001</v>
      </c>
      <c r="AH12" s="24">
        <v>1302</v>
      </c>
      <c r="AI12" s="35">
        <f>AH12+'23.03'!AI12</f>
        <v>12020</v>
      </c>
      <c r="AJ12" s="24">
        <v>3508</v>
      </c>
      <c r="AK12" s="35">
        <f>AJ12+'23.03'!AK12</f>
        <v>20181</v>
      </c>
      <c r="AL12" s="22">
        <v>5200</v>
      </c>
      <c r="AM12" s="35">
        <f>AL12+'23.03'!AM12</f>
        <v>22450</v>
      </c>
      <c r="AN12" s="22">
        <v>0</v>
      </c>
      <c r="AO12" s="35">
        <f>AN12+'23.03'!AO12</f>
        <v>6350</v>
      </c>
      <c r="AP12" s="28" t="s">
        <v>46</v>
      </c>
      <c r="AQ12" s="19">
        <f t="shared" si="2"/>
        <v>8</v>
      </c>
      <c r="AR12" s="20">
        <f t="shared" si="2"/>
        <v>153</v>
      </c>
      <c r="AS12" s="34">
        <v>1</v>
      </c>
      <c r="AT12" s="35">
        <f>AS12+'23.03'!AT12</f>
        <v>1</v>
      </c>
      <c r="AU12" s="34">
        <v>2</v>
      </c>
      <c r="AV12" s="35">
        <f>AU12+'23.03'!AV12</f>
        <v>2</v>
      </c>
      <c r="AW12" s="34">
        <v>0</v>
      </c>
      <c r="AX12" s="35">
        <f>AW12+'23.03'!AX12</f>
        <v>0</v>
      </c>
      <c r="AY12" s="34">
        <v>0</v>
      </c>
      <c r="AZ12" s="35">
        <f>AY12+'23.03'!AZ12</f>
        <v>0</v>
      </c>
      <c r="BA12" s="34">
        <v>5</v>
      </c>
      <c r="BB12" s="35">
        <f>BA12+'23.03'!BB12</f>
        <v>150</v>
      </c>
      <c r="BC12" s="19">
        <f t="shared" si="3"/>
        <v>1826</v>
      </c>
      <c r="BD12" s="20">
        <f t="shared" si="3"/>
        <v>8776</v>
      </c>
      <c r="BE12" s="22">
        <v>9</v>
      </c>
      <c r="BF12" s="35">
        <f>BE12+'23.03'!BF12</f>
        <v>149</v>
      </c>
      <c r="BG12" s="34">
        <v>12</v>
      </c>
      <c r="BH12" s="35">
        <f>BG12+'23.03'!BH12</f>
        <v>44</v>
      </c>
      <c r="BI12" s="22">
        <v>1521</v>
      </c>
      <c r="BJ12" s="35">
        <f>BI12+'23.03'!BJ12</f>
        <v>7351</v>
      </c>
      <c r="BK12" s="22">
        <v>284</v>
      </c>
      <c r="BL12" s="35">
        <f>BK12+'23.03'!BL12</f>
        <v>1232</v>
      </c>
      <c r="BM12" s="22">
        <v>0</v>
      </c>
      <c r="BN12" s="35">
        <f>BM12+'23.03'!BN12</f>
        <v>0</v>
      </c>
      <c r="BO12" s="36"/>
      <c r="BP12" s="37">
        <v>4</v>
      </c>
      <c r="BQ12" s="35">
        <f>BP12+'23.03'!BQ12</f>
        <v>7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45</v>
      </c>
      <c r="D13" s="31">
        <f t="shared" si="0"/>
        <v>99</v>
      </c>
      <c r="E13" s="32">
        <v>516</v>
      </c>
      <c r="F13" s="22">
        <v>0</v>
      </c>
      <c r="G13" s="23">
        <f>F13+'23.03'!G13</f>
        <v>47</v>
      </c>
      <c r="H13" s="33">
        <v>10</v>
      </c>
      <c r="I13" s="34">
        <v>1</v>
      </c>
      <c r="J13" s="23">
        <f>I13+'23.03'!J13</f>
        <v>2</v>
      </c>
      <c r="K13" s="33">
        <v>38</v>
      </c>
      <c r="L13" s="22">
        <v>0</v>
      </c>
      <c r="M13" s="23">
        <f>L13+'23.03'!M13</f>
        <v>0</v>
      </c>
      <c r="N13" s="33">
        <v>581</v>
      </c>
      <c r="O13" s="22">
        <v>0</v>
      </c>
      <c r="P13" s="23">
        <f>O13+'23.03'!P13</f>
        <v>1</v>
      </c>
      <c r="Q13" s="33">
        <v>525</v>
      </c>
      <c r="R13" s="22">
        <v>0</v>
      </c>
      <c r="S13" s="23">
        <f>R13+'23.03'!S13</f>
        <v>0</v>
      </c>
      <c r="T13" s="33">
        <v>263</v>
      </c>
      <c r="U13" s="22">
        <v>0</v>
      </c>
      <c r="V13" s="23">
        <f>U13+'23.03'!V13</f>
        <v>0</v>
      </c>
      <c r="W13" s="33">
        <v>43</v>
      </c>
      <c r="X13" s="22">
        <v>0</v>
      </c>
      <c r="Y13" s="35">
        <f>X13+'23.03'!Y13</f>
        <v>2</v>
      </c>
      <c r="Z13" s="33">
        <v>17</v>
      </c>
      <c r="AA13" s="22">
        <v>0</v>
      </c>
      <c r="AB13" s="35">
        <f>AA13+'23.03'!AB13</f>
        <v>0</v>
      </c>
      <c r="AC13" s="33">
        <v>51</v>
      </c>
      <c r="AD13" s="22">
        <v>44</v>
      </c>
      <c r="AE13" s="35">
        <f>AD13+'23.03'!AE13</f>
        <v>47</v>
      </c>
      <c r="AF13" s="19">
        <f t="shared" si="1"/>
        <v>228200</v>
      </c>
      <c r="AG13" s="20">
        <f t="shared" si="1"/>
        <v>1204200</v>
      </c>
      <c r="AH13" s="24">
        <v>800</v>
      </c>
      <c r="AI13" s="35">
        <f>AH13+'23.03'!AI13</f>
        <v>7500</v>
      </c>
      <c r="AJ13" s="24">
        <v>7400</v>
      </c>
      <c r="AK13" s="35">
        <f>AJ13+'23.03'!AK13</f>
        <v>36700</v>
      </c>
      <c r="AL13" s="22">
        <v>20000</v>
      </c>
      <c r="AM13" s="35">
        <f>AL13+'23.03'!AM13</f>
        <v>80000</v>
      </c>
      <c r="AN13" s="22">
        <v>200000</v>
      </c>
      <c r="AO13" s="35">
        <f>AN13+'23.03'!AO13</f>
        <v>1080000</v>
      </c>
      <c r="AP13" s="28" t="s">
        <v>47</v>
      </c>
      <c r="AQ13" s="19">
        <f t="shared" si="2"/>
        <v>53</v>
      </c>
      <c r="AR13" s="20">
        <f t="shared" si="2"/>
        <v>152</v>
      </c>
      <c r="AS13" s="34">
        <v>2</v>
      </c>
      <c r="AT13" s="35">
        <f>AS13+'23.03'!AT13</f>
        <v>4</v>
      </c>
      <c r="AU13" s="34">
        <v>1</v>
      </c>
      <c r="AV13" s="35">
        <f>AU13+'23.03'!AV13</f>
        <v>6</v>
      </c>
      <c r="AW13" s="34">
        <v>0</v>
      </c>
      <c r="AX13" s="35">
        <f>AW13+'23.03'!AX13</f>
        <v>0</v>
      </c>
      <c r="AY13" s="34">
        <v>0</v>
      </c>
      <c r="AZ13" s="35">
        <f>AY13+'23.03'!AZ13</f>
        <v>0</v>
      </c>
      <c r="BA13" s="34">
        <v>50</v>
      </c>
      <c r="BB13" s="35">
        <f>BA13+'23.03'!BB13</f>
        <v>142</v>
      </c>
      <c r="BC13" s="19">
        <f t="shared" si="3"/>
        <v>5616</v>
      </c>
      <c r="BD13" s="20">
        <f t="shared" si="3"/>
        <v>32591</v>
      </c>
      <c r="BE13" s="22">
        <v>516</v>
      </c>
      <c r="BF13" s="35">
        <f>BE13+'23.03'!BF13</f>
        <v>1237</v>
      </c>
      <c r="BG13" s="34">
        <v>0</v>
      </c>
      <c r="BH13" s="35">
        <f>BG13+'23.03'!BH13</f>
        <v>54</v>
      </c>
      <c r="BI13" s="22">
        <v>5000</v>
      </c>
      <c r="BJ13" s="35">
        <f>BI13+'23.03'!BJ13</f>
        <v>28000</v>
      </c>
      <c r="BK13" s="22">
        <v>100</v>
      </c>
      <c r="BL13" s="35">
        <f>BK13+'23.03'!BL13</f>
        <v>3300</v>
      </c>
      <c r="BM13" s="22">
        <v>0</v>
      </c>
      <c r="BN13" s="35">
        <f>BM13+'23.03'!BN13</f>
        <v>0</v>
      </c>
      <c r="BO13" s="36"/>
      <c r="BP13" s="37">
        <v>0</v>
      </c>
      <c r="BQ13" s="35">
        <f>BP13+'23.03'!BQ13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114</v>
      </c>
      <c r="D14" s="42">
        <f t="shared" si="0"/>
        <v>491</v>
      </c>
      <c r="E14" s="43">
        <v>304</v>
      </c>
      <c r="F14" s="22">
        <v>78</v>
      </c>
      <c r="G14" s="23">
        <f>F14+'23.03'!G14</f>
        <v>360</v>
      </c>
      <c r="H14" s="44">
        <v>5</v>
      </c>
      <c r="I14" s="45">
        <v>0</v>
      </c>
      <c r="J14" s="23">
        <f>I14+'23.03'!J14</f>
        <v>0</v>
      </c>
      <c r="K14" s="44">
        <v>34</v>
      </c>
      <c r="L14" s="22">
        <v>0</v>
      </c>
      <c r="M14" s="23">
        <f>L14+'23.03'!M14</f>
        <v>0</v>
      </c>
      <c r="N14" s="44">
        <v>583</v>
      </c>
      <c r="O14" s="22">
        <v>0</v>
      </c>
      <c r="P14" s="23">
        <f>O14+'23.03'!P14</f>
        <v>0</v>
      </c>
      <c r="Q14" s="44">
        <v>254</v>
      </c>
      <c r="R14" s="22">
        <v>0</v>
      </c>
      <c r="S14" s="23">
        <f>R14+'23.03'!S14</f>
        <v>0</v>
      </c>
      <c r="T14" s="44">
        <v>196</v>
      </c>
      <c r="U14" s="22">
        <v>0</v>
      </c>
      <c r="V14" s="23">
        <f>U14+'23.03'!V14</f>
        <v>0</v>
      </c>
      <c r="W14" s="44">
        <v>30</v>
      </c>
      <c r="X14" s="22">
        <v>30</v>
      </c>
      <c r="Y14" s="35">
        <f>X14+'23.03'!Y14</f>
        <v>108</v>
      </c>
      <c r="Z14" s="44">
        <v>10</v>
      </c>
      <c r="AA14" s="22">
        <v>0</v>
      </c>
      <c r="AB14" s="35">
        <f>AA14+'23.03'!AB14</f>
        <v>0</v>
      </c>
      <c r="AC14" s="44">
        <v>2500</v>
      </c>
      <c r="AD14" s="22">
        <v>6</v>
      </c>
      <c r="AE14" s="35">
        <f>AD14+'23.03'!AE14</f>
        <v>23</v>
      </c>
      <c r="AF14" s="19">
        <f t="shared" si="1"/>
        <v>160850</v>
      </c>
      <c r="AG14" s="20">
        <f t="shared" si="1"/>
        <v>812590</v>
      </c>
      <c r="AH14" s="24">
        <v>4840</v>
      </c>
      <c r="AI14" s="35">
        <f>AH14+'23.03'!AI14</f>
        <v>14260</v>
      </c>
      <c r="AJ14" s="24">
        <v>9010</v>
      </c>
      <c r="AK14" s="35">
        <f>AJ14+'23.03'!AK14</f>
        <v>39730</v>
      </c>
      <c r="AL14" s="46">
        <v>18900</v>
      </c>
      <c r="AM14" s="47">
        <f>AL14+'23.03'!AM14</f>
        <v>68120</v>
      </c>
      <c r="AN14" s="46">
        <v>128100</v>
      </c>
      <c r="AO14" s="47">
        <f>AN14+'23.03'!AO14</f>
        <v>690480</v>
      </c>
      <c r="AP14" s="39" t="s">
        <v>48</v>
      </c>
      <c r="AQ14" s="19">
        <f t="shared" si="2"/>
        <v>4</v>
      </c>
      <c r="AR14" s="20">
        <f t="shared" si="2"/>
        <v>27</v>
      </c>
      <c r="AS14" s="45"/>
      <c r="AT14" s="35">
        <f>AS14+'23.03'!AT14</f>
        <v>1</v>
      </c>
      <c r="AU14" s="45"/>
      <c r="AV14" s="35">
        <f>AU14+'23.03'!AV14</f>
        <v>0</v>
      </c>
      <c r="AW14" s="45"/>
      <c r="AX14" s="35">
        <f>AW14+'23.03'!AX14</f>
        <v>1</v>
      </c>
      <c r="AY14" s="45"/>
      <c r="AZ14" s="35">
        <f>AY14+'23.03'!AZ14</f>
        <v>0</v>
      </c>
      <c r="BA14" s="45">
        <v>4</v>
      </c>
      <c r="BB14" s="35">
        <f>BA14+'23.03'!BB14</f>
        <v>25</v>
      </c>
      <c r="BC14" s="19">
        <f t="shared" si="3"/>
        <v>2368</v>
      </c>
      <c r="BD14" s="20">
        <f t="shared" si="3"/>
        <v>12440</v>
      </c>
      <c r="BE14" s="22"/>
      <c r="BF14" s="35">
        <f>BE14+'23.03'!BF14</f>
        <v>12</v>
      </c>
      <c r="BG14" s="45">
        <v>8</v>
      </c>
      <c r="BH14" s="35">
        <f>BG14+'23.03'!BH14</f>
        <v>23</v>
      </c>
      <c r="BI14" s="22">
        <v>2200</v>
      </c>
      <c r="BJ14" s="35">
        <f>BI14+'23.03'!BJ14</f>
        <v>11840</v>
      </c>
      <c r="BK14" s="22">
        <v>160</v>
      </c>
      <c r="BL14" s="35">
        <f>BK14+'23.03'!BL14</f>
        <v>565</v>
      </c>
      <c r="BM14" s="22"/>
      <c r="BN14" s="35">
        <f>BM14+'23.03'!BN14</f>
        <v>0</v>
      </c>
      <c r="BO14" s="48">
        <v>2</v>
      </c>
      <c r="BP14" s="49">
        <v>0</v>
      </c>
      <c r="BQ14" s="35">
        <f>BP14+'23.03'!BQ14</f>
        <v>2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205</v>
      </c>
      <c r="D15" s="53">
        <f t="shared" si="0"/>
        <v>1219</v>
      </c>
      <c r="E15" s="54">
        <v>776</v>
      </c>
      <c r="F15" s="55">
        <v>167</v>
      </c>
      <c r="G15" s="23">
        <f>F15+'23.03'!G15</f>
        <v>862</v>
      </c>
      <c r="H15" s="56">
        <v>9</v>
      </c>
      <c r="I15" s="57">
        <v>0</v>
      </c>
      <c r="J15" s="23">
        <f>I15+'23.03'!J15</f>
        <v>0</v>
      </c>
      <c r="K15" s="56">
        <v>6</v>
      </c>
      <c r="L15" s="55">
        <v>0</v>
      </c>
      <c r="M15" s="23">
        <f>L15+'23.03'!M15</f>
        <v>0</v>
      </c>
      <c r="N15" s="56">
        <v>1305</v>
      </c>
      <c r="O15" s="55">
        <v>0</v>
      </c>
      <c r="P15" s="23">
        <f>O15+'23.03'!P15</f>
        <v>0</v>
      </c>
      <c r="Q15" s="56">
        <v>447</v>
      </c>
      <c r="R15" s="55">
        <v>0</v>
      </c>
      <c r="S15" s="23">
        <f>R15+'23.03'!S15</f>
        <v>0</v>
      </c>
      <c r="T15" s="56">
        <v>337</v>
      </c>
      <c r="U15" s="55">
        <v>0</v>
      </c>
      <c r="V15" s="23">
        <f>U15+'23.03'!V15</f>
        <v>0</v>
      </c>
      <c r="W15" s="56">
        <v>78</v>
      </c>
      <c r="X15" s="55">
        <v>0</v>
      </c>
      <c r="Y15" s="35">
        <f>X15+'23.03'!Y15</f>
        <v>0</v>
      </c>
      <c r="Z15" s="56">
        <v>141</v>
      </c>
      <c r="AA15" s="55">
        <v>0</v>
      </c>
      <c r="AB15" s="35">
        <f>AA15+'23.03'!AB15</f>
        <v>0</v>
      </c>
      <c r="AC15" s="56">
        <v>798</v>
      </c>
      <c r="AD15" s="55">
        <v>38</v>
      </c>
      <c r="AE15" s="35">
        <f>AD15+'23.03'!AE15</f>
        <v>357</v>
      </c>
      <c r="AF15" s="58">
        <f t="shared" si="1"/>
        <v>1359169</v>
      </c>
      <c r="AG15" s="59">
        <f t="shared" si="1"/>
        <v>5233558</v>
      </c>
      <c r="AH15" s="60">
        <v>931</v>
      </c>
      <c r="AI15" s="35">
        <f>AH15+'23.03'!AI15</f>
        <v>3861</v>
      </c>
      <c r="AJ15" s="60">
        <v>1238</v>
      </c>
      <c r="AK15" s="35">
        <f>AJ15+'23.03'!AK15</f>
        <v>4019</v>
      </c>
      <c r="AL15" s="55">
        <v>357000</v>
      </c>
      <c r="AM15" s="35">
        <f>AL15+'23.03'!AM15</f>
        <v>2004839</v>
      </c>
      <c r="AN15" s="55">
        <v>1000000</v>
      </c>
      <c r="AO15" s="35">
        <f>AN15+'23.03'!AO15</f>
        <v>3220839</v>
      </c>
      <c r="AP15" s="50" t="s">
        <v>49</v>
      </c>
      <c r="AQ15" s="58">
        <f t="shared" si="2"/>
        <v>0</v>
      </c>
      <c r="AR15" s="59">
        <f t="shared" si="2"/>
        <v>4</v>
      </c>
      <c r="AS15" s="57"/>
      <c r="AT15" s="35">
        <f>AS15+'23.03'!AT15</f>
        <v>0</v>
      </c>
      <c r="AU15" s="57"/>
      <c r="AV15" s="35">
        <f>AU15+'23.03'!AV15</f>
        <v>0</v>
      </c>
      <c r="AW15" s="57"/>
      <c r="AX15" s="35">
        <f>AW15+'23.03'!AX15</f>
        <v>0</v>
      </c>
      <c r="AY15" s="57"/>
      <c r="AZ15" s="35">
        <f>AY15+'23.03'!AZ15</f>
        <v>0</v>
      </c>
      <c r="BA15" s="57"/>
      <c r="BB15" s="35">
        <f>BA15+'23.03'!BB15</f>
        <v>4</v>
      </c>
      <c r="BC15" s="58">
        <f t="shared" si="3"/>
        <v>1100</v>
      </c>
      <c r="BD15" s="59">
        <f t="shared" si="3"/>
        <v>8016</v>
      </c>
      <c r="BE15" s="55"/>
      <c r="BF15" s="35">
        <f>BE15+'23.03'!BF15</f>
        <v>138</v>
      </c>
      <c r="BG15" s="57">
        <v>0</v>
      </c>
      <c r="BH15" s="35">
        <f>BG15+'23.03'!BH15</f>
        <v>653</v>
      </c>
      <c r="BI15" s="55">
        <v>550</v>
      </c>
      <c r="BJ15" s="35">
        <f>BI15+'23.03'!BJ15</f>
        <v>3935</v>
      </c>
      <c r="BK15" s="55">
        <v>550</v>
      </c>
      <c r="BL15" s="35">
        <f>BK15+'23.03'!BL15</f>
        <v>3290</v>
      </c>
      <c r="BM15" s="55"/>
      <c r="BN15" s="35">
        <f>BM15+'23.03'!BN15</f>
        <v>0</v>
      </c>
      <c r="BO15" s="36">
        <v>6274</v>
      </c>
      <c r="BP15" s="37">
        <v>6</v>
      </c>
      <c r="BQ15" s="35">
        <f>BP15+'23.03'!BQ15</f>
        <v>14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141</v>
      </c>
      <c r="D16" s="31">
        <f t="shared" si="0"/>
        <v>645</v>
      </c>
      <c r="E16" s="32">
        <v>310</v>
      </c>
      <c r="F16" s="22">
        <v>42</v>
      </c>
      <c r="G16" s="23">
        <f>F16+'23.03'!G16</f>
        <v>174</v>
      </c>
      <c r="H16" s="33">
        <v>5</v>
      </c>
      <c r="I16" s="34">
        <v>0</v>
      </c>
      <c r="J16" s="23">
        <f>I16+'23.03'!J16</f>
        <v>0</v>
      </c>
      <c r="K16" s="33">
        <v>3</v>
      </c>
      <c r="L16" s="22">
        <v>0</v>
      </c>
      <c r="M16" s="23">
        <f>L16+'23.03'!M16</f>
        <v>0</v>
      </c>
      <c r="N16" s="33">
        <v>384</v>
      </c>
      <c r="O16" s="22">
        <v>0</v>
      </c>
      <c r="P16" s="23">
        <f>O16+'23.03'!P16</f>
        <v>0</v>
      </c>
      <c r="Q16" s="33">
        <v>245</v>
      </c>
      <c r="R16" s="22">
        <v>0</v>
      </c>
      <c r="S16" s="23">
        <f>R16+'23.03'!S16</f>
        <v>0</v>
      </c>
      <c r="T16" s="33">
        <v>397</v>
      </c>
      <c r="U16" s="22">
        <v>0</v>
      </c>
      <c r="V16" s="23">
        <f>U16+'23.03'!V16</f>
        <v>0</v>
      </c>
      <c r="W16" s="33">
        <v>24</v>
      </c>
      <c r="X16" s="22">
        <v>34</v>
      </c>
      <c r="Y16" s="35">
        <f>X16+'23.03'!Y16</f>
        <v>217</v>
      </c>
      <c r="Z16" s="33">
        <v>18</v>
      </c>
      <c r="AA16" s="22">
        <v>0</v>
      </c>
      <c r="AB16" s="35">
        <f>AA16+'23.03'!AB16</f>
        <v>0</v>
      </c>
      <c r="AC16" s="33">
        <v>18515</v>
      </c>
      <c r="AD16" s="22">
        <v>65</v>
      </c>
      <c r="AE16" s="35">
        <f>AD16+'23.03'!AE16</f>
        <v>254</v>
      </c>
      <c r="AF16" s="19">
        <f t="shared" si="1"/>
        <v>120565</v>
      </c>
      <c r="AG16" s="20">
        <f t="shared" si="1"/>
        <v>313287</v>
      </c>
      <c r="AH16" s="24">
        <v>314</v>
      </c>
      <c r="AI16" s="35">
        <f>AH16+'23.03'!AI16</f>
        <v>1230</v>
      </c>
      <c r="AJ16" s="24">
        <v>1211</v>
      </c>
      <c r="AK16" s="35">
        <f>AJ16+'23.03'!AK16</f>
        <v>4397</v>
      </c>
      <c r="AL16" s="22">
        <v>5650</v>
      </c>
      <c r="AM16" s="35">
        <f>AL16+'23.03'!AM16</f>
        <v>16230</v>
      </c>
      <c r="AN16" s="22">
        <v>113390</v>
      </c>
      <c r="AO16" s="35">
        <f>AN16+'23.03'!AO16</f>
        <v>291430</v>
      </c>
      <c r="AP16" s="28" t="s">
        <v>51</v>
      </c>
      <c r="AQ16" s="19">
        <f t="shared" si="2"/>
        <v>82</v>
      </c>
      <c r="AR16" s="20">
        <f t="shared" si="2"/>
        <v>232</v>
      </c>
      <c r="AS16" s="34">
        <v>0</v>
      </c>
      <c r="AT16" s="35">
        <f>AS16+'23.03'!AT16</f>
        <v>0</v>
      </c>
      <c r="AU16" s="34">
        <v>0</v>
      </c>
      <c r="AV16" s="35">
        <f>AU16+'23.03'!AV16</f>
        <v>0</v>
      </c>
      <c r="AW16" s="34">
        <v>0</v>
      </c>
      <c r="AX16" s="35">
        <f>AW16+'23.03'!AX16</f>
        <v>0</v>
      </c>
      <c r="AY16" s="34">
        <v>0</v>
      </c>
      <c r="AZ16" s="35">
        <f>AY16+'23.03'!AZ16</f>
        <v>0</v>
      </c>
      <c r="BA16" s="34">
        <v>82</v>
      </c>
      <c r="BB16" s="35">
        <f>BA16+'23.03'!BB16</f>
        <v>232</v>
      </c>
      <c r="BC16" s="19">
        <f t="shared" si="3"/>
        <v>1466</v>
      </c>
      <c r="BD16" s="20">
        <f t="shared" si="3"/>
        <v>5417</v>
      </c>
      <c r="BE16" s="22">
        <v>64</v>
      </c>
      <c r="BF16" s="35">
        <f>BE16+'23.03'!BF16</f>
        <v>486</v>
      </c>
      <c r="BG16" s="34">
        <v>2</v>
      </c>
      <c r="BH16" s="35">
        <f>BG16+'23.03'!BH16</f>
        <v>16</v>
      </c>
      <c r="BI16" s="22">
        <v>1200</v>
      </c>
      <c r="BJ16" s="35">
        <f>BI16+'23.03'!BJ16</f>
        <v>4315</v>
      </c>
      <c r="BK16" s="22">
        <v>200</v>
      </c>
      <c r="BL16" s="35">
        <f>BK16+'23.03'!BL16</f>
        <v>600</v>
      </c>
      <c r="BM16" s="22">
        <v>0</v>
      </c>
      <c r="BN16" s="35">
        <f>BM16+'23.03'!BN16</f>
        <v>0</v>
      </c>
      <c r="BO16" s="36">
        <v>2546</v>
      </c>
      <c r="BP16" s="37">
        <v>0</v>
      </c>
      <c r="BQ16" s="35">
        <f>BP16+'23.03'!BQ16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210</v>
      </c>
      <c r="D17" s="31">
        <f t="shared" si="0"/>
        <v>816</v>
      </c>
      <c r="E17" s="32">
        <v>754</v>
      </c>
      <c r="F17" s="22">
        <v>155</v>
      </c>
      <c r="G17" s="23">
        <f>F17+'23.03'!G17</f>
        <v>519</v>
      </c>
      <c r="H17" s="33">
        <v>9</v>
      </c>
      <c r="I17" s="34">
        <v>0</v>
      </c>
      <c r="J17" s="23">
        <f>I17+'23.03'!J17</f>
        <v>0</v>
      </c>
      <c r="K17" s="33">
        <v>5</v>
      </c>
      <c r="L17" s="22">
        <v>0</v>
      </c>
      <c r="M17" s="23">
        <f>L17+'23.03'!M17</f>
        <v>0</v>
      </c>
      <c r="N17" s="33">
        <v>768</v>
      </c>
      <c r="O17" s="22">
        <v>0</v>
      </c>
      <c r="P17" s="23">
        <f>O17+'23.03'!P17</f>
        <v>0</v>
      </c>
      <c r="Q17" s="33">
        <v>624</v>
      </c>
      <c r="R17" s="22">
        <v>0</v>
      </c>
      <c r="S17" s="23">
        <f>R17+'23.03'!S17</f>
        <v>0</v>
      </c>
      <c r="T17" s="33">
        <v>742</v>
      </c>
      <c r="U17" s="22">
        <v>0</v>
      </c>
      <c r="V17" s="23">
        <f>U17+'23.03'!V17</f>
        <v>0</v>
      </c>
      <c r="W17" s="33">
        <v>54</v>
      </c>
      <c r="X17" s="22">
        <v>45</v>
      </c>
      <c r="Y17" s="35">
        <f>X17+'23.03'!Y17</f>
        <v>207</v>
      </c>
      <c r="Z17" s="33">
        <v>66</v>
      </c>
      <c r="AA17" s="22">
        <v>0</v>
      </c>
      <c r="AB17" s="35">
        <f>AA17+'23.03'!AB17</f>
        <v>0</v>
      </c>
      <c r="AC17" s="33">
        <v>2580</v>
      </c>
      <c r="AD17" s="22">
        <v>10</v>
      </c>
      <c r="AE17" s="35">
        <f>AD17+'23.03'!AE17</f>
        <v>90</v>
      </c>
      <c r="AF17" s="19">
        <f t="shared" si="1"/>
        <v>186500</v>
      </c>
      <c r="AG17" s="20">
        <f t="shared" si="1"/>
        <v>763300</v>
      </c>
      <c r="AH17" s="24">
        <v>8000</v>
      </c>
      <c r="AI17" s="35">
        <f>AH17+'23.03'!AI17</f>
        <v>35500</v>
      </c>
      <c r="AJ17" s="24">
        <v>8500</v>
      </c>
      <c r="AK17" s="35">
        <f>AJ17+'23.03'!AK17</f>
        <v>42800</v>
      </c>
      <c r="AL17" s="22">
        <v>80000</v>
      </c>
      <c r="AM17" s="35">
        <f>AL17+'23.03'!AM17</f>
        <v>273000</v>
      </c>
      <c r="AN17" s="22">
        <v>90000</v>
      </c>
      <c r="AO17" s="35">
        <f>AN17+'23.03'!AO17</f>
        <v>412000</v>
      </c>
      <c r="AP17" s="28" t="s">
        <v>52</v>
      </c>
      <c r="AQ17" s="19">
        <f t="shared" si="2"/>
        <v>19</v>
      </c>
      <c r="AR17" s="20">
        <f t="shared" si="2"/>
        <v>62</v>
      </c>
      <c r="AS17" s="34">
        <v>4</v>
      </c>
      <c r="AT17" s="35">
        <f>AS17+'23.03'!AT17</f>
        <v>9</v>
      </c>
      <c r="AU17" s="34">
        <v>4</v>
      </c>
      <c r="AV17" s="35">
        <f>AU17+'23.03'!AV17</f>
        <v>8</v>
      </c>
      <c r="AW17" s="34">
        <v>0</v>
      </c>
      <c r="AX17" s="35">
        <f>AW17+'23.03'!AX17</f>
        <v>0</v>
      </c>
      <c r="AY17" s="34">
        <v>0</v>
      </c>
      <c r="AZ17" s="35">
        <f>AY17+'23.03'!AZ17</f>
        <v>0</v>
      </c>
      <c r="BA17" s="34">
        <v>11</v>
      </c>
      <c r="BB17" s="35">
        <f>BA17+'23.03'!BB17</f>
        <v>45</v>
      </c>
      <c r="BC17" s="19">
        <f t="shared" si="3"/>
        <v>2711</v>
      </c>
      <c r="BD17" s="20">
        <f t="shared" si="3"/>
        <v>10040</v>
      </c>
      <c r="BE17" s="22">
        <v>30</v>
      </c>
      <c r="BF17" s="35">
        <f>BE17+'23.03'!BF17</f>
        <v>128</v>
      </c>
      <c r="BG17" s="34">
        <v>11</v>
      </c>
      <c r="BH17" s="35">
        <f>BG17+'23.03'!BH17</f>
        <v>37</v>
      </c>
      <c r="BI17" s="22">
        <v>2500</v>
      </c>
      <c r="BJ17" s="35">
        <f>BI17+'23.03'!BJ17</f>
        <v>9200</v>
      </c>
      <c r="BK17" s="22">
        <v>170</v>
      </c>
      <c r="BL17" s="35">
        <f>BK17+'23.03'!BL17</f>
        <v>675</v>
      </c>
      <c r="BM17" s="22">
        <v>0</v>
      </c>
      <c r="BN17" s="35">
        <f>BM17+'23.03'!BN17</f>
        <v>0</v>
      </c>
      <c r="BO17" s="36">
        <v>8022</v>
      </c>
      <c r="BP17" s="37">
        <v>9</v>
      </c>
      <c r="BQ17" s="35">
        <f>BP17+'23.03'!BQ17</f>
        <v>28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487</v>
      </c>
      <c r="D18" s="20">
        <f t="shared" si="0"/>
        <v>1897</v>
      </c>
      <c r="E18" s="21">
        <v>1063</v>
      </c>
      <c r="F18" s="22">
        <v>291</v>
      </c>
      <c r="G18" s="23">
        <f>F18+'23.03'!G18</f>
        <v>1239</v>
      </c>
      <c r="H18" s="21">
        <v>19</v>
      </c>
      <c r="I18" s="22">
        <v>0</v>
      </c>
      <c r="J18" s="23">
        <f>I18+'23.03'!J18</f>
        <v>0</v>
      </c>
      <c r="K18" s="21">
        <v>8</v>
      </c>
      <c r="L18" s="22">
        <v>0</v>
      </c>
      <c r="M18" s="23">
        <f>L18+'23.03'!M18</f>
        <v>0</v>
      </c>
      <c r="N18" s="21">
        <v>1331</v>
      </c>
      <c r="O18" s="22">
        <v>0</v>
      </c>
      <c r="P18" s="23">
        <f>O18+'23.03'!P18</f>
        <v>0</v>
      </c>
      <c r="Q18" s="21">
        <v>777</v>
      </c>
      <c r="R18" s="22">
        <v>0</v>
      </c>
      <c r="S18" s="23">
        <f>R18+'23.03'!S18</f>
        <v>0</v>
      </c>
      <c r="T18" s="21">
        <v>318</v>
      </c>
      <c r="U18" s="22">
        <v>0</v>
      </c>
      <c r="V18" s="23">
        <f>U18+'23.03'!V18</f>
        <v>0</v>
      </c>
      <c r="W18" s="21">
        <v>60</v>
      </c>
      <c r="X18" s="22">
        <v>196</v>
      </c>
      <c r="Y18" s="35">
        <f>X18+'23.03'!Y18</f>
        <v>654</v>
      </c>
      <c r="Z18" s="21">
        <v>72</v>
      </c>
      <c r="AA18" s="22">
        <v>0</v>
      </c>
      <c r="AB18" s="35">
        <f>AA18+'23.03'!AB18</f>
        <v>0</v>
      </c>
      <c r="AC18" s="21">
        <v>143</v>
      </c>
      <c r="AD18" s="22">
        <v>0</v>
      </c>
      <c r="AE18" s="35">
        <f>AD18+'23.03'!AE18</f>
        <v>4</v>
      </c>
      <c r="AF18" s="19">
        <f t="shared" si="1"/>
        <v>250421</v>
      </c>
      <c r="AG18" s="20">
        <f t="shared" si="1"/>
        <v>1550844</v>
      </c>
      <c r="AH18" s="24">
        <v>485</v>
      </c>
      <c r="AI18" s="35">
        <f>AH18+'23.03'!AI18</f>
        <v>3462</v>
      </c>
      <c r="AJ18" s="24">
        <v>5193</v>
      </c>
      <c r="AK18" s="35">
        <f>AJ18+'23.03'!AK18</f>
        <v>20047</v>
      </c>
      <c r="AL18" s="22">
        <v>7542</v>
      </c>
      <c r="AM18" s="35">
        <f>AL18+'23.03'!AM18</f>
        <v>49895</v>
      </c>
      <c r="AN18" s="22">
        <v>237201</v>
      </c>
      <c r="AO18" s="35">
        <f>AN18+'23.03'!AO18</f>
        <v>1477440</v>
      </c>
      <c r="AP18" s="17" t="s">
        <v>53</v>
      </c>
      <c r="AQ18" s="19">
        <f>AS18+AU18+AW18+AY18+BA18</f>
        <v>8</v>
      </c>
      <c r="AR18" s="20">
        <f t="shared" si="2"/>
        <v>40</v>
      </c>
      <c r="AS18" s="22">
        <v>1</v>
      </c>
      <c r="AT18" s="35">
        <f>AS18+'23.03'!AT18</f>
        <v>4</v>
      </c>
      <c r="AU18" s="22">
        <v>0</v>
      </c>
      <c r="AV18" s="35">
        <f>AU18+'23.03'!AV18</f>
        <v>0</v>
      </c>
      <c r="AW18" s="22">
        <v>0</v>
      </c>
      <c r="AX18" s="35">
        <f>AW18+'23.03'!AX18</f>
        <v>0</v>
      </c>
      <c r="AY18" s="22">
        <v>0</v>
      </c>
      <c r="AZ18" s="35">
        <f>AY18+'23.03'!AZ18</f>
        <v>0</v>
      </c>
      <c r="BA18" s="22">
        <v>7</v>
      </c>
      <c r="BB18" s="35">
        <f>BA18+'23.03'!BB18</f>
        <v>36</v>
      </c>
      <c r="BC18" s="19">
        <f t="shared" si="3"/>
        <v>1072</v>
      </c>
      <c r="BD18" s="20">
        <f>BF18+BH18+BJ18+BL18+BN18</f>
        <v>9355</v>
      </c>
      <c r="BE18" s="22">
        <v>4</v>
      </c>
      <c r="BF18" s="35">
        <f>BE18+'23.03'!BF18</f>
        <v>14</v>
      </c>
      <c r="BG18" s="22">
        <v>2</v>
      </c>
      <c r="BH18" s="35">
        <f>BG18+'23.03'!BH18</f>
        <v>2</v>
      </c>
      <c r="BI18" s="22">
        <v>921</v>
      </c>
      <c r="BJ18" s="35">
        <f>BI18+'23.03'!BJ18</f>
        <v>8329</v>
      </c>
      <c r="BK18" s="22">
        <v>145</v>
      </c>
      <c r="BL18" s="35">
        <f>BK18+'23.03'!BL18</f>
        <v>1002</v>
      </c>
      <c r="BM18" s="22">
        <v>0</v>
      </c>
      <c r="BN18" s="35">
        <f>BM18+'23.03'!BN18</f>
        <v>8</v>
      </c>
      <c r="BO18" s="36">
        <v>442</v>
      </c>
      <c r="BP18" s="37">
        <v>0</v>
      </c>
      <c r="BQ18" s="35">
        <f>BP18+'23.03'!BQ18</f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27</v>
      </c>
      <c r="D19" s="31">
        <f t="shared" si="0"/>
        <v>55</v>
      </c>
      <c r="E19" s="33">
        <v>221</v>
      </c>
      <c r="F19" s="22">
        <v>7</v>
      </c>
      <c r="G19" s="23">
        <f>F19+'23.03'!G19</f>
        <v>15</v>
      </c>
      <c r="H19" s="33">
        <v>5</v>
      </c>
      <c r="I19" s="34">
        <v>0</v>
      </c>
      <c r="J19" s="23">
        <f>I19+'23.03'!J19</f>
        <v>0</v>
      </c>
      <c r="K19" s="33">
        <v>4</v>
      </c>
      <c r="L19" s="22">
        <v>0</v>
      </c>
      <c r="M19" s="23">
        <f>L19+'23.03'!M19</f>
        <v>0</v>
      </c>
      <c r="N19" s="33">
        <v>313</v>
      </c>
      <c r="O19" s="22">
        <v>0</v>
      </c>
      <c r="P19" s="23">
        <f>O19+'23.03'!P19</f>
        <v>0</v>
      </c>
      <c r="Q19" s="33">
        <v>203</v>
      </c>
      <c r="R19" s="22">
        <v>0</v>
      </c>
      <c r="S19" s="23">
        <f>R19+'23.03'!S19</f>
        <v>0</v>
      </c>
      <c r="T19" s="33">
        <v>241</v>
      </c>
      <c r="U19" s="22">
        <v>0</v>
      </c>
      <c r="V19" s="23">
        <f>U19+'23.03'!V19</f>
        <v>0</v>
      </c>
      <c r="W19" s="33">
        <v>14</v>
      </c>
      <c r="X19" s="22">
        <v>6</v>
      </c>
      <c r="Y19" s="35">
        <f>X19+'23.03'!Y19</f>
        <v>13</v>
      </c>
      <c r="Z19" s="33">
        <v>7</v>
      </c>
      <c r="AA19" s="22">
        <v>0</v>
      </c>
      <c r="AB19" s="35">
        <f>AA19+'23.03'!AB19</f>
        <v>0</v>
      </c>
      <c r="AC19" s="33">
        <v>32</v>
      </c>
      <c r="AD19" s="22">
        <v>14</v>
      </c>
      <c r="AE19" s="35">
        <f>AD19+'23.03'!AE19</f>
        <v>27</v>
      </c>
      <c r="AF19" s="19">
        <f t="shared" si="1"/>
        <v>4200</v>
      </c>
      <c r="AG19" s="20">
        <f t="shared" si="1"/>
        <v>8200</v>
      </c>
      <c r="AH19" s="24">
        <v>550</v>
      </c>
      <c r="AI19" s="35">
        <f>AH19+'23.03'!AI19</f>
        <v>1150</v>
      </c>
      <c r="AJ19" s="24">
        <v>550</v>
      </c>
      <c r="AK19" s="35">
        <f>AJ19+'23.03'!AK19</f>
        <v>1150</v>
      </c>
      <c r="AL19" s="22">
        <v>1550</v>
      </c>
      <c r="AM19" s="35">
        <f>AL19+'23.03'!AM19</f>
        <v>2950</v>
      </c>
      <c r="AN19" s="22">
        <v>1550</v>
      </c>
      <c r="AO19" s="35">
        <f>AN19+'23.03'!AO19</f>
        <v>2950</v>
      </c>
      <c r="AP19" s="28" t="s">
        <v>54</v>
      </c>
      <c r="AQ19" s="19">
        <f t="shared" ref="AQ19:AQ22" si="4">AS19+AU19+AW19+AY19+BA19</f>
        <v>0</v>
      </c>
      <c r="AR19" s="20">
        <f t="shared" si="2"/>
        <v>0</v>
      </c>
      <c r="AS19" s="34">
        <v>0</v>
      </c>
      <c r="AT19" s="35">
        <f>AS19+'23.03'!AT19</f>
        <v>0</v>
      </c>
      <c r="AU19" s="34">
        <v>0</v>
      </c>
      <c r="AV19" s="35">
        <f>AU19+'23.03'!AV19</f>
        <v>0</v>
      </c>
      <c r="AW19" s="34">
        <v>0</v>
      </c>
      <c r="AX19" s="35">
        <f>AW19+'23.03'!AX19</f>
        <v>0</v>
      </c>
      <c r="AY19" s="34">
        <v>0</v>
      </c>
      <c r="AZ19" s="35">
        <f>AY19+'23.03'!AZ19</f>
        <v>0</v>
      </c>
      <c r="BA19" s="34">
        <v>0</v>
      </c>
      <c r="BB19" s="35">
        <f>BA19+'23.03'!BB19</f>
        <v>0</v>
      </c>
      <c r="BC19" s="19">
        <f t="shared" si="3"/>
        <v>1164</v>
      </c>
      <c r="BD19" s="20">
        <f t="shared" si="3"/>
        <v>1164</v>
      </c>
      <c r="BE19" s="22">
        <v>14</v>
      </c>
      <c r="BF19" s="35">
        <f>BE19+'23.03'!BF19</f>
        <v>14</v>
      </c>
      <c r="BG19" s="34"/>
      <c r="BH19" s="35">
        <f>BG19+'23.03'!BH19</f>
        <v>0</v>
      </c>
      <c r="BI19" s="22">
        <v>900</v>
      </c>
      <c r="BJ19" s="35">
        <f>BI19+'23.03'!BJ19</f>
        <v>900</v>
      </c>
      <c r="BK19" s="22">
        <v>250</v>
      </c>
      <c r="BL19" s="35">
        <f>BK19+'23.03'!BL19</f>
        <v>250</v>
      </c>
      <c r="BM19" s="22">
        <v>0</v>
      </c>
      <c r="BN19" s="35">
        <f>BM19+'23.03'!BN19</f>
        <v>0</v>
      </c>
      <c r="BO19" s="36">
        <v>2898</v>
      </c>
      <c r="BP19" s="37">
        <v>0</v>
      </c>
      <c r="BQ19" s="35">
        <f>BP19+'23.03'!BQ19</f>
        <v>0</v>
      </c>
      <c r="BR19">
        <v>8707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211</v>
      </c>
      <c r="D20" s="31">
        <f t="shared" si="0"/>
        <v>936</v>
      </c>
      <c r="E20" s="32">
        <v>723</v>
      </c>
      <c r="F20" s="22">
        <v>121</v>
      </c>
      <c r="G20" s="23">
        <f>F20+'23.03'!G20</f>
        <v>579</v>
      </c>
      <c r="H20" s="33">
        <v>5</v>
      </c>
      <c r="I20" s="34">
        <v>38</v>
      </c>
      <c r="J20" s="23">
        <f>I20+'23.03'!J20</f>
        <v>39</v>
      </c>
      <c r="K20" s="33">
        <v>3</v>
      </c>
      <c r="L20" s="22">
        <v>0</v>
      </c>
      <c r="M20" s="23">
        <f>L20+'23.03'!M20</f>
        <v>0</v>
      </c>
      <c r="N20" s="33">
        <v>975</v>
      </c>
      <c r="O20" s="22">
        <v>0</v>
      </c>
      <c r="P20" s="23">
        <f>O20+'23.03'!P20</f>
        <v>80</v>
      </c>
      <c r="Q20" s="61">
        <v>1862</v>
      </c>
      <c r="R20" s="22"/>
      <c r="S20" s="23">
        <f>R20+'23.03'!S20</f>
        <v>42</v>
      </c>
      <c r="T20" s="33">
        <v>35</v>
      </c>
      <c r="U20" s="22">
        <v>4</v>
      </c>
      <c r="V20" s="23">
        <f>U20+'23.03'!V20</f>
        <v>11</v>
      </c>
      <c r="W20" s="33">
        <v>64</v>
      </c>
      <c r="X20" s="22">
        <v>19</v>
      </c>
      <c r="Y20" s="35">
        <f>X20+'23.03'!Y20</f>
        <v>69</v>
      </c>
      <c r="Z20" s="33">
        <v>15</v>
      </c>
      <c r="AA20" s="22">
        <v>0</v>
      </c>
      <c r="AB20" s="35">
        <f>AA20+'23.03'!AB20</f>
        <v>2</v>
      </c>
      <c r="AC20" s="33">
        <v>1546</v>
      </c>
      <c r="AD20" s="22">
        <v>29</v>
      </c>
      <c r="AE20" s="35">
        <f>AD20+'23.03'!AE20</f>
        <v>114</v>
      </c>
      <c r="AF20" s="19">
        <f t="shared" si="1"/>
        <v>8385</v>
      </c>
      <c r="AG20" s="20">
        <f t="shared" si="1"/>
        <v>35108</v>
      </c>
      <c r="AH20" s="24">
        <v>3385</v>
      </c>
      <c r="AI20" s="35">
        <f>AH20+'23.03'!AI20</f>
        <v>15445</v>
      </c>
      <c r="AJ20" s="24">
        <v>5000</v>
      </c>
      <c r="AK20" s="35">
        <f>AJ20+'23.03'!AK20</f>
        <v>18563</v>
      </c>
      <c r="AL20" s="22">
        <v>0</v>
      </c>
      <c r="AM20" s="35">
        <f>AL20+'23.03'!AM20</f>
        <v>450</v>
      </c>
      <c r="AN20" s="22">
        <v>0</v>
      </c>
      <c r="AO20" s="35">
        <f>AN20+'23.03'!AO20</f>
        <v>650</v>
      </c>
      <c r="AP20" s="28" t="s">
        <v>55</v>
      </c>
      <c r="AQ20" s="19">
        <f t="shared" si="4"/>
        <v>178</v>
      </c>
      <c r="AR20" s="20">
        <f t="shared" si="2"/>
        <v>654</v>
      </c>
      <c r="AS20" s="34">
        <v>1</v>
      </c>
      <c r="AT20" s="35">
        <f>AS20+'23.03'!AT20</f>
        <v>4</v>
      </c>
      <c r="AU20" s="34">
        <v>1</v>
      </c>
      <c r="AV20" s="35">
        <f>AU20+'23.03'!AV20</f>
        <v>3</v>
      </c>
      <c r="AW20" s="34">
        <v>0</v>
      </c>
      <c r="AX20" s="35">
        <f>AW20+'23.03'!AX20</f>
        <v>1</v>
      </c>
      <c r="AY20" s="34">
        <v>0</v>
      </c>
      <c r="AZ20" s="35">
        <f>AY20+'23.03'!AZ20</f>
        <v>0</v>
      </c>
      <c r="BA20" s="34">
        <v>176</v>
      </c>
      <c r="BB20" s="35">
        <f>BA20+'23.03'!BB20</f>
        <v>646</v>
      </c>
      <c r="BC20" s="19">
        <f t="shared" si="3"/>
        <v>8474</v>
      </c>
      <c r="BD20" s="20">
        <f t="shared" si="3"/>
        <v>26172</v>
      </c>
      <c r="BE20" s="22">
        <v>154</v>
      </c>
      <c r="BF20" s="35">
        <f>BE20+'23.03'!BF20</f>
        <v>312</v>
      </c>
      <c r="BG20" s="34">
        <v>0</v>
      </c>
      <c r="BH20" s="35">
        <f>BG20+'23.03'!BH20</f>
        <v>0</v>
      </c>
      <c r="BI20" s="22">
        <v>8000</v>
      </c>
      <c r="BJ20" s="35">
        <f>BI20+'23.03'!BJ20</f>
        <v>24250</v>
      </c>
      <c r="BK20" s="22">
        <v>320</v>
      </c>
      <c r="BL20" s="35">
        <f>BK20+'23.03'!BL20</f>
        <v>1610</v>
      </c>
      <c r="BM20" s="22">
        <v>0</v>
      </c>
      <c r="BN20" s="35">
        <f>BM20+'23.03'!BN20</f>
        <v>0</v>
      </c>
      <c r="BO20" s="36">
        <v>5854</v>
      </c>
      <c r="BP20" s="37"/>
      <c r="BQ20" s="35">
        <f>BP20+'23.03'!BQ20</f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251</v>
      </c>
      <c r="D21" s="31">
        <f t="shared" si="0"/>
        <v>1071</v>
      </c>
      <c r="E21" s="32">
        <v>1017</v>
      </c>
      <c r="F21" s="22">
        <v>150</v>
      </c>
      <c r="G21" s="23">
        <f>F21+'23.03'!G21</f>
        <v>855</v>
      </c>
      <c r="H21" s="33">
        <v>8</v>
      </c>
      <c r="I21" s="34">
        <v>1</v>
      </c>
      <c r="J21" s="23">
        <f>I21+'23.03'!J21</f>
        <v>8</v>
      </c>
      <c r="K21" s="33">
        <v>4</v>
      </c>
      <c r="L21" s="22">
        <v>0</v>
      </c>
      <c r="M21" s="23">
        <f>L21+'23.03'!M21</f>
        <v>0</v>
      </c>
      <c r="N21" s="33">
        <v>963</v>
      </c>
      <c r="O21" s="22"/>
      <c r="P21" s="23">
        <f>O21+'23.03'!P21</f>
        <v>0</v>
      </c>
      <c r="Q21" s="33">
        <v>912</v>
      </c>
      <c r="R21" s="22">
        <v>0</v>
      </c>
      <c r="S21" s="23">
        <f>R21+'23.03'!S21</f>
        <v>0</v>
      </c>
      <c r="T21" s="33">
        <v>199</v>
      </c>
      <c r="U21" s="22">
        <v>0</v>
      </c>
      <c r="V21" s="23">
        <f>U21+'23.03'!V21</f>
        <v>0</v>
      </c>
      <c r="W21" s="33">
        <v>101</v>
      </c>
      <c r="X21" s="22">
        <v>50</v>
      </c>
      <c r="Y21" s="35">
        <f>X21+'23.03'!Y21</f>
        <v>156</v>
      </c>
      <c r="Z21" s="33">
        <v>42</v>
      </c>
      <c r="AA21" s="22">
        <v>0</v>
      </c>
      <c r="AB21" s="35">
        <f>AA21+'23.03'!AB21</f>
        <v>1</v>
      </c>
      <c r="AC21" s="33">
        <v>20</v>
      </c>
      <c r="AD21" s="22">
        <v>50</v>
      </c>
      <c r="AE21" s="35">
        <f>AD21+'23.03'!AE21</f>
        <v>51</v>
      </c>
      <c r="AF21" s="19">
        <f t="shared" si="1"/>
        <v>172731</v>
      </c>
      <c r="AG21" s="20">
        <f t="shared" si="1"/>
        <v>712273</v>
      </c>
      <c r="AH21" s="24">
        <v>100</v>
      </c>
      <c r="AI21" s="35">
        <f>AH21+'23.03'!AI21</f>
        <v>2350</v>
      </c>
      <c r="AJ21" s="24">
        <v>1631</v>
      </c>
      <c r="AK21" s="35">
        <f>AJ21+'23.03'!AK21</f>
        <v>62923</v>
      </c>
      <c r="AL21" s="22">
        <v>6000</v>
      </c>
      <c r="AM21" s="35">
        <f>AL21+'23.03'!AM21</f>
        <v>28000</v>
      </c>
      <c r="AN21" s="22">
        <v>165000</v>
      </c>
      <c r="AO21" s="35">
        <f>AN21+'23.03'!AO21</f>
        <v>619000</v>
      </c>
      <c r="AP21" s="28" t="s">
        <v>58</v>
      </c>
      <c r="AQ21" s="19">
        <f t="shared" si="4"/>
        <v>31</v>
      </c>
      <c r="AR21" s="20">
        <f t="shared" si="2"/>
        <v>103</v>
      </c>
      <c r="AS21" s="34">
        <v>1</v>
      </c>
      <c r="AT21" s="35">
        <f>AS21+'23.03'!AT21</f>
        <v>2</v>
      </c>
      <c r="AU21" s="34">
        <v>2</v>
      </c>
      <c r="AV21" s="35">
        <f>AU21+'23.03'!AV21</f>
        <v>10</v>
      </c>
      <c r="AW21" s="34">
        <v>0</v>
      </c>
      <c r="AX21" s="35">
        <f>AW21+'23.03'!AX21</f>
        <v>1</v>
      </c>
      <c r="AY21" s="34">
        <v>0</v>
      </c>
      <c r="AZ21" s="35">
        <f>AY21+'23.03'!AZ21</f>
        <v>0</v>
      </c>
      <c r="BA21" s="34">
        <v>28</v>
      </c>
      <c r="BB21" s="35">
        <f>BA21+'23.03'!BB21</f>
        <v>90</v>
      </c>
      <c r="BC21" s="19">
        <f t="shared" si="3"/>
        <v>2052</v>
      </c>
      <c r="BD21" s="20">
        <f t="shared" si="3"/>
        <v>6662</v>
      </c>
      <c r="BE21" s="22"/>
      <c r="BF21" s="35">
        <f>BE21+'23.03'!BF21</f>
        <v>1139</v>
      </c>
      <c r="BG21" s="34">
        <v>0</v>
      </c>
      <c r="BH21" s="35">
        <f>BG21+'23.03'!BH21</f>
        <v>15</v>
      </c>
      <c r="BI21" s="22">
        <v>2000</v>
      </c>
      <c r="BJ21" s="35">
        <f>BI21+'23.03'!BJ21</f>
        <v>5355</v>
      </c>
      <c r="BK21" s="22">
        <v>50</v>
      </c>
      <c r="BL21" s="35">
        <f>BK21+'23.03'!BL21</f>
        <v>150</v>
      </c>
      <c r="BM21" s="22">
        <v>2</v>
      </c>
      <c r="BN21" s="35">
        <f>BM21+'23.03'!BN21</f>
        <v>3</v>
      </c>
      <c r="BO21" s="36">
        <v>68</v>
      </c>
      <c r="BP21" s="37">
        <v>1</v>
      </c>
      <c r="BQ21" s="35">
        <f>BP21+'23.03'!BQ21</f>
        <v>3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15</v>
      </c>
      <c r="D22" s="31">
        <f t="shared" si="0"/>
        <v>2193</v>
      </c>
      <c r="E22" s="32">
        <v>509</v>
      </c>
      <c r="F22" s="22">
        <v>4</v>
      </c>
      <c r="G22" s="23">
        <f>F22+'23.03'!G22</f>
        <v>429</v>
      </c>
      <c r="H22" s="33">
        <v>8</v>
      </c>
      <c r="I22" s="34">
        <v>0</v>
      </c>
      <c r="J22" s="23">
        <f>I22+'23.03'!J22</f>
        <v>249</v>
      </c>
      <c r="K22" s="33">
        <v>21</v>
      </c>
      <c r="L22" s="22">
        <v>0</v>
      </c>
      <c r="M22" s="23">
        <f>L22+'23.03'!M22</f>
        <v>0</v>
      </c>
      <c r="N22" s="33">
        <v>560</v>
      </c>
      <c r="O22" s="22">
        <v>0</v>
      </c>
      <c r="P22" s="23">
        <f>O22+'23.03'!P22</f>
        <v>0</v>
      </c>
      <c r="Q22" s="33">
        <v>375</v>
      </c>
      <c r="R22" s="22">
        <v>4</v>
      </c>
      <c r="S22" s="23">
        <f>R22+'23.03'!S22</f>
        <v>4</v>
      </c>
      <c r="T22" s="33">
        <v>165</v>
      </c>
      <c r="U22" s="22">
        <v>2</v>
      </c>
      <c r="V22" s="23">
        <f>U22+'23.03'!V22</f>
        <v>50</v>
      </c>
      <c r="W22" s="33">
        <v>28</v>
      </c>
      <c r="X22" s="22">
        <v>5</v>
      </c>
      <c r="Y22" s="35">
        <f>X22+'23.03'!Y22</f>
        <v>151</v>
      </c>
      <c r="Z22" s="33">
        <v>9</v>
      </c>
      <c r="AA22" s="22">
        <v>0</v>
      </c>
      <c r="AB22" s="35">
        <f>AA22+'23.03'!AB22</f>
        <v>2</v>
      </c>
      <c r="AC22" s="33">
        <v>112</v>
      </c>
      <c r="AD22" s="22">
        <v>0</v>
      </c>
      <c r="AE22" s="35">
        <f>AD22+'23.03'!AE22</f>
        <v>1308</v>
      </c>
      <c r="AF22" s="19">
        <f t="shared" si="1"/>
        <v>15380</v>
      </c>
      <c r="AG22" s="20">
        <f t="shared" si="1"/>
        <v>1704678</v>
      </c>
      <c r="AH22" s="24">
        <v>20</v>
      </c>
      <c r="AI22" s="35">
        <f>AH22+'23.03'!AI22</f>
        <v>919</v>
      </c>
      <c r="AJ22" s="24">
        <v>360</v>
      </c>
      <c r="AK22" s="35">
        <f>AJ22+'23.03'!AK22</f>
        <v>10818</v>
      </c>
      <c r="AL22" s="22">
        <v>2000</v>
      </c>
      <c r="AM22" s="35">
        <f>AL22+'23.03'!AM22</f>
        <v>21812</v>
      </c>
      <c r="AN22" s="22">
        <v>13000</v>
      </c>
      <c r="AO22" s="35">
        <f>AN22+'23.03'!AO22</f>
        <v>1671129</v>
      </c>
      <c r="AP22" s="28" t="s">
        <v>59</v>
      </c>
      <c r="AQ22" s="19">
        <f t="shared" si="4"/>
        <v>2</v>
      </c>
      <c r="AR22" s="20">
        <f t="shared" si="2"/>
        <v>656</v>
      </c>
      <c r="AS22" s="34">
        <v>0</v>
      </c>
      <c r="AT22" s="35">
        <f>AS22+'23.03'!AT22</f>
        <v>1</v>
      </c>
      <c r="AU22" s="34">
        <v>0</v>
      </c>
      <c r="AV22" s="35">
        <f>AU22+'23.03'!AV22</f>
        <v>1</v>
      </c>
      <c r="AW22" s="34">
        <v>0</v>
      </c>
      <c r="AX22" s="35">
        <f>AW22+'23.03'!AX22</f>
        <v>0</v>
      </c>
      <c r="AY22" s="34">
        <v>0</v>
      </c>
      <c r="AZ22" s="35">
        <f>AY22+'23.03'!AZ22</f>
        <v>0</v>
      </c>
      <c r="BA22" s="34">
        <v>2</v>
      </c>
      <c r="BB22" s="35">
        <f>BA22+'23.03'!BB22</f>
        <v>654</v>
      </c>
      <c r="BC22" s="19">
        <f t="shared" si="3"/>
        <v>383</v>
      </c>
      <c r="BD22" s="20">
        <f t="shared" si="3"/>
        <v>9963</v>
      </c>
      <c r="BE22" s="22">
        <v>1</v>
      </c>
      <c r="BF22" s="35">
        <f>BE22+'23.03'!BF22</f>
        <v>33</v>
      </c>
      <c r="BG22" s="34">
        <v>2</v>
      </c>
      <c r="BH22" s="35">
        <f>BG22+'23.03'!BH22</f>
        <v>579</v>
      </c>
      <c r="BI22" s="22">
        <v>380</v>
      </c>
      <c r="BJ22" s="35">
        <f>BI22+'23.03'!BJ22</f>
        <v>9293</v>
      </c>
      <c r="BK22" s="22">
        <v>0</v>
      </c>
      <c r="BL22" s="35">
        <f>BK22+'23.03'!BL22</f>
        <v>58</v>
      </c>
      <c r="BM22" s="22">
        <v>0</v>
      </c>
      <c r="BN22" s="35">
        <f>BM22+'23.03'!BN22</f>
        <v>0</v>
      </c>
      <c r="BO22" s="36">
        <v>26</v>
      </c>
      <c r="BP22" s="37">
        <v>1</v>
      </c>
      <c r="BQ22" s="35">
        <f>BP22+'23.03'!BQ22</f>
        <v>230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2131</v>
      </c>
      <c r="D23" s="65">
        <f t="shared" si="0"/>
        <v>11202</v>
      </c>
      <c r="E23" s="66">
        <f>+E18+E19+E22+E17+E16+E15+E14+E13+E12+E11+E10+E9+E8</f>
        <v>7282</v>
      </c>
      <c r="F23" s="67">
        <f>SUM(F8:F22)</f>
        <v>1215</v>
      </c>
      <c r="G23" s="68">
        <f>SUM(G8:G22)</f>
        <v>5849</v>
      </c>
      <c r="H23" s="66">
        <f>+H18+H19+H22+H17+H16+H15+H14+H13+H12+H11+H10+H9+H8</f>
        <v>271</v>
      </c>
      <c r="I23" s="67">
        <f>SUM(I8:I22)</f>
        <v>40</v>
      </c>
      <c r="J23" s="68">
        <f>SUM(J8:J22)</f>
        <v>306</v>
      </c>
      <c r="K23" s="66">
        <f>+K18+K19+K22+K17+K16+K15+K14+K13+K12+K11+K10+K9+K8</f>
        <v>163</v>
      </c>
      <c r="L23" s="67">
        <f>SUM(L8:L22)</f>
        <v>0</v>
      </c>
      <c r="M23" s="68">
        <f>SUM(M8:M22)</f>
        <v>0</v>
      </c>
      <c r="N23" s="66">
        <f>+N18+N19+N22+N17+N16+N15+N14+N13+N12+N11+N10+N9+N8</f>
        <v>8607</v>
      </c>
      <c r="O23" s="67">
        <f>SUM(O8:O22)</f>
        <v>46</v>
      </c>
      <c r="P23" s="68">
        <f>SUM(P8:P22)</f>
        <v>196</v>
      </c>
      <c r="Q23" s="66">
        <f>+Q18+Q19+Q22+Q17+Q16+Q15+Q14+Q13+Q12+Q11+Q10+Q9+Q8</f>
        <v>7474</v>
      </c>
      <c r="R23" s="67">
        <f>SUM(R8:R22)</f>
        <v>11</v>
      </c>
      <c r="S23" s="68">
        <f>SUM(S8:S22)</f>
        <v>53</v>
      </c>
      <c r="T23" s="66">
        <f>+T18+T19+T22+T17+T16+T15+T14+T13+T12+T11+T10+T9+T8</f>
        <v>4115</v>
      </c>
      <c r="U23" s="67">
        <f>SUM(U8:U22)</f>
        <v>8</v>
      </c>
      <c r="V23" s="68">
        <f>SUM(V8:V22)</f>
        <v>69</v>
      </c>
      <c r="W23" s="66">
        <f>+W18+W19+W22+W17+W16+W15+W14+W13+W12+W11+W10+W9+W8</f>
        <v>604</v>
      </c>
      <c r="X23" s="67">
        <f>SUM(X8:X22)</f>
        <v>481</v>
      </c>
      <c r="Y23" s="68">
        <f>SUM(Y8:Y22)</f>
        <v>2131</v>
      </c>
      <c r="Z23" s="66">
        <f>+Z18+Z19+Z22+Z17+Z16+Z15+Z14+Z13+Z12+Z11+Z10+Z9+Z8</f>
        <v>1629</v>
      </c>
      <c r="AA23" s="67">
        <f>SUM(AA8:AA22)</f>
        <v>4</v>
      </c>
      <c r="AB23" s="68">
        <f>SUM(AB8:AB22)</f>
        <v>10</v>
      </c>
      <c r="AC23" s="66">
        <f>+AC18+AC19+AC22+AC17+AC16+AC15+AC14+AC13+AC12+AC11+AC10+AC9+AC8</f>
        <v>64846</v>
      </c>
      <c r="AD23" s="67">
        <f t="shared" ref="AD23:AO23" si="5">SUM(AD8:AD22)</f>
        <v>326</v>
      </c>
      <c r="AE23" s="68">
        <f t="shared" si="5"/>
        <v>2588</v>
      </c>
      <c r="AF23" s="64">
        <f t="shared" si="5"/>
        <v>2903515</v>
      </c>
      <c r="AG23" s="64">
        <f t="shared" si="5"/>
        <v>13424311</v>
      </c>
      <c r="AH23" s="67">
        <f t="shared" si="5"/>
        <v>27787</v>
      </c>
      <c r="AI23" s="68">
        <f t="shared" si="5"/>
        <v>127392</v>
      </c>
      <c r="AJ23" s="67">
        <f t="shared" si="5"/>
        <v>64599</v>
      </c>
      <c r="AK23" s="68">
        <f t="shared" si="5"/>
        <v>326516</v>
      </c>
      <c r="AL23" s="67">
        <f t="shared" si="5"/>
        <v>559007</v>
      </c>
      <c r="AM23" s="68">
        <f t="shared" si="5"/>
        <v>2780673</v>
      </c>
      <c r="AN23" s="67">
        <f t="shared" si="5"/>
        <v>2252122</v>
      </c>
      <c r="AO23" s="68">
        <f t="shared" si="5"/>
        <v>10189730</v>
      </c>
      <c r="AP23" s="62" t="s">
        <v>12</v>
      </c>
      <c r="AQ23" s="64">
        <f t="shared" ref="AQ23:BQ23" si="6">SUM(AQ8:AQ22)</f>
        <v>401</v>
      </c>
      <c r="AR23" s="64">
        <f t="shared" si="6"/>
        <v>2230</v>
      </c>
      <c r="AS23" s="67">
        <f t="shared" si="6"/>
        <v>10</v>
      </c>
      <c r="AT23" s="68">
        <f t="shared" si="6"/>
        <v>27</v>
      </c>
      <c r="AU23" s="67">
        <f t="shared" si="6"/>
        <v>10</v>
      </c>
      <c r="AV23" s="68">
        <f t="shared" si="6"/>
        <v>30</v>
      </c>
      <c r="AW23" s="67">
        <f t="shared" si="6"/>
        <v>0</v>
      </c>
      <c r="AX23" s="68">
        <f t="shared" si="6"/>
        <v>3</v>
      </c>
      <c r="AY23" s="67">
        <f t="shared" si="6"/>
        <v>0</v>
      </c>
      <c r="AZ23" s="68">
        <f t="shared" si="6"/>
        <v>0</v>
      </c>
      <c r="BA23" s="67">
        <f t="shared" si="6"/>
        <v>381</v>
      </c>
      <c r="BB23" s="68">
        <f t="shared" si="6"/>
        <v>2170</v>
      </c>
      <c r="BC23" s="64">
        <f t="shared" si="6"/>
        <v>44509</v>
      </c>
      <c r="BD23" s="64">
        <f t="shared" si="6"/>
        <v>169621</v>
      </c>
      <c r="BE23" s="67">
        <f t="shared" si="6"/>
        <v>1392</v>
      </c>
      <c r="BF23" s="68">
        <f t="shared" si="6"/>
        <v>5379</v>
      </c>
      <c r="BG23" s="67">
        <f t="shared" si="6"/>
        <v>41</v>
      </c>
      <c r="BH23" s="68">
        <f t="shared" si="6"/>
        <v>5041</v>
      </c>
      <c r="BI23" s="67">
        <f t="shared" si="6"/>
        <v>36229</v>
      </c>
      <c r="BJ23" s="68">
        <f t="shared" si="6"/>
        <v>139949</v>
      </c>
      <c r="BK23" s="67">
        <f t="shared" si="6"/>
        <v>6845</v>
      </c>
      <c r="BL23" s="68">
        <f t="shared" si="6"/>
        <v>19241</v>
      </c>
      <c r="BM23" s="67">
        <f t="shared" si="6"/>
        <v>2</v>
      </c>
      <c r="BN23" s="68">
        <f t="shared" si="6"/>
        <v>11</v>
      </c>
      <c r="BO23" s="69">
        <f t="shared" si="6"/>
        <v>37684</v>
      </c>
      <c r="BP23" s="70">
        <f t="shared" si="6"/>
        <v>30</v>
      </c>
      <c r="BQ23" s="71">
        <f t="shared" si="6"/>
        <v>326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U23"/>
  <sheetViews>
    <sheetView topLeftCell="AX1" zoomScale="70" zoomScaleNormal="70" workbookViewId="0">
      <pane ySplit="1" topLeftCell="A2" activePane="bottomLeft" state="frozen"/>
      <selection pane="bottomLeft" activeCell="BP12" sqref="BP12"/>
    </sheetView>
  </sheetViews>
  <sheetFormatPr defaultColWidth="9" defaultRowHeight="15"/>
  <cols>
    <col min="1" max="1" width="20" customWidth="1"/>
    <col min="2" max="2" width="7.5703125" customWidth="1"/>
    <col min="3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6.85546875" customWidth="1"/>
    <col min="39" max="39" width="15.28515625" customWidth="1"/>
    <col min="40" max="41" width="12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62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32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5</v>
      </c>
      <c r="D9" s="31">
        <f t="shared" si="0"/>
        <v>12</v>
      </c>
      <c r="E9" s="32">
        <v>452</v>
      </c>
      <c r="F9" s="22">
        <v>2</v>
      </c>
      <c r="G9" s="23">
        <f>F9+'24.03'!G9</f>
        <v>5</v>
      </c>
      <c r="H9" s="33">
        <v>12</v>
      </c>
      <c r="I9" s="34">
        <v>1</v>
      </c>
      <c r="J9" s="23">
        <f>I9+'24.03'!J9</f>
        <v>2</v>
      </c>
      <c r="K9" s="33">
        <v>2</v>
      </c>
      <c r="L9" s="22">
        <v>1</v>
      </c>
      <c r="M9" s="23">
        <f>L9+'24.03'!M9</f>
        <v>1</v>
      </c>
      <c r="N9" s="33">
        <v>735</v>
      </c>
      <c r="O9" s="22">
        <v>0</v>
      </c>
      <c r="P9" s="23">
        <f>O9+'24.03'!P9</f>
        <v>1</v>
      </c>
      <c r="Q9" s="33">
        <v>502</v>
      </c>
      <c r="R9" s="22">
        <v>0</v>
      </c>
      <c r="S9" s="23">
        <f>R9+'24.03'!S9</f>
        <v>0</v>
      </c>
      <c r="T9" s="33">
        <v>197</v>
      </c>
      <c r="U9" s="22">
        <v>0</v>
      </c>
      <c r="V9" s="23">
        <f>U9+'24.03'!V9</f>
        <v>0</v>
      </c>
      <c r="W9" s="33">
        <v>47</v>
      </c>
      <c r="X9" s="22">
        <v>1</v>
      </c>
      <c r="Y9" s="35">
        <f>X9+'24.03'!Y9</f>
        <v>3</v>
      </c>
      <c r="Z9" s="33">
        <v>34</v>
      </c>
      <c r="AA9" s="22">
        <v>0</v>
      </c>
      <c r="AB9" s="35">
        <f>AA9+'24.03'!AB9</f>
        <v>0</v>
      </c>
      <c r="AC9" s="33">
        <v>1860</v>
      </c>
      <c r="AD9" s="22">
        <v>0</v>
      </c>
      <c r="AE9" s="35">
        <f>AD9+'24.03'!AE9</f>
        <v>0</v>
      </c>
      <c r="AF9" s="19">
        <f t="shared" ref="AF9:AG22" si="1">AH9+AJ9+AL9+AN9</f>
        <v>7258</v>
      </c>
      <c r="AG9" s="20">
        <f>AI9+AK9+AM9+AO9</f>
        <v>18196</v>
      </c>
      <c r="AH9" s="24">
        <v>150</v>
      </c>
      <c r="AI9" s="35">
        <f>AH9+'24.03'!AI9</f>
        <v>290</v>
      </c>
      <c r="AJ9" s="24">
        <v>408</v>
      </c>
      <c r="AK9" s="35">
        <f>AJ9+'24.03'!AK9</f>
        <v>1111</v>
      </c>
      <c r="AL9" s="22">
        <v>1600</v>
      </c>
      <c r="AM9" s="35">
        <f>AL9+'24.03'!AM9</f>
        <v>3690</v>
      </c>
      <c r="AN9" s="22">
        <v>5100</v>
      </c>
      <c r="AO9" s="35">
        <f>AN9+'24.03'!AO9</f>
        <v>13105</v>
      </c>
      <c r="AP9" s="28" t="s">
        <v>43</v>
      </c>
      <c r="AQ9" s="19">
        <f t="shared" ref="AQ9:AR22" si="2">AS9+AU9+AW9+AY9+BA9</f>
        <v>40</v>
      </c>
      <c r="AR9" s="20">
        <f t="shared" si="2"/>
        <v>138</v>
      </c>
      <c r="AS9" s="34">
        <v>0</v>
      </c>
      <c r="AT9" s="35">
        <f>AS9+'24.03'!AT9</f>
        <v>1</v>
      </c>
      <c r="AU9" s="34">
        <v>0</v>
      </c>
      <c r="AV9" s="35">
        <f>AU9+'24.03'!AV9</f>
        <v>0</v>
      </c>
      <c r="AW9" s="34">
        <v>0</v>
      </c>
      <c r="AX9" s="35">
        <f>AW9+'24.03'!AX9</f>
        <v>0</v>
      </c>
      <c r="AY9" s="34">
        <v>0</v>
      </c>
      <c r="AZ9" s="35">
        <f>AY9+'24.03'!AZ9</f>
        <v>0</v>
      </c>
      <c r="BA9" s="34">
        <v>40</v>
      </c>
      <c r="BB9" s="35">
        <f>BA9+'24.03'!BB9</f>
        <v>137</v>
      </c>
      <c r="BC9" s="19">
        <f t="shared" ref="BC9:BD22" si="3">BE9+BG9+BI9+BK9+BM9</f>
        <v>1001</v>
      </c>
      <c r="BD9" s="20">
        <f t="shared" si="3"/>
        <v>2302</v>
      </c>
      <c r="BE9" s="22">
        <v>1</v>
      </c>
      <c r="BF9" s="35">
        <f>BE9+'24.03'!BF9</f>
        <v>2</v>
      </c>
      <c r="BG9" s="34">
        <v>0</v>
      </c>
      <c r="BH9" s="35">
        <f>BG9+'24.03'!BH9</f>
        <v>0</v>
      </c>
      <c r="BI9" s="22">
        <v>1000</v>
      </c>
      <c r="BJ9" s="35">
        <f>BI9+'24.03'!BJ9</f>
        <v>2300</v>
      </c>
      <c r="BK9" s="22">
        <v>0</v>
      </c>
      <c r="BL9" s="35">
        <f>BK9+'24.03'!BL9</f>
        <v>0</v>
      </c>
      <c r="BM9" s="22">
        <v>0</v>
      </c>
      <c r="BN9" s="35">
        <f>BM9+'24.03'!BN9</f>
        <v>0</v>
      </c>
      <c r="BO9" s="36">
        <v>14</v>
      </c>
      <c r="BP9" s="37">
        <v>0</v>
      </c>
      <c r="BQ9" s="35">
        <f>BP9+'24.03'!BQ9</f>
        <v>1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180</v>
      </c>
      <c r="D10" s="31">
        <f t="shared" si="0"/>
        <v>367</v>
      </c>
      <c r="E10" s="32">
        <v>585</v>
      </c>
      <c r="F10" s="22">
        <v>17</v>
      </c>
      <c r="G10" s="23">
        <f>F10+'24.03'!G10</f>
        <v>40</v>
      </c>
      <c r="H10" s="33">
        <v>93</v>
      </c>
      <c r="I10" s="34">
        <v>4</v>
      </c>
      <c r="J10" s="23">
        <f>I10+'24.03'!J10</f>
        <v>4</v>
      </c>
      <c r="K10" s="33">
        <v>34</v>
      </c>
      <c r="L10" s="22">
        <v>0</v>
      </c>
      <c r="M10" s="23">
        <f>L10+'24.03'!M10</f>
        <v>0</v>
      </c>
      <c r="N10" s="33">
        <v>352</v>
      </c>
      <c r="O10" s="22">
        <v>5</v>
      </c>
      <c r="P10" s="23">
        <f>O10+'24.03'!P10</f>
        <v>15</v>
      </c>
      <c r="Q10" s="33">
        <v>549</v>
      </c>
      <c r="R10" s="22">
        <v>3</v>
      </c>
      <c r="S10" s="23">
        <f>R10+'24.03'!S10</f>
        <v>10</v>
      </c>
      <c r="T10" s="33">
        <v>198</v>
      </c>
      <c r="U10" s="22">
        <v>4</v>
      </c>
      <c r="V10" s="23">
        <f>U10+'24.03'!V10</f>
        <v>12</v>
      </c>
      <c r="W10" s="38">
        <v>55</v>
      </c>
      <c r="X10" s="22">
        <v>1</v>
      </c>
      <c r="Y10" s="35">
        <f>X10+'24.03'!Y10</f>
        <v>20</v>
      </c>
      <c r="Z10" s="38">
        <v>71</v>
      </c>
      <c r="AA10" s="22">
        <v>2</v>
      </c>
      <c r="AB10" s="35">
        <f>AA10+'24.03'!AB10</f>
        <v>7</v>
      </c>
      <c r="AC10" s="38">
        <v>1690</v>
      </c>
      <c r="AD10" s="22">
        <v>144</v>
      </c>
      <c r="AE10" s="35">
        <f>AD10+'24.03'!AE10</f>
        <v>259</v>
      </c>
      <c r="AF10" s="19">
        <f t="shared" si="1"/>
        <v>129091</v>
      </c>
      <c r="AG10" s="20">
        <f t="shared" si="1"/>
        <v>499475</v>
      </c>
      <c r="AH10" s="24">
        <v>1042</v>
      </c>
      <c r="AI10" s="35">
        <f>AH10+'24.03'!AI10</f>
        <v>5797</v>
      </c>
      <c r="AJ10" s="24">
        <v>6797</v>
      </c>
      <c r="AK10" s="35">
        <f>AJ10+'24.03'!AK10</f>
        <v>27132</v>
      </c>
      <c r="AL10" s="22">
        <v>19475</v>
      </c>
      <c r="AM10" s="35">
        <f>AL10+'24.03'!AM10</f>
        <v>65312</v>
      </c>
      <c r="AN10" s="22">
        <v>101777</v>
      </c>
      <c r="AO10" s="35">
        <f>AN10+'24.03'!AO10</f>
        <v>401234</v>
      </c>
      <c r="AP10" s="28" t="s">
        <v>44</v>
      </c>
      <c r="AQ10" s="19">
        <f t="shared" si="2"/>
        <v>6</v>
      </c>
      <c r="AR10" s="20">
        <f t="shared" si="2"/>
        <v>21</v>
      </c>
      <c r="AS10" s="34">
        <v>1</v>
      </c>
      <c r="AT10" s="35">
        <f>AS10+'24.03'!AT10</f>
        <v>1</v>
      </c>
      <c r="AU10" s="34">
        <v>1</v>
      </c>
      <c r="AV10" s="35">
        <f>AU10+'24.03'!AV10</f>
        <v>1</v>
      </c>
      <c r="AW10" s="34">
        <v>0</v>
      </c>
      <c r="AX10" s="35">
        <f>AW10+'24.03'!AX10</f>
        <v>0</v>
      </c>
      <c r="AY10" s="34">
        <v>0</v>
      </c>
      <c r="AZ10" s="35">
        <f>AY10+'24.03'!AZ10</f>
        <v>0</v>
      </c>
      <c r="BA10" s="34">
        <v>4</v>
      </c>
      <c r="BB10" s="35">
        <f>BA10+'24.03'!BB10</f>
        <v>19</v>
      </c>
      <c r="BC10" s="19">
        <f t="shared" si="3"/>
        <v>5099</v>
      </c>
      <c r="BD10" s="20">
        <f t="shared" si="3"/>
        <v>22930</v>
      </c>
      <c r="BE10" s="22">
        <v>603</v>
      </c>
      <c r="BF10" s="35">
        <f>BE10+'24.03'!BF10</f>
        <v>2264</v>
      </c>
      <c r="BG10" s="34">
        <v>0</v>
      </c>
      <c r="BH10" s="35">
        <f>BG10+'24.03'!BH10</f>
        <v>0</v>
      </c>
      <c r="BI10" s="22">
        <v>3496</v>
      </c>
      <c r="BJ10" s="35">
        <f>BI10+'24.03'!BJ10</f>
        <v>13592</v>
      </c>
      <c r="BK10" s="22">
        <v>1000</v>
      </c>
      <c r="BL10" s="35">
        <f>BK10+'24.03'!BL10</f>
        <v>7074</v>
      </c>
      <c r="BM10" s="22">
        <v>0</v>
      </c>
      <c r="BN10" s="35">
        <f>BM10+'24.03'!BN10</f>
        <v>0</v>
      </c>
      <c r="BO10" s="36">
        <v>32</v>
      </c>
      <c r="BP10" s="37">
        <v>1</v>
      </c>
      <c r="BQ10" s="35">
        <f>BP10+'24.03'!BQ10</f>
        <v>13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170</v>
      </c>
      <c r="D11" s="31">
        <f t="shared" si="0"/>
        <v>861</v>
      </c>
      <c r="E11" s="32">
        <v>883</v>
      </c>
      <c r="F11" s="22">
        <v>81</v>
      </c>
      <c r="G11" s="23">
        <f>F11+'24.03'!G11</f>
        <v>393</v>
      </c>
      <c r="H11" s="33">
        <v>16</v>
      </c>
      <c r="I11" s="34">
        <v>0</v>
      </c>
      <c r="J11" s="23">
        <f>I11+'24.03'!J11</f>
        <v>0</v>
      </c>
      <c r="K11" s="33">
        <v>3</v>
      </c>
      <c r="L11" s="22">
        <v>0</v>
      </c>
      <c r="M11" s="23">
        <f>L11+'24.03'!M11</f>
        <v>0</v>
      </c>
      <c r="N11" s="33">
        <v>875</v>
      </c>
      <c r="O11" s="22">
        <v>0</v>
      </c>
      <c r="P11" s="23">
        <f>O11+'24.03'!P11</f>
        <v>0</v>
      </c>
      <c r="Q11" s="33">
        <v>2424</v>
      </c>
      <c r="R11" s="22">
        <v>0</v>
      </c>
      <c r="S11" s="23">
        <f>R11+'24.03'!S11</f>
        <v>0</v>
      </c>
      <c r="T11" s="33">
        <v>69</v>
      </c>
      <c r="U11" s="22">
        <v>0</v>
      </c>
      <c r="V11" s="23">
        <f>U11+'24.03'!V11</f>
        <v>0</v>
      </c>
      <c r="W11" s="38">
        <v>133</v>
      </c>
      <c r="X11" s="22">
        <v>80</v>
      </c>
      <c r="Y11" s="35">
        <f>X11+'24.03'!Y11</f>
        <v>404</v>
      </c>
      <c r="Z11" s="38">
        <v>1116</v>
      </c>
      <c r="AA11" s="22">
        <v>0</v>
      </c>
      <c r="AB11" s="35">
        <f>AA11+'24.03'!AB11</f>
        <v>0</v>
      </c>
      <c r="AC11" s="38">
        <v>9862</v>
      </c>
      <c r="AD11" s="22">
        <v>9</v>
      </c>
      <c r="AE11" s="35">
        <f>AD11+'24.03'!AE11</f>
        <v>64</v>
      </c>
      <c r="AF11" s="19">
        <f t="shared" si="1"/>
        <v>137900</v>
      </c>
      <c r="AG11" s="20">
        <f t="shared" si="1"/>
        <v>781850</v>
      </c>
      <c r="AH11" s="24">
        <v>4500</v>
      </c>
      <c r="AI11" s="35">
        <f>AH11+'24.03'!AI11</f>
        <v>29300</v>
      </c>
      <c r="AJ11" s="24">
        <v>12400</v>
      </c>
      <c r="AK11" s="35">
        <f>AJ11+'24.03'!AK11</f>
        <v>56550</v>
      </c>
      <c r="AL11" s="22">
        <v>19000</v>
      </c>
      <c r="AM11" s="35">
        <f>AL11+'24.03'!AM11</f>
        <v>184000</v>
      </c>
      <c r="AN11" s="22">
        <v>102000</v>
      </c>
      <c r="AO11" s="35">
        <f>AN11+'24.03'!AO11</f>
        <v>512000</v>
      </c>
      <c r="AP11" s="28" t="s">
        <v>45</v>
      </c>
      <c r="AQ11" s="19">
        <f t="shared" si="2"/>
        <v>8</v>
      </c>
      <c r="AR11" s="20">
        <f t="shared" si="2"/>
        <v>42</v>
      </c>
      <c r="AS11" s="34">
        <v>0</v>
      </c>
      <c r="AT11" s="35">
        <f>AS11+'24.03'!AT11</f>
        <v>0</v>
      </c>
      <c r="AU11" s="34">
        <v>0</v>
      </c>
      <c r="AV11" s="35">
        <f>AU11+'24.03'!AV11</f>
        <v>0</v>
      </c>
      <c r="AW11" s="34">
        <v>0</v>
      </c>
      <c r="AX11" s="35">
        <f>AW11+'24.03'!AX11</f>
        <v>0</v>
      </c>
      <c r="AY11" s="34">
        <v>0</v>
      </c>
      <c r="AZ11" s="35">
        <f>AY11+'24.03'!AZ11</f>
        <v>0</v>
      </c>
      <c r="BA11" s="34">
        <v>8</v>
      </c>
      <c r="BB11" s="35">
        <f>BA11+'24.03'!BB11</f>
        <v>42</v>
      </c>
      <c r="BC11" s="19">
        <f t="shared" si="3"/>
        <v>5034</v>
      </c>
      <c r="BD11" s="20">
        <f t="shared" si="3"/>
        <v>24927</v>
      </c>
      <c r="BE11" s="22">
        <v>11</v>
      </c>
      <c r="BF11" s="35">
        <f>BE11+'24.03'!BF11</f>
        <v>66</v>
      </c>
      <c r="BG11" s="34">
        <v>5</v>
      </c>
      <c r="BH11" s="35">
        <f>BG11+'24.03'!BH11</f>
        <v>3623</v>
      </c>
      <c r="BI11" s="22">
        <v>4900</v>
      </c>
      <c r="BJ11" s="35">
        <f>BI11+'24.03'!BJ11</f>
        <v>20685</v>
      </c>
      <c r="BK11" s="22">
        <v>118</v>
      </c>
      <c r="BL11" s="35">
        <f>BK11+'24.03'!BL11</f>
        <v>553</v>
      </c>
      <c r="BM11" s="22">
        <v>0</v>
      </c>
      <c r="BN11" s="35">
        <f>BM11+'24.03'!BN11</f>
        <v>0</v>
      </c>
      <c r="BO11" s="36">
        <v>11506</v>
      </c>
      <c r="BP11" s="37"/>
      <c r="BQ11" s="35">
        <f>BP11+'24.03'!BQ11</f>
        <v>25</v>
      </c>
    </row>
    <row r="12" spans="1:70" ht="27.75" customHeight="1">
      <c r="A12" s="50" t="s">
        <v>46</v>
      </c>
      <c r="B12" s="29">
        <f t="shared" si="0"/>
        <v>30164</v>
      </c>
      <c r="C12" s="30">
        <f t="shared" si="0"/>
        <v>549</v>
      </c>
      <c r="D12" s="31">
        <f t="shared" si="0"/>
        <v>1444</v>
      </c>
      <c r="E12" s="32">
        <v>909</v>
      </c>
      <c r="F12" s="22">
        <v>290</v>
      </c>
      <c r="G12" s="23">
        <f>F12+'24.03'!G12</f>
        <v>722</v>
      </c>
      <c r="H12" s="33">
        <v>80</v>
      </c>
      <c r="I12" s="34">
        <v>9</v>
      </c>
      <c r="J12" s="23">
        <f>I12+'24.03'!J12</f>
        <v>16</v>
      </c>
      <c r="K12" s="33">
        <v>5</v>
      </c>
      <c r="L12" s="22">
        <v>0</v>
      </c>
      <c r="M12" s="23">
        <f>L12+'24.03'!M12</f>
        <v>0</v>
      </c>
      <c r="N12" s="33">
        <v>820</v>
      </c>
      <c r="O12" s="22">
        <v>152</v>
      </c>
      <c r="P12" s="23">
        <f>O12+'24.03'!P12</f>
        <v>256</v>
      </c>
      <c r="Q12" s="33">
        <v>549</v>
      </c>
      <c r="R12" s="22">
        <v>0</v>
      </c>
      <c r="S12" s="23">
        <f>R12+'24.03'!S12</f>
        <v>0</v>
      </c>
      <c r="T12" s="33">
        <v>992</v>
      </c>
      <c r="U12" s="22">
        <v>0</v>
      </c>
      <c r="V12" s="23">
        <f>U12+'24.03'!V12</f>
        <v>0</v>
      </c>
      <c r="W12" s="33">
        <v>38</v>
      </c>
      <c r="X12" s="22">
        <v>38</v>
      </c>
      <c r="Y12" s="35">
        <f>X12+'24.03'!Y12</f>
        <v>247</v>
      </c>
      <c r="Z12" s="33">
        <v>68</v>
      </c>
      <c r="AA12" s="22">
        <v>3</v>
      </c>
      <c r="AB12" s="35">
        <f>AA12+'24.03'!AB12</f>
        <v>3</v>
      </c>
      <c r="AC12" s="33">
        <v>26703</v>
      </c>
      <c r="AD12" s="22">
        <v>57</v>
      </c>
      <c r="AE12" s="35">
        <f>AD12+'24.03'!AE12</f>
        <v>200</v>
      </c>
      <c r="AF12" s="19">
        <f t="shared" si="1"/>
        <v>10411</v>
      </c>
      <c r="AG12" s="20">
        <f t="shared" si="1"/>
        <v>71412</v>
      </c>
      <c r="AH12" s="24">
        <v>1410</v>
      </c>
      <c r="AI12" s="35">
        <f>AH12+'24.03'!AI12</f>
        <v>13430</v>
      </c>
      <c r="AJ12" s="24">
        <v>3701</v>
      </c>
      <c r="AK12" s="35">
        <f>AJ12+'24.03'!AK12</f>
        <v>23882</v>
      </c>
      <c r="AL12" s="22">
        <v>0</v>
      </c>
      <c r="AM12" s="35">
        <f>AL12+'24.03'!AM12</f>
        <v>22450</v>
      </c>
      <c r="AN12" s="22">
        <v>5300</v>
      </c>
      <c r="AO12" s="35">
        <f>AN12+'24.03'!AO12</f>
        <v>11650</v>
      </c>
      <c r="AP12" s="28" t="s">
        <v>46</v>
      </c>
      <c r="AQ12" s="19">
        <f t="shared" si="2"/>
        <v>8</v>
      </c>
      <c r="AR12" s="20">
        <f t="shared" si="2"/>
        <v>161</v>
      </c>
      <c r="AS12" s="34">
        <v>0</v>
      </c>
      <c r="AT12" s="35">
        <f>AS12+'24.03'!AT12</f>
        <v>1</v>
      </c>
      <c r="AU12" s="34">
        <v>0</v>
      </c>
      <c r="AV12" s="35">
        <f>AU12+'24.03'!AV12</f>
        <v>2</v>
      </c>
      <c r="AW12" s="34">
        <v>0</v>
      </c>
      <c r="AX12" s="35">
        <f>AW12+'24.03'!AX12</f>
        <v>0</v>
      </c>
      <c r="AY12" s="34">
        <v>0</v>
      </c>
      <c r="AZ12" s="35">
        <f>AY12+'24.03'!AZ12</f>
        <v>0</v>
      </c>
      <c r="BA12" s="34">
        <v>8</v>
      </c>
      <c r="BB12" s="35">
        <f>BA12+'24.03'!BB12</f>
        <v>158</v>
      </c>
      <c r="BC12" s="19">
        <f t="shared" si="3"/>
        <v>1922</v>
      </c>
      <c r="BD12" s="20">
        <f t="shared" si="3"/>
        <v>10698</v>
      </c>
      <c r="BE12" s="22">
        <v>11</v>
      </c>
      <c r="BF12" s="35">
        <f>BE12+'24.03'!BF12</f>
        <v>160</v>
      </c>
      <c r="BG12" s="34">
        <v>11</v>
      </c>
      <c r="BH12" s="35">
        <f>BG12+'24.03'!BH12</f>
        <v>55</v>
      </c>
      <c r="BI12" s="22">
        <v>1650</v>
      </c>
      <c r="BJ12" s="35">
        <f>BI12+'24.03'!BJ12</f>
        <v>9001</v>
      </c>
      <c r="BK12" s="22">
        <v>250</v>
      </c>
      <c r="BL12" s="35">
        <f>BK12+'24.03'!BL12</f>
        <v>1482</v>
      </c>
      <c r="BM12" s="22">
        <v>0</v>
      </c>
      <c r="BN12" s="35">
        <f>BM12+'24.03'!BN12</f>
        <v>0</v>
      </c>
      <c r="BO12" s="36"/>
      <c r="BP12" s="37">
        <v>1</v>
      </c>
      <c r="BQ12" s="35">
        <f>BP12+'24.03'!BQ12</f>
        <v>8</v>
      </c>
    </row>
    <row r="13" spans="1:70" ht="27.75" customHeight="1">
      <c r="A13" s="28" t="s">
        <v>47</v>
      </c>
      <c r="B13" s="29">
        <f t="shared" si="0"/>
        <v>2044</v>
      </c>
      <c r="C13" s="30">
        <f t="shared" si="0"/>
        <v>4</v>
      </c>
      <c r="D13" s="31">
        <f t="shared" si="0"/>
        <v>103</v>
      </c>
      <c r="E13" s="32">
        <v>516</v>
      </c>
      <c r="F13" s="22">
        <v>2</v>
      </c>
      <c r="G13" s="23">
        <f>F13+'24.03'!G13</f>
        <v>49</v>
      </c>
      <c r="H13" s="33">
        <v>10</v>
      </c>
      <c r="I13" s="34">
        <v>0</v>
      </c>
      <c r="J13" s="23">
        <f>I13+'24.03'!J13</f>
        <v>2</v>
      </c>
      <c r="K13" s="33">
        <v>38</v>
      </c>
      <c r="L13" s="22">
        <v>0</v>
      </c>
      <c r="M13" s="23">
        <f>L13+'24.03'!M13</f>
        <v>0</v>
      </c>
      <c r="N13" s="33">
        <v>581</v>
      </c>
      <c r="O13" s="22">
        <v>0</v>
      </c>
      <c r="P13" s="23">
        <f>O13+'24.03'!P13</f>
        <v>1</v>
      </c>
      <c r="Q13" s="33">
        <v>525</v>
      </c>
      <c r="R13" s="22">
        <v>0</v>
      </c>
      <c r="S13" s="23">
        <f>R13+'24.03'!S13</f>
        <v>0</v>
      </c>
      <c r="T13" s="33">
        <v>263</v>
      </c>
      <c r="U13" s="22">
        <v>0</v>
      </c>
      <c r="V13" s="23">
        <f>U13+'24.03'!V13</f>
        <v>0</v>
      </c>
      <c r="W13" s="33">
        <v>43</v>
      </c>
      <c r="X13" s="22">
        <v>0</v>
      </c>
      <c r="Y13" s="35">
        <f>X13+'24.03'!Y13</f>
        <v>2</v>
      </c>
      <c r="Z13" s="33">
        <v>17</v>
      </c>
      <c r="AA13" s="22">
        <v>0</v>
      </c>
      <c r="AB13" s="35">
        <f>AA13+'24.03'!AB13</f>
        <v>0</v>
      </c>
      <c r="AC13" s="33">
        <v>51</v>
      </c>
      <c r="AD13" s="22">
        <v>2</v>
      </c>
      <c r="AE13" s="35">
        <f>AD13+'24.03'!AE13</f>
        <v>49</v>
      </c>
      <c r="AF13" s="19">
        <f t="shared" si="1"/>
        <v>325000</v>
      </c>
      <c r="AG13" s="20">
        <f t="shared" si="1"/>
        <v>1529200</v>
      </c>
      <c r="AH13" s="24">
        <v>1000</v>
      </c>
      <c r="AI13" s="35">
        <f>AH13+'24.03'!AI13</f>
        <v>8500</v>
      </c>
      <c r="AJ13" s="24">
        <v>4000</v>
      </c>
      <c r="AK13" s="35">
        <f>AJ13+'24.03'!AK13</f>
        <v>40700</v>
      </c>
      <c r="AL13" s="22">
        <v>20000</v>
      </c>
      <c r="AM13" s="35">
        <f>AL13+'24.03'!AM13</f>
        <v>100000</v>
      </c>
      <c r="AN13" s="22">
        <v>300000</v>
      </c>
      <c r="AO13" s="35">
        <f>AN13+'24.03'!AO13</f>
        <v>1380000</v>
      </c>
      <c r="AP13" s="28" t="s">
        <v>47</v>
      </c>
      <c r="AQ13" s="19">
        <f t="shared" si="2"/>
        <v>102</v>
      </c>
      <c r="AR13" s="20">
        <f t="shared" si="2"/>
        <v>254</v>
      </c>
      <c r="AS13" s="34">
        <v>1</v>
      </c>
      <c r="AT13" s="35">
        <f>AS13+'24.03'!AT13</f>
        <v>5</v>
      </c>
      <c r="AU13" s="34">
        <v>1</v>
      </c>
      <c r="AV13" s="35">
        <f>AU13+'24.03'!AV13</f>
        <v>7</v>
      </c>
      <c r="AW13" s="34">
        <v>0</v>
      </c>
      <c r="AX13" s="35">
        <f>AW13+'24.03'!AX13</f>
        <v>0</v>
      </c>
      <c r="AY13" s="34">
        <v>0</v>
      </c>
      <c r="AZ13" s="35">
        <f>AY13+'24.03'!AZ13</f>
        <v>0</v>
      </c>
      <c r="BA13" s="34">
        <v>100</v>
      </c>
      <c r="BB13" s="35">
        <f>BA13+'24.03'!BB13</f>
        <v>242</v>
      </c>
      <c r="BC13" s="19">
        <f t="shared" si="3"/>
        <v>4750</v>
      </c>
      <c r="BD13" s="20">
        <f t="shared" si="3"/>
        <v>37341</v>
      </c>
      <c r="BE13" s="22">
        <v>1200</v>
      </c>
      <c r="BF13" s="35">
        <f>BE13+'24.03'!BF13</f>
        <v>2437</v>
      </c>
      <c r="BG13" s="34">
        <v>0</v>
      </c>
      <c r="BH13" s="35">
        <f>BG13+'24.03'!BH13</f>
        <v>54</v>
      </c>
      <c r="BI13" s="22">
        <v>3500</v>
      </c>
      <c r="BJ13" s="35">
        <f>BI13+'24.03'!BJ13</f>
        <v>31500</v>
      </c>
      <c r="BK13" s="22">
        <v>50</v>
      </c>
      <c r="BL13" s="35">
        <f>BK13+'24.03'!BL13</f>
        <v>3350</v>
      </c>
      <c r="BM13" s="22">
        <v>0</v>
      </c>
      <c r="BN13" s="35">
        <f>BM13+'24.03'!BN13</f>
        <v>0</v>
      </c>
      <c r="BO13" s="36"/>
      <c r="BP13" s="37">
        <v>0</v>
      </c>
      <c r="BQ13" s="35">
        <f>BP13+'24.03'!BQ13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132</v>
      </c>
      <c r="D14" s="42">
        <f t="shared" si="0"/>
        <v>623</v>
      </c>
      <c r="E14" s="43">
        <v>304</v>
      </c>
      <c r="F14" s="22">
        <v>84</v>
      </c>
      <c r="G14" s="23">
        <f>F14+'24.03'!G14</f>
        <v>444</v>
      </c>
      <c r="H14" s="44">
        <v>5</v>
      </c>
      <c r="I14" s="45">
        <v>0</v>
      </c>
      <c r="J14" s="23">
        <f>I14+'24.03'!J14</f>
        <v>0</v>
      </c>
      <c r="K14" s="44">
        <v>34</v>
      </c>
      <c r="L14" s="22">
        <v>0</v>
      </c>
      <c r="M14" s="23">
        <f>L14+'24.03'!M14</f>
        <v>0</v>
      </c>
      <c r="N14" s="44">
        <v>583</v>
      </c>
      <c r="O14" s="22">
        <v>0</v>
      </c>
      <c r="P14" s="23">
        <f>O14+'24.03'!P14</f>
        <v>0</v>
      </c>
      <c r="Q14" s="44">
        <v>254</v>
      </c>
      <c r="R14" s="22">
        <v>0</v>
      </c>
      <c r="S14" s="23">
        <f>R14+'24.03'!S14</f>
        <v>0</v>
      </c>
      <c r="T14" s="44">
        <v>196</v>
      </c>
      <c r="U14" s="22">
        <v>0</v>
      </c>
      <c r="V14" s="23">
        <f>U14+'24.03'!V14</f>
        <v>0</v>
      </c>
      <c r="W14" s="44">
        <v>30</v>
      </c>
      <c r="X14" s="22">
        <v>41</v>
      </c>
      <c r="Y14" s="35">
        <f>X14+'24.03'!Y14</f>
        <v>149</v>
      </c>
      <c r="Z14" s="44">
        <v>10</v>
      </c>
      <c r="AA14" s="22">
        <v>0</v>
      </c>
      <c r="AB14" s="35">
        <f>AA14+'24.03'!AB14</f>
        <v>0</v>
      </c>
      <c r="AC14" s="44">
        <v>2500</v>
      </c>
      <c r="AD14" s="22">
        <v>7</v>
      </c>
      <c r="AE14" s="35">
        <f>AD14+'24.03'!AE14</f>
        <v>30</v>
      </c>
      <c r="AF14" s="19">
        <f t="shared" si="1"/>
        <v>171180</v>
      </c>
      <c r="AG14" s="20">
        <f t="shared" si="1"/>
        <v>983770</v>
      </c>
      <c r="AH14" s="24">
        <v>6250</v>
      </c>
      <c r="AI14" s="35">
        <f>AH14+'24.03'!AI14</f>
        <v>20510</v>
      </c>
      <c r="AJ14" s="24">
        <v>10130</v>
      </c>
      <c r="AK14" s="35">
        <f>AJ14+'24.03'!AK14</f>
        <v>49860</v>
      </c>
      <c r="AL14" s="46">
        <v>19300</v>
      </c>
      <c r="AM14" s="47">
        <f>AL14+'24.03'!AM14</f>
        <v>87420</v>
      </c>
      <c r="AN14" s="46">
        <v>135500</v>
      </c>
      <c r="AO14" s="47">
        <f>AN14+'24.03'!AO14</f>
        <v>825980</v>
      </c>
      <c r="AP14" s="39" t="s">
        <v>48</v>
      </c>
      <c r="AQ14" s="19">
        <f t="shared" si="2"/>
        <v>9</v>
      </c>
      <c r="AR14" s="20">
        <f t="shared" si="2"/>
        <v>36</v>
      </c>
      <c r="AS14" s="45">
        <v>0</v>
      </c>
      <c r="AT14" s="35">
        <f>AS14+'24.03'!AT14</f>
        <v>1</v>
      </c>
      <c r="AU14" s="45">
        <v>0</v>
      </c>
      <c r="AV14" s="35">
        <f>AU14+'24.03'!AV14</f>
        <v>0</v>
      </c>
      <c r="AW14" s="45">
        <v>1</v>
      </c>
      <c r="AX14" s="35">
        <f>AW14+'24.03'!AX14</f>
        <v>2</v>
      </c>
      <c r="AY14" s="45">
        <v>0</v>
      </c>
      <c r="AZ14" s="35">
        <f>AY14+'24.03'!AZ14</f>
        <v>0</v>
      </c>
      <c r="BA14" s="45">
        <v>8</v>
      </c>
      <c r="BB14" s="35">
        <f>BA14+'24.03'!BB14</f>
        <v>33</v>
      </c>
      <c r="BC14" s="19">
        <f t="shared" si="3"/>
        <v>3630</v>
      </c>
      <c r="BD14" s="20">
        <f t="shared" si="3"/>
        <v>16070</v>
      </c>
      <c r="BE14" s="22">
        <v>15</v>
      </c>
      <c r="BF14" s="35">
        <f>BE14+'24.03'!BF14</f>
        <v>27</v>
      </c>
      <c r="BG14" s="45">
        <v>5</v>
      </c>
      <c r="BH14" s="35">
        <f>BG14+'24.03'!BH14</f>
        <v>28</v>
      </c>
      <c r="BI14" s="22">
        <v>3400</v>
      </c>
      <c r="BJ14" s="35">
        <f>BI14+'24.03'!BJ14</f>
        <v>15240</v>
      </c>
      <c r="BK14" s="22">
        <v>210</v>
      </c>
      <c r="BL14" s="35">
        <f>BK14+'24.03'!BL14</f>
        <v>775</v>
      </c>
      <c r="BM14" s="22">
        <v>0</v>
      </c>
      <c r="BN14" s="35">
        <f>BM14+'24.03'!BN14</f>
        <v>0</v>
      </c>
      <c r="BO14" s="48">
        <v>2</v>
      </c>
      <c r="BP14" s="49">
        <v>0</v>
      </c>
      <c r="BQ14" s="35">
        <f>BP14+'24.03'!BQ14</f>
        <v>2</v>
      </c>
    </row>
    <row r="15" spans="1:70" s="1" customFormat="1" ht="27.75" customHeight="1">
      <c r="A15" s="50" t="s">
        <v>49</v>
      </c>
      <c r="B15" s="51">
        <f t="shared" si="0"/>
        <v>3897</v>
      </c>
      <c r="C15" s="52">
        <f t="shared" si="0"/>
        <v>325</v>
      </c>
      <c r="D15" s="53">
        <f t="shared" si="0"/>
        <v>1544</v>
      </c>
      <c r="E15" s="54">
        <v>776</v>
      </c>
      <c r="F15" s="55">
        <v>224</v>
      </c>
      <c r="G15" s="23">
        <f>F15+'24.03'!G15</f>
        <v>1086</v>
      </c>
      <c r="H15" s="56">
        <v>9</v>
      </c>
      <c r="I15" s="57">
        <v>0</v>
      </c>
      <c r="J15" s="23">
        <f>I15+'24.03'!J15</f>
        <v>0</v>
      </c>
      <c r="K15" s="56">
        <v>6</v>
      </c>
      <c r="L15" s="55">
        <v>0</v>
      </c>
      <c r="M15" s="23">
        <f>L15+'24.03'!M15</f>
        <v>0</v>
      </c>
      <c r="N15" s="56">
        <v>1305</v>
      </c>
      <c r="O15" s="55">
        <v>0</v>
      </c>
      <c r="P15" s="23">
        <f>O15+'24.03'!P15</f>
        <v>0</v>
      </c>
      <c r="Q15" s="56">
        <v>447</v>
      </c>
      <c r="R15" s="55">
        <v>0</v>
      </c>
      <c r="S15" s="23">
        <f>R15+'24.03'!S15</f>
        <v>0</v>
      </c>
      <c r="T15" s="56">
        <v>337</v>
      </c>
      <c r="U15" s="55">
        <v>0</v>
      </c>
      <c r="V15" s="23">
        <f>U15+'24.03'!V15</f>
        <v>0</v>
      </c>
      <c r="W15" s="56">
        <v>78</v>
      </c>
      <c r="X15" s="55">
        <v>0</v>
      </c>
      <c r="Y15" s="35">
        <f>X15+'24.03'!Y15</f>
        <v>0</v>
      </c>
      <c r="Z15" s="56">
        <v>141</v>
      </c>
      <c r="AA15" s="55">
        <v>0</v>
      </c>
      <c r="AB15" s="35">
        <f>AA15+'24.03'!AB15</f>
        <v>0</v>
      </c>
      <c r="AC15" s="56">
        <v>798</v>
      </c>
      <c r="AD15" s="55">
        <v>101</v>
      </c>
      <c r="AE15" s="35">
        <f>AD15+'24.03'!AE15</f>
        <v>458</v>
      </c>
      <c r="AF15" s="58">
        <f t="shared" si="1"/>
        <v>1430380</v>
      </c>
      <c r="AG15" s="59">
        <f t="shared" si="1"/>
        <v>6663938</v>
      </c>
      <c r="AH15" s="60">
        <v>990</v>
      </c>
      <c r="AI15" s="35">
        <f>AH15+'24.03'!AI15</f>
        <v>4851</v>
      </c>
      <c r="AJ15" s="60">
        <v>2236</v>
      </c>
      <c r="AK15" s="35">
        <f>AJ15+'24.03'!AK15</f>
        <v>6255</v>
      </c>
      <c r="AL15" s="55">
        <v>1000000</v>
      </c>
      <c r="AM15" s="35">
        <f>AL15+'24.03'!AM15</f>
        <v>3004839</v>
      </c>
      <c r="AN15" s="55">
        <v>427154</v>
      </c>
      <c r="AO15" s="35">
        <f>AN15+'24.03'!AO15</f>
        <v>3647993</v>
      </c>
      <c r="AP15" s="50" t="s">
        <v>49</v>
      </c>
      <c r="AQ15" s="58">
        <f t="shared" si="2"/>
        <v>2</v>
      </c>
      <c r="AR15" s="59">
        <f t="shared" si="2"/>
        <v>6</v>
      </c>
      <c r="AS15" s="57">
        <v>0</v>
      </c>
      <c r="AT15" s="35">
        <f>AS15+'24.03'!AT15</f>
        <v>0</v>
      </c>
      <c r="AU15" s="57">
        <v>0</v>
      </c>
      <c r="AV15" s="35">
        <f>AU15+'24.03'!AV15</f>
        <v>0</v>
      </c>
      <c r="AW15" s="57">
        <v>0</v>
      </c>
      <c r="AX15" s="35">
        <f>AW15+'24.03'!AX15</f>
        <v>0</v>
      </c>
      <c r="AY15" s="57">
        <v>0</v>
      </c>
      <c r="AZ15" s="35">
        <f>AY15+'24.03'!AZ15</f>
        <v>0</v>
      </c>
      <c r="BA15" s="57">
        <v>2</v>
      </c>
      <c r="BB15" s="35">
        <f>BA15+'24.03'!BB15</f>
        <v>6</v>
      </c>
      <c r="BC15" s="58">
        <f t="shared" si="3"/>
        <v>1680</v>
      </c>
      <c r="BD15" s="59">
        <f t="shared" si="3"/>
        <v>9696</v>
      </c>
      <c r="BE15" s="55">
        <v>80</v>
      </c>
      <c r="BF15" s="35">
        <f>BE15+'24.03'!BF15</f>
        <v>218</v>
      </c>
      <c r="BG15" s="57">
        <v>0</v>
      </c>
      <c r="BH15" s="35">
        <f>BG15+'24.03'!BH15</f>
        <v>653</v>
      </c>
      <c r="BI15" s="55">
        <v>800</v>
      </c>
      <c r="BJ15" s="35">
        <f>BI15+'24.03'!BJ15</f>
        <v>4735</v>
      </c>
      <c r="BK15" s="55">
        <v>800</v>
      </c>
      <c r="BL15" s="35">
        <f>BK15+'24.03'!BL15</f>
        <v>4090</v>
      </c>
      <c r="BM15" s="55"/>
      <c r="BN15" s="35">
        <f>BM15+'24.03'!BN15</f>
        <v>0</v>
      </c>
      <c r="BO15" s="36">
        <v>6274</v>
      </c>
      <c r="BP15" s="37">
        <v>2</v>
      </c>
      <c r="BQ15" s="35">
        <f>BP15+'24.03'!BQ15</f>
        <v>16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193</v>
      </c>
      <c r="D16" s="31">
        <f t="shared" si="0"/>
        <v>838</v>
      </c>
      <c r="E16" s="32">
        <v>310</v>
      </c>
      <c r="F16" s="22">
        <v>41</v>
      </c>
      <c r="G16" s="23">
        <f>F16+'24.03'!G16</f>
        <v>215</v>
      </c>
      <c r="H16" s="33">
        <v>5</v>
      </c>
      <c r="I16" s="34">
        <v>0</v>
      </c>
      <c r="J16" s="23">
        <f>I16+'24.03'!J16</f>
        <v>0</v>
      </c>
      <c r="K16" s="33">
        <v>3</v>
      </c>
      <c r="L16" s="22">
        <v>0</v>
      </c>
      <c r="M16" s="23">
        <f>L16+'24.03'!M16</f>
        <v>0</v>
      </c>
      <c r="N16" s="33">
        <v>384</v>
      </c>
      <c r="O16" s="22">
        <v>0</v>
      </c>
      <c r="P16" s="23">
        <f>O16+'24.03'!P16</f>
        <v>0</v>
      </c>
      <c r="Q16" s="33">
        <v>245</v>
      </c>
      <c r="R16" s="22">
        <v>0</v>
      </c>
      <c r="S16" s="23">
        <f>R16+'24.03'!S16</f>
        <v>0</v>
      </c>
      <c r="T16" s="33">
        <v>397</v>
      </c>
      <c r="U16" s="22">
        <v>0</v>
      </c>
      <c r="V16" s="23">
        <f>U16+'24.03'!V16</f>
        <v>0</v>
      </c>
      <c r="W16" s="33">
        <v>24</v>
      </c>
      <c r="X16" s="22">
        <v>64</v>
      </c>
      <c r="Y16" s="35">
        <f>X16+'24.03'!Y16</f>
        <v>281</v>
      </c>
      <c r="Z16" s="33">
        <v>18</v>
      </c>
      <c r="AA16" s="22">
        <v>0</v>
      </c>
      <c r="AB16" s="35">
        <f>AA16+'24.03'!AB16</f>
        <v>0</v>
      </c>
      <c r="AC16" s="33">
        <v>18515</v>
      </c>
      <c r="AD16" s="22">
        <v>88</v>
      </c>
      <c r="AE16" s="35">
        <f>AD16+'24.03'!AE16</f>
        <v>342</v>
      </c>
      <c r="AF16" s="19">
        <f t="shared" si="1"/>
        <v>126630</v>
      </c>
      <c r="AG16" s="20">
        <f t="shared" si="1"/>
        <v>439917</v>
      </c>
      <c r="AH16" s="24">
        <v>250</v>
      </c>
      <c r="AI16" s="35">
        <f>AH16+'24.03'!AI16</f>
        <v>1480</v>
      </c>
      <c r="AJ16" s="24">
        <v>1130</v>
      </c>
      <c r="AK16" s="35">
        <f>AJ16+'24.03'!AK16</f>
        <v>5527</v>
      </c>
      <c r="AL16" s="22">
        <v>5250</v>
      </c>
      <c r="AM16" s="35">
        <f>AL16+'24.03'!AM16</f>
        <v>21480</v>
      </c>
      <c r="AN16" s="22">
        <v>120000</v>
      </c>
      <c r="AO16" s="35">
        <f>AN16+'24.03'!AO16</f>
        <v>411430</v>
      </c>
      <c r="AP16" s="28" t="s">
        <v>51</v>
      </c>
      <c r="AQ16" s="19">
        <f t="shared" si="2"/>
        <v>47</v>
      </c>
      <c r="AR16" s="20">
        <f t="shared" si="2"/>
        <v>279</v>
      </c>
      <c r="AS16" s="34">
        <v>0</v>
      </c>
      <c r="AT16" s="35">
        <f>AS16+'24.03'!AT16</f>
        <v>0</v>
      </c>
      <c r="AU16" s="34">
        <v>0</v>
      </c>
      <c r="AV16" s="35">
        <f>AU16+'24.03'!AV16</f>
        <v>0</v>
      </c>
      <c r="AW16" s="34">
        <v>0</v>
      </c>
      <c r="AX16" s="35">
        <f>AW16+'24.03'!AX16</f>
        <v>0</v>
      </c>
      <c r="AY16" s="34">
        <v>0</v>
      </c>
      <c r="AZ16" s="35">
        <f>AY16+'24.03'!AZ16</f>
        <v>0</v>
      </c>
      <c r="BA16" s="34">
        <v>47</v>
      </c>
      <c r="BB16" s="35">
        <f>BA16+'24.03'!BB16</f>
        <v>279</v>
      </c>
      <c r="BC16" s="19">
        <f t="shared" si="3"/>
        <v>1162</v>
      </c>
      <c r="BD16" s="20">
        <f t="shared" si="3"/>
        <v>6579</v>
      </c>
      <c r="BE16" s="22">
        <v>27</v>
      </c>
      <c r="BF16" s="35">
        <f>BE16+'24.03'!BF16</f>
        <v>513</v>
      </c>
      <c r="BG16" s="34">
        <v>15</v>
      </c>
      <c r="BH16" s="35">
        <f>BG16+'24.03'!BH16</f>
        <v>31</v>
      </c>
      <c r="BI16" s="22">
        <v>1120</v>
      </c>
      <c r="BJ16" s="35">
        <f>BI16+'24.03'!BJ16</f>
        <v>5435</v>
      </c>
      <c r="BK16" s="22">
        <v>0</v>
      </c>
      <c r="BL16" s="35">
        <f>BK16+'24.03'!BL16</f>
        <v>600</v>
      </c>
      <c r="BM16" s="22">
        <v>0</v>
      </c>
      <c r="BN16" s="35">
        <f>BM16+'24.03'!BN16</f>
        <v>0</v>
      </c>
      <c r="BO16" s="36">
        <v>2546</v>
      </c>
      <c r="BP16" s="37">
        <v>0</v>
      </c>
      <c r="BQ16" s="35">
        <f>BP16+'24.03'!BQ16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214</v>
      </c>
      <c r="D17" s="31">
        <f t="shared" si="0"/>
        <v>1030</v>
      </c>
      <c r="E17" s="32">
        <v>754</v>
      </c>
      <c r="F17" s="22">
        <v>170</v>
      </c>
      <c r="G17" s="23">
        <f>F17+'24.03'!G17</f>
        <v>689</v>
      </c>
      <c r="H17" s="33">
        <v>9</v>
      </c>
      <c r="I17" s="34">
        <v>0</v>
      </c>
      <c r="J17" s="23">
        <f>I17+'24.03'!J17</f>
        <v>0</v>
      </c>
      <c r="K17" s="33">
        <v>5</v>
      </c>
      <c r="L17" s="22">
        <v>0</v>
      </c>
      <c r="M17" s="23">
        <f>L17+'24.03'!M17</f>
        <v>0</v>
      </c>
      <c r="N17" s="33">
        <v>768</v>
      </c>
      <c r="O17" s="22">
        <v>0</v>
      </c>
      <c r="P17" s="23">
        <f>O17+'24.03'!P17</f>
        <v>0</v>
      </c>
      <c r="Q17" s="33">
        <v>624</v>
      </c>
      <c r="R17" s="22">
        <v>0</v>
      </c>
      <c r="S17" s="23">
        <f>R17+'24.03'!S17</f>
        <v>0</v>
      </c>
      <c r="T17" s="33">
        <v>742</v>
      </c>
      <c r="U17" s="22">
        <v>0</v>
      </c>
      <c r="V17" s="23">
        <f>U17+'24.03'!V17</f>
        <v>0</v>
      </c>
      <c r="W17" s="33">
        <v>54</v>
      </c>
      <c r="X17" s="22">
        <v>33</v>
      </c>
      <c r="Y17" s="35">
        <f>X17+'24.03'!Y17</f>
        <v>240</v>
      </c>
      <c r="Z17" s="33">
        <v>66</v>
      </c>
      <c r="AA17" s="22">
        <v>0</v>
      </c>
      <c r="AB17" s="35">
        <f>AA17+'24.03'!AB17</f>
        <v>0</v>
      </c>
      <c r="AC17" s="33">
        <v>2580</v>
      </c>
      <c r="AD17" s="22">
        <v>11</v>
      </c>
      <c r="AE17" s="35">
        <f>AD17+'24.03'!AE17</f>
        <v>101</v>
      </c>
      <c r="AF17" s="19">
        <f t="shared" si="1"/>
        <v>238700</v>
      </c>
      <c r="AG17" s="20">
        <f t="shared" si="1"/>
        <v>1002000</v>
      </c>
      <c r="AH17" s="24">
        <v>8700</v>
      </c>
      <c r="AI17" s="35">
        <f>AH17+'24.03'!AI17</f>
        <v>44200</v>
      </c>
      <c r="AJ17" s="24">
        <v>10000</v>
      </c>
      <c r="AK17" s="35">
        <f>AJ17+'24.03'!AK17</f>
        <v>52800</v>
      </c>
      <c r="AL17" s="22">
        <v>110000</v>
      </c>
      <c r="AM17" s="35">
        <f>AL17+'24.03'!AM17</f>
        <v>383000</v>
      </c>
      <c r="AN17" s="22">
        <v>110000</v>
      </c>
      <c r="AO17" s="35">
        <f>AN17+'24.03'!AO17</f>
        <v>522000</v>
      </c>
      <c r="AP17" s="28" t="s">
        <v>52</v>
      </c>
      <c r="AQ17" s="19">
        <f t="shared" si="2"/>
        <v>19</v>
      </c>
      <c r="AR17" s="20">
        <f t="shared" si="2"/>
        <v>81</v>
      </c>
      <c r="AS17" s="34">
        <v>4</v>
      </c>
      <c r="AT17" s="35">
        <f>AS17+'24.03'!AT17</f>
        <v>13</v>
      </c>
      <c r="AU17" s="34">
        <v>4</v>
      </c>
      <c r="AV17" s="35">
        <f>AU17+'24.03'!AV17</f>
        <v>12</v>
      </c>
      <c r="AW17" s="34">
        <v>0</v>
      </c>
      <c r="AX17" s="35">
        <f>AW17+'24.03'!AX17</f>
        <v>0</v>
      </c>
      <c r="AY17" s="34">
        <v>0</v>
      </c>
      <c r="AZ17" s="35">
        <f>AY17+'24.03'!AZ17</f>
        <v>0</v>
      </c>
      <c r="BA17" s="34">
        <v>11</v>
      </c>
      <c r="BB17" s="35">
        <f>BA17+'24.03'!BB17</f>
        <v>56</v>
      </c>
      <c r="BC17" s="19">
        <f t="shared" si="3"/>
        <v>2711</v>
      </c>
      <c r="BD17" s="20">
        <f t="shared" si="3"/>
        <v>12751</v>
      </c>
      <c r="BE17" s="22">
        <v>30</v>
      </c>
      <c r="BF17" s="35">
        <f>BE17+'24.03'!BF17</f>
        <v>158</v>
      </c>
      <c r="BG17" s="34">
        <v>11</v>
      </c>
      <c r="BH17" s="35">
        <f>BG17+'24.03'!BH17</f>
        <v>48</v>
      </c>
      <c r="BI17" s="22">
        <v>2500</v>
      </c>
      <c r="BJ17" s="35">
        <f>BI17+'24.03'!BJ17</f>
        <v>11700</v>
      </c>
      <c r="BK17" s="22">
        <v>170</v>
      </c>
      <c r="BL17" s="35">
        <f>BK17+'24.03'!BL17</f>
        <v>845</v>
      </c>
      <c r="BM17" s="22">
        <v>0</v>
      </c>
      <c r="BN17" s="35">
        <f>BM17+'24.03'!BN17</f>
        <v>0</v>
      </c>
      <c r="BO17" s="36">
        <v>8022</v>
      </c>
      <c r="BP17" s="37">
        <v>13</v>
      </c>
      <c r="BQ17" s="35">
        <f>BP17+'24.03'!BQ17</f>
        <v>41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496</v>
      </c>
      <c r="D18" s="20">
        <f t="shared" si="0"/>
        <v>2393</v>
      </c>
      <c r="E18" s="21">
        <v>1063</v>
      </c>
      <c r="F18" s="22">
        <v>297</v>
      </c>
      <c r="G18" s="23">
        <f>F18+'24.03'!G18</f>
        <v>1536</v>
      </c>
      <c r="H18" s="21">
        <v>19</v>
      </c>
      <c r="I18" s="22">
        <v>0</v>
      </c>
      <c r="J18" s="23">
        <f>I18+'24.03'!J18</f>
        <v>0</v>
      </c>
      <c r="K18" s="21">
        <v>8</v>
      </c>
      <c r="L18" s="22">
        <v>0</v>
      </c>
      <c r="M18" s="23">
        <f>L18+'24.03'!M18</f>
        <v>0</v>
      </c>
      <c r="N18" s="21">
        <v>1331</v>
      </c>
      <c r="O18" s="22">
        <v>0</v>
      </c>
      <c r="P18" s="23">
        <f>O18+'24.03'!P18</f>
        <v>0</v>
      </c>
      <c r="Q18" s="21">
        <v>777</v>
      </c>
      <c r="R18" s="22">
        <v>0</v>
      </c>
      <c r="S18" s="23">
        <f>R18+'24.03'!S18</f>
        <v>0</v>
      </c>
      <c r="T18" s="21">
        <v>318</v>
      </c>
      <c r="U18" s="22">
        <v>0</v>
      </c>
      <c r="V18" s="23">
        <f>U18+'24.03'!V18</f>
        <v>0</v>
      </c>
      <c r="W18" s="21">
        <v>60</v>
      </c>
      <c r="X18" s="22">
        <v>199</v>
      </c>
      <c r="Y18" s="35">
        <f>X18+'24.03'!Y18</f>
        <v>853</v>
      </c>
      <c r="Z18" s="21">
        <v>72</v>
      </c>
      <c r="AA18" s="22">
        <v>0</v>
      </c>
      <c r="AB18" s="35">
        <f>AA18+'24.03'!AB18</f>
        <v>0</v>
      </c>
      <c r="AC18" s="21">
        <v>143</v>
      </c>
      <c r="AD18" s="22">
        <v>0</v>
      </c>
      <c r="AE18" s="35">
        <f>AD18+'24.03'!AE18</f>
        <v>4</v>
      </c>
      <c r="AF18" s="19">
        <f t="shared" si="1"/>
        <v>36398</v>
      </c>
      <c r="AG18" s="20">
        <f t="shared" si="1"/>
        <v>1587242</v>
      </c>
      <c r="AH18" s="24">
        <v>492</v>
      </c>
      <c r="AI18" s="35">
        <f>AH18+'24.03'!AI18</f>
        <v>3954</v>
      </c>
      <c r="AJ18" s="24">
        <v>5279</v>
      </c>
      <c r="AK18" s="35">
        <f>AJ18+'24.03'!AK18</f>
        <v>25326</v>
      </c>
      <c r="AL18" s="22">
        <v>7140</v>
      </c>
      <c r="AM18" s="35">
        <f>AL18+'24.03'!AM18</f>
        <v>57035</v>
      </c>
      <c r="AN18" s="22">
        <v>23487</v>
      </c>
      <c r="AO18" s="35">
        <f>AN18+'24.03'!AO18</f>
        <v>1500927</v>
      </c>
      <c r="AP18" s="17" t="s">
        <v>53</v>
      </c>
      <c r="AQ18" s="19">
        <f>AS18+AU18+AW18+AY18+BA18</f>
        <v>7</v>
      </c>
      <c r="AR18" s="20">
        <f t="shared" si="2"/>
        <v>47</v>
      </c>
      <c r="AS18" s="22">
        <v>0</v>
      </c>
      <c r="AT18" s="35">
        <f>AS18+'24.03'!AT18</f>
        <v>4</v>
      </c>
      <c r="AU18" s="22">
        <v>0</v>
      </c>
      <c r="AV18" s="35">
        <f>AU18+'24.03'!AV18</f>
        <v>0</v>
      </c>
      <c r="AW18" s="22">
        <v>0</v>
      </c>
      <c r="AX18" s="35">
        <f>AW18+'24.03'!AX18</f>
        <v>0</v>
      </c>
      <c r="AY18" s="22">
        <v>0</v>
      </c>
      <c r="AZ18" s="35">
        <f>AY18+'24.03'!AZ18</f>
        <v>0</v>
      </c>
      <c r="BA18" s="22">
        <v>7</v>
      </c>
      <c r="BB18" s="35">
        <f>BA18+'24.03'!BB18</f>
        <v>43</v>
      </c>
      <c r="BC18" s="19">
        <f t="shared" si="3"/>
        <v>3941</v>
      </c>
      <c r="BD18" s="20">
        <f>BF18+BH18+BJ18+BL18+BN18</f>
        <v>13296</v>
      </c>
      <c r="BE18" s="22">
        <v>2</v>
      </c>
      <c r="BF18" s="35">
        <f>BE18+'24.03'!BF18</f>
        <v>16</v>
      </c>
      <c r="BG18" s="22">
        <v>1</v>
      </c>
      <c r="BH18" s="35">
        <f>BG18+'24.03'!BH18</f>
        <v>3</v>
      </c>
      <c r="BI18" s="22">
        <v>3751</v>
      </c>
      <c r="BJ18" s="35">
        <f>BI18+'24.03'!BJ18</f>
        <v>12080</v>
      </c>
      <c r="BK18" s="22">
        <v>187</v>
      </c>
      <c r="BL18" s="35">
        <f>BK18+'24.03'!BL18</f>
        <v>1189</v>
      </c>
      <c r="BM18" s="22">
        <v>0</v>
      </c>
      <c r="BN18" s="35">
        <f>BM18+'24.03'!BN18</f>
        <v>8</v>
      </c>
      <c r="BO18" s="36">
        <v>442</v>
      </c>
      <c r="BP18" s="37">
        <v>0</v>
      </c>
      <c r="BQ18" s="35">
        <f>BP18+'24.03'!BQ18</f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24</v>
      </c>
      <c r="D19" s="31">
        <f t="shared" si="0"/>
        <v>79</v>
      </c>
      <c r="E19" s="33">
        <v>221</v>
      </c>
      <c r="F19" s="22">
        <v>5</v>
      </c>
      <c r="G19" s="23">
        <f>F19+'24.03'!G19</f>
        <v>20</v>
      </c>
      <c r="H19" s="33">
        <v>5</v>
      </c>
      <c r="I19" s="34">
        <v>0</v>
      </c>
      <c r="J19" s="23">
        <f>I19+'24.03'!J19</f>
        <v>0</v>
      </c>
      <c r="K19" s="33">
        <v>4</v>
      </c>
      <c r="L19" s="22">
        <v>0</v>
      </c>
      <c r="M19" s="23">
        <f>L19+'24.03'!M19</f>
        <v>0</v>
      </c>
      <c r="N19" s="33">
        <v>313</v>
      </c>
      <c r="O19" s="22">
        <v>0</v>
      </c>
      <c r="P19" s="23">
        <f>O19+'24.03'!P19</f>
        <v>0</v>
      </c>
      <c r="Q19" s="33">
        <v>203</v>
      </c>
      <c r="R19" s="22">
        <v>0</v>
      </c>
      <c r="S19" s="23">
        <f>R19+'24.03'!S19</f>
        <v>0</v>
      </c>
      <c r="T19" s="33">
        <v>241</v>
      </c>
      <c r="U19" s="22">
        <v>0</v>
      </c>
      <c r="V19" s="23">
        <f>U19+'24.03'!V19</f>
        <v>0</v>
      </c>
      <c r="W19" s="33">
        <v>14</v>
      </c>
      <c r="X19" s="22">
        <v>7</v>
      </c>
      <c r="Y19" s="35">
        <f>X19+'24.03'!Y19</f>
        <v>20</v>
      </c>
      <c r="Z19" s="33">
        <v>7</v>
      </c>
      <c r="AA19" s="22">
        <v>0</v>
      </c>
      <c r="AB19" s="35">
        <f>AA19+'24.03'!AB19</f>
        <v>0</v>
      </c>
      <c r="AC19" s="33">
        <v>32</v>
      </c>
      <c r="AD19" s="22">
        <v>12</v>
      </c>
      <c r="AE19" s="35">
        <f>AD19+'24.03'!AE19</f>
        <v>39</v>
      </c>
      <c r="AF19" s="19">
        <f t="shared" si="1"/>
        <v>4100</v>
      </c>
      <c r="AG19" s="20">
        <f t="shared" si="1"/>
        <v>12300</v>
      </c>
      <c r="AH19" s="24">
        <v>600</v>
      </c>
      <c r="AI19" s="35">
        <f>AH19+'24.03'!AI19</f>
        <v>1750</v>
      </c>
      <c r="AJ19" s="24">
        <v>600</v>
      </c>
      <c r="AK19" s="35">
        <f>AJ19+'24.03'!AK19</f>
        <v>1750</v>
      </c>
      <c r="AL19" s="22">
        <v>1900</v>
      </c>
      <c r="AM19" s="35">
        <f>AL19+'24.03'!AM19</f>
        <v>4850</v>
      </c>
      <c r="AN19" s="22">
        <v>1000</v>
      </c>
      <c r="AO19" s="35">
        <f>AN19+'24.03'!AO19</f>
        <v>3950</v>
      </c>
      <c r="AP19" s="28" t="s">
        <v>54</v>
      </c>
      <c r="AQ19" s="19">
        <f t="shared" ref="AQ19:AQ22" si="4">AS19+AU19+AW19+AY19+BA19</f>
        <v>900</v>
      </c>
      <c r="AR19" s="20">
        <f t="shared" si="2"/>
        <v>900</v>
      </c>
      <c r="AS19" s="34">
        <v>0</v>
      </c>
      <c r="AT19" s="35">
        <f>AS19+'24.03'!AT19</f>
        <v>0</v>
      </c>
      <c r="AU19" s="34">
        <v>0</v>
      </c>
      <c r="AV19" s="35">
        <f>AU19+'24.03'!AV19</f>
        <v>0</v>
      </c>
      <c r="AW19" s="34">
        <v>900</v>
      </c>
      <c r="AX19" s="35">
        <f>AW19+'24.03'!AX19</f>
        <v>900</v>
      </c>
      <c r="AY19" s="34">
        <v>0</v>
      </c>
      <c r="AZ19" s="35">
        <f>AY19+'24.03'!AZ19</f>
        <v>0</v>
      </c>
      <c r="BA19" s="34">
        <v>0</v>
      </c>
      <c r="BB19" s="35">
        <f>BA19+'24.03'!BB19</f>
        <v>0</v>
      </c>
      <c r="BC19" s="19">
        <f t="shared" si="3"/>
        <v>14</v>
      </c>
      <c r="BD19" s="20">
        <f t="shared" si="3"/>
        <v>1178</v>
      </c>
      <c r="BE19" s="22">
        <v>14</v>
      </c>
      <c r="BF19" s="35">
        <f>BE19+'24.03'!BF19</f>
        <v>28</v>
      </c>
      <c r="BG19" s="34">
        <v>0</v>
      </c>
      <c r="BH19" s="35">
        <f>BG19+'24.03'!BH19</f>
        <v>0</v>
      </c>
      <c r="BI19" s="22">
        <v>0</v>
      </c>
      <c r="BJ19" s="35">
        <f>BI19+'24.03'!BJ19</f>
        <v>900</v>
      </c>
      <c r="BK19" s="22">
        <v>0</v>
      </c>
      <c r="BL19" s="35">
        <f>BK19+'24.03'!BL19</f>
        <v>250</v>
      </c>
      <c r="BM19" s="22">
        <v>0</v>
      </c>
      <c r="BN19" s="35">
        <f>BM19+'24.03'!BN19</f>
        <v>0</v>
      </c>
      <c r="BO19" s="36">
        <v>2898</v>
      </c>
      <c r="BP19" s="37">
        <v>0</v>
      </c>
      <c r="BQ19" s="35">
        <f>BP19+'24.03'!BQ19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174</v>
      </c>
      <c r="D20" s="31">
        <f t="shared" si="0"/>
        <v>1110</v>
      </c>
      <c r="E20" s="32">
        <v>723</v>
      </c>
      <c r="F20" s="22">
        <v>105</v>
      </c>
      <c r="G20" s="23">
        <f>F20+'24.03'!G20</f>
        <v>684</v>
      </c>
      <c r="H20" s="33">
        <v>5</v>
      </c>
      <c r="I20" s="34">
        <v>0</v>
      </c>
      <c r="J20" s="23">
        <f>I20+'24.03'!J20</f>
        <v>39</v>
      </c>
      <c r="K20" s="33">
        <v>3</v>
      </c>
      <c r="L20" s="22">
        <v>0</v>
      </c>
      <c r="M20" s="23">
        <f>L20+'24.03'!M20</f>
        <v>0</v>
      </c>
      <c r="N20" s="33">
        <v>975</v>
      </c>
      <c r="O20" s="22">
        <v>0</v>
      </c>
      <c r="P20" s="23">
        <f>O20+'24.03'!P20</f>
        <v>80</v>
      </c>
      <c r="Q20" s="61">
        <v>1862</v>
      </c>
      <c r="R20" s="22">
        <v>40</v>
      </c>
      <c r="S20" s="23">
        <f>R20+'24.03'!S20</f>
        <v>82</v>
      </c>
      <c r="T20" s="33">
        <v>35</v>
      </c>
      <c r="U20" s="22">
        <v>4</v>
      </c>
      <c r="V20" s="23">
        <f>U20+'24.03'!V20</f>
        <v>15</v>
      </c>
      <c r="W20" s="33">
        <v>64</v>
      </c>
      <c r="X20" s="22">
        <v>25</v>
      </c>
      <c r="Y20" s="35">
        <f>X20+'24.03'!Y20</f>
        <v>94</v>
      </c>
      <c r="Z20" s="33">
        <v>15</v>
      </c>
      <c r="AA20" s="22">
        <v>0</v>
      </c>
      <c r="AB20" s="35">
        <f>AA20+'24.03'!AB20</f>
        <v>2</v>
      </c>
      <c r="AC20" s="33">
        <v>1546</v>
      </c>
      <c r="AD20" s="22">
        <v>0</v>
      </c>
      <c r="AE20" s="35">
        <f>AD20+'24.03'!AE20</f>
        <v>114</v>
      </c>
      <c r="AF20" s="19">
        <f t="shared" si="1"/>
        <v>7592</v>
      </c>
      <c r="AG20" s="20">
        <f t="shared" si="1"/>
        <v>42700</v>
      </c>
      <c r="AH20" s="24">
        <v>3192</v>
      </c>
      <c r="AI20" s="35">
        <f>AH20+'24.03'!AI20</f>
        <v>18637</v>
      </c>
      <c r="AJ20" s="24">
        <v>4400</v>
      </c>
      <c r="AK20" s="35">
        <f>AJ20+'24.03'!AK20</f>
        <v>22963</v>
      </c>
      <c r="AL20" s="22">
        <v>0</v>
      </c>
      <c r="AM20" s="35">
        <f>AL20+'24.03'!AM20</f>
        <v>450</v>
      </c>
      <c r="AN20" s="22">
        <v>0</v>
      </c>
      <c r="AO20" s="35">
        <f>AN20+'24.03'!AO20</f>
        <v>650</v>
      </c>
      <c r="AP20" s="28" t="s">
        <v>55</v>
      </c>
      <c r="AQ20" s="19">
        <f t="shared" si="4"/>
        <v>187</v>
      </c>
      <c r="AR20" s="20">
        <f t="shared" si="2"/>
        <v>841</v>
      </c>
      <c r="AS20" s="34">
        <v>1</v>
      </c>
      <c r="AT20" s="35">
        <f>AS20+'24.03'!AT20</f>
        <v>5</v>
      </c>
      <c r="AU20" s="34">
        <v>1</v>
      </c>
      <c r="AV20" s="35">
        <f>AU20+'24.03'!AV20</f>
        <v>4</v>
      </c>
      <c r="AW20" s="34">
        <v>0</v>
      </c>
      <c r="AX20" s="35">
        <f>AW20+'24.03'!AX20</f>
        <v>1</v>
      </c>
      <c r="AY20" s="34">
        <v>0</v>
      </c>
      <c r="AZ20" s="35">
        <f>AY20+'24.03'!AZ20</f>
        <v>0</v>
      </c>
      <c r="BA20" s="34">
        <v>185</v>
      </c>
      <c r="BB20" s="35">
        <f>BA20+'24.03'!BB20</f>
        <v>831</v>
      </c>
      <c r="BC20" s="19">
        <f t="shared" si="3"/>
        <v>7934</v>
      </c>
      <c r="BD20" s="20">
        <f t="shared" si="3"/>
        <v>34106</v>
      </c>
      <c r="BE20" s="22">
        <v>134</v>
      </c>
      <c r="BF20" s="35">
        <f>BE20+'24.03'!BF20</f>
        <v>446</v>
      </c>
      <c r="BG20" s="34">
        <v>0</v>
      </c>
      <c r="BH20" s="35">
        <f>BG20+'24.03'!BH20</f>
        <v>0</v>
      </c>
      <c r="BI20" s="22">
        <v>7500</v>
      </c>
      <c r="BJ20" s="35">
        <f>BI20+'24.03'!BJ20</f>
        <v>31750</v>
      </c>
      <c r="BK20" s="22">
        <v>300</v>
      </c>
      <c r="BL20" s="35">
        <f>BK20+'24.03'!BL20</f>
        <v>1910</v>
      </c>
      <c r="BM20" s="22">
        <v>0</v>
      </c>
      <c r="BN20" s="35">
        <f>BM20+'24.03'!BN20</f>
        <v>0</v>
      </c>
      <c r="BO20" s="36">
        <v>5854</v>
      </c>
      <c r="BP20" s="37">
        <v>0</v>
      </c>
      <c r="BQ20" s="35">
        <f>BP20+'24.03'!BQ20</f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360</v>
      </c>
      <c r="D21" s="31">
        <f t="shared" si="0"/>
        <v>1431</v>
      </c>
      <c r="E21" s="32">
        <v>1017</v>
      </c>
      <c r="F21" s="22">
        <v>300</v>
      </c>
      <c r="G21" s="23">
        <f>F21+'24.03'!G21</f>
        <v>1155</v>
      </c>
      <c r="H21" s="33">
        <v>8</v>
      </c>
      <c r="I21" s="34">
        <v>0</v>
      </c>
      <c r="J21" s="23">
        <f>I21+'24.03'!J21</f>
        <v>8</v>
      </c>
      <c r="K21" s="33">
        <v>4</v>
      </c>
      <c r="L21" s="22">
        <v>0</v>
      </c>
      <c r="M21" s="23">
        <f>L21+'24.03'!M21</f>
        <v>0</v>
      </c>
      <c r="N21" s="33">
        <v>963</v>
      </c>
      <c r="O21" s="22">
        <v>0</v>
      </c>
      <c r="P21" s="23">
        <f>O21+'24.03'!P21</f>
        <v>0</v>
      </c>
      <c r="Q21" s="33">
        <v>912</v>
      </c>
      <c r="R21" s="22">
        <v>0</v>
      </c>
      <c r="S21" s="23">
        <f>R21+'24.03'!S21</f>
        <v>0</v>
      </c>
      <c r="T21" s="33">
        <v>199</v>
      </c>
      <c r="U21" s="22">
        <v>10</v>
      </c>
      <c r="V21" s="23">
        <f>U21+'24.03'!V21</f>
        <v>10</v>
      </c>
      <c r="W21" s="33">
        <v>101</v>
      </c>
      <c r="X21" s="22">
        <v>50</v>
      </c>
      <c r="Y21" s="35">
        <f>X21+'24.03'!Y21</f>
        <v>206</v>
      </c>
      <c r="Z21" s="33">
        <v>42</v>
      </c>
      <c r="AA21" s="22">
        <v>0</v>
      </c>
      <c r="AB21" s="35">
        <f>AA21+'24.03'!AB21</f>
        <v>1</v>
      </c>
      <c r="AC21" s="33">
        <v>20</v>
      </c>
      <c r="AD21" s="22">
        <v>0</v>
      </c>
      <c r="AE21" s="35">
        <f>AD21+'24.03'!AE21</f>
        <v>51</v>
      </c>
      <c r="AF21" s="19">
        <f t="shared" si="1"/>
        <v>196121</v>
      </c>
      <c r="AG21" s="20">
        <f t="shared" si="1"/>
        <v>908394</v>
      </c>
      <c r="AH21" s="24">
        <v>312</v>
      </c>
      <c r="AI21" s="35">
        <f>AH21+'24.03'!AI21</f>
        <v>2662</v>
      </c>
      <c r="AJ21" s="24">
        <v>4809</v>
      </c>
      <c r="AK21" s="35">
        <f>AJ21+'24.03'!AK21</f>
        <v>67732</v>
      </c>
      <c r="AL21" s="22">
        <v>4800</v>
      </c>
      <c r="AM21" s="35">
        <f>AL21+'24.03'!AM21</f>
        <v>32800</v>
      </c>
      <c r="AN21" s="22">
        <v>186200</v>
      </c>
      <c r="AO21" s="35">
        <f>AN21+'24.03'!AO21</f>
        <v>805200</v>
      </c>
      <c r="AP21" s="28" t="s">
        <v>58</v>
      </c>
      <c r="AQ21" s="19">
        <f t="shared" si="4"/>
        <v>21</v>
      </c>
      <c r="AR21" s="20">
        <f t="shared" si="2"/>
        <v>124</v>
      </c>
      <c r="AS21" s="34">
        <v>1</v>
      </c>
      <c r="AT21" s="35">
        <f>AS21+'24.03'!AT21</f>
        <v>3</v>
      </c>
      <c r="AU21" s="34">
        <v>2</v>
      </c>
      <c r="AV21" s="35">
        <f>AU21+'24.03'!AV21</f>
        <v>12</v>
      </c>
      <c r="AW21" s="34">
        <v>0</v>
      </c>
      <c r="AX21" s="35">
        <f>AW21+'24.03'!AX21</f>
        <v>1</v>
      </c>
      <c r="AY21" s="34">
        <v>0</v>
      </c>
      <c r="AZ21" s="35">
        <f>AY21+'24.03'!AZ21</f>
        <v>0</v>
      </c>
      <c r="BA21" s="34">
        <v>18</v>
      </c>
      <c r="BB21" s="35">
        <f>BA21+'24.03'!BB21</f>
        <v>108</v>
      </c>
      <c r="BC21" s="19">
        <f t="shared" si="3"/>
        <v>1552</v>
      </c>
      <c r="BD21" s="20">
        <f t="shared" si="3"/>
        <v>8214</v>
      </c>
      <c r="BE21" s="22">
        <v>52</v>
      </c>
      <c r="BF21" s="35">
        <f>BE21+'24.03'!BF21</f>
        <v>1191</v>
      </c>
      <c r="BG21" s="34">
        <v>0</v>
      </c>
      <c r="BH21" s="35">
        <f>BG21+'24.03'!BH21</f>
        <v>15</v>
      </c>
      <c r="BI21" s="22">
        <v>1500</v>
      </c>
      <c r="BJ21" s="35">
        <f>BI21+'24.03'!BJ21</f>
        <v>6855</v>
      </c>
      <c r="BK21" s="22">
        <v>0</v>
      </c>
      <c r="BL21" s="35">
        <f>BK21+'24.03'!BL21</f>
        <v>150</v>
      </c>
      <c r="BM21" s="22">
        <v>0</v>
      </c>
      <c r="BN21" s="35">
        <f>BM21+'24.03'!BN21</f>
        <v>3</v>
      </c>
      <c r="BO21" s="36">
        <v>68</v>
      </c>
      <c r="BP21" s="37">
        <v>2</v>
      </c>
      <c r="BQ21" s="35">
        <f>BP21+'24.03'!BQ21</f>
        <v>5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36</v>
      </c>
      <c r="D22" s="31">
        <f t="shared" si="0"/>
        <v>2229</v>
      </c>
      <c r="E22" s="32">
        <v>509</v>
      </c>
      <c r="F22" s="22">
        <v>12</v>
      </c>
      <c r="G22" s="23">
        <f>F22+'24.03'!G22</f>
        <v>441</v>
      </c>
      <c r="H22" s="33">
        <v>8</v>
      </c>
      <c r="I22" s="34">
        <v>0</v>
      </c>
      <c r="J22" s="23">
        <f>I22+'24.03'!J22</f>
        <v>249</v>
      </c>
      <c r="K22" s="33">
        <v>21</v>
      </c>
      <c r="L22" s="22">
        <v>0</v>
      </c>
      <c r="M22" s="23">
        <f>L22+'24.03'!M22</f>
        <v>0</v>
      </c>
      <c r="N22" s="33">
        <v>560</v>
      </c>
      <c r="O22" s="22">
        <v>0</v>
      </c>
      <c r="P22" s="23">
        <f>O22+'24.03'!P22</f>
        <v>0</v>
      </c>
      <c r="Q22" s="33">
        <v>375</v>
      </c>
      <c r="R22" s="22">
        <v>11</v>
      </c>
      <c r="S22" s="23">
        <f>R22+'24.03'!S22</f>
        <v>15</v>
      </c>
      <c r="T22" s="33">
        <v>165</v>
      </c>
      <c r="U22" s="22">
        <v>4</v>
      </c>
      <c r="V22" s="23">
        <f>U22+'24.03'!V22</f>
        <v>54</v>
      </c>
      <c r="W22" s="33">
        <v>28</v>
      </c>
      <c r="X22" s="22">
        <v>8</v>
      </c>
      <c r="Y22" s="35">
        <f>X22+'24.03'!Y22</f>
        <v>159</v>
      </c>
      <c r="Z22" s="33">
        <v>9</v>
      </c>
      <c r="AA22" s="22">
        <v>0</v>
      </c>
      <c r="AB22" s="35">
        <f>AA22+'24.03'!AB22</f>
        <v>2</v>
      </c>
      <c r="AC22" s="33">
        <v>112</v>
      </c>
      <c r="AD22" s="22">
        <v>1</v>
      </c>
      <c r="AE22" s="35">
        <f>AD22+'24.03'!AE22</f>
        <v>1309</v>
      </c>
      <c r="AF22" s="19">
        <f t="shared" si="1"/>
        <v>34650</v>
      </c>
      <c r="AG22" s="20">
        <f t="shared" si="1"/>
        <v>1739328</v>
      </c>
      <c r="AH22" s="24">
        <v>50</v>
      </c>
      <c r="AI22" s="35">
        <f>AH22+'24.03'!AI22</f>
        <v>969</v>
      </c>
      <c r="AJ22" s="24">
        <v>600</v>
      </c>
      <c r="AK22" s="35">
        <f>AJ22+'24.03'!AK22</f>
        <v>11418</v>
      </c>
      <c r="AL22" s="22">
        <v>4000</v>
      </c>
      <c r="AM22" s="35">
        <f>AL22+'24.03'!AM22</f>
        <v>25812</v>
      </c>
      <c r="AN22" s="22">
        <v>30000</v>
      </c>
      <c r="AO22" s="35">
        <f>AN22+'24.03'!AO22</f>
        <v>1701129</v>
      </c>
      <c r="AP22" s="28" t="s">
        <v>59</v>
      </c>
      <c r="AQ22" s="19">
        <f t="shared" si="4"/>
        <v>4</v>
      </c>
      <c r="AR22" s="20">
        <f t="shared" si="2"/>
        <v>660</v>
      </c>
      <c r="AS22" s="34">
        <v>0</v>
      </c>
      <c r="AT22" s="35">
        <f>AS22+'24.03'!AT22</f>
        <v>1</v>
      </c>
      <c r="AU22" s="34">
        <v>0</v>
      </c>
      <c r="AV22" s="35">
        <f>AU22+'24.03'!AV22</f>
        <v>1</v>
      </c>
      <c r="AW22" s="34">
        <v>0</v>
      </c>
      <c r="AX22" s="35">
        <f>AW22+'24.03'!AX22</f>
        <v>0</v>
      </c>
      <c r="AY22" s="34">
        <v>0</v>
      </c>
      <c r="AZ22" s="35">
        <f>AY22+'24.03'!AZ22</f>
        <v>0</v>
      </c>
      <c r="BA22" s="34">
        <v>4</v>
      </c>
      <c r="BB22" s="35">
        <f>BA22+'24.03'!BB22</f>
        <v>658</v>
      </c>
      <c r="BC22" s="19">
        <f t="shared" si="3"/>
        <v>660</v>
      </c>
      <c r="BD22" s="20">
        <f t="shared" si="3"/>
        <v>10623</v>
      </c>
      <c r="BE22" s="22">
        <v>5</v>
      </c>
      <c r="BF22" s="35">
        <f>BE22+'24.03'!BF22</f>
        <v>38</v>
      </c>
      <c r="BG22" s="34">
        <v>1</v>
      </c>
      <c r="BH22" s="35">
        <f>BG22+'24.03'!BH22</f>
        <v>580</v>
      </c>
      <c r="BI22" s="22">
        <v>650</v>
      </c>
      <c r="BJ22" s="35">
        <f>BI22+'24.03'!BJ22</f>
        <v>9943</v>
      </c>
      <c r="BK22" s="22">
        <v>4</v>
      </c>
      <c r="BL22" s="35">
        <f>BK22+'24.03'!BL22</f>
        <v>62</v>
      </c>
      <c r="BM22" s="22">
        <v>0</v>
      </c>
      <c r="BN22" s="35">
        <f>BM22+'24.03'!BN22</f>
        <v>0</v>
      </c>
      <c r="BO22" s="36">
        <v>26</v>
      </c>
      <c r="BP22" s="37">
        <v>1</v>
      </c>
      <c r="BQ22" s="35">
        <f>BP22+'24.03'!BQ22</f>
        <v>231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2862</v>
      </c>
      <c r="D23" s="65">
        <f t="shared" si="0"/>
        <v>14064</v>
      </c>
      <c r="E23" s="66">
        <f>+E18+E19+E22+E17+E16+E15+E14+E13+E12+E11+E10+E9+E8</f>
        <v>7282</v>
      </c>
      <c r="F23" s="67">
        <f>SUM(F8:F22)</f>
        <v>1630</v>
      </c>
      <c r="G23" s="68">
        <f>SUM(G8:G22)</f>
        <v>7479</v>
      </c>
      <c r="H23" s="66">
        <f>+H18+H19+H22+H17+H16+H15+H14+H13+H12+H11+H10+H9+H8</f>
        <v>271</v>
      </c>
      <c r="I23" s="67">
        <f>SUM(I8:I22)</f>
        <v>14</v>
      </c>
      <c r="J23" s="68">
        <f>SUM(J8:J22)</f>
        <v>320</v>
      </c>
      <c r="K23" s="66">
        <f>+K18+K19+K22+K17+K16+K15+K14+K13+K12+K11+K10+K9+K8</f>
        <v>163</v>
      </c>
      <c r="L23" s="67">
        <f>SUM(L8:L22)</f>
        <v>1</v>
      </c>
      <c r="M23" s="68">
        <f>SUM(M8:M22)</f>
        <v>1</v>
      </c>
      <c r="N23" s="66">
        <f>+N18+N19+N22+N17+N16+N15+N14+N13+N12+N11+N10+N9+N8</f>
        <v>8607</v>
      </c>
      <c r="O23" s="67">
        <f>SUM(O8:O22)</f>
        <v>157</v>
      </c>
      <c r="P23" s="68">
        <f>SUM(P8:P22)</f>
        <v>353</v>
      </c>
      <c r="Q23" s="66">
        <f>+Q18+Q19+Q22+Q17+Q16+Q15+Q14+Q13+Q12+Q11+Q10+Q9+Q8</f>
        <v>7474</v>
      </c>
      <c r="R23" s="67">
        <f>SUM(R8:R22)</f>
        <v>54</v>
      </c>
      <c r="S23" s="68">
        <f>SUM(S8:S22)</f>
        <v>107</v>
      </c>
      <c r="T23" s="66">
        <f>+T18+T19+T22+T17+T16+T15+T14+T13+T12+T11+T10+T9+T8</f>
        <v>4115</v>
      </c>
      <c r="U23" s="67">
        <f>SUM(U8:U22)</f>
        <v>22</v>
      </c>
      <c r="V23" s="68">
        <f>SUM(V8:V22)</f>
        <v>91</v>
      </c>
      <c r="W23" s="66">
        <f>+W18+W19+W22+W17+W16+W15+W14+W13+W12+W11+W10+W9+W8</f>
        <v>604</v>
      </c>
      <c r="X23" s="67">
        <f>SUM(X8:X22)</f>
        <v>547</v>
      </c>
      <c r="Y23" s="68">
        <f>SUM(Y8:Y22)</f>
        <v>2678</v>
      </c>
      <c r="Z23" s="66">
        <f>+Z18+Z19+Z22+Z17+Z16+Z15+Z14+Z13+Z12+Z11+Z10+Z9+Z8</f>
        <v>1629</v>
      </c>
      <c r="AA23" s="67">
        <f>SUM(AA8:AA22)</f>
        <v>5</v>
      </c>
      <c r="AB23" s="68">
        <f>SUM(AB8:AB22)</f>
        <v>15</v>
      </c>
      <c r="AC23" s="66">
        <f>+AC18+AC19+AC22+AC17+AC16+AC15+AC14+AC13+AC12+AC11+AC10+AC9+AC8</f>
        <v>64846</v>
      </c>
      <c r="AD23" s="67">
        <f t="shared" ref="AD23:AO23" si="5">SUM(AD8:AD22)</f>
        <v>432</v>
      </c>
      <c r="AE23" s="68">
        <f t="shared" si="5"/>
        <v>3020</v>
      </c>
      <c r="AF23" s="64">
        <f t="shared" si="5"/>
        <v>2855411</v>
      </c>
      <c r="AG23" s="64">
        <f t="shared" si="5"/>
        <v>16279722</v>
      </c>
      <c r="AH23" s="67">
        <f t="shared" si="5"/>
        <v>28938</v>
      </c>
      <c r="AI23" s="68">
        <f t="shared" si="5"/>
        <v>156330</v>
      </c>
      <c r="AJ23" s="67">
        <f t="shared" si="5"/>
        <v>66490</v>
      </c>
      <c r="AK23" s="68">
        <f t="shared" si="5"/>
        <v>393006</v>
      </c>
      <c r="AL23" s="67">
        <f t="shared" si="5"/>
        <v>1212465</v>
      </c>
      <c r="AM23" s="68">
        <f t="shared" si="5"/>
        <v>3993138</v>
      </c>
      <c r="AN23" s="67">
        <f t="shared" si="5"/>
        <v>1547518</v>
      </c>
      <c r="AO23" s="68">
        <f t="shared" si="5"/>
        <v>11737248</v>
      </c>
      <c r="AP23" s="62" t="s">
        <v>12</v>
      </c>
      <c r="AQ23" s="64">
        <f t="shared" ref="AQ23:BQ23" si="6">SUM(AQ8:AQ22)</f>
        <v>1360</v>
      </c>
      <c r="AR23" s="64">
        <f t="shared" si="6"/>
        <v>3590</v>
      </c>
      <c r="AS23" s="67">
        <f t="shared" si="6"/>
        <v>8</v>
      </c>
      <c r="AT23" s="68">
        <f t="shared" si="6"/>
        <v>35</v>
      </c>
      <c r="AU23" s="67">
        <f t="shared" si="6"/>
        <v>9</v>
      </c>
      <c r="AV23" s="68">
        <f t="shared" si="6"/>
        <v>39</v>
      </c>
      <c r="AW23" s="67">
        <f t="shared" si="6"/>
        <v>901</v>
      </c>
      <c r="AX23" s="68">
        <f t="shared" si="6"/>
        <v>904</v>
      </c>
      <c r="AY23" s="67">
        <f t="shared" si="6"/>
        <v>0</v>
      </c>
      <c r="AZ23" s="68">
        <f t="shared" si="6"/>
        <v>0</v>
      </c>
      <c r="BA23" s="67">
        <f t="shared" si="6"/>
        <v>442</v>
      </c>
      <c r="BB23" s="68">
        <f t="shared" si="6"/>
        <v>2612</v>
      </c>
      <c r="BC23" s="64">
        <f t="shared" si="6"/>
        <v>41090</v>
      </c>
      <c r="BD23" s="64">
        <f t="shared" si="6"/>
        <v>210711</v>
      </c>
      <c r="BE23" s="67">
        <f t="shared" si="6"/>
        <v>2185</v>
      </c>
      <c r="BF23" s="68">
        <f t="shared" si="6"/>
        <v>7564</v>
      </c>
      <c r="BG23" s="67">
        <f t="shared" si="6"/>
        <v>49</v>
      </c>
      <c r="BH23" s="68">
        <f t="shared" si="6"/>
        <v>5090</v>
      </c>
      <c r="BI23" s="67">
        <f t="shared" si="6"/>
        <v>35767</v>
      </c>
      <c r="BJ23" s="68">
        <f t="shared" si="6"/>
        <v>175716</v>
      </c>
      <c r="BK23" s="67">
        <f t="shared" si="6"/>
        <v>3089</v>
      </c>
      <c r="BL23" s="68">
        <f t="shared" si="6"/>
        <v>22330</v>
      </c>
      <c r="BM23" s="67">
        <f t="shared" si="6"/>
        <v>0</v>
      </c>
      <c r="BN23" s="68">
        <f t="shared" si="6"/>
        <v>11</v>
      </c>
      <c r="BO23" s="69">
        <f t="shared" si="6"/>
        <v>37684</v>
      </c>
      <c r="BP23" s="70">
        <f t="shared" si="6"/>
        <v>20</v>
      </c>
      <c r="BQ23" s="71">
        <f t="shared" si="6"/>
        <v>346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U23"/>
  <sheetViews>
    <sheetView topLeftCell="AU1" zoomScale="70" zoomScaleNormal="70" workbookViewId="0">
      <pane ySplit="1" topLeftCell="A2" activePane="bottomLeft" state="frozen"/>
      <selection pane="bottomLeft" activeCell="BP12" sqref="BP12"/>
    </sheetView>
  </sheetViews>
  <sheetFormatPr defaultColWidth="9" defaultRowHeight="15"/>
  <cols>
    <col min="1" max="1" width="20" customWidth="1"/>
    <col min="2" max="2" width="7.5703125" customWidth="1"/>
    <col min="3" max="3" width="6.28515625" customWidth="1"/>
    <col min="4" max="4" width="9.7109375" customWidth="1"/>
    <col min="5" max="28" width="6.28515625" customWidth="1"/>
    <col min="29" max="29" width="7.7109375" customWidth="1"/>
    <col min="30" max="31" width="6.28515625" customWidth="1"/>
    <col min="32" max="32" width="10.5703125" customWidth="1"/>
    <col min="33" max="33" width="10.7109375" customWidth="1"/>
    <col min="34" max="34" width="7.5703125" customWidth="1"/>
    <col min="35" max="35" width="8.42578125" customWidth="1"/>
    <col min="36" max="36" width="8" customWidth="1"/>
    <col min="37" max="37" width="10.28515625" customWidth="1"/>
    <col min="38" max="38" width="16.85546875" customWidth="1"/>
    <col min="39" max="39" width="15.28515625" customWidth="1"/>
    <col min="40" max="41" width="12" customWidth="1"/>
    <col min="42" max="42" width="22.28515625" customWidth="1"/>
  </cols>
  <sheetData>
    <row r="1" spans="1:70" ht="19.5" customHeight="1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 t="s">
        <v>1</v>
      </c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</row>
    <row r="2" spans="1:70" ht="19.5" customHeight="1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 t="s">
        <v>3</v>
      </c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</row>
    <row r="3" spans="1:70" ht="15.75">
      <c r="A3" s="163" t="s">
        <v>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 t="s">
        <v>5</v>
      </c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</row>
    <row r="4" spans="1:70" ht="29.25" customHeight="1">
      <c r="A4" s="140" t="s">
        <v>6</v>
      </c>
      <c r="B4" s="133" t="s">
        <v>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5"/>
      <c r="AF4" s="136" t="s">
        <v>8</v>
      </c>
      <c r="AG4" s="137"/>
      <c r="AH4" s="138"/>
      <c r="AI4" s="138"/>
      <c r="AJ4" s="138"/>
      <c r="AK4" s="138"/>
      <c r="AL4" s="137"/>
      <c r="AM4" s="137"/>
      <c r="AN4" s="137"/>
      <c r="AO4" s="139"/>
      <c r="AP4" s="140" t="s">
        <v>6</v>
      </c>
      <c r="AQ4" s="133" t="s">
        <v>9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5"/>
      <c r="BC4" s="133" t="s">
        <v>10</v>
      </c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5"/>
      <c r="BO4" s="159" t="s">
        <v>11</v>
      </c>
      <c r="BP4" s="160"/>
      <c r="BQ4" s="161"/>
    </row>
    <row r="5" spans="1:70" ht="29.25" customHeight="1">
      <c r="A5" s="141"/>
      <c r="B5" s="143" t="s">
        <v>12</v>
      </c>
      <c r="C5" s="144"/>
      <c r="D5" s="144"/>
      <c r="E5" s="147" t="s">
        <v>13</v>
      </c>
      <c r="F5" s="148"/>
      <c r="G5" s="149"/>
      <c r="H5" s="147" t="s">
        <v>14</v>
      </c>
      <c r="I5" s="148"/>
      <c r="J5" s="149"/>
      <c r="K5" s="147" t="s">
        <v>15</v>
      </c>
      <c r="L5" s="148"/>
      <c r="M5" s="149"/>
      <c r="N5" s="147" t="s">
        <v>16</v>
      </c>
      <c r="O5" s="148"/>
      <c r="P5" s="149"/>
      <c r="Q5" s="147" t="s">
        <v>17</v>
      </c>
      <c r="R5" s="148"/>
      <c r="S5" s="149"/>
      <c r="T5" s="147" t="s">
        <v>18</v>
      </c>
      <c r="U5" s="148"/>
      <c r="V5" s="149"/>
      <c r="W5" s="153" t="s">
        <v>19</v>
      </c>
      <c r="X5" s="154"/>
      <c r="Y5" s="155"/>
      <c r="Z5" s="153" t="s">
        <v>20</v>
      </c>
      <c r="AA5" s="154"/>
      <c r="AB5" s="155"/>
      <c r="AC5" s="147" t="s">
        <v>21</v>
      </c>
      <c r="AD5" s="148"/>
      <c r="AE5" s="149"/>
      <c r="AF5" s="143" t="s">
        <v>12</v>
      </c>
      <c r="AG5" s="144"/>
      <c r="AH5" s="136" t="s">
        <v>22</v>
      </c>
      <c r="AI5" s="137"/>
      <c r="AJ5" s="137"/>
      <c r="AK5" s="139"/>
      <c r="AL5" s="137" t="s">
        <v>23</v>
      </c>
      <c r="AM5" s="137"/>
      <c r="AN5" s="137"/>
      <c r="AO5" s="139"/>
      <c r="AP5" s="141"/>
      <c r="AQ5" s="2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2"/>
      <c r="BD5" s="3"/>
      <c r="BE5" s="3"/>
      <c r="BF5" s="3"/>
      <c r="BG5" s="3"/>
      <c r="BH5" s="3"/>
      <c r="BI5" s="5"/>
      <c r="BJ5" s="5"/>
      <c r="BK5" s="5"/>
      <c r="BL5" s="5"/>
      <c r="BM5" s="5"/>
      <c r="BN5" s="5"/>
      <c r="BO5" s="122"/>
      <c r="BP5" s="122"/>
      <c r="BQ5" s="123"/>
    </row>
    <row r="6" spans="1:70" ht="46.5" customHeight="1">
      <c r="A6" s="141"/>
      <c r="B6" s="145"/>
      <c r="C6" s="146"/>
      <c r="D6" s="146"/>
      <c r="E6" s="150"/>
      <c r="F6" s="151"/>
      <c r="G6" s="152"/>
      <c r="H6" s="150"/>
      <c r="I6" s="151"/>
      <c r="J6" s="152"/>
      <c r="K6" s="150"/>
      <c r="L6" s="151"/>
      <c r="M6" s="152"/>
      <c r="N6" s="150"/>
      <c r="O6" s="151"/>
      <c r="P6" s="152"/>
      <c r="Q6" s="150"/>
      <c r="R6" s="151"/>
      <c r="S6" s="152"/>
      <c r="T6" s="150"/>
      <c r="U6" s="151"/>
      <c r="V6" s="152"/>
      <c r="W6" s="156"/>
      <c r="X6" s="157"/>
      <c r="Y6" s="158"/>
      <c r="Z6" s="156"/>
      <c r="AA6" s="157"/>
      <c r="AB6" s="158"/>
      <c r="AC6" s="150"/>
      <c r="AD6" s="151"/>
      <c r="AE6" s="152"/>
      <c r="AF6" s="145"/>
      <c r="AG6" s="146"/>
      <c r="AH6" s="164" t="s">
        <v>24</v>
      </c>
      <c r="AI6" s="165"/>
      <c r="AJ6" s="164" t="s">
        <v>25</v>
      </c>
      <c r="AK6" s="165"/>
      <c r="AL6" s="124" t="s">
        <v>24</v>
      </c>
      <c r="AM6" s="125"/>
      <c r="AN6" s="126" t="s">
        <v>25</v>
      </c>
      <c r="AO6" s="125"/>
      <c r="AP6" s="141"/>
      <c r="AQ6" s="127" t="s">
        <v>26</v>
      </c>
      <c r="AR6" s="128"/>
      <c r="AS6" s="129" t="s">
        <v>27</v>
      </c>
      <c r="AT6" s="130"/>
      <c r="AU6" s="129" t="s">
        <v>28</v>
      </c>
      <c r="AV6" s="130"/>
      <c r="AW6" s="129" t="s">
        <v>29</v>
      </c>
      <c r="AX6" s="130"/>
      <c r="AY6" s="129" t="s">
        <v>30</v>
      </c>
      <c r="AZ6" s="130"/>
      <c r="BA6" s="129" t="s">
        <v>31</v>
      </c>
      <c r="BB6" s="130"/>
      <c r="BC6" s="127" t="s">
        <v>26</v>
      </c>
      <c r="BD6" s="128"/>
      <c r="BE6" s="131" t="s">
        <v>32</v>
      </c>
      <c r="BF6" s="132"/>
      <c r="BG6" s="131" t="s">
        <v>33</v>
      </c>
      <c r="BH6" s="132"/>
      <c r="BI6" s="126" t="s">
        <v>34</v>
      </c>
      <c r="BJ6" s="125"/>
      <c r="BK6" s="126" t="s">
        <v>35</v>
      </c>
      <c r="BL6" s="125"/>
      <c r="BM6" s="126" t="s">
        <v>36</v>
      </c>
      <c r="BN6" s="166"/>
      <c r="BO6" s="119" t="s">
        <v>37</v>
      </c>
      <c r="BP6" s="120"/>
      <c r="BQ6" s="121"/>
    </row>
    <row r="7" spans="1:70" ht="83.25" customHeight="1">
      <c r="A7" s="142"/>
      <c r="B7" s="6" t="s">
        <v>38</v>
      </c>
      <c r="C7" s="7" t="s">
        <v>39</v>
      </c>
      <c r="D7" s="8" t="s">
        <v>40</v>
      </c>
      <c r="E7" s="9" t="s">
        <v>38</v>
      </c>
      <c r="F7" s="10" t="s">
        <v>39</v>
      </c>
      <c r="G7" s="11" t="s">
        <v>40</v>
      </c>
      <c r="H7" s="9" t="s">
        <v>38</v>
      </c>
      <c r="I7" s="10" t="s">
        <v>39</v>
      </c>
      <c r="J7" s="11" t="s">
        <v>40</v>
      </c>
      <c r="K7" s="9" t="s">
        <v>38</v>
      </c>
      <c r="L7" s="10" t="s">
        <v>39</v>
      </c>
      <c r="M7" s="11" t="s">
        <v>40</v>
      </c>
      <c r="N7" s="9" t="s">
        <v>38</v>
      </c>
      <c r="O7" s="10" t="s">
        <v>39</v>
      </c>
      <c r="P7" s="11" t="s">
        <v>40</v>
      </c>
      <c r="Q7" s="9" t="s">
        <v>38</v>
      </c>
      <c r="R7" s="10" t="s">
        <v>39</v>
      </c>
      <c r="S7" s="11" t="s">
        <v>40</v>
      </c>
      <c r="T7" s="9" t="s">
        <v>38</v>
      </c>
      <c r="U7" s="10" t="s">
        <v>39</v>
      </c>
      <c r="V7" s="11" t="s">
        <v>40</v>
      </c>
      <c r="W7" s="9" t="s">
        <v>38</v>
      </c>
      <c r="X7" s="10" t="s">
        <v>39</v>
      </c>
      <c r="Y7" s="11" t="s">
        <v>40</v>
      </c>
      <c r="Z7" s="9" t="s">
        <v>38</v>
      </c>
      <c r="AA7" s="10" t="s">
        <v>39</v>
      </c>
      <c r="AB7" s="11" t="s">
        <v>40</v>
      </c>
      <c r="AC7" s="9" t="s">
        <v>38</v>
      </c>
      <c r="AD7" s="10" t="s">
        <v>39</v>
      </c>
      <c r="AE7" s="11" t="s">
        <v>40</v>
      </c>
      <c r="AF7" s="7" t="s">
        <v>39</v>
      </c>
      <c r="AG7" s="8" t="s">
        <v>40</v>
      </c>
      <c r="AH7" s="12" t="s">
        <v>39</v>
      </c>
      <c r="AI7" s="11" t="s">
        <v>40</v>
      </c>
      <c r="AJ7" s="12" t="s">
        <v>39</v>
      </c>
      <c r="AK7" s="11" t="s">
        <v>40</v>
      </c>
      <c r="AL7" s="13" t="s">
        <v>39</v>
      </c>
      <c r="AM7" s="11" t="s">
        <v>40</v>
      </c>
      <c r="AN7" s="10" t="s">
        <v>39</v>
      </c>
      <c r="AO7" s="11" t="s">
        <v>40</v>
      </c>
      <c r="AP7" s="142"/>
      <c r="AQ7" s="6" t="s">
        <v>39</v>
      </c>
      <c r="AR7" s="8" t="s">
        <v>40</v>
      </c>
      <c r="AS7" s="10" t="s">
        <v>39</v>
      </c>
      <c r="AT7" s="11" t="s">
        <v>40</v>
      </c>
      <c r="AU7" s="10" t="s">
        <v>39</v>
      </c>
      <c r="AV7" s="11" t="s">
        <v>40</v>
      </c>
      <c r="AW7" s="10" t="s">
        <v>39</v>
      </c>
      <c r="AX7" s="11" t="s">
        <v>40</v>
      </c>
      <c r="AY7" s="10" t="s">
        <v>39</v>
      </c>
      <c r="AZ7" s="11" t="s">
        <v>40</v>
      </c>
      <c r="BA7" s="10" t="s">
        <v>39</v>
      </c>
      <c r="BB7" s="11" t="s">
        <v>40</v>
      </c>
      <c r="BC7" s="7" t="s">
        <v>39</v>
      </c>
      <c r="BD7" s="8" t="s">
        <v>40</v>
      </c>
      <c r="BE7" s="10" t="s">
        <v>39</v>
      </c>
      <c r="BF7" s="11" t="s">
        <v>40</v>
      </c>
      <c r="BG7" s="10" t="s">
        <v>39</v>
      </c>
      <c r="BH7" s="11" t="s">
        <v>40</v>
      </c>
      <c r="BI7" s="10" t="s">
        <v>39</v>
      </c>
      <c r="BJ7" s="11" t="s">
        <v>40</v>
      </c>
      <c r="BK7" s="10" t="s">
        <v>39</v>
      </c>
      <c r="BL7" s="11" t="s">
        <v>40</v>
      </c>
      <c r="BM7" s="10" t="s">
        <v>39</v>
      </c>
      <c r="BN7" s="11" t="s">
        <v>40</v>
      </c>
      <c r="BO7" s="14" t="s">
        <v>41</v>
      </c>
      <c r="BP7" s="15" t="s">
        <v>39</v>
      </c>
      <c r="BQ7" s="16" t="s">
        <v>40</v>
      </c>
    </row>
    <row r="8" spans="1:70" ht="27.75" hidden="1" customHeight="1">
      <c r="A8" s="17" t="s">
        <v>42</v>
      </c>
      <c r="B8" s="18">
        <f t="shared" ref="B8:D23" si="0">E8+H8+K8+N8+Q8+T8+W8+Z8+AC8</f>
        <v>0</v>
      </c>
      <c r="C8" s="19">
        <f t="shared" si="0"/>
        <v>0</v>
      </c>
      <c r="D8" s="20">
        <f t="shared" si="0"/>
        <v>0</v>
      </c>
      <c r="E8" s="21"/>
      <c r="F8" s="22"/>
      <c r="G8" s="23">
        <f>F8</f>
        <v>0</v>
      </c>
      <c r="H8" s="21"/>
      <c r="I8" s="22"/>
      <c r="J8" s="23">
        <f>I8</f>
        <v>0</v>
      </c>
      <c r="K8" s="21"/>
      <c r="L8" s="22"/>
      <c r="M8" s="23">
        <f>L8</f>
        <v>0</v>
      </c>
      <c r="N8" s="21"/>
      <c r="O8" s="22"/>
      <c r="P8" s="23">
        <f>O8</f>
        <v>0</v>
      </c>
      <c r="Q8" s="21"/>
      <c r="R8" s="22"/>
      <c r="S8" s="23">
        <f>R8</f>
        <v>0</v>
      </c>
      <c r="T8" s="21"/>
      <c r="U8" s="22"/>
      <c r="V8" s="23">
        <f>U8</f>
        <v>0</v>
      </c>
      <c r="W8" s="21"/>
      <c r="X8" s="22"/>
      <c r="Y8" s="23">
        <f>X8</f>
        <v>0</v>
      </c>
      <c r="Z8" s="21"/>
      <c r="AA8" s="22"/>
      <c r="AB8" s="23">
        <f>AA8</f>
        <v>0</v>
      </c>
      <c r="AC8" s="21"/>
      <c r="AD8" s="22"/>
      <c r="AE8" s="23">
        <f>AD8</f>
        <v>0</v>
      </c>
      <c r="AF8" s="19">
        <f>AH8+AJ8+AL8+AN8</f>
        <v>0</v>
      </c>
      <c r="AG8" s="20">
        <f>AI8+AK8+AM8+AO8</f>
        <v>0</v>
      </c>
      <c r="AH8" s="24"/>
      <c r="AI8" s="23">
        <f>AH8</f>
        <v>0</v>
      </c>
      <c r="AJ8" s="24"/>
      <c r="AK8" s="23">
        <f>AJ8</f>
        <v>0</v>
      </c>
      <c r="AL8" s="22"/>
      <c r="AM8" s="23">
        <f>AL8</f>
        <v>0</v>
      </c>
      <c r="AN8" s="22"/>
      <c r="AO8" s="23">
        <f>AN8</f>
        <v>0</v>
      </c>
      <c r="AP8" s="17" t="s">
        <v>42</v>
      </c>
      <c r="AQ8" s="19">
        <f>AS8+AU8+AW8+AY8+BA8</f>
        <v>0</v>
      </c>
      <c r="AR8" s="20">
        <f>AT8+AV8+AX8+AZ8+BB8</f>
        <v>0</v>
      </c>
      <c r="AS8" s="22"/>
      <c r="AT8" s="23">
        <f>AS8</f>
        <v>0</v>
      </c>
      <c r="AU8" s="22"/>
      <c r="AV8" s="23">
        <f>AU8</f>
        <v>0</v>
      </c>
      <c r="AW8" s="22"/>
      <c r="AX8" s="23">
        <f>AW8</f>
        <v>0</v>
      </c>
      <c r="AY8" s="22"/>
      <c r="AZ8" s="23">
        <f>AY8</f>
        <v>0</v>
      </c>
      <c r="BA8" s="22"/>
      <c r="BB8" s="23">
        <f>BA8</f>
        <v>0</v>
      </c>
      <c r="BC8" s="19">
        <f>BE8+BG8+BI8+BK8+BM8</f>
        <v>0</v>
      </c>
      <c r="BD8" s="20">
        <f>BF8+BH8+BJ8+BL8+BN8</f>
        <v>0</v>
      </c>
      <c r="BE8" s="22"/>
      <c r="BF8" s="23">
        <f>BE8</f>
        <v>0</v>
      </c>
      <c r="BG8" s="22"/>
      <c r="BH8" s="23">
        <f>BG8</f>
        <v>0</v>
      </c>
      <c r="BI8" s="22"/>
      <c r="BJ8" s="23">
        <f>BI8</f>
        <v>0</v>
      </c>
      <c r="BK8" s="22"/>
      <c r="BL8" s="23">
        <f>BK8</f>
        <v>0</v>
      </c>
      <c r="BM8" s="22"/>
      <c r="BN8" s="23"/>
      <c r="BO8" s="25"/>
      <c r="BP8" s="26"/>
      <c r="BQ8" s="27">
        <f>BP8</f>
        <v>0</v>
      </c>
    </row>
    <row r="9" spans="1:70" ht="27.75" customHeight="1">
      <c r="A9" s="28" t="s">
        <v>43</v>
      </c>
      <c r="B9" s="29">
        <f t="shared" si="0"/>
        <v>3841</v>
      </c>
      <c r="C9" s="30">
        <f t="shared" si="0"/>
        <v>2</v>
      </c>
      <c r="D9" s="31">
        <f t="shared" si="0"/>
        <v>14</v>
      </c>
      <c r="E9" s="32">
        <v>452</v>
      </c>
      <c r="F9" s="22">
        <v>1</v>
      </c>
      <c r="G9" s="23">
        <f>F9+'25.03'!G9</f>
        <v>6</v>
      </c>
      <c r="H9" s="33">
        <v>12</v>
      </c>
      <c r="I9" s="34">
        <v>0</v>
      </c>
      <c r="J9" s="23">
        <f>I9+'25.03'!J9</f>
        <v>2</v>
      </c>
      <c r="K9" s="33">
        <v>2</v>
      </c>
      <c r="L9" s="22">
        <v>0</v>
      </c>
      <c r="M9" s="23">
        <f>L9+'25.03'!M9</f>
        <v>1</v>
      </c>
      <c r="N9" s="33">
        <v>735</v>
      </c>
      <c r="O9" s="22">
        <v>0</v>
      </c>
      <c r="P9" s="23">
        <f>O9+'25.03'!P9</f>
        <v>1</v>
      </c>
      <c r="Q9" s="33">
        <v>502</v>
      </c>
      <c r="R9" s="22">
        <v>0</v>
      </c>
      <c r="S9" s="23">
        <f>R9+'25.03'!S9</f>
        <v>0</v>
      </c>
      <c r="T9" s="33">
        <v>197</v>
      </c>
      <c r="U9" s="22">
        <v>1</v>
      </c>
      <c r="V9" s="23">
        <f>U9+'25.03'!V9</f>
        <v>1</v>
      </c>
      <c r="W9" s="33">
        <v>47</v>
      </c>
      <c r="X9" s="22">
        <v>0</v>
      </c>
      <c r="Y9" s="35">
        <f>X9+'25.03'!Y9</f>
        <v>3</v>
      </c>
      <c r="Z9" s="33">
        <v>34</v>
      </c>
      <c r="AA9" s="22">
        <v>0</v>
      </c>
      <c r="AB9" s="35">
        <f>AA9+'25.03'!AB9</f>
        <v>0</v>
      </c>
      <c r="AC9" s="33">
        <v>1860</v>
      </c>
      <c r="AD9" s="22">
        <v>0</v>
      </c>
      <c r="AE9" s="35">
        <f>AD9+'25.03'!AE9</f>
        <v>0</v>
      </c>
      <c r="AF9" s="19">
        <f t="shared" ref="AF9:AG22" si="1">AH9+AJ9+AL9+AN9</f>
        <v>3880</v>
      </c>
      <c r="AG9" s="20">
        <f>AI9+AK9+AM9+AO9</f>
        <v>22076</v>
      </c>
      <c r="AH9" s="24">
        <v>180</v>
      </c>
      <c r="AI9" s="35">
        <f>AH9+'25.03'!AI9</f>
        <v>470</v>
      </c>
      <c r="AJ9" s="24">
        <v>200</v>
      </c>
      <c r="AK9" s="35">
        <f>AJ9+'25.03'!AK9</f>
        <v>1311</v>
      </c>
      <c r="AL9" s="22">
        <v>1500</v>
      </c>
      <c r="AM9" s="35">
        <f>AL9+'25.03'!AM9</f>
        <v>5190</v>
      </c>
      <c r="AN9" s="22">
        <v>2000</v>
      </c>
      <c r="AO9" s="35">
        <f>AN9+'25.03'!AO9</f>
        <v>15105</v>
      </c>
      <c r="AP9" s="28" t="s">
        <v>43</v>
      </c>
      <c r="AQ9" s="19">
        <f t="shared" ref="AQ9:AR22" si="2">AS9+AU9+AW9+AY9+BA9</f>
        <v>29</v>
      </c>
      <c r="AR9" s="20">
        <f t="shared" si="2"/>
        <v>167</v>
      </c>
      <c r="AS9" s="34">
        <v>0</v>
      </c>
      <c r="AT9" s="35">
        <f>AS9+'25.03'!AT9</f>
        <v>1</v>
      </c>
      <c r="AU9" s="34">
        <v>1</v>
      </c>
      <c r="AV9" s="35">
        <f>AU9+'25.03'!AV9</f>
        <v>1</v>
      </c>
      <c r="AW9" s="34">
        <v>0</v>
      </c>
      <c r="AX9" s="35">
        <f>AW9+'25.03'!AX9</f>
        <v>0</v>
      </c>
      <c r="AY9" s="34">
        <v>0</v>
      </c>
      <c r="AZ9" s="35">
        <f>AY9+'25.03'!AZ9</f>
        <v>0</v>
      </c>
      <c r="BA9" s="34">
        <v>28</v>
      </c>
      <c r="BB9" s="35">
        <f>BA9+'25.03'!BB9</f>
        <v>165</v>
      </c>
      <c r="BC9" s="19">
        <f t="shared" ref="BC9:BD22" si="3">BE9+BG9+BI9+BK9+BM9</f>
        <v>701</v>
      </c>
      <c r="BD9" s="20">
        <f t="shared" si="3"/>
        <v>3003</v>
      </c>
      <c r="BE9" s="22">
        <v>1</v>
      </c>
      <c r="BF9" s="35">
        <f>BE9+'25.03'!BF9</f>
        <v>3</v>
      </c>
      <c r="BG9" s="34">
        <v>0</v>
      </c>
      <c r="BH9" s="35">
        <f>BG9+'25.03'!BH9</f>
        <v>0</v>
      </c>
      <c r="BI9" s="22">
        <v>700</v>
      </c>
      <c r="BJ9" s="35">
        <f>BI9+'25.03'!BJ9</f>
        <v>3000</v>
      </c>
      <c r="BK9" s="22">
        <v>0</v>
      </c>
      <c r="BL9" s="35">
        <f>BK9+'25.03'!BL9</f>
        <v>0</v>
      </c>
      <c r="BM9" s="22">
        <v>0</v>
      </c>
      <c r="BN9" s="35">
        <f>BM9+'25.03'!BN9</f>
        <v>0</v>
      </c>
      <c r="BO9" s="36">
        <v>14</v>
      </c>
      <c r="BP9" s="37">
        <v>2</v>
      </c>
      <c r="BQ9" s="35">
        <f>BP9+'25.03'!BQ9</f>
        <v>3</v>
      </c>
    </row>
    <row r="10" spans="1:70" ht="27.75" customHeight="1">
      <c r="A10" s="28" t="s">
        <v>44</v>
      </c>
      <c r="B10" s="29">
        <f t="shared" si="0"/>
        <v>3627</v>
      </c>
      <c r="C10" s="30">
        <f t="shared" si="0"/>
        <v>0</v>
      </c>
      <c r="D10" s="31">
        <f t="shared" si="0"/>
        <v>367</v>
      </c>
      <c r="E10" s="32">
        <v>585</v>
      </c>
      <c r="F10" s="22">
        <v>0</v>
      </c>
      <c r="G10" s="23">
        <f>F10+'25.03'!G10</f>
        <v>40</v>
      </c>
      <c r="H10" s="33">
        <v>93</v>
      </c>
      <c r="I10" s="34">
        <v>0</v>
      </c>
      <c r="J10" s="23">
        <f>I10+'25.03'!J10</f>
        <v>4</v>
      </c>
      <c r="K10" s="33">
        <v>34</v>
      </c>
      <c r="L10" s="22">
        <v>0</v>
      </c>
      <c r="M10" s="23">
        <f>L10+'25.03'!M10</f>
        <v>0</v>
      </c>
      <c r="N10" s="33">
        <v>352</v>
      </c>
      <c r="O10" s="22">
        <v>0</v>
      </c>
      <c r="P10" s="23">
        <f>O10+'25.03'!P10</f>
        <v>15</v>
      </c>
      <c r="Q10" s="33">
        <v>549</v>
      </c>
      <c r="R10" s="22">
        <v>0</v>
      </c>
      <c r="S10" s="23">
        <f>R10+'25.03'!S10</f>
        <v>10</v>
      </c>
      <c r="T10" s="33">
        <v>198</v>
      </c>
      <c r="U10" s="22">
        <v>0</v>
      </c>
      <c r="V10" s="23">
        <f>U10+'25.03'!V10</f>
        <v>12</v>
      </c>
      <c r="W10" s="38">
        <v>55</v>
      </c>
      <c r="X10" s="22">
        <v>0</v>
      </c>
      <c r="Y10" s="35">
        <f>X10+'25.03'!Y10</f>
        <v>20</v>
      </c>
      <c r="Z10" s="38">
        <v>71</v>
      </c>
      <c r="AA10" s="22">
        <v>0</v>
      </c>
      <c r="AB10" s="35">
        <f>AA10+'25.03'!AB10</f>
        <v>7</v>
      </c>
      <c r="AC10" s="38">
        <v>1690</v>
      </c>
      <c r="AD10" s="22">
        <v>0</v>
      </c>
      <c r="AE10" s="35">
        <f>AD10+'25.03'!AE10</f>
        <v>259</v>
      </c>
      <c r="AF10" s="19">
        <f t="shared" si="1"/>
        <v>0</v>
      </c>
      <c r="AG10" s="20">
        <f t="shared" si="1"/>
        <v>499475</v>
      </c>
      <c r="AH10" s="24">
        <v>0</v>
      </c>
      <c r="AI10" s="35">
        <f>AH10+'25.03'!AI10</f>
        <v>5797</v>
      </c>
      <c r="AJ10" s="24">
        <v>0</v>
      </c>
      <c r="AK10" s="35">
        <f>AJ10+'25.03'!AK10</f>
        <v>27132</v>
      </c>
      <c r="AL10" s="22">
        <v>0</v>
      </c>
      <c r="AM10" s="35">
        <f>AL10+'25.03'!AM10</f>
        <v>65312</v>
      </c>
      <c r="AN10" s="22">
        <v>0</v>
      </c>
      <c r="AO10" s="35">
        <f>AN10+'25.03'!AO10</f>
        <v>401234</v>
      </c>
      <c r="AP10" s="28" t="s">
        <v>44</v>
      </c>
      <c r="AQ10" s="19">
        <f t="shared" si="2"/>
        <v>0</v>
      </c>
      <c r="AR10" s="20">
        <f t="shared" si="2"/>
        <v>21</v>
      </c>
      <c r="AS10" s="34">
        <v>0</v>
      </c>
      <c r="AT10" s="35">
        <f>AS10+'25.03'!AT10</f>
        <v>1</v>
      </c>
      <c r="AU10" s="34">
        <v>0</v>
      </c>
      <c r="AV10" s="35">
        <f>AU10+'25.03'!AV10</f>
        <v>1</v>
      </c>
      <c r="AW10" s="34">
        <v>0</v>
      </c>
      <c r="AX10" s="35">
        <f>AW10+'25.03'!AX10</f>
        <v>0</v>
      </c>
      <c r="AY10" s="34">
        <v>0</v>
      </c>
      <c r="AZ10" s="35">
        <f>AY10+'25.03'!AZ10</f>
        <v>0</v>
      </c>
      <c r="BA10" s="34">
        <v>0</v>
      </c>
      <c r="BB10" s="35">
        <f>BA10+'25.03'!BB10</f>
        <v>19</v>
      </c>
      <c r="BC10" s="19">
        <f t="shared" si="3"/>
        <v>0</v>
      </c>
      <c r="BD10" s="20">
        <f t="shared" si="3"/>
        <v>22930</v>
      </c>
      <c r="BE10" s="22">
        <v>0</v>
      </c>
      <c r="BF10" s="35">
        <f>BE10+'25.03'!BF10</f>
        <v>2264</v>
      </c>
      <c r="BG10" s="34">
        <v>0</v>
      </c>
      <c r="BH10" s="35">
        <f>BG10+'25.03'!BH10</f>
        <v>0</v>
      </c>
      <c r="BI10" s="22">
        <v>0</v>
      </c>
      <c r="BJ10" s="35">
        <f>BI10+'25.03'!BJ10</f>
        <v>13592</v>
      </c>
      <c r="BK10" s="22">
        <v>0</v>
      </c>
      <c r="BL10" s="35">
        <f>BK10+'25.03'!BL10</f>
        <v>7074</v>
      </c>
      <c r="BM10" s="22">
        <v>0</v>
      </c>
      <c r="BN10" s="35">
        <f>BM10+'25.03'!BN10</f>
        <v>0</v>
      </c>
      <c r="BO10" s="36">
        <v>32</v>
      </c>
      <c r="BP10" s="37">
        <v>0</v>
      </c>
      <c r="BQ10" s="35">
        <f>BP10+'25.03'!BQ10</f>
        <v>13</v>
      </c>
    </row>
    <row r="11" spans="1:70" ht="27.75" customHeight="1">
      <c r="A11" s="28" t="s">
        <v>45</v>
      </c>
      <c r="B11" s="29">
        <f t="shared" si="0"/>
        <v>15381</v>
      </c>
      <c r="C11" s="30">
        <f t="shared" si="0"/>
        <v>186</v>
      </c>
      <c r="D11" s="31">
        <f t="shared" si="0"/>
        <v>1047</v>
      </c>
      <c r="E11" s="32">
        <v>883</v>
      </c>
      <c r="F11" s="22">
        <v>89</v>
      </c>
      <c r="G11" s="23">
        <f>F11+'25.03'!G11</f>
        <v>482</v>
      </c>
      <c r="H11" s="33">
        <v>16</v>
      </c>
      <c r="I11" s="34">
        <v>0</v>
      </c>
      <c r="J11" s="23">
        <f>I11+'25.03'!J11</f>
        <v>0</v>
      </c>
      <c r="K11" s="33">
        <v>3</v>
      </c>
      <c r="L11" s="22">
        <v>0</v>
      </c>
      <c r="M11" s="23">
        <f>L11+'25.03'!M11</f>
        <v>0</v>
      </c>
      <c r="N11" s="33">
        <v>875</v>
      </c>
      <c r="O11" s="22">
        <v>0</v>
      </c>
      <c r="P11" s="23">
        <f>O11+'25.03'!P11</f>
        <v>0</v>
      </c>
      <c r="Q11" s="33">
        <v>2424</v>
      </c>
      <c r="R11" s="22">
        <v>0</v>
      </c>
      <c r="S11" s="23">
        <f>R11+'25.03'!S11</f>
        <v>0</v>
      </c>
      <c r="T11" s="33">
        <v>69</v>
      </c>
      <c r="U11" s="22">
        <v>0</v>
      </c>
      <c r="V11" s="23">
        <f>U11+'25.03'!V11</f>
        <v>0</v>
      </c>
      <c r="W11" s="38">
        <v>133</v>
      </c>
      <c r="X11" s="22">
        <v>86</v>
      </c>
      <c r="Y11" s="35">
        <f>X11+'25.03'!Y11</f>
        <v>490</v>
      </c>
      <c r="Z11" s="38">
        <v>1116</v>
      </c>
      <c r="AA11" s="22">
        <v>0</v>
      </c>
      <c r="AB11" s="35">
        <f>AA11+'25.03'!AB11</f>
        <v>0</v>
      </c>
      <c r="AC11" s="38">
        <v>9862</v>
      </c>
      <c r="AD11" s="22">
        <v>11</v>
      </c>
      <c r="AE11" s="35">
        <f>AD11+'25.03'!AE11</f>
        <v>75</v>
      </c>
      <c r="AF11" s="19">
        <f t="shared" si="1"/>
        <v>149300</v>
      </c>
      <c r="AG11" s="20">
        <f t="shared" si="1"/>
        <v>931150</v>
      </c>
      <c r="AH11" s="24">
        <v>4300</v>
      </c>
      <c r="AI11" s="35">
        <f>AH11+'25.03'!AI11</f>
        <v>33600</v>
      </c>
      <c r="AJ11" s="24">
        <v>11000</v>
      </c>
      <c r="AK11" s="35">
        <f>AJ11+'25.03'!AK11</f>
        <v>67550</v>
      </c>
      <c r="AL11" s="22">
        <v>18500</v>
      </c>
      <c r="AM11" s="35">
        <f>AL11+'25.03'!AM11</f>
        <v>202500</v>
      </c>
      <c r="AN11" s="22">
        <v>115500</v>
      </c>
      <c r="AO11" s="35">
        <f>AN11+'25.03'!AO11</f>
        <v>627500</v>
      </c>
      <c r="AP11" s="28" t="s">
        <v>45</v>
      </c>
      <c r="AQ11" s="19">
        <f t="shared" si="2"/>
        <v>9</v>
      </c>
      <c r="AR11" s="20">
        <f t="shared" si="2"/>
        <v>51</v>
      </c>
      <c r="AS11" s="34">
        <v>0</v>
      </c>
      <c r="AT11" s="35">
        <f>AS11+'25.03'!AT11</f>
        <v>0</v>
      </c>
      <c r="AU11" s="34">
        <v>0</v>
      </c>
      <c r="AV11" s="35">
        <f>AU11+'25.03'!AV11</f>
        <v>0</v>
      </c>
      <c r="AW11" s="34">
        <v>0</v>
      </c>
      <c r="AX11" s="35">
        <f>AW11+'25.03'!AX11</f>
        <v>0</v>
      </c>
      <c r="AY11" s="34">
        <v>0</v>
      </c>
      <c r="AZ11" s="35">
        <f>AY11+'25.03'!AZ11</f>
        <v>0</v>
      </c>
      <c r="BA11" s="34">
        <v>9</v>
      </c>
      <c r="BB11" s="35">
        <f>BA11+'25.03'!BB11</f>
        <v>51</v>
      </c>
      <c r="BC11" s="19">
        <f t="shared" si="3"/>
        <v>6049</v>
      </c>
      <c r="BD11" s="20">
        <f t="shared" si="3"/>
        <v>30976</v>
      </c>
      <c r="BE11" s="22">
        <v>15</v>
      </c>
      <c r="BF11" s="35">
        <f>BE11+'25.03'!BF11</f>
        <v>81</v>
      </c>
      <c r="BG11" s="34">
        <v>4</v>
      </c>
      <c r="BH11" s="35">
        <f>BG11+'25.03'!BH11</f>
        <v>3627</v>
      </c>
      <c r="BI11" s="22">
        <v>5900</v>
      </c>
      <c r="BJ11" s="35">
        <f>BI11+'25.03'!BJ11</f>
        <v>26585</v>
      </c>
      <c r="BK11" s="22">
        <v>130</v>
      </c>
      <c r="BL11" s="35">
        <f>BK11+'25.03'!BL11</f>
        <v>683</v>
      </c>
      <c r="BM11" s="22">
        <v>0</v>
      </c>
      <c r="BN11" s="35">
        <f>BM11+'25.03'!BN11</f>
        <v>0</v>
      </c>
      <c r="BO11" s="36">
        <v>11506</v>
      </c>
      <c r="BP11" s="37">
        <v>0</v>
      </c>
      <c r="BQ11" s="35">
        <f>BP11+'25.03'!BQ11</f>
        <v>25</v>
      </c>
    </row>
    <row r="12" spans="1:70" ht="27" customHeight="1">
      <c r="A12" s="28" t="s">
        <v>46</v>
      </c>
      <c r="B12" s="29">
        <f t="shared" si="0"/>
        <v>30164</v>
      </c>
      <c r="C12" s="30">
        <f t="shared" si="0"/>
        <v>274</v>
      </c>
      <c r="D12" s="31">
        <f t="shared" si="0"/>
        <v>1718</v>
      </c>
      <c r="E12" s="32">
        <v>909</v>
      </c>
      <c r="F12" s="22">
        <v>98</v>
      </c>
      <c r="G12" s="23">
        <f>F12+'25.03'!G12</f>
        <v>820</v>
      </c>
      <c r="H12" s="33">
        <v>80</v>
      </c>
      <c r="I12" s="34">
        <v>2</v>
      </c>
      <c r="J12" s="23">
        <f>I12+'25.03'!J12</f>
        <v>18</v>
      </c>
      <c r="K12" s="33">
        <v>5</v>
      </c>
      <c r="L12" s="22">
        <v>0</v>
      </c>
      <c r="M12" s="23">
        <f>L12+'25.03'!M12</f>
        <v>0</v>
      </c>
      <c r="N12" s="33">
        <v>820</v>
      </c>
      <c r="O12" s="22">
        <v>24</v>
      </c>
      <c r="P12" s="23">
        <f>O12+'25.03'!P12</f>
        <v>280</v>
      </c>
      <c r="Q12" s="33">
        <v>549</v>
      </c>
      <c r="R12" s="22">
        <v>0</v>
      </c>
      <c r="S12" s="23">
        <f>R12+'25.03'!S12</f>
        <v>0</v>
      </c>
      <c r="T12" s="33">
        <v>992</v>
      </c>
      <c r="U12" s="22">
        <v>0</v>
      </c>
      <c r="V12" s="23">
        <f>U12+'25.03'!V12</f>
        <v>0</v>
      </c>
      <c r="W12" s="33">
        <v>38</v>
      </c>
      <c r="X12" s="22">
        <v>150</v>
      </c>
      <c r="Y12" s="35">
        <f>X12+'25.03'!Y12</f>
        <v>397</v>
      </c>
      <c r="Z12" s="33">
        <v>68</v>
      </c>
      <c r="AA12" s="22">
        <v>0</v>
      </c>
      <c r="AB12" s="35">
        <f>AA12+'25.03'!AB12</f>
        <v>3</v>
      </c>
      <c r="AC12" s="33">
        <v>26703</v>
      </c>
      <c r="AD12" s="22">
        <v>0</v>
      </c>
      <c r="AE12" s="35">
        <f>AD12+'25.03'!AE12</f>
        <v>200</v>
      </c>
      <c r="AF12" s="19">
        <f t="shared" si="1"/>
        <v>16420</v>
      </c>
      <c r="AG12" s="20">
        <f t="shared" si="1"/>
        <v>87832</v>
      </c>
      <c r="AH12" s="24">
        <v>2120</v>
      </c>
      <c r="AI12" s="35">
        <f>AH12+'25.03'!AI12</f>
        <v>15550</v>
      </c>
      <c r="AJ12" s="24">
        <v>6000</v>
      </c>
      <c r="AK12" s="35">
        <f>AJ12+'25.03'!AK12</f>
        <v>29882</v>
      </c>
      <c r="AL12" s="22">
        <v>8300</v>
      </c>
      <c r="AM12" s="35">
        <f>AL12+'25.03'!AM12</f>
        <v>30750</v>
      </c>
      <c r="AN12" s="22">
        <v>0</v>
      </c>
      <c r="AO12" s="35">
        <f>AN12+'25.03'!AO12</f>
        <v>11650</v>
      </c>
      <c r="AP12" s="28" t="s">
        <v>46</v>
      </c>
      <c r="AQ12" s="19">
        <f t="shared" si="2"/>
        <v>13</v>
      </c>
      <c r="AR12" s="20">
        <f t="shared" si="2"/>
        <v>174</v>
      </c>
      <c r="AS12" s="34">
        <v>1</v>
      </c>
      <c r="AT12" s="35">
        <f>AS12+'25.03'!AT12</f>
        <v>2</v>
      </c>
      <c r="AU12" s="34">
        <v>0</v>
      </c>
      <c r="AV12" s="35">
        <f>AU12+'25.03'!AV12</f>
        <v>2</v>
      </c>
      <c r="AW12" s="34">
        <v>0</v>
      </c>
      <c r="AX12" s="35">
        <f>AW12+'25.03'!AX12</f>
        <v>0</v>
      </c>
      <c r="AY12" s="34">
        <v>0</v>
      </c>
      <c r="AZ12" s="35">
        <f>AY12+'25.03'!AZ12</f>
        <v>0</v>
      </c>
      <c r="BA12" s="34">
        <v>12</v>
      </c>
      <c r="BB12" s="35">
        <f>BA12+'25.03'!BB12</f>
        <v>170</v>
      </c>
      <c r="BC12" s="19">
        <f t="shared" si="3"/>
        <v>1170</v>
      </c>
      <c r="BD12" s="20">
        <f t="shared" si="3"/>
        <v>11868</v>
      </c>
      <c r="BE12" s="22">
        <v>78</v>
      </c>
      <c r="BF12" s="35">
        <f>BE12+'25.03'!BF12</f>
        <v>238</v>
      </c>
      <c r="BG12" s="34">
        <v>7</v>
      </c>
      <c r="BH12" s="35">
        <f>BG12+'25.03'!BH12</f>
        <v>62</v>
      </c>
      <c r="BI12" s="22">
        <v>869</v>
      </c>
      <c r="BJ12" s="35">
        <f>BI12+'25.03'!BJ12</f>
        <v>9870</v>
      </c>
      <c r="BK12" s="22">
        <v>216</v>
      </c>
      <c r="BL12" s="35">
        <f>BK12+'25.03'!BL12</f>
        <v>1698</v>
      </c>
      <c r="BM12" s="22">
        <v>0</v>
      </c>
      <c r="BN12" s="35">
        <f>BM12+'25.03'!BN12</f>
        <v>0</v>
      </c>
      <c r="BO12" s="36"/>
      <c r="BP12" s="37">
        <v>1</v>
      </c>
      <c r="BQ12" s="35">
        <f>BP12+'25.03'!BQ12</f>
        <v>9</v>
      </c>
    </row>
    <row r="13" spans="1:70" ht="24.75" customHeight="1">
      <c r="A13" s="28" t="s">
        <v>47</v>
      </c>
      <c r="B13" s="29">
        <f t="shared" si="0"/>
        <v>2044</v>
      </c>
      <c r="C13" s="30">
        <f t="shared" si="0"/>
        <v>5</v>
      </c>
      <c r="D13" s="31">
        <f t="shared" si="0"/>
        <v>108</v>
      </c>
      <c r="E13" s="32">
        <v>516</v>
      </c>
      <c r="F13" s="22">
        <v>3</v>
      </c>
      <c r="G13" s="23">
        <f>F13+'25.03'!G13</f>
        <v>52</v>
      </c>
      <c r="H13" s="33">
        <v>10</v>
      </c>
      <c r="I13" s="34">
        <v>0</v>
      </c>
      <c r="J13" s="23">
        <f>I13+'25.03'!J13</f>
        <v>2</v>
      </c>
      <c r="K13" s="33">
        <v>38</v>
      </c>
      <c r="L13" s="22">
        <v>0</v>
      </c>
      <c r="M13" s="23">
        <f>L13+'25.03'!M13</f>
        <v>0</v>
      </c>
      <c r="N13" s="33">
        <v>581</v>
      </c>
      <c r="O13" s="22">
        <v>0</v>
      </c>
      <c r="P13" s="23">
        <f>O13+'25.03'!P13</f>
        <v>1</v>
      </c>
      <c r="Q13" s="33">
        <v>525</v>
      </c>
      <c r="R13" s="22">
        <v>0</v>
      </c>
      <c r="S13" s="23">
        <f>R13+'25.03'!S13</f>
        <v>0</v>
      </c>
      <c r="T13" s="33">
        <v>263</v>
      </c>
      <c r="U13" s="22">
        <v>0</v>
      </c>
      <c r="V13" s="23">
        <f>U13+'25.03'!V13</f>
        <v>0</v>
      </c>
      <c r="W13" s="33">
        <v>43</v>
      </c>
      <c r="X13" s="22">
        <v>0</v>
      </c>
      <c r="Y13" s="35">
        <f>X13+'25.03'!Y13</f>
        <v>2</v>
      </c>
      <c r="Z13" s="33">
        <v>17</v>
      </c>
      <c r="AA13" s="22">
        <v>0</v>
      </c>
      <c r="AB13" s="35">
        <f>AA13+'25.03'!AB13</f>
        <v>0</v>
      </c>
      <c r="AC13" s="33">
        <v>51</v>
      </c>
      <c r="AD13" s="22">
        <v>2</v>
      </c>
      <c r="AE13" s="35">
        <f>AD13+'25.03'!AE13</f>
        <v>51</v>
      </c>
      <c r="AF13" s="19">
        <f t="shared" si="1"/>
        <v>275500</v>
      </c>
      <c r="AG13" s="20">
        <f t="shared" si="1"/>
        <v>1804700</v>
      </c>
      <c r="AH13" s="24">
        <v>2500</v>
      </c>
      <c r="AI13" s="35">
        <f>AH13+'25.03'!AI13</f>
        <v>11000</v>
      </c>
      <c r="AJ13" s="24">
        <v>3000</v>
      </c>
      <c r="AK13" s="35">
        <f>AJ13+'25.03'!AK13</f>
        <v>43700</v>
      </c>
      <c r="AL13" s="22">
        <v>120000</v>
      </c>
      <c r="AM13" s="35">
        <f>AL13+'25.03'!AM13</f>
        <v>220000</v>
      </c>
      <c r="AN13" s="22">
        <v>150000</v>
      </c>
      <c r="AO13" s="35">
        <f>AN13+'25.03'!AO13</f>
        <v>1530000</v>
      </c>
      <c r="AP13" s="28" t="s">
        <v>47</v>
      </c>
      <c r="AQ13" s="19">
        <f t="shared" si="2"/>
        <v>112</v>
      </c>
      <c r="AR13" s="20">
        <f t="shared" si="2"/>
        <v>366</v>
      </c>
      <c r="AS13" s="34">
        <v>1</v>
      </c>
      <c r="AT13" s="35">
        <f>AS13+'25.03'!AT13</f>
        <v>6</v>
      </c>
      <c r="AU13" s="34">
        <v>1</v>
      </c>
      <c r="AV13" s="35">
        <f>AU13+'25.03'!AV13</f>
        <v>8</v>
      </c>
      <c r="AW13" s="34">
        <v>0</v>
      </c>
      <c r="AX13" s="35">
        <f>AW13+'25.03'!AX13</f>
        <v>0</v>
      </c>
      <c r="AY13" s="34">
        <v>0</v>
      </c>
      <c r="AZ13" s="35">
        <f>AY13+'25.03'!AZ13</f>
        <v>0</v>
      </c>
      <c r="BA13" s="34">
        <v>110</v>
      </c>
      <c r="BB13" s="35">
        <f>BA13+'25.03'!BB13</f>
        <v>352</v>
      </c>
      <c r="BC13" s="19">
        <f t="shared" si="3"/>
        <v>4755</v>
      </c>
      <c r="BD13" s="20">
        <f t="shared" si="3"/>
        <v>42096</v>
      </c>
      <c r="BE13" s="22">
        <v>1300</v>
      </c>
      <c r="BF13" s="35">
        <f>BE13+'25.03'!BF13</f>
        <v>3737</v>
      </c>
      <c r="BG13" s="34">
        <v>0</v>
      </c>
      <c r="BH13" s="35">
        <f>BG13+'25.03'!BH13</f>
        <v>54</v>
      </c>
      <c r="BI13" s="22">
        <v>3400</v>
      </c>
      <c r="BJ13" s="35">
        <f>BI13+'25.03'!BJ13</f>
        <v>34900</v>
      </c>
      <c r="BK13" s="22">
        <v>55</v>
      </c>
      <c r="BL13" s="35">
        <f>BK13+'25.03'!BL13</f>
        <v>3405</v>
      </c>
      <c r="BM13" s="22">
        <v>0</v>
      </c>
      <c r="BN13" s="35">
        <f>BM13+'25.03'!BN13</f>
        <v>0</v>
      </c>
      <c r="BO13" s="36"/>
      <c r="BP13" s="37">
        <v>0</v>
      </c>
      <c r="BQ13" s="35">
        <f>BP13+'25.03'!BQ13</f>
        <v>1</v>
      </c>
    </row>
    <row r="14" spans="1:70" ht="27.75" customHeight="1">
      <c r="A14" s="39" t="s">
        <v>48</v>
      </c>
      <c r="B14" s="40">
        <f t="shared" si="0"/>
        <v>3916</v>
      </c>
      <c r="C14" s="41">
        <f t="shared" si="0"/>
        <v>171</v>
      </c>
      <c r="D14" s="42">
        <f t="shared" si="0"/>
        <v>794</v>
      </c>
      <c r="E14" s="43">
        <v>304</v>
      </c>
      <c r="F14" s="22">
        <v>122</v>
      </c>
      <c r="G14" s="23">
        <f>F14+'25.03'!G14</f>
        <v>566</v>
      </c>
      <c r="H14" s="44">
        <v>5</v>
      </c>
      <c r="I14" s="45">
        <v>0</v>
      </c>
      <c r="J14" s="23">
        <f>I14+'25.03'!J14</f>
        <v>0</v>
      </c>
      <c r="K14" s="44">
        <v>34</v>
      </c>
      <c r="L14" s="22">
        <v>0</v>
      </c>
      <c r="M14" s="23">
        <f>L14+'25.03'!M14</f>
        <v>0</v>
      </c>
      <c r="N14" s="44">
        <v>583</v>
      </c>
      <c r="O14" s="22">
        <v>0</v>
      </c>
      <c r="P14" s="23">
        <f>O14+'25.03'!P14</f>
        <v>0</v>
      </c>
      <c r="Q14" s="44">
        <v>254</v>
      </c>
      <c r="R14" s="22">
        <v>0</v>
      </c>
      <c r="S14" s="23">
        <f>R14+'25.03'!S14</f>
        <v>0</v>
      </c>
      <c r="T14" s="44">
        <v>196</v>
      </c>
      <c r="U14" s="22">
        <v>0</v>
      </c>
      <c r="V14" s="23">
        <f>U14+'25.03'!V14</f>
        <v>0</v>
      </c>
      <c r="W14" s="44">
        <v>30</v>
      </c>
      <c r="X14" s="22">
        <v>44</v>
      </c>
      <c r="Y14" s="35">
        <f>X14+'25.03'!Y14</f>
        <v>193</v>
      </c>
      <c r="Z14" s="44">
        <v>10</v>
      </c>
      <c r="AA14" s="22">
        <v>0</v>
      </c>
      <c r="AB14" s="35">
        <f>AA14+'25.03'!AB14</f>
        <v>0</v>
      </c>
      <c r="AC14" s="44">
        <v>2500</v>
      </c>
      <c r="AD14" s="22">
        <v>5</v>
      </c>
      <c r="AE14" s="35">
        <f>AD14+'25.03'!AE14</f>
        <v>35</v>
      </c>
      <c r="AF14" s="19">
        <f t="shared" si="1"/>
        <v>10130</v>
      </c>
      <c r="AG14" s="20">
        <f t="shared" si="1"/>
        <v>993900</v>
      </c>
      <c r="AH14" s="24"/>
      <c r="AI14" s="35">
        <f>AH14+'25.03'!AI14</f>
        <v>20510</v>
      </c>
      <c r="AJ14" s="24">
        <v>10130</v>
      </c>
      <c r="AK14" s="35">
        <f>AJ14+'25.03'!AK14</f>
        <v>59990</v>
      </c>
      <c r="AL14" s="46"/>
      <c r="AM14" s="47">
        <f>AL14+'25.03'!AM14</f>
        <v>87420</v>
      </c>
      <c r="AN14" s="46"/>
      <c r="AO14" s="47">
        <f>AN14+'25.03'!AO14</f>
        <v>825980</v>
      </c>
      <c r="AP14" s="39" t="s">
        <v>48</v>
      </c>
      <c r="AQ14" s="19">
        <f t="shared" si="2"/>
        <v>0</v>
      </c>
      <c r="AR14" s="20">
        <f t="shared" si="2"/>
        <v>36</v>
      </c>
      <c r="AS14" s="45"/>
      <c r="AT14" s="35">
        <f>AS14+'25.03'!AT14</f>
        <v>1</v>
      </c>
      <c r="AU14" s="45"/>
      <c r="AV14" s="35">
        <f>AU14+'25.03'!AV14</f>
        <v>0</v>
      </c>
      <c r="AW14" s="45"/>
      <c r="AX14" s="35">
        <f>AW14+'25.03'!AX14</f>
        <v>2</v>
      </c>
      <c r="AY14" s="45"/>
      <c r="AZ14" s="35">
        <f>AY14+'25.03'!AZ14</f>
        <v>0</v>
      </c>
      <c r="BA14" s="45"/>
      <c r="BB14" s="35">
        <f>BA14+'25.03'!BB14</f>
        <v>33</v>
      </c>
      <c r="BC14" s="19">
        <f t="shared" si="3"/>
        <v>0</v>
      </c>
      <c r="BD14" s="20">
        <f t="shared" si="3"/>
        <v>16070</v>
      </c>
      <c r="BE14" s="22"/>
      <c r="BF14" s="35">
        <f>BE14+'25.03'!BF14</f>
        <v>27</v>
      </c>
      <c r="BG14" s="45"/>
      <c r="BH14" s="35">
        <f>BG14+'25.03'!BH14</f>
        <v>28</v>
      </c>
      <c r="BI14" s="22"/>
      <c r="BJ14" s="35">
        <f>BI14+'25.03'!BJ14</f>
        <v>15240</v>
      </c>
      <c r="BK14" s="22"/>
      <c r="BL14" s="35">
        <f>BK14+'25.03'!BL14</f>
        <v>775</v>
      </c>
      <c r="BM14" s="22"/>
      <c r="BN14" s="35">
        <f>BM14+'25.03'!BN14</f>
        <v>0</v>
      </c>
      <c r="BO14" s="48">
        <v>2</v>
      </c>
      <c r="BP14" s="49"/>
      <c r="BQ14" s="35">
        <f>BP14+'25.03'!BQ14</f>
        <v>2</v>
      </c>
    </row>
    <row r="15" spans="1:70" s="1" customFormat="1" ht="25.5" customHeight="1">
      <c r="A15" s="50" t="s">
        <v>49</v>
      </c>
      <c r="B15" s="51">
        <f t="shared" si="0"/>
        <v>3897</v>
      </c>
      <c r="C15" s="52">
        <f t="shared" si="0"/>
        <v>377</v>
      </c>
      <c r="D15" s="53">
        <f t="shared" si="0"/>
        <v>1921</v>
      </c>
      <c r="E15" s="54">
        <v>776</v>
      </c>
      <c r="F15" s="55">
        <v>266</v>
      </c>
      <c r="G15" s="23">
        <f>F15+'25.03'!G15</f>
        <v>1352</v>
      </c>
      <c r="H15" s="56">
        <v>9</v>
      </c>
      <c r="I15" s="57">
        <v>0</v>
      </c>
      <c r="J15" s="23">
        <f>I15+'25.03'!J15</f>
        <v>0</v>
      </c>
      <c r="K15" s="56">
        <v>6</v>
      </c>
      <c r="L15" s="55">
        <v>0</v>
      </c>
      <c r="M15" s="23">
        <f>L15+'25.03'!M15</f>
        <v>0</v>
      </c>
      <c r="N15" s="56">
        <v>1305</v>
      </c>
      <c r="O15" s="55">
        <v>0</v>
      </c>
      <c r="P15" s="23">
        <f>O15+'25.03'!P15</f>
        <v>0</v>
      </c>
      <c r="Q15" s="56">
        <v>447</v>
      </c>
      <c r="R15" s="55">
        <v>0</v>
      </c>
      <c r="S15" s="23">
        <f>R15+'25.03'!S15</f>
        <v>0</v>
      </c>
      <c r="T15" s="56">
        <v>337</v>
      </c>
      <c r="U15" s="55">
        <v>0</v>
      </c>
      <c r="V15" s="23">
        <f>U15+'25.03'!V15</f>
        <v>0</v>
      </c>
      <c r="W15" s="56">
        <v>78</v>
      </c>
      <c r="X15" s="55">
        <v>0</v>
      </c>
      <c r="Y15" s="35">
        <f>X15+'25.03'!Y15</f>
        <v>0</v>
      </c>
      <c r="Z15" s="56">
        <v>141</v>
      </c>
      <c r="AA15" s="55">
        <v>0</v>
      </c>
      <c r="AB15" s="35">
        <f>AA15+'25.03'!AB15</f>
        <v>0</v>
      </c>
      <c r="AC15" s="56">
        <v>798</v>
      </c>
      <c r="AD15" s="55">
        <v>111</v>
      </c>
      <c r="AE15" s="35">
        <f>AD15+'25.03'!AE15</f>
        <v>569</v>
      </c>
      <c r="AF15" s="58">
        <f t="shared" si="1"/>
        <v>1366589</v>
      </c>
      <c r="AG15" s="59">
        <f t="shared" si="1"/>
        <v>8030527</v>
      </c>
      <c r="AH15" s="60">
        <v>1050</v>
      </c>
      <c r="AI15" s="35">
        <f>AH15+'25.03'!AI15</f>
        <v>5901</v>
      </c>
      <c r="AJ15" s="60">
        <v>3415</v>
      </c>
      <c r="AK15" s="35">
        <f>AJ15+'25.03'!AK15</f>
        <v>9670</v>
      </c>
      <c r="AL15" s="55">
        <v>362124</v>
      </c>
      <c r="AM15" s="35">
        <f>AL15+'25.03'!AM15</f>
        <v>3366963</v>
      </c>
      <c r="AN15" s="55">
        <v>1000000</v>
      </c>
      <c r="AO15" s="35">
        <f>AN15+'25.03'!AO15</f>
        <v>4647993</v>
      </c>
      <c r="AP15" s="50" t="s">
        <v>49</v>
      </c>
      <c r="AQ15" s="58">
        <f t="shared" si="2"/>
        <v>0</v>
      </c>
      <c r="AR15" s="59">
        <f t="shared" si="2"/>
        <v>6</v>
      </c>
      <c r="AS15" s="57">
        <v>0</v>
      </c>
      <c r="AT15" s="35">
        <f>AS15+'25.03'!AT15</f>
        <v>0</v>
      </c>
      <c r="AU15" s="57">
        <v>0</v>
      </c>
      <c r="AV15" s="35">
        <f>AU15+'25.03'!AV15</f>
        <v>0</v>
      </c>
      <c r="AW15" s="57">
        <v>0</v>
      </c>
      <c r="AX15" s="35">
        <f>AW15+'25.03'!AX15</f>
        <v>0</v>
      </c>
      <c r="AY15" s="57">
        <v>0</v>
      </c>
      <c r="AZ15" s="35">
        <f>AY15+'25.03'!AZ15</f>
        <v>0</v>
      </c>
      <c r="BA15" s="57">
        <v>0</v>
      </c>
      <c r="BB15" s="35">
        <f>BA15+'25.03'!BB15</f>
        <v>6</v>
      </c>
      <c r="BC15" s="58">
        <f t="shared" si="3"/>
        <v>1889</v>
      </c>
      <c r="BD15" s="59">
        <f t="shared" si="3"/>
        <v>11585</v>
      </c>
      <c r="BE15" s="55">
        <v>87</v>
      </c>
      <c r="BF15" s="35">
        <f>BE15+'25.03'!BF15</f>
        <v>305</v>
      </c>
      <c r="BG15" s="57">
        <v>2</v>
      </c>
      <c r="BH15" s="35">
        <f>BG15+'25.03'!BH15</f>
        <v>655</v>
      </c>
      <c r="BI15" s="55">
        <v>900</v>
      </c>
      <c r="BJ15" s="35">
        <f>BI15+'25.03'!BJ15</f>
        <v>5635</v>
      </c>
      <c r="BK15" s="55">
        <v>900</v>
      </c>
      <c r="BL15" s="35">
        <f>BK15+'25.03'!BL15</f>
        <v>4990</v>
      </c>
      <c r="BM15" s="55">
        <v>0</v>
      </c>
      <c r="BN15" s="35">
        <f>BM15+'25.03'!BN15</f>
        <v>0</v>
      </c>
      <c r="BO15" s="36">
        <v>6274</v>
      </c>
      <c r="BP15" s="37">
        <v>3</v>
      </c>
      <c r="BQ15" s="35">
        <f>BP15+'25.03'!BQ15</f>
        <v>19</v>
      </c>
      <c r="BR15" s="1" t="s">
        <v>50</v>
      </c>
    </row>
    <row r="16" spans="1:70" ht="27.75" customHeight="1">
      <c r="A16" s="28" t="s">
        <v>51</v>
      </c>
      <c r="B16" s="29">
        <f t="shared" si="0"/>
        <v>19901</v>
      </c>
      <c r="C16" s="30">
        <f t="shared" si="0"/>
        <v>178</v>
      </c>
      <c r="D16" s="31">
        <f t="shared" si="0"/>
        <v>1016</v>
      </c>
      <c r="E16" s="32">
        <v>310</v>
      </c>
      <c r="F16" s="22">
        <v>41</v>
      </c>
      <c r="G16" s="23">
        <f>F16+'25.03'!G16</f>
        <v>256</v>
      </c>
      <c r="H16" s="33">
        <v>5</v>
      </c>
      <c r="I16" s="34">
        <v>0</v>
      </c>
      <c r="J16" s="23">
        <f>I16+'25.03'!J16</f>
        <v>0</v>
      </c>
      <c r="K16" s="33">
        <v>3</v>
      </c>
      <c r="L16" s="22">
        <v>0</v>
      </c>
      <c r="M16" s="23">
        <f>L16+'25.03'!M16</f>
        <v>0</v>
      </c>
      <c r="N16" s="33">
        <v>384</v>
      </c>
      <c r="O16" s="22">
        <v>0</v>
      </c>
      <c r="P16" s="23">
        <f>O16+'25.03'!P16</f>
        <v>0</v>
      </c>
      <c r="Q16" s="33">
        <v>245</v>
      </c>
      <c r="R16" s="22">
        <v>0</v>
      </c>
      <c r="S16" s="23">
        <f>R16+'25.03'!S16</f>
        <v>0</v>
      </c>
      <c r="T16" s="33">
        <v>397</v>
      </c>
      <c r="U16" s="22">
        <v>0</v>
      </c>
      <c r="V16" s="23">
        <f>U16+'25.03'!V16</f>
        <v>0</v>
      </c>
      <c r="W16" s="33">
        <v>24</v>
      </c>
      <c r="X16" s="22">
        <v>52</v>
      </c>
      <c r="Y16" s="35">
        <f>X16+'25.03'!Y16</f>
        <v>333</v>
      </c>
      <c r="Z16" s="33">
        <v>18</v>
      </c>
      <c r="AA16" s="22">
        <v>0</v>
      </c>
      <c r="AB16" s="35">
        <f>AA16+'25.03'!AB16</f>
        <v>0</v>
      </c>
      <c r="AC16" s="33">
        <v>18515</v>
      </c>
      <c r="AD16" s="22">
        <v>85</v>
      </c>
      <c r="AE16" s="35">
        <f>AD16+'25.03'!AE16</f>
        <v>427</v>
      </c>
      <c r="AF16" s="19">
        <f t="shared" si="1"/>
        <v>86430</v>
      </c>
      <c r="AG16" s="20">
        <f t="shared" si="1"/>
        <v>526347</v>
      </c>
      <c r="AH16" s="24">
        <v>315</v>
      </c>
      <c r="AI16" s="35">
        <f>AH16+'25.03'!AI16</f>
        <v>1795</v>
      </c>
      <c r="AJ16" s="24">
        <v>1115</v>
      </c>
      <c r="AK16" s="35">
        <f>AJ16+'25.03'!AK16</f>
        <v>6642</v>
      </c>
      <c r="AL16" s="22">
        <v>8400</v>
      </c>
      <c r="AM16" s="35">
        <f>AL16+'25.03'!AM16</f>
        <v>29880</v>
      </c>
      <c r="AN16" s="22">
        <v>76600</v>
      </c>
      <c r="AO16" s="35">
        <f>AN16+'25.03'!AO16</f>
        <v>488030</v>
      </c>
      <c r="AP16" s="28" t="s">
        <v>51</v>
      </c>
      <c r="AQ16" s="19">
        <f t="shared" si="2"/>
        <v>85</v>
      </c>
      <c r="AR16" s="20">
        <f t="shared" si="2"/>
        <v>364</v>
      </c>
      <c r="AS16" s="34">
        <v>0</v>
      </c>
      <c r="AT16" s="35">
        <f>AS16+'25.03'!AT16</f>
        <v>0</v>
      </c>
      <c r="AU16" s="34">
        <v>0</v>
      </c>
      <c r="AV16" s="35">
        <f>AU16+'25.03'!AV16</f>
        <v>0</v>
      </c>
      <c r="AW16" s="34">
        <v>0</v>
      </c>
      <c r="AX16" s="35">
        <f>AW16+'25.03'!AX16</f>
        <v>0</v>
      </c>
      <c r="AY16" s="34">
        <v>0</v>
      </c>
      <c r="AZ16" s="35">
        <f>AY16+'25.03'!AZ16</f>
        <v>0</v>
      </c>
      <c r="BA16" s="34">
        <v>85</v>
      </c>
      <c r="BB16" s="35">
        <f>BA16+'25.03'!BB16</f>
        <v>364</v>
      </c>
      <c r="BC16" s="19">
        <f t="shared" si="3"/>
        <v>1578</v>
      </c>
      <c r="BD16" s="20">
        <f t="shared" si="3"/>
        <v>8157</v>
      </c>
      <c r="BE16" s="22">
        <v>143</v>
      </c>
      <c r="BF16" s="35">
        <f>BE16+'25.03'!BF16</f>
        <v>656</v>
      </c>
      <c r="BG16" s="34">
        <v>5</v>
      </c>
      <c r="BH16" s="35">
        <f>BG16+'25.03'!BH16</f>
        <v>36</v>
      </c>
      <c r="BI16" s="22">
        <v>1120</v>
      </c>
      <c r="BJ16" s="35">
        <f>BI16+'25.03'!BJ16</f>
        <v>6555</v>
      </c>
      <c r="BK16" s="22">
        <v>310</v>
      </c>
      <c r="BL16" s="35">
        <f>BK16+'25.03'!BL16</f>
        <v>910</v>
      </c>
      <c r="BM16" s="22">
        <v>0</v>
      </c>
      <c r="BN16" s="35">
        <f>BM16+'25.03'!BN16</f>
        <v>0</v>
      </c>
      <c r="BO16" s="36">
        <v>2546</v>
      </c>
      <c r="BP16" s="37">
        <v>0</v>
      </c>
      <c r="BQ16" s="35">
        <f>BP16+'25.03'!BQ16</f>
        <v>0</v>
      </c>
    </row>
    <row r="17" spans="1:73" ht="27.75" customHeight="1">
      <c r="A17" s="28" t="s">
        <v>52</v>
      </c>
      <c r="B17" s="29">
        <f t="shared" si="0"/>
        <v>5602</v>
      </c>
      <c r="C17" s="30">
        <f t="shared" si="0"/>
        <v>189</v>
      </c>
      <c r="D17" s="31">
        <f t="shared" si="0"/>
        <v>1219</v>
      </c>
      <c r="E17" s="32">
        <v>754</v>
      </c>
      <c r="F17" s="22">
        <v>151</v>
      </c>
      <c r="G17" s="23">
        <f>F17+'25.03'!G17</f>
        <v>840</v>
      </c>
      <c r="H17" s="33">
        <v>9</v>
      </c>
      <c r="I17" s="34">
        <v>0</v>
      </c>
      <c r="J17" s="23">
        <f>I17+'25.03'!J17</f>
        <v>0</v>
      </c>
      <c r="K17" s="33">
        <v>5</v>
      </c>
      <c r="L17" s="22">
        <v>0</v>
      </c>
      <c r="M17" s="23">
        <f>L17+'25.03'!M17</f>
        <v>0</v>
      </c>
      <c r="N17" s="33">
        <v>768</v>
      </c>
      <c r="O17" s="22">
        <v>0</v>
      </c>
      <c r="P17" s="23">
        <f>O17+'25.03'!P17</f>
        <v>0</v>
      </c>
      <c r="Q17" s="33">
        <v>624</v>
      </c>
      <c r="R17" s="22">
        <v>0</v>
      </c>
      <c r="S17" s="23">
        <f>R17+'25.03'!S17</f>
        <v>0</v>
      </c>
      <c r="T17" s="33">
        <v>742</v>
      </c>
      <c r="U17" s="22">
        <v>0</v>
      </c>
      <c r="V17" s="23">
        <f>U17+'25.03'!V17</f>
        <v>0</v>
      </c>
      <c r="W17" s="33">
        <v>54</v>
      </c>
      <c r="X17" s="22">
        <v>30</v>
      </c>
      <c r="Y17" s="35">
        <f>X17+'25.03'!Y17</f>
        <v>270</v>
      </c>
      <c r="Z17" s="33">
        <v>66</v>
      </c>
      <c r="AA17" s="22">
        <v>0</v>
      </c>
      <c r="AB17" s="35">
        <f>AA17+'25.03'!AB17</f>
        <v>0</v>
      </c>
      <c r="AC17" s="33">
        <v>2580</v>
      </c>
      <c r="AD17" s="22">
        <v>8</v>
      </c>
      <c r="AE17" s="35">
        <f>AD17+'25.03'!AE17</f>
        <v>109</v>
      </c>
      <c r="AF17" s="19">
        <f t="shared" si="1"/>
        <v>227000</v>
      </c>
      <c r="AG17" s="20">
        <f t="shared" si="1"/>
        <v>1229000</v>
      </c>
      <c r="AH17" s="24">
        <v>7000</v>
      </c>
      <c r="AI17" s="35">
        <f>AH17+'25.03'!AI17</f>
        <v>51200</v>
      </c>
      <c r="AJ17" s="24">
        <v>10000</v>
      </c>
      <c r="AK17" s="35">
        <f>AJ17+'25.03'!AK17</f>
        <v>62800</v>
      </c>
      <c r="AL17" s="22">
        <v>110000</v>
      </c>
      <c r="AM17" s="35">
        <f>AL17+'25.03'!AM17</f>
        <v>493000</v>
      </c>
      <c r="AN17" s="22">
        <v>100000</v>
      </c>
      <c r="AO17" s="35">
        <f>AN17+'25.03'!AO17</f>
        <v>622000</v>
      </c>
      <c r="AP17" s="28" t="s">
        <v>52</v>
      </c>
      <c r="AQ17" s="19">
        <f t="shared" si="2"/>
        <v>13</v>
      </c>
      <c r="AR17" s="20">
        <f t="shared" si="2"/>
        <v>94</v>
      </c>
      <c r="AS17" s="34">
        <v>1</v>
      </c>
      <c r="AT17" s="35">
        <f>AS17+'25.03'!AT17</f>
        <v>14</v>
      </c>
      <c r="AU17" s="34">
        <v>1</v>
      </c>
      <c r="AV17" s="35">
        <f>AU17+'25.03'!AV17</f>
        <v>13</v>
      </c>
      <c r="AW17" s="34">
        <v>0</v>
      </c>
      <c r="AX17" s="35">
        <f>AW17+'25.03'!AX17</f>
        <v>0</v>
      </c>
      <c r="AY17" s="34">
        <v>0</v>
      </c>
      <c r="AZ17" s="35">
        <f>AY17+'25.03'!AZ17</f>
        <v>0</v>
      </c>
      <c r="BA17" s="34">
        <v>11</v>
      </c>
      <c r="BB17" s="35">
        <f>BA17+'25.03'!BB17</f>
        <v>67</v>
      </c>
      <c r="BC17" s="19">
        <f t="shared" si="3"/>
        <v>2711</v>
      </c>
      <c r="BD17" s="20">
        <f t="shared" si="3"/>
        <v>15462</v>
      </c>
      <c r="BE17" s="22">
        <v>30</v>
      </c>
      <c r="BF17" s="35">
        <f>BE17+'25.03'!BF17</f>
        <v>188</v>
      </c>
      <c r="BG17" s="34">
        <v>11</v>
      </c>
      <c r="BH17" s="35">
        <f>BG17+'25.03'!BH17</f>
        <v>59</v>
      </c>
      <c r="BI17" s="22">
        <v>2500</v>
      </c>
      <c r="BJ17" s="35">
        <f>BI17+'25.03'!BJ17</f>
        <v>14200</v>
      </c>
      <c r="BK17" s="22">
        <v>170</v>
      </c>
      <c r="BL17" s="35">
        <f>BK17+'25.03'!BL17</f>
        <v>1015</v>
      </c>
      <c r="BM17" s="22">
        <v>0</v>
      </c>
      <c r="BN17" s="35">
        <f>BM17+'25.03'!BN17</f>
        <v>0</v>
      </c>
      <c r="BO17" s="36">
        <v>8022</v>
      </c>
      <c r="BP17" s="37">
        <v>11</v>
      </c>
      <c r="BQ17" s="35">
        <f>BP17+'25.03'!BQ17</f>
        <v>52</v>
      </c>
    </row>
    <row r="18" spans="1:73" ht="27.75" customHeight="1">
      <c r="A18" s="17" t="s">
        <v>53</v>
      </c>
      <c r="B18" s="18">
        <f t="shared" si="0"/>
        <v>3791</v>
      </c>
      <c r="C18" s="19">
        <f t="shared" si="0"/>
        <v>471</v>
      </c>
      <c r="D18" s="20">
        <f t="shared" si="0"/>
        <v>2864</v>
      </c>
      <c r="E18" s="21">
        <v>1063</v>
      </c>
      <c r="F18" s="22">
        <v>285</v>
      </c>
      <c r="G18" s="23">
        <f>F18+'25.03'!G18</f>
        <v>1821</v>
      </c>
      <c r="H18" s="21">
        <v>19</v>
      </c>
      <c r="I18" s="22">
        <v>0</v>
      </c>
      <c r="J18" s="23">
        <f>I18+'25.03'!J18</f>
        <v>0</v>
      </c>
      <c r="K18" s="21">
        <v>8</v>
      </c>
      <c r="L18" s="22">
        <v>0</v>
      </c>
      <c r="M18" s="23">
        <f>L18+'25.03'!M18</f>
        <v>0</v>
      </c>
      <c r="N18" s="21">
        <v>1331</v>
      </c>
      <c r="O18" s="22">
        <v>0</v>
      </c>
      <c r="P18" s="23">
        <f>O18+'25.03'!P18</f>
        <v>0</v>
      </c>
      <c r="Q18" s="21">
        <v>777</v>
      </c>
      <c r="R18" s="22">
        <v>0</v>
      </c>
      <c r="S18" s="23">
        <f>R18+'25.03'!S18</f>
        <v>0</v>
      </c>
      <c r="T18" s="21">
        <v>318</v>
      </c>
      <c r="U18" s="22">
        <v>0</v>
      </c>
      <c r="V18" s="23">
        <f>U18+'25.03'!V18</f>
        <v>0</v>
      </c>
      <c r="W18" s="21">
        <v>60</v>
      </c>
      <c r="X18" s="22">
        <v>186</v>
      </c>
      <c r="Y18" s="35">
        <f>X18+'25.03'!Y18</f>
        <v>1039</v>
      </c>
      <c r="Z18" s="21">
        <v>72</v>
      </c>
      <c r="AA18" s="22">
        <v>0</v>
      </c>
      <c r="AB18" s="35">
        <f>AA18+'25.03'!AB18</f>
        <v>0</v>
      </c>
      <c r="AC18" s="21">
        <v>143</v>
      </c>
      <c r="AD18" s="22">
        <v>0</v>
      </c>
      <c r="AE18" s="35">
        <f>AD18+'25.03'!AE18</f>
        <v>4</v>
      </c>
      <c r="AF18" s="19">
        <f t="shared" si="1"/>
        <v>258005</v>
      </c>
      <c r="AG18" s="20">
        <f t="shared" si="1"/>
        <v>1845247</v>
      </c>
      <c r="AH18" s="24">
        <v>584</v>
      </c>
      <c r="AI18" s="35">
        <f>AH18+'25.03'!AI18</f>
        <v>4538</v>
      </c>
      <c r="AJ18" s="24">
        <v>5042</v>
      </c>
      <c r="AK18" s="35">
        <f>AJ18+'25.03'!AK18</f>
        <v>30368</v>
      </c>
      <c r="AL18" s="22">
        <v>7951</v>
      </c>
      <c r="AM18" s="35">
        <f>AL18+'25.03'!AM18</f>
        <v>64986</v>
      </c>
      <c r="AN18" s="22">
        <v>244428</v>
      </c>
      <c r="AO18" s="35">
        <f>AN18+'25.03'!AO18</f>
        <v>1745355</v>
      </c>
      <c r="AP18" s="17" t="s">
        <v>53</v>
      </c>
      <c r="AQ18" s="19">
        <f>AS18+AU18+AW18+AY18+BA18</f>
        <v>8</v>
      </c>
      <c r="AR18" s="20">
        <f t="shared" si="2"/>
        <v>55</v>
      </c>
      <c r="AS18" s="22">
        <v>0</v>
      </c>
      <c r="AT18" s="35">
        <f>AS18+'25.03'!AT18</f>
        <v>4</v>
      </c>
      <c r="AU18" s="22">
        <v>0</v>
      </c>
      <c r="AV18" s="35">
        <f>AU18+'25.03'!AV18</f>
        <v>0</v>
      </c>
      <c r="AW18" s="22">
        <v>0</v>
      </c>
      <c r="AX18" s="35">
        <f>AW18+'25.03'!AX18</f>
        <v>0</v>
      </c>
      <c r="AY18" s="22">
        <v>0</v>
      </c>
      <c r="AZ18" s="35">
        <f>AY18+'25.03'!AZ18</f>
        <v>0</v>
      </c>
      <c r="BA18" s="22">
        <v>8</v>
      </c>
      <c r="BB18" s="35">
        <f>BA18+'25.03'!BB18</f>
        <v>51</v>
      </c>
      <c r="BC18" s="19">
        <f t="shared" si="3"/>
        <v>2707</v>
      </c>
      <c r="BD18" s="20">
        <f>BF18+BH18+BJ18+BL18+BN18</f>
        <v>16003</v>
      </c>
      <c r="BE18" s="22">
        <v>2</v>
      </c>
      <c r="BF18" s="35">
        <f>BE18+'25.03'!BF18</f>
        <v>18</v>
      </c>
      <c r="BG18" s="22">
        <v>0</v>
      </c>
      <c r="BH18" s="35">
        <f>BG18+'25.03'!BH18</f>
        <v>3</v>
      </c>
      <c r="BI18" s="22">
        <v>2548</v>
      </c>
      <c r="BJ18" s="35">
        <f>BI18+'25.03'!BJ18</f>
        <v>14628</v>
      </c>
      <c r="BK18" s="22">
        <v>157</v>
      </c>
      <c r="BL18" s="35">
        <f>BK18+'25.03'!BL18</f>
        <v>1346</v>
      </c>
      <c r="BM18" s="22">
        <v>0</v>
      </c>
      <c r="BN18" s="35">
        <f>BM18+'25.03'!BN18</f>
        <v>8</v>
      </c>
      <c r="BO18" s="36">
        <v>442</v>
      </c>
      <c r="BP18" s="37">
        <v>0</v>
      </c>
      <c r="BQ18" s="35">
        <f>BP18+'25.03'!BQ18</f>
        <v>3</v>
      </c>
    </row>
    <row r="19" spans="1:73" ht="27.75" customHeight="1">
      <c r="A19" s="28" t="s">
        <v>54</v>
      </c>
      <c r="B19" s="29">
        <f t="shared" si="0"/>
        <v>1040</v>
      </c>
      <c r="C19" s="30">
        <f t="shared" si="0"/>
        <v>20</v>
      </c>
      <c r="D19" s="31">
        <f t="shared" si="0"/>
        <v>99</v>
      </c>
      <c r="E19" s="33">
        <v>221</v>
      </c>
      <c r="F19" s="22"/>
      <c r="G19" s="23">
        <f>F19+'25.03'!G19</f>
        <v>20</v>
      </c>
      <c r="H19" s="33">
        <v>5</v>
      </c>
      <c r="I19" s="34">
        <v>0</v>
      </c>
      <c r="J19" s="23">
        <f>I19+'25.03'!J19</f>
        <v>0</v>
      </c>
      <c r="K19" s="33">
        <v>4</v>
      </c>
      <c r="L19" s="22">
        <v>0</v>
      </c>
      <c r="M19" s="23">
        <f>L19+'25.03'!M19</f>
        <v>0</v>
      </c>
      <c r="N19" s="33">
        <v>313</v>
      </c>
      <c r="O19" s="22">
        <v>0</v>
      </c>
      <c r="P19" s="23">
        <f>O19+'25.03'!P19</f>
        <v>0</v>
      </c>
      <c r="Q19" s="33">
        <v>203</v>
      </c>
      <c r="R19" s="22">
        <v>0</v>
      </c>
      <c r="S19" s="23">
        <f>R19+'25.03'!S19</f>
        <v>0</v>
      </c>
      <c r="T19" s="33">
        <v>241</v>
      </c>
      <c r="U19" s="22">
        <v>0</v>
      </c>
      <c r="V19" s="23">
        <f>U19+'25.03'!V19</f>
        <v>0</v>
      </c>
      <c r="W19" s="33">
        <v>14</v>
      </c>
      <c r="X19" s="22">
        <v>6</v>
      </c>
      <c r="Y19" s="35">
        <f>X19+'25.03'!Y19</f>
        <v>26</v>
      </c>
      <c r="Z19" s="33">
        <v>7</v>
      </c>
      <c r="AA19" s="22">
        <v>0</v>
      </c>
      <c r="AB19" s="35">
        <f>AA19+'25.03'!AB19</f>
        <v>0</v>
      </c>
      <c r="AC19" s="33">
        <v>32</v>
      </c>
      <c r="AD19" s="22">
        <v>14</v>
      </c>
      <c r="AE19" s="35">
        <f>AD19+'25.03'!AE19</f>
        <v>53</v>
      </c>
      <c r="AF19" s="19">
        <f t="shared" si="1"/>
        <v>4200</v>
      </c>
      <c r="AG19" s="20">
        <f t="shared" si="1"/>
        <v>16500</v>
      </c>
      <c r="AH19" s="24">
        <v>500</v>
      </c>
      <c r="AI19" s="35">
        <f>AH19+'25.03'!AI19</f>
        <v>2250</v>
      </c>
      <c r="AJ19" s="24">
        <v>600</v>
      </c>
      <c r="AK19" s="35">
        <f>AJ19+'25.03'!AK19</f>
        <v>2350</v>
      </c>
      <c r="AL19" s="22">
        <v>2500</v>
      </c>
      <c r="AM19" s="35">
        <f>AL19+'25.03'!AM19</f>
        <v>7350</v>
      </c>
      <c r="AN19" s="22">
        <v>600</v>
      </c>
      <c r="AO19" s="35">
        <f>AN19+'25.03'!AO19</f>
        <v>4550</v>
      </c>
      <c r="AP19" s="28" t="s">
        <v>54</v>
      </c>
      <c r="AQ19" s="19">
        <f t="shared" ref="AQ19:AQ22" si="4">AS19+AU19+AW19+AY19+BA19</f>
        <v>0</v>
      </c>
      <c r="AR19" s="20">
        <f t="shared" si="2"/>
        <v>900</v>
      </c>
      <c r="AS19" s="34">
        <v>0</v>
      </c>
      <c r="AT19" s="35">
        <f>AS19+'25.03'!AT19</f>
        <v>0</v>
      </c>
      <c r="AU19" s="34">
        <v>0</v>
      </c>
      <c r="AV19" s="35">
        <f>AU19+'25.03'!AV19</f>
        <v>0</v>
      </c>
      <c r="AW19" s="34">
        <v>0</v>
      </c>
      <c r="AX19" s="35">
        <f>AW19+'25.03'!AX19</f>
        <v>900</v>
      </c>
      <c r="AY19" s="34">
        <v>0</v>
      </c>
      <c r="AZ19" s="35">
        <f>AY19+'25.03'!AZ19</f>
        <v>0</v>
      </c>
      <c r="BA19" s="34">
        <v>0</v>
      </c>
      <c r="BB19" s="35">
        <f>BA19+'25.03'!BB19</f>
        <v>0</v>
      </c>
      <c r="BC19" s="19">
        <f t="shared" si="3"/>
        <v>1164</v>
      </c>
      <c r="BD19" s="20">
        <f t="shared" si="3"/>
        <v>2342</v>
      </c>
      <c r="BE19" s="22">
        <v>14</v>
      </c>
      <c r="BF19" s="35">
        <f>BE19+'25.03'!BF19</f>
        <v>42</v>
      </c>
      <c r="BG19" s="34">
        <v>0</v>
      </c>
      <c r="BH19" s="35">
        <f>BG19+'25.03'!BH19</f>
        <v>0</v>
      </c>
      <c r="BI19" s="22">
        <v>900</v>
      </c>
      <c r="BJ19" s="35">
        <f>BI19+'25.03'!BJ19</f>
        <v>1800</v>
      </c>
      <c r="BK19" s="22">
        <v>250</v>
      </c>
      <c r="BL19" s="35">
        <f>BK19+'25.03'!BL19</f>
        <v>500</v>
      </c>
      <c r="BM19" s="22">
        <v>0</v>
      </c>
      <c r="BN19" s="35">
        <f>BM19+'25.03'!BN19</f>
        <v>0</v>
      </c>
      <c r="BO19" s="36">
        <v>2898</v>
      </c>
      <c r="BP19" s="37"/>
      <c r="BQ19" s="35">
        <f>BP19+'25.03'!BQ19</f>
        <v>0</v>
      </c>
    </row>
    <row r="20" spans="1:73" ht="27.75" customHeight="1">
      <c r="A20" s="28" t="s">
        <v>55</v>
      </c>
      <c r="B20" s="29">
        <f t="shared" si="0"/>
        <v>5228</v>
      </c>
      <c r="C20" s="30">
        <f t="shared" si="0"/>
        <v>197</v>
      </c>
      <c r="D20" s="31">
        <f t="shared" si="0"/>
        <v>1307</v>
      </c>
      <c r="E20" s="32">
        <v>723</v>
      </c>
      <c r="F20" s="22">
        <v>150</v>
      </c>
      <c r="G20" s="23">
        <f>F20+'25.03'!G20</f>
        <v>834</v>
      </c>
      <c r="H20" s="33">
        <v>5</v>
      </c>
      <c r="I20" s="34">
        <v>0</v>
      </c>
      <c r="J20" s="23">
        <f>I20+'25.03'!J20</f>
        <v>39</v>
      </c>
      <c r="K20" s="33">
        <v>3</v>
      </c>
      <c r="L20" s="22">
        <v>0</v>
      </c>
      <c r="M20" s="23">
        <f>L20+'25.03'!M20</f>
        <v>0</v>
      </c>
      <c r="N20" s="33">
        <v>975</v>
      </c>
      <c r="O20" s="22">
        <v>0</v>
      </c>
      <c r="P20" s="23">
        <f>O20+'25.03'!P20</f>
        <v>80</v>
      </c>
      <c r="Q20" s="61">
        <v>1862</v>
      </c>
      <c r="R20" s="22">
        <v>0</v>
      </c>
      <c r="S20" s="23">
        <f>R20+'25.03'!S20</f>
        <v>82</v>
      </c>
      <c r="T20" s="33">
        <v>35</v>
      </c>
      <c r="U20" s="22">
        <v>6</v>
      </c>
      <c r="V20" s="23">
        <f>U20+'25.03'!V20</f>
        <v>21</v>
      </c>
      <c r="W20" s="33">
        <v>64</v>
      </c>
      <c r="X20" s="22">
        <v>31</v>
      </c>
      <c r="Y20" s="35">
        <f>X20+'25.03'!Y20</f>
        <v>125</v>
      </c>
      <c r="Z20" s="33">
        <v>15</v>
      </c>
      <c r="AA20" s="22">
        <v>0</v>
      </c>
      <c r="AB20" s="35">
        <f>AA20+'25.03'!AB20</f>
        <v>2</v>
      </c>
      <c r="AC20" s="33">
        <v>1546</v>
      </c>
      <c r="AD20" s="22">
        <v>10</v>
      </c>
      <c r="AE20" s="35">
        <f>AD20+'25.03'!AE20</f>
        <v>124</v>
      </c>
      <c r="AF20" s="19">
        <f t="shared" si="1"/>
        <v>8440</v>
      </c>
      <c r="AG20" s="20">
        <f t="shared" si="1"/>
        <v>51140</v>
      </c>
      <c r="AH20" s="24">
        <v>3290</v>
      </c>
      <c r="AI20" s="35">
        <f>AH20+'25.03'!AI20</f>
        <v>21927</v>
      </c>
      <c r="AJ20" s="24">
        <v>5150</v>
      </c>
      <c r="AK20" s="35">
        <f>AJ20+'25.03'!AK20</f>
        <v>28113</v>
      </c>
      <c r="AL20" s="22">
        <v>0</v>
      </c>
      <c r="AM20" s="35">
        <f>AL20+'25.03'!AM20</f>
        <v>450</v>
      </c>
      <c r="AN20" s="22">
        <v>0</v>
      </c>
      <c r="AO20" s="35">
        <f>AN20+'25.03'!AO20</f>
        <v>650</v>
      </c>
      <c r="AP20" s="28" t="s">
        <v>55</v>
      </c>
      <c r="AQ20" s="19">
        <f t="shared" si="4"/>
        <v>180</v>
      </c>
      <c r="AR20" s="20">
        <f t="shared" si="2"/>
        <v>1021</v>
      </c>
      <c r="AS20" s="34">
        <v>0</v>
      </c>
      <c r="AT20" s="35">
        <f>AS20+'25.03'!AT20</f>
        <v>5</v>
      </c>
      <c r="AU20" s="34">
        <v>0</v>
      </c>
      <c r="AV20" s="35">
        <f>AU20+'25.03'!AV20</f>
        <v>4</v>
      </c>
      <c r="AW20" s="34">
        <v>0</v>
      </c>
      <c r="AX20" s="35">
        <f>AW20+'25.03'!AX20</f>
        <v>1</v>
      </c>
      <c r="AY20" s="34">
        <v>0</v>
      </c>
      <c r="AZ20" s="35">
        <f>AY20+'25.03'!AZ20</f>
        <v>0</v>
      </c>
      <c r="BA20" s="34">
        <v>180</v>
      </c>
      <c r="BB20" s="35">
        <f>BA20+'25.03'!BB20</f>
        <v>1011</v>
      </c>
      <c r="BC20" s="19">
        <f t="shared" si="3"/>
        <v>2695</v>
      </c>
      <c r="BD20" s="20">
        <f t="shared" si="3"/>
        <v>36801</v>
      </c>
      <c r="BE20" s="22">
        <v>95</v>
      </c>
      <c r="BF20" s="35">
        <f>BE20+'25.03'!BF20</f>
        <v>541</v>
      </c>
      <c r="BG20" s="34">
        <v>0</v>
      </c>
      <c r="BH20" s="35">
        <f>BG20+'25.03'!BH20</f>
        <v>0</v>
      </c>
      <c r="BI20" s="22">
        <v>1700</v>
      </c>
      <c r="BJ20" s="35">
        <f>BI20+'25.03'!BJ20</f>
        <v>33450</v>
      </c>
      <c r="BK20" s="22">
        <v>900</v>
      </c>
      <c r="BL20" s="35">
        <f>BK20+'25.03'!BL20</f>
        <v>2810</v>
      </c>
      <c r="BM20" s="22">
        <v>0</v>
      </c>
      <c r="BN20" s="35">
        <f>BM20+'25.03'!BN20</f>
        <v>0</v>
      </c>
      <c r="BO20" s="36">
        <v>5854</v>
      </c>
      <c r="BP20" s="37">
        <v>0</v>
      </c>
      <c r="BQ20" s="35">
        <f>BP20+'25.03'!BQ20</f>
        <v>0</v>
      </c>
      <c r="BR20" t="s">
        <v>56</v>
      </c>
      <c r="BU20" t="s">
        <v>57</v>
      </c>
    </row>
    <row r="21" spans="1:73" ht="27.75" customHeight="1">
      <c r="A21" s="28" t="s">
        <v>58</v>
      </c>
      <c r="B21" s="29">
        <f t="shared" si="0"/>
        <v>3266</v>
      </c>
      <c r="C21" s="30">
        <f t="shared" si="0"/>
        <v>426</v>
      </c>
      <c r="D21" s="31">
        <f t="shared" si="0"/>
        <v>1857</v>
      </c>
      <c r="E21" s="32">
        <v>1017</v>
      </c>
      <c r="F21" s="22">
        <v>350</v>
      </c>
      <c r="G21" s="23">
        <f>F21+'25.03'!G21</f>
        <v>1505</v>
      </c>
      <c r="H21" s="33">
        <v>8</v>
      </c>
      <c r="I21" s="34">
        <v>0</v>
      </c>
      <c r="J21" s="23">
        <f>I21+'25.03'!J21</f>
        <v>8</v>
      </c>
      <c r="K21" s="33">
        <v>4</v>
      </c>
      <c r="L21" s="22">
        <v>0</v>
      </c>
      <c r="M21" s="23">
        <f>L21+'25.03'!M21</f>
        <v>0</v>
      </c>
      <c r="N21" s="33">
        <v>963</v>
      </c>
      <c r="O21" s="22">
        <v>5</v>
      </c>
      <c r="P21" s="23">
        <f>O21+'25.03'!P21</f>
        <v>5</v>
      </c>
      <c r="Q21" s="33">
        <v>912</v>
      </c>
      <c r="R21" s="22">
        <v>0</v>
      </c>
      <c r="S21" s="23">
        <f>R21+'25.03'!S21</f>
        <v>0</v>
      </c>
      <c r="T21" s="33">
        <v>199</v>
      </c>
      <c r="U21" s="22">
        <v>15</v>
      </c>
      <c r="V21" s="23">
        <f>U21+'25.03'!V21</f>
        <v>25</v>
      </c>
      <c r="W21" s="33">
        <v>101</v>
      </c>
      <c r="X21" s="22">
        <v>51</v>
      </c>
      <c r="Y21" s="35">
        <f>X21+'25.03'!Y21</f>
        <v>257</v>
      </c>
      <c r="Z21" s="33">
        <v>42</v>
      </c>
      <c r="AA21" s="22">
        <v>0</v>
      </c>
      <c r="AB21" s="35">
        <f>AA21+'25.03'!AB21</f>
        <v>1</v>
      </c>
      <c r="AC21" s="33">
        <v>20</v>
      </c>
      <c r="AD21" s="22">
        <v>5</v>
      </c>
      <c r="AE21" s="35">
        <f>AD21+'25.03'!AE21</f>
        <v>56</v>
      </c>
      <c r="AF21" s="19">
        <f t="shared" si="1"/>
        <v>167323</v>
      </c>
      <c r="AG21" s="20">
        <f t="shared" si="1"/>
        <v>1075717</v>
      </c>
      <c r="AH21" s="24">
        <v>2100</v>
      </c>
      <c r="AI21" s="35">
        <f>AH21+'25.03'!AI21</f>
        <v>4762</v>
      </c>
      <c r="AJ21" s="24">
        <v>13223</v>
      </c>
      <c r="AK21" s="35">
        <f>AJ21+'25.03'!AK21</f>
        <v>80955</v>
      </c>
      <c r="AL21" s="22">
        <v>6000</v>
      </c>
      <c r="AM21" s="35">
        <f>AL21+'25.03'!AM21</f>
        <v>38800</v>
      </c>
      <c r="AN21" s="22">
        <v>146000</v>
      </c>
      <c r="AO21" s="35">
        <f>AN21+'25.03'!AO21</f>
        <v>951200</v>
      </c>
      <c r="AP21" s="28" t="s">
        <v>58</v>
      </c>
      <c r="AQ21" s="19">
        <f t="shared" si="4"/>
        <v>18</v>
      </c>
      <c r="AR21" s="20">
        <f t="shared" si="2"/>
        <v>142</v>
      </c>
      <c r="AS21" s="34">
        <v>1</v>
      </c>
      <c r="AT21" s="35">
        <f>AS21+'25.03'!AT21</f>
        <v>4</v>
      </c>
      <c r="AU21" s="34">
        <v>2</v>
      </c>
      <c r="AV21" s="35">
        <f>AU21+'25.03'!AV21</f>
        <v>14</v>
      </c>
      <c r="AW21" s="34">
        <v>0</v>
      </c>
      <c r="AX21" s="35">
        <f>AW21+'25.03'!AX21</f>
        <v>1</v>
      </c>
      <c r="AY21" s="34">
        <v>0</v>
      </c>
      <c r="AZ21" s="35">
        <f>AY21+'25.03'!AZ21</f>
        <v>0</v>
      </c>
      <c r="BA21" s="34">
        <v>15</v>
      </c>
      <c r="BB21" s="35">
        <f>BA21+'25.03'!BB21</f>
        <v>123</v>
      </c>
      <c r="BC21" s="19">
        <f t="shared" si="3"/>
        <v>2575</v>
      </c>
      <c r="BD21" s="20">
        <f t="shared" si="3"/>
        <v>10789</v>
      </c>
      <c r="BE21" s="22">
        <v>75</v>
      </c>
      <c r="BF21" s="35">
        <f>BE21+'25.03'!BF21</f>
        <v>1266</v>
      </c>
      <c r="BG21" s="34">
        <v>0</v>
      </c>
      <c r="BH21" s="35">
        <f>BG21+'25.03'!BH21</f>
        <v>15</v>
      </c>
      <c r="BI21" s="22">
        <v>2500</v>
      </c>
      <c r="BJ21" s="35">
        <f>BI21+'25.03'!BJ21</f>
        <v>9355</v>
      </c>
      <c r="BK21" s="22">
        <v>0</v>
      </c>
      <c r="BL21" s="35">
        <f>BK21+'25.03'!BL21</f>
        <v>150</v>
      </c>
      <c r="BM21" s="22">
        <v>0</v>
      </c>
      <c r="BN21" s="35">
        <f>BM21+'25.03'!BN21</f>
        <v>3</v>
      </c>
      <c r="BO21" s="36">
        <v>68</v>
      </c>
      <c r="BP21" s="37">
        <v>2</v>
      </c>
      <c r="BQ21" s="35">
        <f>BP21+'25.03'!BQ21</f>
        <v>7</v>
      </c>
    </row>
    <row r="22" spans="1:73" ht="27.75" customHeight="1">
      <c r="A22" s="28" t="s">
        <v>59</v>
      </c>
      <c r="B22" s="29">
        <f t="shared" si="0"/>
        <v>1787</v>
      </c>
      <c r="C22" s="30">
        <f t="shared" si="0"/>
        <v>42</v>
      </c>
      <c r="D22" s="31">
        <f t="shared" si="0"/>
        <v>2271</v>
      </c>
      <c r="E22" s="32">
        <v>509</v>
      </c>
      <c r="F22" s="22">
        <v>18</v>
      </c>
      <c r="G22" s="23">
        <f>F22+'25.03'!G22</f>
        <v>459</v>
      </c>
      <c r="H22" s="33">
        <v>8</v>
      </c>
      <c r="I22" s="34">
        <v>0</v>
      </c>
      <c r="J22" s="23">
        <f>I22+'25.03'!J22</f>
        <v>249</v>
      </c>
      <c r="K22" s="33">
        <v>21</v>
      </c>
      <c r="L22" s="22">
        <v>0</v>
      </c>
      <c r="M22" s="23">
        <f>L22+'25.03'!M22</f>
        <v>0</v>
      </c>
      <c r="N22" s="33">
        <v>560</v>
      </c>
      <c r="O22" s="22">
        <v>0</v>
      </c>
      <c r="P22" s="23">
        <f>O22+'25.03'!P22</f>
        <v>0</v>
      </c>
      <c r="Q22" s="33">
        <v>375</v>
      </c>
      <c r="R22" s="22">
        <v>15</v>
      </c>
      <c r="S22" s="23">
        <f>R22+'25.03'!S22</f>
        <v>30</v>
      </c>
      <c r="T22" s="33">
        <v>165</v>
      </c>
      <c r="U22" s="22">
        <v>2</v>
      </c>
      <c r="V22" s="23">
        <f>U22+'25.03'!V22</f>
        <v>56</v>
      </c>
      <c r="W22" s="33">
        <v>28</v>
      </c>
      <c r="X22" s="22">
        <v>5</v>
      </c>
      <c r="Y22" s="35">
        <f>X22+'25.03'!Y22</f>
        <v>164</v>
      </c>
      <c r="Z22" s="33">
        <v>9</v>
      </c>
      <c r="AA22" s="22">
        <v>0</v>
      </c>
      <c r="AB22" s="35">
        <f>AA22+'25.03'!AB22</f>
        <v>2</v>
      </c>
      <c r="AC22" s="33">
        <v>112</v>
      </c>
      <c r="AD22" s="22">
        <v>2</v>
      </c>
      <c r="AE22" s="35">
        <f>AD22+'25.03'!AE22</f>
        <v>1311</v>
      </c>
      <c r="AF22" s="19">
        <f t="shared" si="1"/>
        <v>650700</v>
      </c>
      <c r="AG22" s="20">
        <f t="shared" si="1"/>
        <v>2390028</v>
      </c>
      <c r="AH22" s="24">
        <v>80</v>
      </c>
      <c r="AI22" s="35">
        <f>AH22+'25.03'!AI22</f>
        <v>1049</v>
      </c>
      <c r="AJ22" s="24">
        <v>620</v>
      </c>
      <c r="AK22" s="35">
        <f>AJ22+'25.03'!AK22</f>
        <v>12038</v>
      </c>
      <c r="AL22" s="22">
        <v>50000</v>
      </c>
      <c r="AM22" s="35">
        <f>AL22+'25.03'!AM22</f>
        <v>75812</v>
      </c>
      <c r="AN22" s="22">
        <v>600000</v>
      </c>
      <c r="AO22" s="35">
        <f>AN22+'25.03'!AO22</f>
        <v>2301129</v>
      </c>
      <c r="AP22" s="28" t="s">
        <v>59</v>
      </c>
      <c r="AQ22" s="19">
        <f t="shared" si="4"/>
        <v>7</v>
      </c>
      <c r="AR22" s="20">
        <f t="shared" si="2"/>
        <v>667</v>
      </c>
      <c r="AS22" s="34">
        <v>1</v>
      </c>
      <c r="AT22" s="35">
        <f>AS22+'25.03'!AT22</f>
        <v>2</v>
      </c>
      <c r="AU22" s="34">
        <v>1</v>
      </c>
      <c r="AV22" s="35">
        <f>AU22+'25.03'!AV22</f>
        <v>2</v>
      </c>
      <c r="AW22" s="34">
        <v>1</v>
      </c>
      <c r="AX22" s="35">
        <f>AW22+'25.03'!AX22</f>
        <v>1</v>
      </c>
      <c r="AY22" s="34">
        <v>2</v>
      </c>
      <c r="AZ22" s="35">
        <f>AY22+'25.03'!AZ22</f>
        <v>2</v>
      </c>
      <c r="BA22" s="34">
        <v>2</v>
      </c>
      <c r="BB22" s="35">
        <f>BA22+'25.03'!BB22</f>
        <v>660</v>
      </c>
      <c r="BC22" s="19">
        <f t="shared" si="3"/>
        <v>708</v>
      </c>
      <c r="BD22" s="20">
        <f t="shared" si="3"/>
        <v>11331</v>
      </c>
      <c r="BE22" s="22">
        <v>2</v>
      </c>
      <c r="BF22" s="35">
        <f>BE22+'25.03'!BF22</f>
        <v>40</v>
      </c>
      <c r="BG22" s="34">
        <v>1</v>
      </c>
      <c r="BH22" s="35">
        <f>BG22+'25.03'!BH22</f>
        <v>581</v>
      </c>
      <c r="BI22" s="22">
        <v>700</v>
      </c>
      <c r="BJ22" s="35">
        <f>BI22+'25.03'!BJ22</f>
        <v>10643</v>
      </c>
      <c r="BK22" s="22">
        <v>5</v>
      </c>
      <c r="BL22" s="35">
        <f>BK22+'25.03'!BL22</f>
        <v>67</v>
      </c>
      <c r="BM22" s="22">
        <v>0</v>
      </c>
      <c r="BN22" s="35">
        <f>BM22+'25.03'!BN22</f>
        <v>0</v>
      </c>
      <c r="BO22" s="36">
        <v>26</v>
      </c>
      <c r="BP22" s="37">
        <v>0</v>
      </c>
      <c r="BQ22" s="35">
        <f>BP22+'25.03'!BQ22</f>
        <v>231</v>
      </c>
    </row>
    <row r="23" spans="1:73" ht="27.75" customHeight="1">
      <c r="A23" s="62" t="s">
        <v>12</v>
      </c>
      <c r="B23" s="63">
        <f t="shared" si="0"/>
        <v>94991</v>
      </c>
      <c r="C23" s="64">
        <f t="shared" si="0"/>
        <v>2538</v>
      </c>
      <c r="D23" s="65">
        <f t="shared" si="0"/>
        <v>16602</v>
      </c>
      <c r="E23" s="66">
        <f>+E18+E19+E22+E17+E16+E15+E14+E13+E12+E11+E10+E9+E8</f>
        <v>7282</v>
      </c>
      <c r="F23" s="67">
        <f>SUM(F8:F22)</f>
        <v>1574</v>
      </c>
      <c r="G23" s="68">
        <f>SUM(G8:G22)</f>
        <v>9053</v>
      </c>
      <c r="H23" s="66">
        <f>+H18+H19+H22+H17+H16+H15+H14+H13+H12+H11+H10+H9+H8</f>
        <v>271</v>
      </c>
      <c r="I23" s="67">
        <f>SUM(I8:I22)</f>
        <v>2</v>
      </c>
      <c r="J23" s="68">
        <f>SUM(J8:J22)</f>
        <v>322</v>
      </c>
      <c r="K23" s="66">
        <f>+K18+K19+K22+K17+K16+K15+K14+K13+K12+K11+K10+K9+K8</f>
        <v>163</v>
      </c>
      <c r="L23" s="67">
        <f>SUM(L8:L22)</f>
        <v>0</v>
      </c>
      <c r="M23" s="68">
        <f>SUM(M8:M22)</f>
        <v>1</v>
      </c>
      <c r="N23" s="66">
        <f>+N18+N19+N22+N17+N16+N15+N14+N13+N12+N11+N10+N9+N8</f>
        <v>8607</v>
      </c>
      <c r="O23" s="67">
        <f>SUM(O8:O22)</f>
        <v>29</v>
      </c>
      <c r="P23" s="68">
        <f>SUM(P8:P22)</f>
        <v>382</v>
      </c>
      <c r="Q23" s="66">
        <f>+Q18+Q19+Q22+Q17+Q16+Q15+Q14+Q13+Q12+Q11+Q10+Q9+Q8</f>
        <v>7474</v>
      </c>
      <c r="R23" s="67">
        <f>SUM(R8:R22)</f>
        <v>15</v>
      </c>
      <c r="S23" s="68">
        <f>SUM(S8:S22)</f>
        <v>122</v>
      </c>
      <c r="T23" s="66">
        <f>+T18+T19+T22+T17+T16+T15+T14+T13+T12+T11+T10+T9+T8</f>
        <v>4115</v>
      </c>
      <c r="U23" s="67">
        <f>SUM(U8:U22)</f>
        <v>24</v>
      </c>
      <c r="V23" s="68">
        <f>SUM(V8:V22)</f>
        <v>115</v>
      </c>
      <c r="W23" s="66">
        <f>+W18+W19+W22+W17+W16+W15+W14+W13+W12+W11+W10+W9+W8</f>
        <v>604</v>
      </c>
      <c r="X23" s="67">
        <f>SUM(X8:X22)</f>
        <v>641</v>
      </c>
      <c r="Y23" s="68">
        <f>SUM(Y8:Y22)</f>
        <v>3319</v>
      </c>
      <c r="Z23" s="66">
        <f>+Z18+Z19+Z22+Z17+Z16+Z15+Z14+Z13+Z12+Z11+Z10+Z9+Z8</f>
        <v>1629</v>
      </c>
      <c r="AA23" s="67">
        <f>SUM(AA8:AA22)</f>
        <v>0</v>
      </c>
      <c r="AB23" s="68">
        <f>SUM(AB8:AB22)</f>
        <v>15</v>
      </c>
      <c r="AC23" s="66">
        <f>+AC18+AC19+AC22+AC17+AC16+AC15+AC14+AC13+AC12+AC11+AC10+AC9+AC8</f>
        <v>64846</v>
      </c>
      <c r="AD23" s="67">
        <f t="shared" ref="AD23:AO23" si="5">SUM(AD8:AD22)</f>
        <v>253</v>
      </c>
      <c r="AE23" s="68">
        <f t="shared" si="5"/>
        <v>3273</v>
      </c>
      <c r="AF23" s="64">
        <f t="shared" si="5"/>
        <v>3223917</v>
      </c>
      <c r="AG23" s="64">
        <f t="shared" si="5"/>
        <v>19503639</v>
      </c>
      <c r="AH23" s="67">
        <f t="shared" si="5"/>
        <v>24019</v>
      </c>
      <c r="AI23" s="68">
        <f t="shared" si="5"/>
        <v>180349</v>
      </c>
      <c r="AJ23" s="67">
        <f t="shared" si="5"/>
        <v>69495</v>
      </c>
      <c r="AK23" s="68">
        <f t="shared" si="5"/>
        <v>462501</v>
      </c>
      <c r="AL23" s="67">
        <f t="shared" si="5"/>
        <v>695275</v>
      </c>
      <c r="AM23" s="68">
        <f t="shared" si="5"/>
        <v>4688413</v>
      </c>
      <c r="AN23" s="67">
        <f t="shared" si="5"/>
        <v>2435128</v>
      </c>
      <c r="AO23" s="68">
        <f t="shared" si="5"/>
        <v>14172376</v>
      </c>
      <c r="AP23" s="62" t="s">
        <v>12</v>
      </c>
      <c r="AQ23" s="64">
        <f t="shared" ref="AQ23:BQ23" si="6">SUM(AQ8:AQ22)</f>
        <v>474</v>
      </c>
      <c r="AR23" s="64">
        <f t="shared" si="6"/>
        <v>4064</v>
      </c>
      <c r="AS23" s="67">
        <f t="shared" si="6"/>
        <v>5</v>
      </c>
      <c r="AT23" s="68">
        <f t="shared" si="6"/>
        <v>40</v>
      </c>
      <c r="AU23" s="67">
        <f t="shared" si="6"/>
        <v>6</v>
      </c>
      <c r="AV23" s="68">
        <f t="shared" si="6"/>
        <v>45</v>
      </c>
      <c r="AW23" s="67">
        <f t="shared" si="6"/>
        <v>1</v>
      </c>
      <c r="AX23" s="68">
        <f t="shared" si="6"/>
        <v>905</v>
      </c>
      <c r="AY23" s="67">
        <f t="shared" si="6"/>
        <v>2</v>
      </c>
      <c r="AZ23" s="68">
        <f t="shared" si="6"/>
        <v>2</v>
      </c>
      <c r="BA23" s="67">
        <f t="shared" si="6"/>
        <v>460</v>
      </c>
      <c r="BB23" s="68">
        <f t="shared" si="6"/>
        <v>3072</v>
      </c>
      <c r="BC23" s="64">
        <f t="shared" si="6"/>
        <v>28702</v>
      </c>
      <c r="BD23" s="64">
        <f t="shared" si="6"/>
        <v>239413</v>
      </c>
      <c r="BE23" s="67">
        <f t="shared" si="6"/>
        <v>1842</v>
      </c>
      <c r="BF23" s="68">
        <f t="shared" si="6"/>
        <v>9406</v>
      </c>
      <c r="BG23" s="67">
        <f t="shared" si="6"/>
        <v>30</v>
      </c>
      <c r="BH23" s="68">
        <f t="shared" si="6"/>
        <v>5120</v>
      </c>
      <c r="BI23" s="67">
        <f t="shared" si="6"/>
        <v>23737</v>
      </c>
      <c r="BJ23" s="68">
        <f t="shared" si="6"/>
        <v>199453</v>
      </c>
      <c r="BK23" s="67">
        <f t="shared" si="6"/>
        <v>3093</v>
      </c>
      <c r="BL23" s="68">
        <f t="shared" si="6"/>
        <v>25423</v>
      </c>
      <c r="BM23" s="67">
        <f t="shared" si="6"/>
        <v>0</v>
      </c>
      <c r="BN23" s="68">
        <f t="shared" si="6"/>
        <v>11</v>
      </c>
      <c r="BO23" s="69">
        <f t="shared" si="6"/>
        <v>37684</v>
      </c>
      <c r="BP23" s="70">
        <f t="shared" si="6"/>
        <v>19</v>
      </c>
      <c r="BQ23" s="71">
        <f t="shared" si="6"/>
        <v>365</v>
      </c>
    </row>
  </sheetData>
  <mergeCells count="44">
    <mergeCell ref="BO4:BQ4"/>
    <mergeCell ref="A1:AO1"/>
    <mergeCell ref="AP1:BQ1"/>
    <mergeCell ref="A2:AO2"/>
    <mergeCell ref="AP2:BQ2"/>
    <mergeCell ref="A3:AO3"/>
    <mergeCell ref="AP3:BQ3"/>
    <mergeCell ref="A4:A7"/>
    <mergeCell ref="AH5:AK5"/>
    <mergeCell ref="AL5:AO5"/>
    <mergeCell ref="AH6:AI6"/>
    <mergeCell ref="AJ6:AK6"/>
    <mergeCell ref="AF5:AG6"/>
    <mergeCell ref="BI6:BJ6"/>
    <mergeCell ref="BK6:BL6"/>
    <mergeCell ref="BM6:BN6"/>
    <mergeCell ref="B4:AE4"/>
    <mergeCell ref="AF4:AO4"/>
    <mergeCell ref="AQ4:BB4"/>
    <mergeCell ref="BC4:BN4"/>
    <mergeCell ref="AP4:AP7"/>
    <mergeCell ref="B5:D6"/>
    <mergeCell ref="E5:G6"/>
    <mergeCell ref="H5:J6"/>
    <mergeCell ref="K5:M6"/>
    <mergeCell ref="N5:P6"/>
    <mergeCell ref="Q5:S6"/>
    <mergeCell ref="T5:V6"/>
    <mergeCell ref="W5:Y6"/>
    <mergeCell ref="Z5:AB6"/>
    <mergeCell ref="AC5:AE6"/>
    <mergeCell ref="BO6:BQ6"/>
    <mergeCell ref="BO5:BQ5"/>
    <mergeCell ref="AL6:AM6"/>
    <mergeCell ref="AN6:AO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</mergeCells>
  <pageMargins left="0.31496062992126" right="0.31496062992126" top="0.55118110236220497" bottom="0.35433070866141703" header="0.31496062992126" footer="0.31496062992126"/>
  <pageSetup paperSize="9" scale="4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66</vt:i4>
      </vt:variant>
    </vt:vector>
  </HeadingPairs>
  <TitlesOfParts>
    <vt:vector size="132" baseType="lpstr">
      <vt:lpstr>01.04</vt:lpstr>
      <vt:lpstr>01.04.</vt:lpstr>
      <vt:lpstr>02.04</vt:lpstr>
      <vt:lpstr>03.04</vt:lpstr>
      <vt:lpstr>04.04</vt:lpstr>
      <vt:lpstr>05.04</vt:lpstr>
      <vt:lpstr>06.04</vt:lpstr>
      <vt:lpstr>07.04</vt:lpstr>
      <vt:lpstr>08.04</vt:lpstr>
      <vt:lpstr>09.04</vt:lpstr>
      <vt:lpstr>10.04</vt:lpstr>
      <vt:lpstr>11.04</vt:lpstr>
      <vt:lpstr>12.04</vt:lpstr>
      <vt:lpstr>13.04</vt:lpstr>
      <vt:lpstr>14.04</vt:lpstr>
      <vt:lpstr>15.04</vt:lpstr>
      <vt:lpstr>16.04</vt:lpstr>
      <vt:lpstr>17.04</vt:lpstr>
      <vt:lpstr>18.04</vt:lpstr>
      <vt:lpstr>19.04</vt:lpstr>
      <vt:lpstr>20.04</vt:lpstr>
      <vt:lpstr>21.04</vt:lpstr>
      <vt:lpstr>22.04 </vt:lpstr>
      <vt:lpstr>23.04 </vt:lpstr>
      <vt:lpstr>24.04 </vt:lpstr>
      <vt:lpstr>25.04 </vt:lpstr>
      <vt:lpstr>26.04 </vt:lpstr>
      <vt:lpstr>27.04</vt:lpstr>
      <vt:lpstr>28.04</vt:lpstr>
      <vt:lpstr>29.04 </vt:lpstr>
      <vt:lpstr>01.05</vt:lpstr>
      <vt:lpstr>02.05</vt:lpstr>
      <vt:lpstr>03.05</vt:lpstr>
      <vt:lpstr>04.05</vt:lpstr>
      <vt:lpstr>05.05</vt:lpstr>
      <vt:lpstr>06.05</vt:lpstr>
      <vt:lpstr>07.05</vt:lpstr>
      <vt:lpstr>08.05</vt:lpstr>
      <vt:lpstr>09.05</vt:lpstr>
      <vt:lpstr>10.05</vt:lpstr>
      <vt:lpstr>11.05</vt:lpstr>
      <vt:lpstr>12.05</vt:lpstr>
      <vt:lpstr>13.05</vt:lpstr>
      <vt:lpstr>14.05</vt:lpstr>
      <vt:lpstr>15.05</vt:lpstr>
      <vt:lpstr>16.05</vt:lpstr>
      <vt:lpstr>17.05</vt:lpstr>
      <vt:lpstr>18.05</vt:lpstr>
      <vt:lpstr>19.05</vt:lpstr>
      <vt:lpstr>20.05</vt:lpstr>
      <vt:lpstr>21.05</vt:lpstr>
      <vt:lpstr>22.05</vt:lpstr>
      <vt:lpstr>23.05</vt:lpstr>
      <vt:lpstr>24.05</vt:lpstr>
      <vt:lpstr>25.05</vt:lpstr>
      <vt:lpstr>26.05</vt:lpstr>
      <vt:lpstr>27.05</vt:lpstr>
      <vt:lpstr>28.05</vt:lpstr>
      <vt:lpstr>29.05</vt:lpstr>
      <vt:lpstr>30.05</vt:lpstr>
      <vt:lpstr>07.07</vt:lpstr>
      <vt:lpstr>22.03</vt:lpstr>
      <vt:lpstr>23.03</vt:lpstr>
      <vt:lpstr>24.03</vt:lpstr>
      <vt:lpstr>25.03</vt:lpstr>
      <vt:lpstr>26.03</vt:lpstr>
      <vt:lpstr>'01.04'!Print_Area</vt:lpstr>
      <vt:lpstr>'01.04.'!Print_Area</vt:lpstr>
      <vt:lpstr>'01.05'!Print_Area</vt:lpstr>
      <vt:lpstr>'02.04'!Print_Area</vt:lpstr>
      <vt:lpstr>'02.05'!Print_Area</vt:lpstr>
      <vt:lpstr>'03.04'!Print_Area</vt:lpstr>
      <vt:lpstr>'03.05'!Print_Area</vt:lpstr>
      <vt:lpstr>'04.04'!Print_Area</vt:lpstr>
      <vt:lpstr>'04.05'!Print_Area</vt:lpstr>
      <vt:lpstr>'05.04'!Print_Area</vt:lpstr>
      <vt:lpstr>'05.05'!Print_Area</vt:lpstr>
      <vt:lpstr>'06.04'!Print_Area</vt:lpstr>
      <vt:lpstr>'06.05'!Print_Area</vt:lpstr>
      <vt:lpstr>'07.04'!Print_Area</vt:lpstr>
      <vt:lpstr>'07.05'!Print_Area</vt:lpstr>
      <vt:lpstr>'07.07'!Print_Area</vt:lpstr>
      <vt:lpstr>'08.04'!Print_Area</vt:lpstr>
      <vt:lpstr>'08.05'!Print_Area</vt:lpstr>
      <vt:lpstr>'09.04'!Print_Area</vt:lpstr>
      <vt:lpstr>'09.05'!Print_Area</vt:lpstr>
      <vt:lpstr>'10.04'!Print_Area</vt:lpstr>
      <vt:lpstr>'10.05'!Print_Area</vt:lpstr>
      <vt:lpstr>'11.04'!Print_Area</vt:lpstr>
      <vt:lpstr>'11.05'!Print_Area</vt:lpstr>
      <vt:lpstr>'12.04'!Print_Area</vt:lpstr>
      <vt:lpstr>'12.05'!Print_Area</vt:lpstr>
      <vt:lpstr>'13.04'!Print_Area</vt:lpstr>
      <vt:lpstr>'13.05'!Print_Area</vt:lpstr>
      <vt:lpstr>'14.04'!Print_Area</vt:lpstr>
      <vt:lpstr>'14.05'!Print_Area</vt:lpstr>
      <vt:lpstr>'15.04'!Print_Area</vt:lpstr>
      <vt:lpstr>'15.05'!Print_Area</vt:lpstr>
      <vt:lpstr>'16.04'!Print_Area</vt:lpstr>
      <vt:lpstr>'16.05'!Print_Area</vt:lpstr>
      <vt:lpstr>'17.04'!Print_Area</vt:lpstr>
      <vt:lpstr>'17.05'!Print_Area</vt:lpstr>
      <vt:lpstr>'18.04'!Print_Area</vt:lpstr>
      <vt:lpstr>'18.05'!Print_Area</vt:lpstr>
      <vt:lpstr>'19.04'!Print_Area</vt:lpstr>
      <vt:lpstr>'19.05'!Print_Area</vt:lpstr>
      <vt:lpstr>'20.04'!Print_Area</vt:lpstr>
      <vt:lpstr>'20.05'!Print_Area</vt:lpstr>
      <vt:lpstr>'21.04'!Print_Area</vt:lpstr>
      <vt:lpstr>'21.05'!Print_Area</vt:lpstr>
      <vt:lpstr>'22.03'!Print_Area</vt:lpstr>
      <vt:lpstr>'22.04 '!Print_Area</vt:lpstr>
      <vt:lpstr>'22.05'!Print_Area</vt:lpstr>
      <vt:lpstr>'23.03'!Print_Area</vt:lpstr>
      <vt:lpstr>'23.04 '!Print_Area</vt:lpstr>
      <vt:lpstr>'23.05'!Print_Area</vt:lpstr>
      <vt:lpstr>'24.03'!Print_Area</vt:lpstr>
      <vt:lpstr>'24.04 '!Print_Area</vt:lpstr>
      <vt:lpstr>'24.05'!Print_Area</vt:lpstr>
      <vt:lpstr>'25.03'!Print_Area</vt:lpstr>
      <vt:lpstr>'25.04 '!Print_Area</vt:lpstr>
      <vt:lpstr>'25.05'!Print_Area</vt:lpstr>
      <vt:lpstr>'26.03'!Print_Area</vt:lpstr>
      <vt:lpstr>'26.04 '!Print_Area</vt:lpstr>
      <vt:lpstr>'26.05'!Print_Area</vt:lpstr>
      <vt:lpstr>'27.04'!Print_Area</vt:lpstr>
      <vt:lpstr>'27.05'!Print_Area</vt:lpstr>
      <vt:lpstr>'28.04'!Print_Area</vt:lpstr>
      <vt:lpstr>'28.05'!Print_Area</vt:lpstr>
      <vt:lpstr>'29.04 '!Print_Area</vt:lpstr>
      <vt:lpstr>'29.05'!Print_Area</vt:lpstr>
      <vt:lpstr>'30.05'!Print_Area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SM-G991B</dc:creator>
  <cp:lastModifiedBy>User</cp:lastModifiedBy>
  <cp:lastPrinted>2026-06-26T11:40:52Z</cp:lastPrinted>
  <dcterms:created xsi:type="dcterms:W3CDTF">2006-09-15T19:00:00Z</dcterms:created>
  <dcterms:modified xsi:type="dcterms:W3CDTF">2026-07-08T13:39:01Z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6EB2D95F7D7B4745BC02EF452927A95A_13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